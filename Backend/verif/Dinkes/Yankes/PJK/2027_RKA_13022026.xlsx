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D:\2024\3. ANGGARAN\2027\"/>
    </mc:Choice>
  </mc:AlternateContent>
  <xr:revisionPtr revIDLastSave="0" documentId="13_ncr:1_{3E4E8F8A-CD7A-4AAC-9F4D-DAE9F0BA5B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kode sub kegiata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eOFbojenaZYJi3fO66NsIv0blmS2lpBK3+Bh1gm1Ru4="/>
    </ext>
  </extLst>
</workbook>
</file>

<file path=xl/calcChain.xml><?xml version="1.0" encoding="utf-8"?>
<calcChain xmlns="http://schemas.openxmlformats.org/spreadsheetml/2006/main">
  <c r="G56" i="1" l="1"/>
  <c r="G57" i="1"/>
  <c r="G92" i="1"/>
  <c r="G88" i="1"/>
  <c r="D61" i="1"/>
  <c r="D60" i="1"/>
  <c r="G135" i="1"/>
  <c r="G131" i="1"/>
  <c r="G70" i="1" l="1"/>
  <c r="G71" i="1"/>
  <c r="G58" i="1" l="1"/>
  <c r="G43" i="1"/>
  <c r="G47" i="1"/>
  <c r="G46" i="1"/>
  <c r="G40" i="1"/>
  <c r="G39" i="1"/>
  <c r="G38" i="1"/>
  <c r="G37" i="1"/>
  <c r="G36" i="1"/>
  <c r="G91" i="1"/>
  <c r="G90" i="1" s="1"/>
  <c r="G87" i="1"/>
  <c r="G86" i="1" s="1"/>
  <c r="G85" i="1" s="1"/>
  <c r="G134" i="1"/>
  <c r="G133" i="1" s="1"/>
  <c r="G132" i="1" s="1"/>
  <c r="G130" i="1"/>
  <c r="G129" i="1"/>
  <c r="G128" i="1"/>
  <c r="G127" i="1"/>
  <c r="G126" i="1"/>
  <c r="G125" i="1"/>
  <c r="G121" i="1"/>
  <c r="G120" i="1"/>
  <c r="G119" i="1"/>
  <c r="G118" i="1"/>
  <c r="G117" i="1"/>
  <c r="G111" i="1"/>
  <c r="G110" i="1" s="1"/>
  <c r="G109" i="1" s="1"/>
  <c r="G108" i="1" s="1"/>
  <c r="G107" i="1"/>
  <c r="G106" i="1" s="1"/>
  <c r="G105" i="1" s="1"/>
  <c r="G104" i="1" s="1"/>
  <c r="G103" i="1"/>
  <c r="G102" i="1" s="1"/>
  <c r="G101" i="1" s="1"/>
  <c r="G100" i="1" s="1"/>
  <c r="G99" i="1"/>
  <c r="G98" i="1"/>
  <c r="G97" i="1" s="1"/>
  <c r="G96" i="1" s="1"/>
  <c r="G95" i="1"/>
  <c r="G94" i="1" s="1"/>
  <c r="G93" i="1" s="1"/>
  <c r="G83" i="1"/>
  <c r="G82" i="1" s="1"/>
  <c r="G81" i="1" s="1"/>
  <c r="G80" i="1" s="1"/>
  <c r="G79" i="1" s="1"/>
  <c r="G77" i="1"/>
  <c r="G76" i="1"/>
  <c r="G72" i="1"/>
  <c r="G69" i="1"/>
  <c r="G65" i="1"/>
  <c r="G64" i="1" s="1"/>
  <c r="G63" i="1" s="1"/>
  <c r="G62" i="1" s="1"/>
  <c r="G61" i="1"/>
  <c r="G60" i="1"/>
  <c r="G53" i="1"/>
  <c r="G52" i="1"/>
  <c r="G48" i="1"/>
  <c r="G45" i="1"/>
  <c r="G44" i="1"/>
  <c r="G42" i="1"/>
  <c r="G41" i="1"/>
  <c r="G35" i="1"/>
  <c r="G34" i="1" l="1"/>
  <c r="G124" i="1"/>
  <c r="G123" i="1" s="1"/>
  <c r="G122" i="1" s="1"/>
  <c r="G116" i="1"/>
  <c r="G115" i="1" s="1"/>
  <c r="G114" i="1" s="1"/>
  <c r="G89" i="1"/>
  <c r="G84" i="1" s="1"/>
  <c r="G78" i="1" s="1"/>
  <c r="G59" i="1"/>
  <c r="G51" i="1"/>
  <c r="G50" i="1" s="1"/>
  <c r="G49" i="1" s="1"/>
  <c r="G75" i="1"/>
  <c r="G74" i="1" s="1"/>
  <c r="G73" i="1" s="1"/>
  <c r="G68" i="1"/>
  <c r="G67" i="1" s="1"/>
  <c r="G66" i="1" s="1"/>
  <c r="G33" i="1"/>
  <c r="G32" i="1" s="1"/>
  <c r="G113" i="1" l="1"/>
  <c r="G112" i="1" s="1"/>
  <c r="G55" i="1"/>
  <c r="G54" i="1" s="1"/>
  <c r="G31" i="1" s="1"/>
  <c r="G30" i="1" l="1"/>
  <c r="G29" i="1" l="1"/>
  <c r="G28" i="1" s="1"/>
  <c r="G27" i="1" s="1"/>
  <c r="F21" i="1" s="1"/>
  <c r="B150" i="1"/>
  <c r="G137" i="1"/>
</calcChain>
</file>

<file path=xl/sharedStrings.xml><?xml version="1.0" encoding="utf-8"?>
<sst xmlns="http://schemas.openxmlformats.org/spreadsheetml/2006/main" count="250" uniqueCount="209">
  <si>
    <t>RENCANA KERJA DAN ANGGARAN
SATUAN KERJA PERANGKAT DAERAH</t>
  </si>
  <si>
    <t>Formulir 
RKA-RINCIAN BELANJA
SKPD</t>
  </si>
  <si>
    <t>Urusan</t>
  </si>
  <si>
    <t>: 1.02 URUSAN PEMERINTAHAN WAJIB YANG BERKAITAN DENGAN PELAYANAN DASAR</t>
  </si>
  <si>
    <t>Unit Organisasi</t>
  </si>
  <si>
    <t>: 1.02.0.00.0.00.01.0000 DINAS KESEHATAN</t>
  </si>
  <si>
    <t>Sub Unit Organisasi</t>
  </si>
  <si>
    <t>Program</t>
  </si>
  <si>
    <t>Kegiatan</t>
  </si>
  <si>
    <t>Sub Kegiatan</t>
  </si>
  <si>
    <t>Sumber Pendanaan</t>
  </si>
  <si>
    <t>Lokasi Kegiatan</t>
  </si>
  <si>
    <t>Waktu Pelaksanaan</t>
  </si>
  <si>
    <t>: Januari s.d. Desember</t>
  </si>
  <si>
    <t>Kelompok Sasaran</t>
  </si>
  <si>
    <t>:</t>
  </si>
  <si>
    <t xml:space="preserve">: </t>
  </si>
  <si>
    <t>Indikator dan Tolok Ukur Kinerja Belanja</t>
  </si>
  <si>
    <t>Indikator</t>
  </si>
  <si>
    <t>Tolak Ukur Kinerja</t>
  </si>
  <si>
    <t>Target Kinerja</t>
  </si>
  <si>
    <t>Capaian Program</t>
  </si>
  <si>
    <t>Masukan</t>
  </si>
  <si>
    <t>Keluaran</t>
  </si>
  <si>
    <t>Hasil</t>
  </si>
  <si>
    <t>Kode Rekening</t>
  </si>
  <si>
    <t>Uraian</t>
  </si>
  <si>
    <t>Rincian Perhitungan</t>
  </si>
  <si>
    <t>Jumlah</t>
  </si>
  <si>
    <t>Koefisien</t>
  </si>
  <si>
    <t>Satuan</t>
  </si>
  <si>
    <t>Harga</t>
  </si>
  <si>
    <t>(Rp)</t>
  </si>
  <si>
    <t>Jumlah Anggaran Sub Kegiatan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</si>
  <si>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</si>
  <si>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</si>
  <si>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</si>
  <si>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</si>
  <si>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</si>
  <si>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</si>
  <si>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</si>
  <si>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</si>
  <si>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</si>
  <si>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</si>
  <si>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</si>
  <si>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</si>
  <si>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2026</t>
  </si>
  <si>
    <t>Pemerintah Kabupaten Bogor Tahun Anggaran 2027</t>
  </si>
  <si>
    <t>Jumlah 2027</t>
  </si>
  <si>
    <t>Jumlah 2028</t>
  </si>
  <si>
    <t>Kabupaten Bogor,                                2026</t>
  </si>
  <si>
    <t>Kepala ...</t>
  </si>
  <si>
    <t>: 1.02.02 PROGRAM PEMENUHAN UPAYA KESEHATAN PERORANGAN DAN UPAYA KESEHATAN MASYARAKAT</t>
  </si>
  <si>
    <t>: 1.02.02.2.02 Penyediaan Layanan Kesehatan untuk UKM dan UKP Rujukan Tingkat Daerah Kabupaten/Kota</t>
  </si>
  <si>
    <t>: 1.02.02.2.02.0026 Pengelolaan Jaminan Kesehatan Masyarakat</t>
  </si>
  <si>
    <t>: PENDAPATAN ASLI DAERAH (PAD)</t>
  </si>
  <si>
    <t>: Kab. Bogor, Semua Kecamatan, Semua Kelurahan</t>
  </si>
  <si>
    <t>Persentase Layanan Standar Pelayanan Minimal (SPM) Bidang Kesehatan</t>
  </si>
  <si>
    <t>Dana yang dibutuhkan</t>
  </si>
  <si>
    <t>Jumlah Dokumen Hasil Pengelolaan Jaminan Kesehatan Masyarakat</t>
  </si>
  <si>
    <t>Persentase ibu bersalin di faskes (PF)
• Persentase skrining penyakit tidak menular (PTM) pada kelompok usia produktif
• Persentase FKTP terakreditasi
• Cakupan penemuan dan pengobatan kasus TBC
• Persentase balita yang dipantau pertumbuhan dan perkembangannya
• Jumlah jenis pengelolaan layanan kesehatan</t>
  </si>
  <si>
    <t>5.1</t>
  </si>
  <si>
    <t>5.1.02.01</t>
  </si>
  <si>
    <t>BELANJA DAERAH</t>
  </si>
  <si>
    <t>BELANJA OPERASI</t>
  </si>
  <si>
    <t>Belanja Barang dan Jasa</t>
  </si>
  <si>
    <t>Belanja Barang</t>
  </si>
  <si>
    <t>Belanja Barang Pakai Habis</t>
  </si>
  <si>
    <t>Belanja Alat/Bahan untuk Kegiatan Kantor-Alat Tulis Kantor</t>
  </si>
  <si>
    <t>[ # ] Belanja Alat/Bahan untuk Kegiatan Kantor-Alat Tulis Kantor Sumber Dana : PENDAPATAN ASLI DAERAH (PAD)</t>
  </si>
  <si>
    <t>[ - ] Belanja Alat/Bahan untuk kegiatan kantor-Alat tulis kantor</t>
  </si>
  <si>
    <t>Map
Spesifikasi : Business File, bahan plastik, isi 12 pcs</t>
  </si>
  <si>
    <t>Ballpoint
Spesifikasi : Gel, ukuran 0.5 mm</t>
  </si>
  <si>
    <t>Pack</t>
  </si>
  <si>
    <t>Lusin</t>
  </si>
  <si>
    <t>Belanja Alat/Bahan untuk Kegiatan Kantor- Kertas dan Cover</t>
  </si>
  <si>
    <t>[ # ] Belanja Alat/Bahan untuk Kegiatan Kantor- Kertas dan Cover Sumber Dana : PENDAPATAN ASLI DAERAH (PAD)</t>
  </si>
  <si>
    <t>[ - ] Belanja Alat/Bahan untuk Kegiatan Kantor- Kertas dan Cover</t>
  </si>
  <si>
    <t>Rim</t>
  </si>
  <si>
    <t>Belanja Alat/Bahan untuk Kegiatan Kantor- Bahan Cetak</t>
  </si>
  <si>
    <t>[ # ] Belanja Alat/Bahan untuk Kegiatan Kantor- Bahan Cetak Sumber Dana : PENDAPATAN ASLI DAERAH (PAD)</t>
  </si>
  <si>
    <t>[ - ] Belanja Alat/Bahan untuk Kegiatan Kantor- Bahan Cetak</t>
  </si>
  <si>
    <t>Foto Copy BW
Spesifikasi : Volume 1 lembar, ukuran F4</t>
  </si>
  <si>
    <t>Lembar</t>
  </si>
  <si>
    <t>[ - ] Belanja alat/bahan untuk kegiatan kantor/bahan cetak untuk SK Kepesertaan PBPU BP PD PEMDA</t>
  </si>
  <si>
    <t>Buku</t>
  </si>
  <si>
    <t>Belanja Alat/Bahan untuk Kegiatan Kantor-Benda Pos</t>
  </si>
  <si>
    <t>[ # ] Belanja Alat/Bahan untuk Kegiatan Kantor-Benda Pos Sumber Dana : PENDAPATAN ASLI DAERAH (PAD)</t>
  </si>
  <si>
    <t>[ - ] Belanja Alat/Bahan untuk Kegiatan Kantor-Benda Pos</t>
  </si>
  <si>
    <t>Meterai
Spesifikasi : 10000</t>
  </si>
  <si>
    <t>Buah</t>
  </si>
  <si>
    <t>Belanja Alat/Bahan untuk Kegiatan Kantor-Bahan Komputer</t>
  </si>
  <si>
    <t>[ # ] Belanja alat bahan untuk kegiatan kantor- bahan komputer Sumber Dana : PENDAPATAN ASLI DAERAH (PAD)</t>
  </si>
  <si>
    <t>[ - ] Belanja alat bahan untuk kegiatan kantor- bahan komputer</t>
  </si>
  <si>
    <t>Botol</t>
  </si>
  <si>
    <t>Belanja Makanan dan Minuman Rapat</t>
  </si>
  <si>
    <t>[ # ] Belanja Makanan dan Minuman Rapat
Sumber Dana : PENDAPATAN ASLI DAERAH (PAD)</t>
  </si>
  <si>
    <t>[ - ] Pertemuan Sosialisasi, Koordinasi dan Evaluasi Program Jaminan Kesehatan Nasional</t>
  </si>
  <si>
    <t>Orang Kali</t>
  </si>
  <si>
    <t>5.1.02.02</t>
  </si>
  <si>
    <t>Belanja Jasa</t>
  </si>
  <si>
    <t>Belanja Jasa Kantor</t>
  </si>
  <si>
    <t>1 x 12</t>
  </si>
  <si>
    <t>Orang Bulan</t>
  </si>
  <si>
    <t>Belanja Iuran Jaminan/Asuransi</t>
  </si>
  <si>
    <t>Belanja Iuran Jaminan Kesehatan bagi Peserta PBPU dan BP Kelas 3</t>
  </si>
  <si>
    <t>Orang Tahun</t>
  </si>
  <si>
    <t>Belanja Bantuan Iuran Jaminan Kesehatan bagi Peserta PBPU dan BP Kelas 3</t>
  </si>
  <si>
    <t>Belanja Pembayaran Pelayanan Kesehatan di luar Cakupan Layanan BPJS</t>
  </si>
  <si>
    <t>[ # ] Belanja Pembayaran Pelayanan Kesehatan di Luar Cakupan Layanan BPJS Sumber Dana : PENDAPATAN ASLI DAERAH (PAD)</t>
  </si>
  <si>
    <t>[ - ] Bantuan Pembiayaan Pelayanan Kesehatan di RS</t>
  </si>
  <si>
    <t>Bantuan Pembiayaan Pelayanan Kesehatan Spesifikasi : Klaim Fasilitas Pelayanan
Kesehatan kepada Sasaran...</t>
  </si>
  <si>
    <t>Orang</t>
  </si>
  <si>
    <t>5.1.02.04</t>
  </si>
  <si>
    <t>Belanja Perjalanan Dinas</t>
  </si>
  <si>
    <t>Belanja Perjalanan Dinas Dalam Negeri</t>
  </si>
  <si>
    <t>Belanja Perjalanan Dinas Biasa</t>
  </si>
  <si>
    <t>[ # ] Belanja Perjalanan Dinas Optimalisasi Pembiayaan dan Jaminan Kesehatan Sumber Dana : PENDAPATAN ASLI DAERAH (PAD)</t>
  </si>
  <si>
    <t>[ - ] Belanja Perjalanan Dinas Optimalisasi Pembiayaan dan Jaminan Kesehatan</t>
  </si>
  <si>
    <t>Biaya Transportasi Perjalanan Dinas Dalam Negeri
Spesifikasi : dari Kabupaten Bogor ke Kota Bandung (one way)</t>
  </si>
  <si>
    <t>Biaya Transportasi Perjalanan Dinas Dalam Negeri
Spesifikasi : dari Kabupaten Bogor ke DKI Jakarta (one way)</t>
  </si>
  <si>
    <t>Biaya Transportasi Perjalanan Dinas Dalam Negeri
Spesifikasi : dari Kabupaten Bogor ke Kota Bogor (one way)</t>
  </si>
  <si>
    <t>Uang Harian Perjalanan Dinas Dalam Negeri Spesifikasi : ke Jawa Barat (luar kota)</t>
  </si>
  <si>
    <t>Uang Harian Perjalanan Dinas Dalam Negeri Spesifikasi : ke DKI Jakarta (luar kota)</t>
  </si>
  <si>
    <t>Orang / KALI</t>
  </si>
  <si>
    <t>Orang / Hari</t>
  </si>
  <si>
    <t>5.1.02.04.01.0003</t>
  </si>
  <si>
    <t>Belanja Perjalanan Dinas Dalam Kota</t>
  </si>
  <si>
    <t>[ # ] Belanja Perjalanan Dinas Dalam Kota
Sumber Dana : PENDAPATAN ASLI DAERAH (PAD)</t>
  </si>
  <si>
    <t>[ - ] Belanja Perjalanan Dinas Dalam Kota</t>
  </si>
  <si>
    <t>Uang Harian Perjalanan Dinas Dalam Daerah Spesifikasi : Perjalanan Dinas Dalam Daerah
Lebih dari 8 jam</t>
  </si>
  <si>
    <t>Orang Hari</t>
  </si>
  <si>
    <t>5.1.02.04.01.0004</t>
  </si>
  <si>
    <t>Belanja Perjalanan Dinas Paket Meeting Dalam Kota</t>
  </si>
  <si>
    <t>[ # ] Belanja Perjalanan Dinas Paket Meeting Dalam Kota
Sumber Dana: PENDAPATAN ASLI DAERAH (PAD)</t>
  </si>
  <si>
    <t>[ - ] Pertemuan Optimalisasi Kepesertaan Program JKN</t>
  </si>
  <si>
    <t>Biaya KegiatanRapat atauPertemuan diLuar Kantor
Spesifikasi:pihak lain - NonPNS/unsurmasyarakat(paket fullday)</t>
  </si>
  <si>
    <t>Dus</t>
  </si>
  <si>
    <t>Binder Clip
Spesifikasi : No. 105, warna hitam</t>
  </si>
  <si>
    <t>Binder Clip
Spesifikasi : No. 107, warna hitam</t>
  </si>
  <si>
    <t>Binder Clip
Spesifikasi : No. 111, warna hitam</t>
  </si>
  <si>
    <t>Clip Paper
Spesifikasi : Trigonal, No.1</t>
  </si>
  <si>
    <t>Lem
Spesifikasi : Lem Stik Sedang, kemasan 21 gram</t>
  </si>
  <si>
    <t>Map
Spesifikasi : 5002, isi 50 pcs</t>
  </si>
  <si>
    <t>Odner
Spesifikasi : Ukuran folio</t>
  </si>
  <si>
    <t>Pembuka Staples
Spesifikasi : Model Handle</t>
  </si>
  <si>
    <t>Post It
Spesifikasi : Sign here, bahan plastik, isi 140 lembar</t>
  </si>
  <si>
    <t>Sheet Protector
Spesifikasi : Ukuran Folio, Isi 20 lembar</t>
  </si>
  <si>
    <t>Pak</t>
  </si>
  <si>
    <t>Tinta Stempel
Spesifikasi : Ukuran 25 ml, warna ungu</t>
  </si>
  <si>
    <t>Ballpoint
Spesifikasi : Gel, ukuran 1,0 mm, warna biru</t>
  </si>
  <si>
    <t>Kertas HVS
Spesifikasi : Ukuran F4 75 gram</t>
  </si>
  <si>
    <t>Kertas HVS
Spesifikasi : Ukuran A4 75 gram</t>
  </si>
  <si>
    <t>Soft Cover Warna
Spesifikasi : Ukuran Dengan Ketebalan Sampai Dengan 2 (Dua) Rim</t>
  </si>
  <si>
    <t>Tinta/Toner Printer
Spesifikasi : Epson 003, black</t>
  </si>
  <si>
    <t>Tinta/Toner Printer
Spesifikasi : Epson 003, warna</t>
  </si>
  <si>
    <t>Tinta/Toner Printer
Spesifikasi : Epson 664, black</t>
  </si>
  <si>
    <t>Tinta/Toner Printer
Spesifikasi : Epson 664, warna</t>
  </si>
  <si>
    <t>Makanan dan minuman rapat
Spesifikasi : Belanja konsumsi kegiatan rapat atau sejenisnya (makan)</t>
  </si>
  <si>
    <t>Makanan dan minuman rapat
Spesifikasi : Belanja konsumsi kegiatan rapat atau sejenisnya (snack)</t>
  </si>
  <si>
    <t xml:space="preserve">5.1.02.02.001.00086 </t>
  </si>
  <si>
    <t>5.1.02.02.001</t>
  </si>
  <si>
    <t>Belanja jasa Pegawai Pemerintah dengan Perjanjian Kerja (PPPK) Paruh Waktu pada jabatan tenaga teknis</t>
  </si>
  <si>
    <t>[ # ] Belanja jasa Pegawai Pemerintah dengan Perjanjian Kerja (PPPK) Paruh Waktu pada jabatan tenaga teknis
Sumber Dana: PENDAPATAN ASLI DAERAH (PAD)</t>
  </si>
  <si>
    <t>[ - ] Belanja jasa Pegawai Pemerintah dengan Perjanjian Kerja (PPPK) Paruh Waktu pada jabatan tenaga teknis</t>
  </si>
  <si>
    <t>Pegawai Pemerintah dengan Perjanjian Kerja (PPPK) Paruh Waktu pada Jabatan Tenaga Teknis
Spesifikasi: Pendidikan D3</t>
  </si>
  <si>
    <t>[ # ] Belanja Iuran Jaminan Kesehatan bagi peserta PBPU dan BP Pemda
Sumber Dana: PENDAPATAN ASLI DAERAH (PAD) ASLI DAERAH (PAD)</t>
  </si>
  <si>
    <t>[ - ] Belanja Iuran Jaminan Kesehatan bagi Peserta PBPU dan BP Pemda</t>
  </si>
  <si>
    <t>Iuran Jaminan Kesehatan bagi Peserta PBPU dan BP Pemda
Spesifikasi: Iuran PBPU dan BP Pemda</t>
  </si>
  <si>
    <t>[ # ] Belanja Bantuan Iuran Jaminan Kesehatan bagi Peserta PBPU dan BP Pemda
Sumber Dana: PENDAPATAN ASLI DAERAH (PAD)</t>
  </si>
  <si>
    <t>[ - ] Belanja Bantuan Iuran Jaminan Kesehatan bagi Peserta PBPU dan BP Pemda</t>
  </si>
  <si>
    <t>Bantuan Iuran Jaminan Kesehatan bagi Peserta PBPU dan BP Pemda
Spesifikasi: Bantuan Iuran PBPU dan BP Pemda</t>
  </si>
  <si>
    <t>[ # ] Belanja Bantuan Iuran Premi PBPU dan BP Mandiri Kelas 3 Kab Bogor
Sumber Dana: PENDAPATAN ASLI DAERAH (PAD)</t>
  </si>
  <si>
    <t>[ - ] Belanja Bantuan Iuran Premi PBPU dan BP Mandiri Kelas 3</t>
  </si>
  <si>
    <t>Bantuan Iuran Jaminan Kesehatan bagi Peserta PBPU dan BP Mandiri Kelas 3
Spesifikasi: Bantuan Iuran PBPU dan BP Mandiri Kelas 3</t>
  </si>
  <si>
    <t xml:space="preserve">5.1.02.02.002.00017 </t>
  </si>
  <si>
    <t>Belanja Iuran Jaminan Kesehatan bagi PPPK Paruh Waktu pada Jabatan Tenaga Teknis</t>
  </si>
  <si>
    <t>[ # ] Belanja Iuran Jaminan Kesehatan bagi PPPK Paruh Waktu pada Jabatan Tenaga Teknis
Sumber Dana: PENDAPATAN ASLI DAERAH (PAD)</t>
  </si>
  <si>
    <t>[ - ] Belanja Iuran Jaminan Kesehatan bagi PPPK Paruh Waktu pada Jabatan Tenaga Teknis</t>
  </si>
  <si>
    <t>Iuran Jaminan Kesehatan bagi PPPK Paruh Waktu
Spesifikasi: Iuran Jaminan Kesehatan bagi PPPK Paruh Waktu</t>
  </si>
  <si>
    <t>5.1.02.02.002.00025</t>
  </si>
  <si>
    <t>Belanja Iuran Jaminan Kecelakaan Kerja bagi PPPK Paruh Waktu pada Jabatan Tenaga Teknis</t>
  </si>
  <si>
    <t>[ # ] Belanja Iuran Jaminan Kecelakaan Kerja bagi PPPK Paruh Waktu pada Jabatan Tenaga Teknis
Sumber Dana: PENDAPATAN ASLI DAERAH (PAD)</t>
  </si>
  <si>
    <t>[ - ] Belanja Iuran Jaminan Kecelakaan Kerja bagi PPPK Paruh Waktu pada Jabatan Tenaga Teknis</t>
  </si>
  <si>
    <t>Iuran Jaminan Kecelakaan bagi PPPK Paruh Waktu
Spesifikasi: Iuran Jaminan Kecelakaan bagi PPPK Paruh Waktu</t>
  </si>
  <si>
    <t>5.1.02.02.002.00033</t>
  </si>
  <si>
    <t>Belanja Iuran Jaminan Kematian bagi PPPK Paruh Waktu pada Jabatan Tenaga Teknis</t>
  </si>
  <si>
    <t>[ # ] Belanja Iuran Jaminan Kematian bagi PPPK Paruh Waktu pada Jabatan Tenaga Teknis
Sumber Dana: PENDAPATAN ASLI DAERAH (PAD)</t>
  </si>
  <si>
    <t>[ - ] Belanja Iuran Jaminan Kematian bagi PPPK Paruh Waktu pada Jabatan Tenaga Teknis</t>
  </si>
  <si>
    <t>Iuran Jaminan Kematian bagi PPPK Paruh Waktu
Spesifikasi: Iuran Jaminan Kematian bagi PPPK Paruh Waktu</t>
  </si>
  <si>
    <t>5.1.02.01.001</t>
  </si>
  <si>
    <t>5.1.02.01.001.00024</t>
  </si>
  <si>
    <t>5.1.02.01.001.00025</t>
  </si>
  <si>
    <t>5.1.02.01.001.00026</t>
  </si>
  <si>
    <t>5.1.02.01.001.00027</t>
  </si>
  <si>
    <t>5.1.02.01.001.00029</t>
  </si>
  <si>
    <t>5.1.02.01.001.00052</t>
  </si>
  <si>
    <t>5.1.02.02.002</t>
  </si>
  <si>
    <t>5.1.02.02.002.00003</t>
  </si>
  <si>
    <t>5.1.02.02.002.00004</t>
  </si>
  <si>
    <t>5.1.02.02.002.00009</t>
  </si>
  <si>
    <t>5.1.02.04.001</t>
  </si>
  <si>
    <t>5.1.02.04.001.00001</t>
  </si>
  <si>
    <t>Biaya transport perjalanan dinas antar kecamatan untuk Mobil &lt;2000cc
Spesifikasi : dari Cibinong ke Caringin</t>
  </si>
  <si>
    <t>Biaya transport perjalanan dinas antar kecamatan untuk Mobil &lt;2000cc
Spesifikasi : dari Cibinong ke Babakan madang</t>
  </si>
  <si>
    <t>Biaya transport perjalanan dinas antar kecamatan untuk Mobil &lt;2000cc
Spesifikasi : dari Cibinong ke Parung Panjang</t>
  </si>
  <si>
    <t>Biaya transport perjalanan dinas antar kecamatan untuk Mobil &lt;2000cc
Spesifikasi : dari Cibinong ke Tanjungsari</t>
  </si>
  <si>
    <t>Biaya transport perjalanan dinas antar kecamatan untuk Mobil &lt;2000cc
Spesifikasi : dari Cibinong ke Leuwisadeng</t>
  </si>
  <si>
    <t>Biaya transport perjalanan dinas antar kecamatan untuk Mobil &lt;2000cc
Spesifikasi : dari Cibinong ke gunung sindur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</si>
</sst>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m\.d\.yy;@"/>
    <numFmt numFmtId="166" formatCode="_-* #,##0_-;\-* #,##0_-;_-* &quot;-&quot;??_-;_-@_-"/>
    <numFmt numFmtId="167" formatCode="_-* #,##0.000000000000000_-;\-* #,##0.000000000000000_-;_-* &quot;-&quot;??_-;_-@_-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14" xfId="0" applyFont="1" applyBorder="1"/>
    <xf numFmtId="0" fontId="1" fillId="0" borderId="24" xfId="0" applyFont="1" applyBorder="1" applyAlignment="1">
      <alignment horizontal="center" vertical="center"/>
    </xf>
    <xf numFmtId="0" fontId="1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0" xfId="0" applyFont="1" applyAlignment="1">
      <alignment horizontal="right"/>
    </xf>
    <xf numFmtId="164" fontId="4" fillId="0" borderId="25" xfId="0" applyNumberFormat="1" applyFont="1" applyBorder="1"/>
    <xf numFmtId="0" fontId="4" fillId="0" borderId="27" xfId="0" applyFont="1" applyBorder="1"/>
    <xf numFmtId="0" fontId="4" fillId="0" borderId="14" xfId="0" applyFont="1" applyBorder="1" applyAlignment="1">
      <alignment horizontal="center"/>
    </xf>
    <xf numFmtId="164" fontId="4" fillId="0" borderId="26" xfId="0" applyNumberFormat="1" applyFont="1" applyBorder="1"/>
    <xf numFmtId="0" fontId="4" fillId="0" borderId="29" xfId="0" applyFont="1" applyBorder="1"/>
    <xf numFmtId="0" fontId="0" fillId="0" borderId="0" xfId="0" applyAlignment="1">
      <alignment vertical="center"/>
    </xf>
    <xf numFmtId="0" fontId="2" fillId="0" borderId="21" xfId="0" applyFont="1" applyBorder="1"/>
    <xf numFmtId="0" fontId="1" fillId="0" borderId="11" xfId="0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left" vertical="center" shrinkToFit="1"/>
    </xf>
    <xf numFmtId="0" fontId="7" fillId="0" borderId="32" xfId="0" applyFont="1" applyBorder="1" applyAlignment="1">
      <alignment horizontal="left" vertical="center" wrapText="1"/>
    </xf>
    <xf numFmtId="165" fontId="6" fillId="0" borderId="32" xfId="0" applyNumberFormat="1" applyFont="1" applyBorder="1" applyAlignment="1">
      <alignment horizontal="left" vertical="center" shrinkToFit="1"/>
    </xf>
    <xf numFmtId="0" fontId="7" fillId="0" borderId="32" xfId="0" applyFont="1" applyBorder="1" applyAlignment="1">
      <alignment horizontal="left" vertical="top" wrapText="1"/>
    </xf>
    <xf numFmtId="43" fontId="0" fillId="0" borderId="0" xfId="1" applyFont="1"/>
    <xf numFmtId="43" fontId="0" fillId="0" borderId="0" xfId="0" applyNumberFormat="1"/>
    <xf numFmtId="166" fontId="1" fillId="0" borderId="24" xfId="1" applyNumberFormat="1" applyFont="1" applyBorder="1" applyAlignment="1">
      <alignment horizontal="center" vertical="center"/>
    </xf>
    <xf numFmtId="166" fontId="1" fillId="0" borderId="11" xfId="1" applyNumberFormat="1" applyFont="1" applyBorder="1" applyAlignment="1">
      <alignment horizontal="center" vertical="center"/>
    </xf>
    <xf numFmtId="166" fontId="4" fillId="0" borderId="24" xfId="1" applyNumberFormat="1" applyFont="1" applyBorder="1" applyAlignment="1">
      <alignment horizontal="center" vertical="center"/>
    </xf>
    <xf numFmtId="166" fontId="1" fillId="0" borderId="20" xfId="1" applyNumberFormat="1" applyFont="1" applyBorder="1" applyAlignment="1">
      <alignment horizontal="center" vertical="center"/>
    </xf>
    <xf numFmtId="166" fontId="1" fillId="0" borderId="25" xfId="1" applyNumberFormat="1" applyFont="1" applyBorder="1" applyAlignment="1">
      <alignment horizontal="center" vertical="center"/>
    </xf>
    <xf numFmtId="166" fontId="1" fillId="0" borderId="12" xfId="1" applyNumberFormat="1" applyFont="1" applyBorder="1" applyAlignment="1">
      <alignment horizontal="center" vertical="center"/>
    </xf>
    <xf numFmtId="166" fontId="4" fillId="0" borderId="24" xfId="1" applyNumberFormat="1" applyFont="1" applyBorder="1" applyAlignment="1">
      <alignment vertical="center"/>
    </xf>
    <xf numFmtId="166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6" fontId="0" fillId="0" borderId="0" xfId="1" applyNumberFormat="1" applyFont="1" applyAlignment="1">
      <alignment vertical="center"/>
    </xf>
    <xf numFmtId="166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4" fillId="0" borderId="0" xfId="1" applyNumberFormat="1" applyFont="1" applyAlignment="1">
      <alignment horizontal="left" vertical="center"/>
    </xf>
    <xf numFmtId="166" fontId="2" fillId="0" borderId="11" xfId="1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66" fontId="2" fillId="0" borderId="12" xfId="1" applyNumberFormat="1" applyFont="1" applyBorder="1" applyAlignment="1">
      <alignment vertical="center"/>
    </xf>
    <xf numFmtId="166" fontId="1" fillId="0" borderId="26" xfId="1" applyNumberFormat="1" applyFont="1" applyBorder="1" applyAlignment="1">
      <alignment horizontal="right" vertical="center"/>
    </xf>
    <xf numFmtId="0" fontId="4" fillId="0" borderId="24" xfId="0" applyFont="1" applyBorder="1" applyAlignment="1">
      <alignment vertical="center"/>
    </xf>
    <xf numFmtId="166" fontId="4" fillId="0" borderId="25" xfId="1" applyNumberFormat="1" applyFont="1" applyBorder="1" applyAlignment="1">
      <alignment vertical="center"/>
    </xf>
    <xf numFmtId="166" fontId="4" fillId="0" borderId="28" xfId="1" applyNumberFormat="1" applyFont="1" applyBorder="1" applyAlignment="1">
      <alignment vertical="center"/>
    </xf>
    <xf numFmtId="166" fontId="4" fillId="0" borderId="30" xfId="1" applyNumberFormat="1" applyFont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166" fontId="4" fillId="0" borderId="30" xfId="1" applyNumberFormat="1" applyFont="1" applyBorder="1" applyAlignment="1">
      <alignment vertical="center"/>
    </xf>
    <xf numFmtId="166" fontId="4" fillId="0" borderId="31" xfId="1" applyNumberFormat="1" applyFont="1" applyBorder="1" applyAlignment="1">
      <alignment vertical="center"/>
    </xf>
    <xf numFmtId="166" fontId="4" fillId="0" borderId="0" xfId="1" applyNumberFormat="1" applyFont="1" applyAlignment="1">
      <alignment vertical="center"/>
    </xf>
    <xf numFmtId="0" fontId="8" fillId="0" borderId="21" xfId="0" applyFont="1" applyBorder="1"/>
    <xf numFmtId="0" fontId="9" fillId="0" borderId="9" xfId="0" applyFont="1" applyBorder="1" applyAlignment="1">
      <alignment vertical="top"/>
    </xf>
    <xf numFmtId="166" fontId="0" fillId="0" borderId="0" xfId="0" applyNumberFormat="1"/>
    <xf numFmtId="167" fontId="0" fillId="0" borderId="0" xfId="0" applyNumberFormat="1"/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4" fillId="0" borderId="10" xfId="0" applyFont="1" applyBorder="1" applyAlignment="1">
      <alignment horizontal="left"/>
    </xf>
    <xf numFmtId="0" fontId="2" fillId="0" borderId="11" xfId="0" applyFont="1" applyBorder="1"/>
    <xf numFmtId="0" fontId="2" fillId="0" borderId="12" xfId="0" applyFont="1" applyBorder="1"/>
    <xf numFmtId="166" fontId="4" fillId="0" borderId="10" xfId="1" applyNumberFormat="1" applyFont="1" applyBorder="1" applyAlignment="1">
      <alignment horizontal="right" vertical="center"/>
    </xf>
    <xf numFmtId="166" fontId="2" fillId="0" borderId="13" xfId="1" applyNumberFormat="1" applyFont="1" applyBorder="1" applyAlignment="1">
      <alignment vertical="center"/>
    </xf>
    <xf numFmtId="0" fontId="4" fillId="0" borderId="27" xfId="0" applyFont="1" applyBorder="1" applyAlignment="1">
      <alignment horizontal="center"/>
    </xf>
    <xf numFmtId="0" fontId="0" fillId="0" borderId="0" xfId="0"/>
    <xf numFmtId="0" fontId="2" fillId="0" borderId="28" xfId="0" applyFont="1" applyBorder="1"/>
    <xf numFmtId="0" fontId="5" fillId="0" borderId="27" xfId="0" applyFont="1" applyBorder="1" applyAlignment="1">
      <alignment horizontal="center"/>
    </xf>
    <xf numFmtId="0" fontId="4" fillId="0" borderId="15" xfId="0" applyFont="1" applyBorder="1" applyAlignment="1">
      <alignment horizontal="left" wrapText="1"/>
    </xf>
    <xf numFmtId="0" fontId="2" fillId="0" borderId="7" xfId="0" applyFont="1" applyBorder="1"/>
    <xf numFmtId="0" fontId="2" fillId="0" borderId="16" xfId="0" applyFont="1" applyBorder="1"/>
    <xf numFmtId="166" fontId="4" fillId="0" borderId="15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vertical="center"/>
    </xf>
    <xf numFmtId="0" fontId="1" fillId="0" borderId="6" xfId="0" applyFont="1" applyBorder="1" applyAlignment="1">
      <alignment horizontal="right" vertical="top"/>
    </xf>
    <xf numFmtId="0" fontId="4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center" vertical="center"/>
    </xf>
    <xf numFmtId="0" fontId="2" fillId="0" borderId="21" xfId="0" applyFont="1" applyBorder="1"/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3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166" fontId="1" fillId="0" borderId="10" xfId="1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166" fontId="4" fillId="0" borderId="10" xfId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166" fontId="1" fillId="0" borderId="4" xfId="1" applyNumberFormat="1" applyFont="1" applyBorder="1" applyAlignment="1">
      <alignment horizontal="center" vertical="center" wrapText="1"/>
    </xf>
    <xf numFmtId="166" fontId="2" fillId="0" borderId="5" xfId="1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0" xfId="0" applyFont="1"/>
    <xf numFmtId="0" fontId="2" fillId="0" borderId="33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05"/>
  <sheetViews>
    <sheetView tabSelected="1" zoomScale="85" zoomScaleNormal="85" workbookViewId="0">
      <selection activeCell="H117" sqref="H117:H140"/>
    </sheetView>
  </sheetViews>
  <sheetFormatPr defaultColWidth="14.42578125" defaultRowHeight="15" customHeight="1" x14ac:dyDescent="0.25"/>
  <cols>
    <col min="1" max="1" width="21.28515625" customWidth="1"/>
    <col min="2" max="2" width="18.85546875" customWidth="1"/>
    <col min="3" max="3" width="33.5703125" customWidth="1"/>
    <col min="4" max="4" width="10.85546875" style="34" bestFit="1" customWidth="1"/>
    <col min="5" max="5" width="12.140625" style="16" bestFit="1" customWidth="1"/>
    <col min="6" max="6" width="14.28515625" style="35" bestFit="1" customWidth="1"/>
    <col min="7" max="7" width="19" style="35" bestFit="1" customWidth="1"/>
    <col min="8" max="8" width="19" bestFit="1" customWidth="1"/>
    <col min="9" max="9" width="21.42578125" bestFit="1" customWidth="1"/>
    <col min="10" max="11" width="19" bestFit="1" customWidth="1"/>
    <col min="12" max="26" width="8.7109375" customWidth="1"/>
  </cols>
  <sheetData>
    <row r="1" spans="1:7" ht="44.25" customHeight="1" x14ac:dyDescent="0.25">
      <c r="A1" s="92" t="s">
        <v>0</v>
      </c>
      <c r="B1" s="87"/>
      <c r="C1" s="87"/>
      <c r="D1" s="87"/>
      <c r="E1" s="93"/>
      <c r="F1" s="94" t="s">
        <v>1</v>
      </c>
      <c r="G1" s="95"/>
    </row>
    <row r="2" spans="1:7" s="16" customFormat="1" x14ac:dyDescent="0.25">
      <c r="A2" s="96" t="s">
        <v>47</v>
      </c>
      <c r="B2" s="97"/>
      <c r="C2" s="97"/>
      <c r="D2" s="97"/>
      <c r="E2" s="97"/>
      <c r="F2" s="97"/>
      <c r="G2" s="98"/>
    </row>
    <row r="3" spans="1:7" x14ac:dyDescent="0.25">
      <c r="A3" s="1"/>
      <c r="B3" s="1"/>
      <c r="C3" s="1"/>
      <c r="D3" s="32"/>
      <c r="E3" s="33"/>
      <c r="F3" s="32"/>
      <c r="G3" s="32"/>
    </row>
    <row r="4" spans="1:7" ht="14.25" customHeight="1" x14ac:dyDescent="0.25">
      <c r="A4" s="2" t="s">
        <v>2</v>
      </c>
      <c r="B4" s="85" t="s">
        <v>3</v>
      </c>
      <c r="C4" s="63"/>
      <c r="D4" s="63"/>
      <c r="E4" s="63"/>
      <c r="F4" s="63"/>
      <c r="G4" s="63"/>
    </row>
    <row r="5" spans="1:7" ht="14.25" customHeight="1" x14ac:dyDescent="0.25">
      <c r="A5" s="2" t="s">
        <v>4</v>
      </c>
      <c r="B5" s="85" t="s">
        <v>5</v>
      </c>
      <c r="C5" s="63"/>
      <c r="D5" s="63"/>
      <c r="E5" s="63"/>
      <c r="F5" s="63"/>
      <c r="G5" s="63"/>
    </row>
    <row r="6" spans="1:7" ht="14.25" customHeight="1" x14ac:dyDescent="0.25">
      <c r="A6" s="2" t="s">
        <v>6</v>
      </c>
      <c r="B6" s="85" t="s">
        <v>15</v>
      </c>
      <c r="C6" s="63"/>
      <c r="D6" s="63"/>
      <c r="E6" s="63"/>
      <c r="F6" s="63"/>
      <c r="G6" s="63"/>
    </row>
    <row r="7" spans="1:7" ht="14.25" customHeight="1" x14ac:dyDescent="0.25">
      <c r="A7" s="2" t="s">
        <v>7</v>
      </c>
      <c r="B7" s="85" t="s">
        <v>52</v>
      </c>
      <c r="C7" s="63"/>
      <c r="D7" s="63"/>
      <c r="E7" s="63"/>
      <c r="F7" s="63"/>
      <c r="G7" s="63"/>
    </row>
    <row r="8" spans="1:7" ht="14.25" customHeight="1" x14ac:dyDescent="0.25">
      <c r="A8" s="2" t="s">
        <v>8</v>
      </c>
      <c r="B8" s="85" t="s">
        <v>53</v>
      </c>
      <c r="C8" s="63"/>
      <c r="D8" s="63"/>
      <c r="E8" s="63"/>
      <c r="F8" s="63"/>
      <c r="G8" s="63"/>
    </row>
    <row r="9" spans="1:7" ht="14.25" customHeight="1" x14ac:dyDescent="0.25">
      <c r="A9" s="2" t="s">
        <v>9</v>
      </c>
      <c r="B9" s="99" t="s">
        <v>54</v>
      </c>
      <c r="C9" s="63"/>
      <c r="D9" s="63"/>
      <c r="E9" s="63"/>
      <c r="F9" s="63"/>
      <c r="G9" s="63"/>
    </row>
    <row r="10" spans="1:7" ht="14.25" customHeight="1" x14ac:dyDescent="0.25">
      <c r="A10" s="2" t="s">
        <v>10</v>
      </c>
      <c r="B10" s="85" t="s">
        <v>55</v>
      </c>
      <c r="C10" s="63"/>
      <c r="D10" s="63"/>
      <c r="E10" s="63"/>
      <c r="F10" s="63"/>
      <c r="G10" s="63"/>
    </row>
    <row r="11" spans="1:7" ht="14.25" customHeight="1" x14ac:dyDescent="0.25">
      <c r="A11" s="2" t="s">
        <v>11</v>
      </c>
      <c r="B11" s="85" t="s">
        <v>56</v>
      </c>
      <c r="C11" s="63"/>
      <c r="D11" s="63"/>
      <c r="E11" s="63"/>
      <c r="F11" s="63"/>
      <c r="G11" s="63"/>
    </row>
    <row r="12" spans="1:7" ht="14.25" customHeight="1" x14ac:dyDescent="0.25">
      <c r="A12" s="2" t="s">
        <v>12</v>
      </c>
      <c r="B12" s="85" t="s">
        <v>13</v>
      </c>
      <c r="C12" s="63"/>
      <c r="D12" s="63"/>
      <c r="E12" s="63"/>
      <c r="F12" s="63"/>
      <c r="G12" s="63"/>
    </row>
    <row r="13" spans="1:7" ht="14.25" customHeight="1" x14ac:dyDescent="0.25">
      <c r="A13" s="2" t="s">
        <v>14</v>
      </c>
      <c r="B13" s="2" t="s">
        <v>15</v>
      </c>
    </row>
    <row r="14" spans="1:7" ht="14.25" customHeight="1" x14ac:dyDescent="0.25">
      <c r="A14" t="s">
        <v>46</v>
      </c>
      <c r="B14" s="2" t="s">
        <v>16</v>
      </c>
    </row>
    <row r="15" spans="1:7" ht="14.25" customHeight="1" x14ac:dyDescent="0.25">
      <c r="A15" t="s">
        <v>48</v>
      </c>
      <c r="B15" t="s">
        <v>15</v>
      </c>
    </row>
    <row r="16" spans="1:7" ht="14.25" customHeight="1" x14ac:dyDescent="0.25">
      <c r="A16" t="s">
        <v>49</v>
      </c>
      <c r="B16" t="s">
        <v>15</v>
      </c>
    </row>
    <row r="17" spans="1:11" x14ac:dyDescent="0.25">
      <c r="C17" s="3"/>
      <c r="D17" s="36"/>
      <c r="E17" s="37"/>
      <c r="F17" s="38"/>
      <c r="G17" s="38"/>
    </row>
    <row r="18" spans="1:11" x14ac:dyDescent="0.25">
      <c r="A18" s="86" t="s">
        <v>17</v>
      </c>
      <c r="B18" s="87"/>
      <c r="C18" s="87"/>
      <c r="D18" s="87"/>
      <c r="E18" s="87"/>
      <c r="F18" s="87"/>
      <c r="G18" s="88"/>
    </row>
    <row r="19" spans="1:11" ht="14.25" customHeight="1" x14ac:dyDescent="0.25">
      <c r="A19" s="4" t="s">
        <v>18</v>
      </c>
      <c r="B19" s="90" t="s">
        <v>19</v>
      </c>
      <c r="C19" s="58"/>
      <c r="D19" s="58"/>
      <c r="E19" s="59"/>
      <c r="F19" s="89" t="s">
        <v>20</v>
      </c>
      <c r="G19" s="61"/>
    </row>
    <row r="20" spans="1:11" x14ac:dyDescent="0.25">
      <c r="A20" s="5" t="s">
        <v>21</v>
      </c>
      <c r="B20" s="57" t="s">
        <v>57</v>
      </c>
      <c r="C20" s="58"/>
      <c r="D20" s="58"/>
      <c r="E20" s="59"/>
      <c r="F20" s="91"/>
      <c r="G20" s="61"/>
    </row>
    <row r="21" spans="1:11" ht="14.25" customHeight="1" x14ac:dyDescent="0.25">
      <c r="A21" s="5" t="s">
        <v>22</v>
      </c>
      <c r="B21" s="57" t="s">
        <v>58</v>
      </c>
      <c r="C21" s="58"/>
      <c r="D21" s="58"/>
      <c r="E21" s="59"/>
      <c r="F21" s="91">
        <f>G27</f>
        <v>857235816297</v>
      </c>
      <c r="G21" s="61"/>
      <c r="H21" s="23"/>
      <c r="I21" s="24"/>
      <c r="J21" s="53"/>
    </row>
    <row r="22" spans="1:11" ht="15.75" customHeight="1" x14ac:dyDescent="0.25">
      <c r="A22" s="5" t="s">
        <v>23</v>
      </c>
      <c r="B22" s="57" t="s">
        <v>59</v>
      </c>
      <c r="C22" s="58"/>
      <c r="D22" s="58"/>
      <c r="E22" s="59"/>
      <c r="F22" s="60"/>
      <c r="G22" s="61"/>
      <c r="I22" s="54"/>
      <c r="J22" s="24"/>
      <c r="K22" s="24"/>
    </row>
    <row r="23" spans="1:11" ht="119.25" customHeight="1" x14ac:dyDescent="0.25">
      <c r="A23" s="6" t="s">
        <v>24</v>
      </c>
      <c r="B23" s="66" t="s">
        <v>60</v>
      </c>
      <c r="C23" s="67"/>
      <c r="D23" s="67"/>
      <c r="E23" s="68"/>
      <c r="F23" s="69"/>
      <c r="G23" s="70"/>
      <c r="J23" s="23"/>
      <c r="K23" s="24"/>
    </row>
    <row r="24" spans="1:11" ht="6" customHeight="1" x14ac:dyDescent="0.25">
      <c r="B24" s="3"/>
      <c r="C24" s="3"/>
      <c r="D24" s="36"/>
      <c r="E24" s="37"/>
      <c r="F24" s="38"/>
      <c r="G24" s="38"/>
    </row>
    <row r="25" spans="1:11" ht="14.25" customHeight="1" x14ac:dyDescent="0.25">
      <c r="A25" s="73" t="s">
        <v>25</v>
      </c>
      <c r="B25" s="75" t="s">
        <v>26</v>
      </c>
      <c r="C25" s="76"/>
      <c r="D25" s="79" t="s">
        <v>27</v>
      </c>
      <c r="E25" s="80"/>
      <c r="F25" s="81"/>
      <c r="G25" s="28" t="s">
        <v>28</v>
      </c>
      <c r="J25" s="24"/>
    </row>
    <row r="26" spans="1:11" ht="15.75" customHeight="1" x14ac:dyDescent="0.25">
      <c r="A26" s="74"/>
      <c r="B26" s="77"/>
      <c r="C26" s="78"/>
      <c r="D26" s="25" t="s">
        <v>29</v>
      </c>
      <c r="E26" s="7" t="s">
        <v>30</v>
      </c>
      <c r="F26" s="25" t="s">
        <v>31</v>
      </c>
      <c r="G26" s="29" t="s">
        <v>32</v>
      </c>
    </row>
    <row r="27" spans="1:11" ht="15.75" customHeight="1" x14ac:dyDescent="0.25">
      <c r="A27" s="19">
        <v>5</v>
      </c>
      <c r="B27" s="82" t="s">
        <v>63</v>
      </c>
      <c r="C27" s="83"/>
      <c r="D27" s="83"/>
      <c r="E27" s="83"/>
      <c r="F27" s="84"/>
      <c r="G27" s="29">
        <f>G28</f>
        <v>857235816297</v>
      </c>
    </row>
    <row r="28" spans="1:11" ht="15.75" customHeight="1" x14ac:dyDescent="0.25">
      <c r="A28" s="20" t="s">
        <v>61</v>
      </c>
      <c r="B28" s="82" t="s">
        <v>64</v>
      </c>
      <c r="C28" s="83"/>
      <c r="D28" s="83"/>
      <c r="E28" s="83"/>
      <c r="F28" s="84"/>
      <c r="G28" s="29">
        <f>G29</f>
        <v>857235816297</v>
      </c>
    </row>
    <row r="29" spans="1:11" ht="15.75" customHeight="1" x14ac:dyDescent="0.25">
      <c r="A29" s="21">
        <v>37377</v>
      </c>
      <c r="B29" s="82" t="s">
        <v>65</v>
      </c>
      <c r="C29" s="83"/>
      <c r="D29" s="83"/>
      <c r="E29" s="83"/>
      <c r="F29" s="84"/>
      <c r="G29" s="29">
        <f>SUM(G30,G78,G112)</f>
        <v>857235816297</v>
      </c>
    </row>
    <row r="30" spans="1:11" ht="15.75" customHeight="1" x14ac:dyDescent="0.25">
      <c r="A30" s="20" t="s">
        <v>62</v>
      </c>
      <c r="B30" s="82" t="s">
        <v>66</v>
      </c>
      <c r="C30" s="83"/>
      <c r="D30" s="83"/>
      <c r="E30" s="83"/>
      <c r="F30" s="84"/>
      <c r="G30" s="29">
        <f>G31</f>
        <v>66712029</v>
      </c>
    </row>
    <row r="31" spans="1:11" ht="15.75" customHeight="1" x14ac:dyDescent="0.25">
      <c r="A31" s="20" t="s">
        <v>190</v>
      </c>
      <c r="B31" s="82" t="s">
        <v>67</v>
      </c>
      <c r="C31" s="83"/>
      <c r="D31" s="83"/>
      <c r="E31" s="83"/>
      <c r="F31" s="84"/>
      <c r="G31" s="29">
        <f>SUM(G32,G49,G54,G62,G66,G73)</f>
        <v>66712029</v>
      </c>
    </row>
    <row r="32" spans="1:11" ht="15.75" customHeight="1" x14ac:dyDescent="0.25">
      <c r="A32" s="20" t="s">
        <v>191</v>
      </c>
      <c r="B32" s="82" t="s">
        <v>68</v>
      </c>
      <c r="C32" s="83"/>
      <c r="D32" s="83"/>
      <c r="E32" s="83"/>
      <c r="F32" s="84"/>
      <c r="G32" s="29">
        <f>G33</f>
        <v>5921150</v>
      </c>
    </row>
    <row r="33" spans="1:8" ht="15.75" customHeight="1" x14ac:dyDescent="0.25">
      <c r="A33" s="17"/>
      <c r="B33" s="82" t="s">
        <v>69</v>
      </c>
      <c r="C33" s="83"/>
      <c r="D33" s="83"/>
      <c r="E33" s="83"/>
      <c r="F33" s="84"/>
      <c r="G33" s="29">
        <f>G34</f>
        <v>5921150</v>
      </c>
    </row>
    <row r="34" spans="1:8" ht="15.75" customHeight="1" x14ac:dyDescent="0.25">
      <c r="A34" s="17"/>
      <c r="B34" s="82" t="s">
        <v>70</v>
      </c>
      <c r="C34" s="83"/>
      <c r="D34" s="83"/>
      <c r="E34" s="83"/>
      <c r="F34" s="84"/>
      <c r="G34" s="29">
        <f>SUM(G35:G48)</f>
        <v>5921150</v>
      </c>
    </row>
    <row r="35" spans="1:8" ht="28.5" customHeight="1" x14ac:dyDescent="0.25">
      <c r="A35" s="17"/>
      <c r="B35" s="55" t="s">
        <v>139</v>
      </c>
      <c r="C35" s="56"/>
      <c r="D35" s="26">
        <v>10</v>
      </c>
      <c r="E35" s="18" t="s">
        <v>137</v>
      </c>
      <c r="F35" s="30">
        <v>16200</v>
      </c>
      <c r="G35" s="29">
        <f t="shared" ref="G35:G40" si="0">D35*F35</f>
        <v>162000</v>
      </c>
    </row>
    <row r="36" spans="1:8" ht="28.5" customHeight="1" x14ac:dyDescent="0.25">
      <c r="A36" s="17"/>
      <c r="B36" s="55" t="s">
        <v>138</v>
      </c>
      <c r="C36" s="56"/>
      <c r="D36" s="26">
        <v>20</v>
      </c>
      <c r="E36" s="18" t="s">
        <v>137</v>
      </c>
      <c r="F36" s="30">
        <v>5375</v>
      </c>
      <c r="G36" s="29">
        <f t="shared" si="0"/>
        <v>107500</v>
      </c>
    </row>
    <row r="37" spans="1:8" ht="28.5" customHeight="1" x14ac:dyDescent="0.25">
      <c r="A37" s="17"/>
      <c r="B37" s="55" t="s">
        <v>140</v>
      </c>
      <c r="C37" s="56"/>
      <c r="D37" s="26">
        <v>10</v>
      </c>
      <c r="E37" s="18" t="s">
        <v>137</v>
      </c>
      <c r="F37" s="30">
        <v>18500</v>
      </c>
      <c r="G37" s="29">
        <f t="shared" si="0"/>
        <v>185000</v>
      </c>
    </row>
    <row r="38" spans="1:8" ht="28.5" customHeight="1" x14ac:dyDescent="0.25">
      <c r="A38" s="17"/>
      <c r="B38" s="55" t="s">
        <v>141</v>
      </c>
      <c r="C38" s="56"/>
      <c r="D38" s="26">
        <v>2</v>
      </c>
      <c r="E38" s="18" t="s">
        <v>137</v>
      </c>
      <c r="F38" s="30">
        <v>48375</v>
      </c>
      <c r="G38" s="29">
        <f t="shared" si="0"/>
        <v>96750</v>
      </c>
    </row>
    <row r="39" spans="1:8" ht="28.5" customHeight="1" x14ac:dyDescent="0.25">
      <c r="A39" s="17"/>
      <c r="B39" s="55" t="s">
        <v>142</v>
      </c>
      <c r="C39" s="56"/>
      <c r="D39" s="26">
        <v>6</v>
      </c>
      <c r="E39" s="18" t="s">
        <v>90</v>
      </c>
      <c r="F39" s="30">
        <v>20950</v>
      </c>
      <c r="G39" s="29">
        <f t="shared" si="0"/>
        <v>125700</v>
      </c>
    </row>
    <row r="40" spans="1:8" ht="28.5" customHeight="1" x14ac:dyDescent="0.25">
      <c r="A40" s="17"/>
      <c r="B40" s="55" t="s">
        <v>143</v>
      </c>
      <c r="C40" s="56"/>
      <c r="D40" s="26">
        <v>4</v>
      </c>
      <c r="E40" s="18" t="s">
        <v>137</v>
      </c>
      <c r="F40" s="30">
        <v>138775</v>
      </c>
      <c r="G40" s="29">
        <f t="shared" si="0"/>
        <v>555100</v>
      </c>
      <c r="H40" s="53"/>
    </row>
    <row r="41" spans="1:8" ht="28.5" customHeight="1" x14ac:dyDescent="0.25">
      <c r="A41" s="17"/>
      <c r="B41" s="55" t="s">
        <v>145</v>
      </c>
      <c r="C41" s="56"/>
      <c r="D41" s="26">
        <v>4</v>
      </c>
      <c r="E41" s="18" t="s">
        <v>90</v>
      </c>
      <c r="F41" s="30">
        <v>16200</v>
      </c>
      <c r="G41" s="29">
        <f t="shared" ref="G41:G48" si="1">D41*F41</f>
        <v>64800</v>
      </c>
    </row>
    <row r="42" spans="1:8" ht="28.5" customHeight="1" x14ac:dyDescent="0.25">
      <c r="A42" s="17"/>
      <c r="B42" s="55" t="s">
        <v>71</v>
      </c>
      <c r="C42" s="56"/>
      <c r="D42" s="26">
        <v>6</v>
      </c>
      <c r="E42" s="18" t="s">
        <v>73</v>
      </c>
      <c r="F42" s="30">
        <v>61425</v>
      </c>
      <c r="G42" s="29">
        <f t="shared" si="1"/>
        <v>368550</v>
      </c>
    </row>
    <row r="43" spans="1:8" ht="28.5" customHeight="1" x14ac:dyDescent="0.25">
      <c r="A43" s="17"/>
      <c r="B43" s="55" t="s">
        <v>150</v>
      </c>
      <c r="C43" s="56"/>
      <c r="D43" s="26">
        <v>2</v>
      </c>
      <c r="E43" s="18" t="s">
        <v>74</v>
      </c>
      <c r="F43" s="30">
        <v>80100</v>
      </c>
      <c r="G43" s="29">
        <f t="shared" ref="G43" si="2">D43*F43</f>
        <v>160200</v>
      </c>
    </row>
    <row r="44" spans="1:8" ht="28.5" customHeight="1" x14ac:dyDescent="0.25">
      <c r="A44" s="17"/>
      <c r="B44" s="55" t="s">
        <v>72</v>
      </c>
      <c r="C44" s="56"/>
      <c r="D44" s="26">
        <v>6</v>
      </c>
      <c r="E44" s="18" t="s">
        <v>74</v>
      </c>
      <c r="F44" s="30">
        <v>59200</v>
      </c>
      <c r="G44" s="29">
        <f t="shared" si="1"/>
        <v>355200</v>
      </c>
    </row>
    <row r="45" spans="1:8" ht="28.5" customHeight="1" x14ac:dyDescent="0.25">
      <c r="A45" s="17"/>
      <c r="B45" s="55" t="s">
        <v>144</v>
      </c>
      <c r="C45" s="56"/>
      <c r="D45" s="26">
        <v>40</v>
      </c>
      <c r="E45" s="18" t="s">
        <v>90</v>
      </c>
      <c r="F45" s="30">
        <v>72075</v>
      </c>
      <c r="G45" s="29">
        <f t="shared" si="1"/>
        <v>2883000</v>
      </c>
    </row>
    <row r="46" spans="1:8" ht="28.5" customHeight="1" x14ac:dyDescent="0.25">
      <c r="A46" s="17"/>
      <c r="B46" s="55" t="s">
        <v>147</v>
      </c>
      <c r="C46" s="56"/>
      <c r="D46" s="26">
        <v>10</v>
      </c>
      <c r="E46" s="18" t="s">
        <v>148</v>
      </c>
      <c r="F46" s="30">
        <v>36475</v>
      </c>
      <c r="G46" s="29">
        <f t="shared" si="1"/>
        <v>364750</v>
      </c>
    </row>
    <row r="47" spans="1:8" ht="28.5" customHeight="1" x14ac:dyDescent="0.25">
      <c r="A47" s="17"/>
      <c r="B47" s="55" t="s">
        <v>149</v>
      </c>
      <c r="C47" s="56"/>
      <c r="D47" s="26">
        <v>6</v>
      </c>
      <c r="E47" s="18" t="s">
        <v>94</v>
      </c>
      <c r="F47" s="30">
        <v>9350</v>
      </c>
      <c r="G47" s="29">
        <f t="shared" si="1"/>
        <v>56100</v>
      </c>
    </row>
    <row r="48" spans="1:8" ht="28.5" customHeight="1" x14ac:dyDescent="0.25">
      <c r="A48" s="17"/>
      <c r="B48" s="55" t="s">
        <v>146</v>
      </c>
      <c r="C48" s="56"/>
      <c r="D48" s="26">
        <v>20</v>
      </c>
      <c r="E48" s="18" t="s">
        <v>73</v>
      </c>
      <c r="F48" s="30">
        <v>21825</v>
      </c>
      <c r="G48" s="29">
        <f t="shared" si="1"/>
        <v>436500</v>
      </c>
    </row>
    <row r="49" spans="1:7" ht="15.75" customHeight="1" x14ac:dyDescent="0.25">
      <c r="A49" s="20" t="s">
        <v>192</v>
      </c>
      <c r="B49" s="82" t="s">
        <v>75</v>
      </c>
      <c r="C49" s="83"/>
      <c r="D49" s="83"/>
      <c r="E49" s="83"/>
      <c r="F49" s="84"/>
      <c r="G49" s="29">
        <f>G50</f>
        <v>3598500</v>
      </c>
    </row>
    <row r="50" spans="1:7" ht="15.75" customHeight="1" x14ac:dyDescent="0.25">
      <c r="A50" s="17"/>
      <c r="B50" s="82" t="s">
        <v>76</v>
      </c>
      <c r="C50" s="83"/>
      <c r="D50" s="83"/>
      <c r="E50" s="83"/>
      <c r="F50" s="84"/>
      <c r="G50" s="29">
        <f>G51</f>
        <v>3598500</v>
      </c>
    </row>
    <row r="51" spans="1:7" ht="15.75" customHeight="1" x14ac:dyDescent="0.25">
      <c r="A51" s="17"/>
      <c r="B51" s="82" t="s">
        <v>77</v>
      </c>
      <c r="C51" s="83"/>
      <c r="D51" s="83"/>
      <c r="E51" s="83"/>
      <c r="F51" s="84"/>
      <c r="G51" s="29">
        <f>SUM(G52:G53)</f>
        <v>3598500</v>
      </c>
    </row>
    <row r="52" spans="1:7" ht="30.75" customHeight="1" x14ac:dyDescent="0.25">
      <c r="A52" s="17"/>
      <c r="B52" s="55" t="s">
        <v>151</v>
      </c>
      <c r="C52" s="56"/>
      <c r="D52" s="26">
        <v>20</v>
      </c>
      <c r="E52" s="18" t="s">
        <v>78</v>
      </c>
      <c r="F52" s="30">
        <v>64675</v>
      </c>
      <c r="G52" s="29">
        <f t="shared" ref="G52:G53" si="3">D52*F52</f>
        <v>1293500</v>
      </c>
    </row>
    <row r="53" spans="1:7" ht="33" customHeight="1" x14ac:dyDescent="0.25">
      <c r="A53" s="17"/>
      <c r="B53" s="55" t="s">
        <v>152</v>
      </c>
      <c r="C53" s="56"/>
      <c r="D53" s="26">
        <v>40</v>
      </c>
      <c r="E53" s="18" t="s">
        <v>78</v>
      </c>
      <c r="F53" s="30">
        <v>57625</v>
      </c>
      <c r="G53" s="29">
        <f t="shared" si="3"/>
        <v>2305000</v>
      </c>
    </row>
    <row r="54" spans="1:7" ht="15.75" customHeight="1" x14ac:dyDescent="0.25">
      <c r="A54" s="20" t="s">
        <v>193</v>
      </c>
      <c r="B54" s="82" t="s">
        <v>79</v>
      </c>
      <c r="C54" s="83"/>
      <c r="D54" s="83"/>
      <c r="E54" s="83"/>
      <c r="F54" s="84"/>
      <c r="G54" s="29">
        <f>G55</f>
        <v>29775329</v>
      </c>
    </row>
    <row r="55" spans="1:7" ht="15.75" customHeight="1" x14ac:dyDescent="0.25">
      <c r="A55" s="17"/>
      <c r="B55" s="82" t="s">
        <v>80</v>
      </c>
      <c r="C55" s="83"/>
      <c r="D55" s="83"/>
      <c r="E55" s="83"/>
      <c r="F55" s="84"/>
      <c r="G55" s="29">
        <f>SUM(G56,G59)</f>
        <v>29775329</v>
      </c>
    </row>
    <row r="56" spans="1:7" ht="15.75" customHeight="1" x14ac:dyDescent="0.25">
      <c r="A56" s="17"/>
      <c r="B56" s="82" t="s">
        <v>81</v>
      </c>
      <c r="C56" s="83"/>
      <c r="D56" s="83"/>
      <c r="E56" s="83"/>
      <c r="F56" s="84"/>
      <c r="G56" s="29">
        <f>SUM(G57:G58)</f>
        <v>431329</v>
      </c>
    </row>
    <row r="57" spans="1:7" ht="33.75" customHeight="1" x14ac:dyDescent="0.25">
      <c r="A57" s="17"/>
      <c r="B57" s="55" t="s">
        <v>82</v>
      </c>
      <c r="C57" s="56"/>
      <c r="D57" s="26">
        <v>0.89176470588235301</v>
      </c>
      <c r="E57" s="18" t="s">
        <v>83</v>
      </c>
      <c r="F57" s="30">
        <v>425</v>
      </c>
      <c r="G57" s="29">
        <f>D57*F57</f>
        <v>379.00000000000006</v>
      </c>
    </row>
    <row r="58" spans="1:7" ht="30.75" customHeight="1" x14ac:dyDescent="0.25">
      <c r="A58" s="17"/>
      <c r="B58" s="55" t="s">
        <v>82</v>
      </c>
      <c r="C58" s="56"/>
      <c r="D58" s="26">
        <v>1014</v>
      </c>
      <c r="E58" s="18" t="s">
        <v>83</v>
      </c>
      <c r="F58" s="30">
        <v>425</v>
      </c>
      <c r="G58" s="29">
        <f>D58*F58</f>
        <v>430950</v>
      </c>
    </row>
    <row r="59" spans="1:7" ht="15.75" customHeight="1" x14ac:dyDescent="0.25">
      <c r="A59" s="17"/>
      <c r="B59" s="82" t="s">
        <v>84</v>
      </c>
      <c r="C59" s="83"/>
      <c r="D59" s="83"/>
      <c r="E59" s="83"/>
      <c r="F59" s="84"/>
      <c r="G59" s="29">
        <f>SUM(G60:G61)</f>
        <v>29344000</v>
      </c>
    </row>
    <row r="60" spans="1:7" ht="30" customHeight="1" x14ac:dyDescent="0.25">
      <c r="A60" s="17"/>
      <c r="B60" s="55" t="s">
        <v>82</v>
      </c>
      <c r="C60" s="56"/>
      <c r="D60" s="26">
        <f>28000*2</f>
        <v>56000</v>
      </c>
      <c r="E60" s="18" t="s">
        <v>83</v>
      </c>
      <c r="F60" s="30">
        <v>425</v>
      </c>
      <c r="G60" s="29">
        <f t="shared" ref="G60:G61" si="4">D60*F60</f>
        <v>23800000</v>
      </c>
    </row>
    <row r="61" spans="1:7" ht="30" customHeight="1" x14ac:dyDescent="0.25">
      <c r="A61" s="17"/>
      <c r="B61" s="55" t="s">
        <v>153</v>
      </c>
      <c r="C61" s="56"/>
      <c r="D61" s="26">
        <f>44*2</f>
        <v>88</v>
      </c>
      <c r="E61" s="18" t="s">
        <v>85</v>
      </c>
      <c r="F61" s="30">
        <v>63000</v>
      </c>
      <c r="G61" s="29">
        <f t="shared" si="4"/>
        <v>5544000</v>
      </c>
    </row>
    <row r="62" spans="1:7" ht="15.75" customHeight="1" x14ac:dyDescent="0.25">
      <c r="A62" s="20" t="s">
        <v>194</v>
      </c>
      <c r="B62" s="82" t="s">
        <v>86</v>
      </c>
      <c r="C62" s="83"/>
      <c r="D62" s="83"/>
      <c r="E62" s="83"/>
      <c r="F62" s="84"/>
      <c r="G62" s="29">
        <f>G63</f>
        <v>600000</v>
      </c>
    </row>
    <row r="63" spans="1:7" ht="15.75" customHeight="1" x14ac:dyDescent="0.25">
      <c r="A63" s="17"/>
      <c r="B63" s="82" t="s">
        <v>87</v>
      </c>
      <c r="C63" s="83"/>
      <c r="D63" s="83"/>
      <c r="E63" s="83"/>
      <c r="F63" s="84"/>
      <c r="G63" s="29">
        <f>G64</f>
        <v>600000</v>
      </c>
    </row>
    <row r="64" spans="1:7" ht="15.75" customHeight="1" x14ac:dyDescent="0.25">
      <c r="A64" s="17"/>
      <c r="B64" s="82" t="s">
        <v>88</v>
      </c>
      <c r="C64" s="83"/>
      <c r="D64" s="83"/>
      <c r="E64" s="83"/>
      <c r="F64" s="84"/>
      <c r="G64" s="29">
        <f>G65</f>
        <v>600000</v>
      </c>
    </row>
    <row r="65" spans="1:7" ht="33.75" customHeight="1" x14ac:dyDescent="0.25">
      <c r="A65" s="17"/>
      <c r="B65" s="55" t="s">
        <v>89</v>
      </c>
      <c r="C65" s="56"/>
      <c r="D65" s="26">
        <v>60</v>
      </c>
      <c r="E65" s="18" t="s">
        <v>90</v>
      </c>
      <c r="F65" s="30">
        <v>10000</v>
      </c>
      <c r="G65" s="29">
        <f t="shared" ref="G65" si="5">D65*F65</f>
        <v>600000</v>
      </c>
    </row>
    <row r="66" spans="1:7" ht="15.75" customHeight="1" x14ac:dyDescent="0.25">
      <c r="A66" s="20" t="s">
        <v>195</v>
      </c>
      <c r="B66" s="82" t="s">
        <v>91</v>
      </c>
      <c r="C66" s="83"/>
      <c r="D66" s="83"/>
      <c r="E66" s="83"/>
      <c r="F66" s="84"/>
      <c r="G66" s="29">
        <f>G67</f>
        <v>3057050</v>
      </c>
    </row>
    <row r="67" spans="1:7" ht="15.75" customHeight="1" x14ac:dyDescent="0.25">
      <c r="A67" s="17"/>
      <c r="B67" s="82" t="s">
        <v>92</v>
      </c>
      <c r="C67" s="83"/>
      <c r="D67" s="83"/>
      <c r="E67" s="83"/>
      <c r="F67" s="84"/>
      <c r="G67" s="29">
        <f>G68</f>
        <v>3057050</v>
      </c>
    </row>
    <row r="68" spans="1:7" ht="15.75" customHeight="1" x14ac:dyDescent="0.25">
      <c r="A68" s="17"/>
      <c r="B68" s="82" t="s">
        <v>93</v>
      </c>
      <c r="C68" s="83"/>
      <c r="D68" s="83"/>
      <c r="E68" s="83"/>
      <c r="F68" s="84"/>
      <c r="G68" s="29">
        <f>SUM(G69:G72)</f>
        <v>3057050</v>
      </c>
    </row>
    <row r="69" spans="1:7" ht="32.25" customHeight="1" x14ac:dyDescent="0.25">
      <c r="A69" s="17"/>
      <c r="B69" s="55" t="s">
        <v>154</v>
      </c>
      <c r="C69" s="56"/>
      <c r="D69" s="26">
        <v>2</v>
      </c>
      <c r="E69" s="18" t="s">
        <v>94</v>
      </c>
      <c r="F69" s="30">
        <v>108800</v>
      </c>
      <c r="G69" s="29">
        <f t="shared" ref="G69:G72" si="6">D69*F69</f>
        <v>217600</v>
      </c>
    </row>
    <row r="70" spans="1:7" ht="32.25" customHeight="1" x14ac:dyDescent="0.25">
      <c r="A70" s="17"/>
      <c r="B70" s="55" t="s">
        <v>155</v>
      </c>
      <c r="C70" s="56"/>
      <c r="D70" s="26">
        <v>6</v>
      </c>
      <c r="E70" s="18" t="s">
        <v>94</v>
      </c>
      <c r="F70" s="30">
        <v>92500</v>
      </c>
      <c r="G70" s="29">
        <f t="shared" si="6"/>
        <v>555000</v>
      </c>
    </row>
    <row r="71" spans="1:7" ht="32.25" customHeight="1" x14ac:dyDescent="0.25">
      <c r="A71" s="17"/>
      <c r="B71" s="55" t="s">
        <v>156</v>
      </c>
      <c r="C71" s="56"/>
      <c r="D71" s="26">
        <v>6</v>
      </c>
      <c r="E71" s="18" t="s">
        <v>94</v>
      </c>
      <c r="F71" s="30">
        <v>163175</v>
      </c>
      <c r="G71" s="29">
        <f t="shared" ref="G71" si="7">D71*F71</f>
        <v>979050</v>
      </c>
    </row>
    <row r="72" spans="1:7" ht="32.25" customHeight="1" x14ac:dyDescent="0.25">
      <c r="A72" s="17"/>
      <c r="B72" s="55" t="s">
        <v>157</v>
      </c>
      <c r="C72" s="56"/>
      <c r="D72" s="26">
        <v>8</v>
      </c>
      <c r="E72" s="18" t="s">
        <v>94</v>
      </c>
      <c r="F72" s="30">
        <v>163175</v>
      </c>
      <c r="G72" s="29">
        <f t="shared" si="6"/>
        <v>1305400</v>
      </c>
    </row>
    <row r="73" spans="1:7" ht="15.75" customHeight="1" x14ac:dyDescent="0.25">
      <c r="A73" s="20" t="s">
        <v>196</v>
      </c>
      <c r="B73" s="82" t="s">
        <v>95</v>
      </c>
      <c r="C73" s="83"/>
      <c r="D73" s="83"/>
      <c r="E73" s="83"/>
      <c r="F73" s="84"/>
      <c r="G73" s="29">
        <f>G74</f>
        <v>23760000</v>
      </c>
    </row>
    <row r="74" spans="1:7" ht="15.75" customHeight="1" x14ac:dyDescent="0.25">
      <c r="A74" s="17"/>
      <c r="B74" s="82" t="s">
        <v>96</v>
      </c>
      <c r="C74" s="83"/>
      <c r="D74" s="83"/>
      <c r="E74" s="83"/>
      <c r="F74" s="84"/>
      <c r="G74" s="29">
        <f>G75</f>
        <v>23760000</v>
      </c>
    </row>
    <row r="75" spans="1:7" ht="15.75" customHeight="1" x14ac:dyDescent="0.25">
      <c r="A75" s="17"/>
      <c r="B75" s="82" t="s">
        <v>97</v>
      </c>
      <c r="C75" s="83"/>
      <c r="D75" s="83"/>
      <c r="E75" s="83"/>
      <c r="F75" s="84"/>
      <c r="G75" s="29">
        <f>SUM(G76:G77)</f>
        <v>23760000</v>
      </c>
    </row>
    <row r="76" spans="1:7" ht="45.75" customHeight="1" x14ac:dyDescent="0.25">
      <c r="A76" s="17"/>
      <c r="B76" s="55" t="s">
        <v>159</v>
      </c>
      <c r="C76" s="56"/>
      <c r="D76" s="26">
        <v>480</v>
      </c>
      <c r="E76" s="18" t="s">
        <v>98</v>
      </c>
      <c r="F76" s="30">
        <v>16500</v>
      </c>
      <c r="G76" s="29">
        <f t="shared" ref="G76:G77" si="8">D76*F76</f>
        <v>7920000</v>
      </c>
    </row>
    <row r="77" spans="1:7" ht="42.75" customHeight="1" x14ac:dyDescent="0.25">
      <c r="A77" s="17"/>
      <c r="B77" s="55" t="s">
        <v>158</v>
      </c>
      <c r="C77" s="56"/>
      <c r="D77" s="26">
        <v>480</v>
      </c>
      <c r="E77" s="18" t="s">
        <v>98</v>
      </c>
      <c r="F77" s="30">
        <v>33000</v>
      </c>
      <c r="G77" s="29">
        <f t="shared" si="8"/>
        <v>15840000</v>
      </c>
    </row>
    <row r="78" spans="1:7" ht="15.75" customHeight="1" x14ac:dyDescent="0.25">
      <c r="A78" s="51" t="s">
        <v>99</v>
      </c>
      <c r="B78" s="82" t="s">
        <v>100</v>
      </c>
      <c r="C78" s="83"/>
      <c r="D78" s="83"/>
      <c r="E78" s="83"/>
      <c r="F78" s="84"/>
      <c r="G78" s="29">
        <f>SUM(G79,G84)</f>
        <v>857008024268</v>
      </c>
    </row>
    <row r="79" spans="1:7" ht="15.75" customHeight="1" x14ac:dyDescent="0.25">
      <c r="A79" s="51" t="s">
        <v>161</v>
      </c>
      <c r="B79" s="82" t="s">
        <v>101</v>
      </c>
      <c r="C79" s="83"/>
      <c r="D79" s="83"/>
      <c r="E79" s="83"/>
      <c r="F79" s="84"/>
      <c r="G79" s="29">
        <f>SUM(G80)</f>
        <v>26400000</v>
      </c>
    </row>
    <row r="80" spans="1:7" ht="15.75" customHeight="1" x14ac:dyDescent="0.25">
      <c r="A80" s="51" t="s">
        <v>160</v>
      </c>
      <c r="B80" s="82" t="s">
        <v>162</v>
      </c>
      <c r="C80" s="83"/>
      <c r="D80" s="83"/>
      <c r="E80" s="83"/>
      <c r="F80" s="84"/>
      <c r="G80" s="29">
        <f>G81</f>
        <v>26400000</v>
      </c>
    </row>
    <row r="81" spans="1:7" ht="47.25" customHeight="1" x14ac:dyDescent="0.25">
      <c r="A81" s="17"/>
      <c r="B81" s="100" t="s">
        <v>163</v>
      </c>
      <c r="C81" s="83"/>
      <c r="D81" s="83"/>
      <c r="E81" s="83"/>
      <c r="F81" s="84"/>
      <c r="G81" s="29">
        <f>G82</f>
        <v>26400000</v>
      </c>
    </row>
    <row r="82" spans="1:7" ht="15.75" customHeight="1" x14ac:dyDescent="0.25">
      <c r="A82" s="17"/>
      <c r="B82" s="82" t="s">
        <v>164</v>
      </c>
      <c r="C82" s="83"/>
      <c r="D82" s="83"/>
      <c r="E82" s="83"/>
      <c r="F82" s="84"/>
      <c r="G82" s="29">
        <f>G83</f>
        <v>26400000</v>
      </c>
    </row>
    <row r="83" spans="1:7" ht="48" customHeight="1" x14ac:dyDescent="0.25">
      <c r="A83" s="17"/>
      <c r="B83" s="55" t="s">
        <v>165</v>
      </c>
      <c r="C83" s="56"/>
      <c r="D83" s="26" t="s">
        <v>102</v>
      </c>
      <c r="E83" s="18" t="s">
        <v>103</v>
      </c>
      <c r="F83" s="30">
        <v>2200000</v>
      </c>
      <c r="G83" s="29">
        <f>F83*12</f>
        <v>26400000</v>
      </c>
    </row>
    <row r="84" spans="1:7" ht="15.75" customHeight="1" x14ac:dyDescent="0.25">
      <c r="A84" s="51" t="s">
        <v>197</v>
      </c>
      <c r="B84" s="82" t="s">
        <v>104</v>
      </c>
      <c r="C84" s="83"/>
      <c r="D84" s="83"/>
      <c r="E84" s="83"/>
      <c r="F84" s="84"/>
      <c r="G84" s="29">
        <f>SUM(G85,G89,G96,G100,G104,G108)</f>
        <v>856981624268</v>
      </c>
    </row>
    <row r="85" spans="1:7" ht="15.75" customHeight="1" x14ac:dyDescent="0.25">
      <c r="A85" s="51" t="s">
        <v>198</v>
      </c>
      <c r="B85" s="82" t="s">
        <v>105</v>
      </c>
      <c r="C85" s="83"/>
      <c r="D85" s="83"/>
      <c r="E85" s="83"/>
      <c r="F85" s="84"/>
      <c r="G85" s="29">
        <f>G86</f>
        <v>778102920000</v>
      </c>
    </row>
    <row r="86" spans="1:7" ht="30" customHeight="1" x14ac:dyDescent="0.25">
      <c r="A86" s="17"/>
      <c r="B86" s="100" t="s">
        <v>166</v>
      </c>
      <c r="C86" s="83"/>
      <c r="D86" s="83"/>
      <c r="E86" s="83"/>
      <c r="F86" s="84"/>
      <c r="G86" s="29">
        <f>G87</f>
        <v>778102920000</v>
      </c>
    </row>
    <row r="87" spans="1:7" ht="15.75" customHeight="1" x14ac:dyDescent="0.25">
      <c r="A87" s="17"/>
      <c r="B87" s="82" t="s">
        <v>167</v>
      </c>
      <c r="C87" s="83"/>
      <c r="D87" s="83"/>
      <c r="E87" s="83"/>
      <c r="F87" s="84"/>
      <c r="G87" s="29">
        <f>G88</f>
        <v>778102920000</v>
      </c>
    </row>
    <row r="88" spans="1:7" ht="49.5" customHeight="1" x14ac:dyDescent="0.25">
      <c r="A88" s="17"/>
      <c r="B88" s="55" t="s">
        <v>168</v>
      </c>
      <c r="C88" s="56"/>
      <c r="D88" s="26">
        <v>1852626</v>
      </c>
      <c r="E88" s="18" t="s">
        <v>106</v>
      </c>
      <c r="F88" s="30">
        <v>35000</v>
      </c>
      <c r="G88" s="29">
        <f>D88*F88*12</f>
        <v>778102920000</v>
      </c>
    </row>
    <row r="89" spans="1:7" ht="15.75" customHeight="1" x14ac:dyDescent="0.25">
      <c r="A89" s="51" t="s">
        <v>199</v>
      </c>
      <c r="B89" s="82" t="s">
        <v>107</v>
      </c>
      <c r="C89" s="83"/>
      <c r="D89" s="83"/>
      <c r="E89" s="83"/>
      <c r="F89" s="84"/>
      <c r="G89" s="29">
        <f>SUM(G90,G93)</f>
        <v>78376233600</v>
      </c>
    </row>
    <row r="90" spans="1:7" ht="30" customHeight="1" x14ac:dyDescent="0.25">
      <c r="A90" s="17"/>
      <c r="B90" s="100" t="s">
        <v>169</v>
      </c>
      <c r="C90" s="83"/>
      <c r="D90" s="83"/>
      <c r="E90" s="83"/>
      <c r="F90" s="84"/>
      <c r="G90" s="29">
        <f>G91</f>
        <v>62248233600</v>
      </c>
    </row>
    <row r="91" spans="1:7" ht="15.75" customHeight="1" x14ac:dyDescent="0.25">
      <c r="A91" s="17"/>
      <c r="B91" s="82" t="s">
        <v>170</v>
      </c>
      <c r="C91" s="83"/>
      <c r="D91" s="83"/>
      <c r="E91" s="83"/>
      <c r="F91" s="84"/>
      <c r="G91" s="29">
        <f>G92</f>
        <v>62248233600</v>
      </c>
    </row>
    <row r="92" spans="1:7" ht="48.75" customHeight="1" x14ac:dyDescent="0.25">
      <c r="A92" s="17"/>
      <c r="B92" s="55" t="s">
        <v>171</v>
      </c>
      <c r="C92" s="56"/>
      <c r="D92" s="26">
        <v>1852626</v>
      </c>
      <c r="E92" s="18" t="s">
        <v>106</v>
      </c>
      <c r="F92" s="30">
        <v>2800</v>
      </c>
      <c r="G92" s="29">
        <f>D92*F92*12</f>
        <v>62248233600</v>
      </c>
    </row>
    <row r="93" spans="1:7" ht="31.5" customHeight="1" x14ac:dyDescent="0.25">
      <c r="A93" s="17"/>
      <c r="B93" s="100" t="s">
        <v>172</v>
      </c>
      <c r="C93" s="83"/>
      <c r="D93" s="83"/>
      <c r="E93" s="83"/>
      <c r="F93" s="84"/>
      <c r="G93" s="29">
        <f>G94</f>
        <v>16128000000</v>
      </c>
    </row>
    <row r="94" spans="1:7" ht="15.75" customHeight="1" x14ac:dyDescent="0.25">
      <c r="A94" s="17"/>
      <c r="B94" s="82" t="s">
        <v>173</v>
      </c>
      <c r="C94" s="83"/>
      <c r="D94" s="83"/>
      <c r="E94" s="83"/>
      <c r="F94" s="84"/>
      <c r="G94" s="29">
        <f>G95</f>
        <v>16128000000</v>
      </c>
    </row>
    <row r="95" spans="1:7" ht="50.25" customHeight="1" x14ac:dyDescent="0.25">
      <c r="A95" s="17"/>
      <c r="B95" s="55" t="s">
        <v>174</v>
      </c>
      <c r="C95" s="56"/>
      <c r="D95" s="26">
        <v>480000</v>
      </c>
      <c r="E95" s="18" t="s">
        <v>106</v>
      </c>
      <c r="F95" s="30">
        <v>2800</v>
      </c>
      <c r="G95" s="29">
        <f>D95*F95*12</f>
        <v>16128000000</v>
      </c>
    </row>
    <row r="96" spans="1:7" ht="15.75" customHeight="1" x14ac:dyDescent="0.25">
      <c r="A96" s="51" t="s">
        <v>175</v>
      </c>
      <c r="B96" s="82" t="s">
        <v>176</v>
      </c>
      <c r="C96" s="83"/>
      <c r="D96" s="83"/>
      <c r="E96" s="83"/>
      <c r="F96" s="84"/>
      <c r="G96" s="29">
        <f>G97</f>
        <v>2341068</v>
      </c>
    </row>
    <row r="97" spans="1:7" ht="27.75" customHeight="1" x14ac:dyDescent="0.25">
      <c r="A97" s="17"/>
      <c r="B97" s="100" t="s">
        <v>177</v>
      </c>
      <c r="C97" s="83"/>
      <c r="D97" s="83"/>
      <c r="E97" s="83"/>
      <c r="F97" s="84"/>
      <c r="G97" s="29">
        <f>G98</f>
        <v>2341068</v>
      </c>
    </row>
    <row r="98" spans="1:7" ht="15.75" customHeight="1" x14ac:dyDescent="0.25">
      <c r="A98" s="17"/>
      <c r="B98" s="82" t="s">
        <v>178</v>
      </c>
      <c r="C98" s="83"/>
      <c r="D98" s="83"/>
      <c r="E98" s="83"/>
      <c r="F98" s="84"/>
      <c r="G98" s="29">
        <f>G99</f>
        <v>2341068</v>
      </c>
    </row>
    <row r="99" spans="1:7" ht="42" customHeight="1" x14ac:dyDescent="0.25">
      <c r="A99" s="17"/>
      <c r="B99" s="55" t="s">
        <v>179</v>
      </c>
      <c r="C99" s="56"/>
      <c r="D99" s="26" t="s">
        <v>102</v>
      </c>
      <c r="E99" s="18" t="s">
        <v>103</v>
      </c>
      <c r="F99" s="30">
        <v>195089</v>
      </c>
      <c r="G99" s="29">
        <f>F99*12</f>
        <v>2341068</v>
      </c>
    </row>
    <row r="100" spans="1:7" ht="15.75" customHeight="1" x14ac:dyDescent="0.25">
      <c r="A100" s="51" t="s">
        <v>180</v>
      </c>
      <c r="B100" s="82" t="s">
        <v>181</v>
      </c>
      <c r="C100" s="83"/>
      <c r="D100" s="83"/>
      <c r="E100" s="83"/>
      <c r="F100" s="84"/>
      <c r="G100" s="29">
        <f>G101</f>
        <v>57600</v>
      </c>
    </row>
    <row r="101" spans="1:7" ht="27" customHeight="1" x14ac:dyDescent="0.25">
      <c r="A101" s="17"/>
      <c r="B101" s="100" t="s">
        <v>182</v>
      </c>
      <c r="C101" s="83"/>
      <c r="D101" s="83"/>
      <c r="E101" s="83"/>
      <c r="F101" s="84"/>
      <c r="G101" s="29">
        <f>G102</f>
        <v>57600</v>
      </c>
    </row>
    <row r="102" spans="1:7" ht="15.75" customHeight="1" x14ac:dyDescent="0.25">
      <c r="A102" s="17"/>
      <c r="B102" s="82" t="s">
        <v>183</v>
      </c>
      <c r="C102" s="83"/>
      <c r="D102" s="83"/>
      <c r="E102" s="83"/>
      <c r="F102" s="84"/>
      <c r="G102" s="29">
        <f>G103</f>
        <v>57600</v>
      </c>
    </row>
    <row r="103" spans="1:7" ht="46.5" customHeight="1" x14ac:dyDescent="0.25">
      <c r="A103" s="17"/>
      <c r="B103" s="55" t="s">
        <v>184</v>
      </c>
      <c r="C103" s="56"/>
      <c r="D103" s="26" t="s">
        <v>102</v>
      </c>
      <c r="E103" s="18" t="s">
        <v>103</v>
      </c>
      <c r="F103" s="30">
        <v>4800</v>
      </c>
      <c r="G103" s="29">
        <f>F103*12</f>
        <v>57600</v>
      </c>
    </row>
    <row r="104" spans="1:7" ht="15.75" customHeight="1" x14ac:dyDescent="0.25">
      <c r="A104" s="51" t="s">
        <v>185</v>
      </c>
      <c r="B104" s="82" t="s">
        <v>186</v>
      </c>
      <c r="C104" s="83"/>
      <c r="D104" s="83"/>
      <c r="E104" s="83"/>
      <c r="F104" s="84"/>
      <c r="G104" s="29">
        <f>G105</f>
        <v>72000</v>
      </c>
    </row>
    <row r="105" spans="1:7" ht="28.5" customHeight="1" x14ac:dyDescent="0.25">
      <c r="A105" s="17"/>
      <c r="B105" s="100" t="s">
        <v>187</v>
      </c>
      <c r="C105" s="83"/>
      <c r="D105" s="83"/>
      <c r="E105" s="83"/>
      <c r="F105" s="84"/>
      <c r="G105" s="29">
        <f>G106</f>
        <v>72000</v>
      </c>
    </row>
    <row r="106" spans="1:7" ht="15.75" customHeight="1" x14ac:dyDescent="0.25">
      <c r="A106" s="17"/>
      <c r="B106" s="82" t="s">
        <v>188</v>
      </c>
      <c r="C106" s="83"/>
      <c r="D106" s="83"/>
      <c r="E106" s="83"/>
      <c r="F106" s="84"/>
      <c r="G106" s="29">
        <f>G107</f>
        <v>72000</v>
      </c>
    </row>
    <row r="107" spans="1:7" ht="43.5" customHeight="1" x14ac:dyDescent="0.25">
      <c r="A107" s="17"/>
      <c r="B107" s="55" t="s">
        <v>189</v>
      </c>
      <c r="C107" s="56"/>
      <c r="D107" s="26" t="s">
        <v>102</v>
      </c>
      <c r="E107" s="18" t="s">
        <v>103</v>
      </c>
      <c r="F107" s="30">
        <v>6000</v>
      </c>
      <c r="G107" s="29">
        <f>F107*12</f>
        <v>72000</v>
      </c>
    </row>
    <row r="108" spans="1:7" ht="15.75" customHeight="1" x14ac:dyDescent="0.25">
      <c r="A108" s="51" t="s">
        <v>200</v>
      </c>
      <c r="B108" s="82" t="s">
        <v>108</v>
      </c>
      <c r="C108" s="83"/>
      <c r="D108" s="83"/>
      <c r="E108" s="83"/>
      <c r="F108" s="84"/>
      <c r="G108" s="29">
        <f>G109</f>
        <v>500000000</v>
      </c>
    </row>
    <row r="109" spans="1:7" ht="15.75" customHeight="1" x14ac:dyDescent="0.25">
      <c r="A109" s="17"/>
      <c r="B109" s="82" t="s">
        <v>109</v>
      </c>
      <c r="C109" s="83"/>
      <c r="D109" s="83"/>
      <c r="E109" s="83"/>
      <c r="F109" s="84"/>
      <c r="G109" s="29">
        <f>G110</f>
        <v>500000000</v>
      </c>
    </row>
    <row r="110" spans="1:7" ht="15.75" customHeight="1" x14ac:dyDescent="0.25">
      <c r="A110" s="17"/>
      <c r="B110" s="82" t="s">
        <v>110</v>
      </c>
      <c r="C110" s="83"/>
      <c r="D110" s="83"/>
      <c r="E110" s="83"/>
      <c r="F110" s="84"/>
      <c r="G110" s="29">
        <f>G111</f>
        <v>500000000</v>
      </c>
    </row>
    <row r="111" spans="1:7" ht="32.25" customHeight="1" x14ac:dyDescent="0.25">
      <c r="A111" s="17"/>
      <c r="B111" s="55" t="s">
        <v>111</v>
      </c>
      <c r="C111" s="56"/>
      <c r="D111" s="26">
        <v>50</v>
      </c>
      <c r="E111" s="18" t="s">
        <v>112</v>
      </c>
      <c r="F111" s="30">
        <v>10000000</v>
      </c>
      <c r="G111" s="29">
        <f t="shared" ref="G111" si="9">D111*F111</f>
        <v>500000000</v>
      </c>
    </row>
    <row r="112" spans="1:7" ht="15.75" customHeight="1" x14ac:dyDescent="0.25">
      <c r="A112" s="51" t="s">
        <v>113</v>
      </c>
      <c r="B112" s="82" t="s">
        <v>114</v>
      </c>
      <c r="C112" s="83"/>
      <c r="D112" s="83"/>
      <c r="E112" s="83"/>
      <c r="F112" s="84"/>
      <c r="G112" s="29">
        <f>G113</f>
        <v>161080000</v>
      </c>
    </row>
    <row r="113" spans="1:7" ht="15.75" customHeight="1" x14ac:dyDescent="0.25">
      <c r="A113" s="51" t="s">
        <v>201</v>
      </c>
      <c r="B113" s="82" t="s">
        <v>115</v>
      </c>
      <c r="C113" s="83"/>
      <c r="D113" s="83"/>
      <c r="E113" s="83"/>
      <c r="F113" s="84"/>
      <c r="G113" s="29">
        <f>SUM(G114,G122,G132)</f>
        <v>161080000</v>
      </c>
    </row>
    <row r="114" spans="1:7" ht="15.75" customHeight="1" x14ac:dyDescent="0.25">
      <c r="A114" s="52" t="s">
        <v>202</v>
      </c>
      <c r="B114" s="82" t="s">
        <v>116</v>
      </c>
      <c r="C114" s="83"/>
      <c r="D114" s="83"/>
      <c r="E114" s="83"/>
      <c r="F114" s="84"/>
      <c r="G114" s="29">
        <f>G115</f>
        <v>27440000</v>
      </c>
    </row>
    <row r="115" spans="1:7" ht="15.75" customHeight="1" x14ac:dyDescent="0.25">
      <c r="A115" s="8"/>
      <c r="B115" s="82" t="s">
        <v>117</v>
      </c>
      <c r="C115" s="83"/>
      <c r="D115" s="83"/>
      <c r="E115" s="83"/>
      <c r="F115" s="84"/>
      <c r="G115" s="29">
        <f>G116</f>
        <v>27440000</v>
      </c>
    </row>
    <row r="116" spans="1:7" ht="15.75" customHeight="1" x14ac:dyDescent="0.25">
      <c r="A116" s="8"/>
      <c r="B116" s="82" t="s">
        <v>118</v>
      </c>
      <c r="C116" s="83"/>
      <c r="D116" s="83"/>
      <c r="E116" s="83"/>
      <c r="F116" s="84"/>
      <c r="G116" s="29">
        <f>SUM(G117:G121)</f>
        <v>27440000</v>
      </c>
    </row>
    <row r="117" spans="1:7" ht="30.75" customHeight="1" x14ac:dyDescent="0.25">
      <c r="A117" s="8"/>
      <c r="B117" s="55" t="s">
        <v>119</v>
      </c>
      <c r="C117" s="56"/>
      <c r="D117" s="39">
        <v>40</v>
      </c>
      <c r="E117" s="40" t="s">
        <v>124</v>
      </c>
      <c r="F117" s="41">
        <v>185000</v>
      </c>
      <c r="G117" s="29">
        <f t="shared" ref="G117:G121" si="10">D117*F117</f>
        <v>7400000</v>
      </c>
    </row>
    <row r="118" spans="1:7" ht="30.75" customHeight="1" x14ac:dyDescent="0.25">
      <c r="A118" s="8"/>
      <c r="B118" s="55" t="s">
        <v>120</v>
      </c>
      <c r="C118" s="56"/>
      <c r="D118" s="39">
        <v>4</v>
      </c>
      <c r="E118" s="40" t="s">
        <v>125</v>
      </c>
      <c r="F118" s="41">
        <v>300000</v>
      </c>
      <c r="G118" s="29">
        <f t="shared" si="10"/>
        <v>1200000</v>
      </c>
    </row>
    <row r="119" spans="1:7" ht="30.75" customHeight="1" x14ac:dyDescent="0.25">
      <c r="A119" s="8"/>
      <c r="B119" s="55" t="s">
        <v>121</v>
      </c>
      <c r="C119" s="56"/>
      <c r="D119" s="39">
        <v>12</v>
      </c>
      <c r="E119" s="40" t="s">
        <v>125</v>
      </c>
      <c r="F119" s="41">
        <v>175000</v>
      </c>
      <c r="G119" s="29">
        <f t="shared" si="10"/>
        <v>2100000</v>
      </c>
    </row>
    <row r="120" spans="1:7" ht="30.75" customHeight="1" x14ac:dyDescent="0.25">
      <c r="A120" s="8"/>
      <c r="B120" s="55" t="s">
        <v>122</v>
      </c>
      <c r="C120" s="56"/>
      <c r="D120" s="39">
        <v>34</v>
      </c>
      <c r="E120" s="40" t="s">
        <v>125</v>
      </c>
      <c r="F120" s="41">
        <v>430000</v>
      </c>
      <c r="G120" s="29">
        <f t="shared" si="10"/>
        <v>14620000</v>
      </c>
    </row>
    <row r="121" spans="1:7" ht="30.75" customHeight="1" x14ac:dyDescent="0.25">
      <c r="A121" s="8"/>
      <c r="B121" s="55" t="s">
        <v>123</v>
      </c>
      <c r="C121" s="56"/>
      <c r="D121" s="39">
        <v>4</v>
      </c>
      <c r="E121" s="40" t="s">
        <v>125</v>
      </c>
      <c r="F121" s="41">
        <v>530000</v>
      </c>
      <c r="G121" s="29">
        <f t="shared" si="10"/>
        <v>2120000</v>
      </c>
    </row>
    <row r="122" spans="1:7" ht="15.75" customHeight="1" x14ac:dyDescent="0.25">
      <c r="A122" s="8" t="s">
        <v>126</v>
      </c>
      <c r="B122" s="82" t="s">
        <v>127</v>
      </c>
      <c r="C122" s="83"/>
      <c r="D122" s="83"/>
      <c r="E122" s="83"/>
      <c r="F122" s="84"/>
      <c r="G122" s="29">
        <f>G123</f>
        <v>13640000</v>
      </c>
    </row>
    <row r="123" spans="1:7" ht="15.75" customHeight="1" x14ac:dyDescent="0.25">
      <c r="A123" s="8"/>
      <c r="B123" s="82" t="s">
        <v>128</v>
      </c>
      <c r="C123" s="83"/>
      <c r="D123" s="83"/>
      <c r="E123" s="83"/>
      <c r="F123" s="84"/>
      <c r="G123" s="29">
        <f>G124</f>
        <v>13640000</v>
      </c>
    </row>
    <row r="124" spans="1:7" ht="15.75" customHeight="1" x14ac:dyDescent="0.25">
      <c r="A124" s="8"/>
      <c r="B124" s="82" t="s">
        <v>129</v>
      </c>
      <c r="C124" s="83"/>
      <c r="D124" s="83"/>
      <c r="E124" s="83"/>
      <c r="F124" s="84"/>
      <c r="G124" s="29">
        <f>SUM(G125:G131)</f>
        <v>13640000</v>
      </c>
    </row>
    <row r="125" spans="1:7" ht="46.5" customHeight="1" x14ac:dyDescent="0.25">
      <c r="A125" s="8"/>
      <c r="B125" s="55" t="s">
        <v>203</v>
      </c>
      <c r="C125" s="56"/>
      <c r="D125" s="39">
        <v>2</v>
      </c>
      <c r="E125" s="40" t="s">
        <v>125</v>
      </c>
      <c r="F125" s="41">
        <v>185000</v>
      </c>
      <c r="G125" s="29">
        <f t="shared" ref="G125:G131" si="11">D125*F125</f>
        <v>370000</v>
      </c>
    </row>
    <row r="126" spans="1:7" ht="46.5" customHeight="1" x14ac:dyDescent="0.25">
      <c r="A126" s="8"/>
      <c r="B126" s="55" t="s">
        <v>204</v>
      </c>
      <c r="C126" s="56"/>
      <c r="D126" s="39">
        <v>6</v>
      </c>
      <c r="E126" s="40" t="s">
        <v>125</v>
      </c>
      <c r="F126" s="41">
        <v>135000</v>
      </c>
      <c r="G126" s="29">
        <f t="shared" si="11"/>
        <v>810000</v>
      </c>
    </row>
    <row r="127" spans="1:7" ht="46.5" customHeight="1" x14ac:dyDescent="0.25">
      <c r="A127" s="8"/>
      <c r="B127" s="55" t="s">
        <v>205</v>
      </c>
      <c r="C127" s="56"/>
      <c r="D127" s="39">
        <v>2</v>
      </c>
      <c r="E127" s="40" t="s">
        <v>125</v>
      </c>
      <c r="F127" s="41">
        <v>205000</v>
      </c>
      <c r="G127" s="29">
        <f t="shared" si="11"/>
        <v>410000</v>
      </c>
    </row>
    <row r="128" spans="1:7" ht="46.5" customHeight="1" x14ac:dyDescent="0.25">
      <c r="A128" s="8"/>
      <c r="B128" s="55" t="s">
        <v>206</v>
      </c>
      <c r="C128" s="56"/>
      <c r="D128" s="39">
        <v>2</v>
      </c>
      <c r="E128" s="40" t="s">
        <v>125</v>
      </c>
      <c r="F128" s="41">
        <v>220000</v>
      </c>
      <c r="G128" s="29">
        <f t="shared" si="11"/>
        <v>440000</v>
      </c>
    </row>
    <row r="129" spans="1:26" ht="46.5" customHeight="1" x14ac:dyDescent="0.25">
      <c r="A129" s="8"/>
      <c r="B129" s="55" t="s">
        <v>207</v>
      </c>
      <c r="C129" s="56"/>
      <c r="D129" s="39">
        <v>2</v>
      </c>
      <c r="E129" s="40" t="s">
        <v>125</v>
      </c>
      <c r="F129" s="41">
        <v>220000</v>
      </c>
      <c r="G129" s="29">
        <f t="shared" si="11"/>
        <v>440000</v>
      </c>
    </row>
    <row r="130" spans="1:26" ht="46.5" customHeight="1" x14ac:dyDescent="0.25">
      <c r="A130" s="8"/>
      <c r="B130" s="55" t="s">
        <v>208</v>
      </c>
      <c r="C130" s="56"/>
      <c r="D130" s="39">
        <v>2</v>
      </c>
      <c r="E130" s="40" t="s">
        <v>125</v>
      </c>
      <c r="F130" s="41">
        <v>145000</v>
      </c>
      <c r="G130" s="29">
        <f t="shared" si="11"/>
        <v>290000</v>
      </c>
    </row>
    <row r="131" spans="1:26" ht="46.5" customHeight="1" x14ac:dyDescent="0.25">
      <c r="A131" s="8"/>
      <c r="B131" s="55" t="s">
        <v>130</v>
      </c>
      <c r="C131" s="56"/>
      <c r="D131" s="39">
        <v>64</v>
      </c>
      <c r="E131" s="40" t="s">
        <v>131</v>
      </c>
      <c r="F131" s="41">
        <v>170000</v>
      </c>
      <c r="G131" s="29">
        <f t="shared" si="11"/>
        <v>10880000</v>
      </c>
    </row>
    <row r="132" spans="1:26" ht="15.75" customHeight="1" x14ac:dyDescent="0.25">
      <c r="A132" s="22" t="s">
        <v>132</v>
      </c>
      <c r="B132" s="82" t="s">
        <v>133</v>
      </c>
      <c r="C132" s="83"/>
      <c r="D132" s="83"/>
      <c r="E132" s="83"/>
      <c r="F132" s="84"/>
      <c r="G132" s="29">
        <f>G133</f>
        <v>120000000</v>
      </c>
    </row>
    <row r="133" spans="1:26" ht="15.75" customHeight="1" x14ac:dyDescent="0.25">
      <c r="A133" s="8"/>
      <c r="B133" s="82" t="s">
        <v>134</v>
      </c>
      <c r="C133" s="83"/>
      <c r="D133" s="83"/>
      <c r="E133" s="83"/>
      <c r="F133" s="84"/>
      <c r="G133" s="29">
        <f>G134</f>
        <v>120000000</v>
      </c>
    </row>
    <row r="134" spans="1:26" ht="15.75" customHeight="1" x14ac:dyDescent="0.25">
      <c r="A134" s="8"/>
      <c r="B134" s="82" t="s">
        <v>135</v>
      </c>
      <c r="C134" s="83"/>
      <c r="D134" s="83"/>
      <c r="E134" s="83"/>
      <c r="F134" s="84"/>
      <c r="G134" s="29">
        <f>SUM(G135:G135)</f>
        <v>120000000</v>
      </c>
    </row>
    <row r="135" spans="1:26" ht="44.25" customHeight="1" x14ac:dyDescent="0.25">
      <c r="A135" s="8"/>
      <c r="B135" s="55" t="s">
        <v>136</v>
      </c>
      <c r="C135" s="56"/>
      <c r="D135" s="39">
        <v>400</v>
      </c>
      <c r="E135" s="40" t="s">
        <v>125</v>
      </c>
      <c r="F135" s="41">
        <v>300000</v>
      </c>
      <c r="G135" s="29">
        <f t="shared" ref="G135" si="12">D135*F135</f>
        <v>120000000</v>
      </c>
    </row>
    <row r="136" spans="1:26" ht="15.75" customHeight="1" x14ac:dyDescent="0.25">
      <c r="A136" s="71" t="s">
        <v>33</v>
      </c>
      <c r="B136" s="67"/>
      <c r="C136" s="67"/>
      <c r="D136" s="67"/>
      <c r="E136" s="67"/>
      <c r="F136" s="68"/>
      <c r="G136" s="42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9"/>
      <c r="B137" s="72"/>
      <c r="C137" s="59"/>
      <c r="D137" s="27"/>
      <c r="E137" s="43"/>
      <c r="F137" s="31"/>
      <c r="G137" s="44">
        <f>D137*F137</f>
        <v>0</v>
      </c>
    </row>
    <row r="138" spans="1:26" ht="15.75" customHeight="1" x14ac:dyDescent="0.25">
      <c r="A138" s="5" t="s">
        <v>34</v>
      </c>
      <c r="B138" s="11"/>
      <c r="C138" s="62" t="s">
        <v>50</v>
      </c>
      <c r="D138" s="63"/>
      <c r="E138" s="63"/>
      <c r="F138" s="63"/>
      <c r="G138" s="64"/>
    </row>
    <row r="139" spans="1:26" ht="15.75" customHeight="1" x14ac:dyDescent="0.25">
      <c r="A139" s="5" t="s">
        <v>35</v>
      </c>
      <c r="B139" s="11"/>
      <c r="C139" s="62" t="s">
        <v>51</v>
      </c>
      <c r="D139" s="63"/>
      <c r="E139" s="63"/>
      <c r="F139" s="63"/>
      <c r="G139" s="64"/>
    </row>
    <row r="140" spans="1:26" ht="15.75" customHeight="1" x14ac:dyDescent="0.25">
      <c r="A140" s="5" t="s">
        <v>36</v>
      </c>
      <c r="B140" s="11"/>
      <c r="C140" s="12"/>
      <c r="G140" s="45"/>
    </row>
    <row r="141" spans="1:26" ht="15.75" customHeight="1" x14ac:dyDescent="0.25">
      <c r="A141" s="5" t="s">
        <v>37</v>
      </c>
      <c r="B141" s="11"/>
      <c r="C141" s="12"/>
      <c r="G141" s="45"/>
    </row>
    <row r="142" spans="1:26" ht="15.75" customHeight="1" x14ac:dyDescent="0.25">
      <c r="A142" s="5" t="s">
        <v>38</v>
      </c>
      <c r="B142" s="11"/>
      <c r="C142" s="12"/>
      <c r="G142" s="45"/>
    </row>
    <row r="143" spans="1:26" ht="15.75" customHeight="1" x14ac:dyDescent="0.25">
      <c r="A143" s="5" t="s">
        <v>39</v>
      </c>
      <c r="B143" s="11"/>
      <c r="C143" s="12"/>
      <c r="G143" s="45"/>
    </row>
    <row r="144" spans="1:26" ht="15.75" customHeight="1" x14ac:dyDescent="0.25">
      <c r="A144" s="5" t="s">
        <v>40</v>
      </c>
      <c r="B144" s="11"/>
      <c r="C144" s="65"/>
      <c r="D144" s="63"/>
      <c r="E144" s="63"/>
      <c r="F144" s="63"/>
      <c r="G144" s="64"/>
    </row>
    <row r="145" spans="1:7" ht="15.75" customHeight="1" x14ac:dyDescent="0.25">
      <c r="A145" s="5" t="s">
        <v>41</v>
      </c>
      <c r="B145" s="11"/>
      <c r="C145" s="62"/>
      <c r="D145" s="63"/>
      <c r="E145" s="63"/>
      <c r="F145" s="63"/>
      <c r="G145" s="64"/>
    </row>
    <row r="146" spans="1:7" ht="15.75" customHeight="1" x14ac:dyDescent="0.25">
      <c r="A146" s="5" t="s">
        <v>42</v>
      </c>
      <c r="B146" s="11"/>
      <c r="C146" s="12"/>
      <c r="G146" s="45"/>
    </row>
    <row r="147" spans="1:7" ht="15.75" customHeight="1" x14ac:dyDescent="0.25">
      <c r="A147" s="5" t="s">
        <v>43</v>
      </c>
      <c r="B147" s="11"/>
      <c r="C147" s="12"/>
      <c r="G147" s="45"/>
    </row>
    <row r="148" spans="1:7" ht="15.75" customHeight="1" x14ac:dyDescent="0.25">
      <c r="A148" s="5" t="s">
        <v>44</v>
      </c>
      <c r="B148" s="11"/>
      <c r="C148" s="12"/>
      <c r="G148" s="45"/>
    </row>
    <row r="149" spans="1:7" ht="15.75" customHeight="1" x14ac:dyDescent="0.25">
      <c r="A149" s="5" t="s">
        <v>45</v>
      </c>
      <c r="B149" s="11"/>
      <c r="C149" s="12"/>
      <c r="G149" s="45"/>
    </row>
    <row r="150" spans="1:7" ht="15.75" customHeight="1" x14ac:dyDescent="0.25">
      <c r="A150" s="13" t="s">
        <v>28</v>
      </c>
      <c r="B150" s="14">
        <f>SUM(B138:B149)</f>
        <v>0</v>
      </c>
      <c r="C150" s="15"/>
      <c r="D150" s="46"/>
      <c r="E150" s="47"/>
      <c r="F150" s="48"/>
      <c r="G150" s="49"/>
    </row>
    <row r="151" spans="1:7" ht="15.75" customHeight="1" x14ac:dyDescent="0.25">
      <c r="G151" s="50"/>
    </row>
    <row r="152" spans="1:7" ht="15.75" customHeight="1" x14ac:dyDescent="0.25">
      <c r="G152" s="50"/>
    </row>
    <row r="153" spans="1:7" ht="15.75" customHeight="1" x14ac:dyDescent="0.25">
      <c r="G153" s="50"/>
    </row>
    <row r="154" spans="1:7" ht="15.75" customHeight="1" x14ac:dyDescent="0.25">
      <c r="G154" s="50"/>
    </row>
    <row r="155" spans="1:7" ht="15.75" customHeight="1" x14ac:dyDescent="0.25">
      <c r="G155" s="50"/>
    </row>
    <row r="156" spans="1:7" ht="15.75" customHeight="1" x14ac:dyDescent="0.25">
      <c r="G156" s="50"/>
    </row>
    <row r="157" spans="1:7" ht="15.75" customHeight="1" x14ac:dyDescent="0.25">
      <c r="G157" s="50"/>
    </row>
    <row r="158" spans="1:7" ht="15.75" customHeight="1" x14ac:dyDescent="0.25">
      <c r="G158" s="50"/>
    </row>
    <row r="159" spans="1:7" ht="15.75" customHeight="1" x14ac:dyDescent="0.25">
      <c r="G159" s="50"/>
    </row>
    <row r="160" spans="1:7" ht="15.75" customHeight="1" x14ac:dyDescent="0.25">
      <c r="G160" s="50"/>
    </row>
    <row r="161" spans="7:7" ht="15.75" customHeight="1" x14ac:dyDescent="0.25">
      <c r="G161" s="50"/>
    </row>
    <row r="162" spans="7:7" ht="15.75" customHeight="1" x14ac:dyDescent="0.25">
      <c r="G162" s="50"/>
    </row>
    <row r="163" spans="7:7" ht="15.75" customHeight="1" x14ac:dyDescent="0.25">
      <c r="G163" s="50"/>
    </row>
    <row r="164" spans="7:7" ht="15.75" customHeight="1" x14ac:dyDescent="0.25">
      <c r="G164" s="50"/>
    </row>
    <row r="165" spans="7:7" ht="15.75" customHeight="1" x14ac:dyDescent="0.25">
      <c r="G165" s="50"/>
    </row>
    <row r="166" spans="7:7" ht="15.75" customHeight="1" x14ac:dyDescent="0.25">
      <c r="G166" s="50"/>
    </row>
    <row r="167" spans="7:7" ht="15.75" customHeight="1" x14ac:dyDescent="0.25">
      <c r="G167" s="50"/>
    </row>
    <row r="168" spans="7:7" ht="15.75" customHeight="1" x14ac:dyDescent="0.25">
      <c r="G168" s="50"/>
    </row>
    <row r="169" spans="7:7" ht="15.75" customHeight="1" x14ac:dyDescent="0.25">
      <c r="G169" s="50"/>
    </row>
    <row r="170" spans="7:7" ht="15.75" customHeight="1" x14ac:dyDescent="0.25">
      <c r="G170" s="50"/>
    </row>
    <row r="171" spans="7:7" ht="15.75" customHeight="1" x14ac:dyDescent="0.25">
      <c r="G171" s="50"/>
    </row>
    <row r="172" spans="7:7" ht="15.75" customHeight="1" x14ac:dyDescent="0.25">
      <c r="G172" s="50"/>
    </row>
    <row r="173" spans="7:7" ht="15.75" customHeight="1" x14ac:dyDescent="0.25">
      <c r="G173" s="50"/>
    </row>
    <row r="174" spans="7:7" ht="15.75" customHeight="1" x14ac:dyDescent="0.25">
      <c r="G174" s="50"/>
    </row>
    <row r="175" spans="7:7" ht="15.75" customHeight="1" x14ac:dyDescent="0.25">
      <c r="G175" s="50"/>
    </row>
    <row r="176" spans="7:7" ht="15.75" customHeight="1" x14ac:dyDescent="0.25">
      <c r="G176" s="50"/>
    </row>
    <row r="177" spans="7:7" ht="15.75" customHeight="1" x14ac:dyDescent="0.25">
      <c r="G177" s="50"/>
    </row>
    <row r="178" spans="7:7" ht="15.75" customHeight="1" x14ac:dyDescent="0.25">
      <c r="G178" s="50"/>
    </row>
    <row r="179" spans="7:7" ht="15.75" customHeight="1" x14ac:dyDescent="0.25">
      <c r="G179" s="50"/>
    </row>
    <row r="180" spans="7:7" ht="15.75" customHeight="1" x14ac:dyDescent="0.25">
      <c r="G180" s="50"/>
    </row>
    <row r="181" spans="7:7" ht="15.75" customHeight="1" x14ac:dyDescent="0.25">
      <c r="G181" s="50"/>
    </row>
    <row r="182" spans="7:7" ht="15.75" customHeight="1" x14ac:dyDescent="0.25">
      <c r="G182" s="50"/>
    </row>
    <row r="183" spans="7:7" ht="15.75" customHeight="1" x14ac:dyDescent="0.25">
      <c r="G183" s="50"/>
    </row>
    <row r="184" spans="7:7" ht="15.75" customHeight="1" x14ac:dyDescent="0.25">
      <c r="G184" s="50"/>
    </row>
    <row r="185" spans="7:7" ht="15.75" customHeight="1" x14ac:dyDescent="0.25">
      <c r="G185" s="50"/>
    </row>
    <row r="186" spans="7:7" ht="15.75" customHeight="1" x14ac:dyDescent="0.25">
      <c r="G186" s="50"/>
    </row>
    <row r="187" spans="7:7" ht="15.75" customHeight="1" x14ac:dyDescent="0.25">
      <c r="G187" s="50"/>
    </row>
    <row r="188" spans="7:7" ht="15.75" customHeight="1" x14ac:dyDescent="0.25">
      <c r="G188" s="50"/>
    </row>
    <row r="189" spans="7:7" ht="15.75" customHeight="1" x14ac:dyDescent="0.25">
      <c r="G189" s="50"/>
    </row>
    <row r="190" spans="7:7" ht="15.75" customHeight="1" x14ac:dyDescent="0.25">
      <c r="G190" s="50"/>
    </row>
    <row r="191" spans="7:7" ht="15.75" customHeight="1" x14ac:dyDescent="0.25">
      <c r="G191" s="50"/>
    </row>
    <row r="192" spans="7:7" ht="15.75" customHeight="1" x14ac:dyDescent="0.25">
      <c r="G192" s="50"/>
    </row>
    <row r="193" spans="7:7" ht="15.75" customHeight="1" x14ac:dyDescent="0.25">
      <c r="G193" s="50"/>
    </row>
    <row r="194" spans="7:7" ht="15.75" customHeight="1" x14ac:dyDescent="0.25">
      <c r="G194" s="50"/>
    </row>
    <row r="195" spans="7:7" ht="15.75" customHeight="1" x14ac:dyDescent="0.25">
      <c r="G195" s="50"/>
    </row>
    <row r="196" spans="7:7" ht="15.75" customHeight="1" x14ac:dyDescent="0.25">
      <c r="G196" s="50"/>
    </row>
    <row r="197" spans="7:7" ht="15.75" customHeight="1" x14ac:dyDescent="0.25">
      <c r="G197" s="50"/>
    </row>
    <row r="198" spans="7:7" ht="15.75" customHeight="1" x14ac:dyDescent="0.25">
      <c r="G198" s="50"/>
    </row>
    <row r="199" spans="7:7" ht="15.75" customHeight="1" x14ac:dyDescent="0.25">
      <c r="G199" s="50"/>
    </row>
    <row r="200" spans="7:7" ht="15.75" customHeight="1" x14ac:dyDescent="0.25">
      <c r="G200" s="50"/>
    </row>
    <row r="201" spans="7:7" ht="15.75" customHeight="1" x14ac:dyDescent="0.25">
      <c r="G201" s="50"/>
    </row>
    <row r="202" spans="7:7" ht="15.75" customHeight="1" x14ac:dyDescent="0.25">
      <c r="G202" s="50"/>
    </row>
    <row r="203" spans="7:7" ht="15.75" customHeight="1" x14ac:dyDescent="0.25">
      <c r="G203" s="50"/>
    </row>
    <row r="204" spans="7:7" ht="15.75" customHeight="1" x14ac:dyDescent="0.25">
      <c r="G204" s="50"/>
    </row>
    <row r="205" spans="7:7" ht="15.75" customHeight="1" x14ac:dyDescent="0.25">
      <c r="G205" s="50"/>
    </row>
    <row r="206" spans="7:7" ht="15.75" customHeight="1" x14ac:dyDescent="0.25">
      <c r="G206" s="50"/>
    </row>
    <row r="207" spans="7:7" ht="15.75" customHeight="1" x14ac:dyDescent="0.25">
      <c r="G207" s="50"/>
    </row>
    <row r="208" spans="7:7" ht="15.75" customHeight="1" x14ac:dyDescent="0.25">
      <c r="G208" s="50"/>
    </row>
    <row r="209" spans="7:7" ht="15.75" customHeight="1" x14ac:dyDescent="0.25">
      <c r="G209" s="50"/>
    </row>
    <row r="210" spans="7:7" ht="15.75" customHeight="1" x14ac:dyDescent="0.25">
      <c r="G210" s="50"/>
    </row>
    <row r="211" spans="7:7" ht="15.75" customHeight="1" x14ac:dyDescent="0.25">
      <c r="G211" s="50"/>
    </row>
    <row r="212" spans="7:7" ht="15.75" customHeight="1" x14ac:dyDescent="0.25">
      <c r="G212" s="50"/>
    </row>
    <row r="213" spans="7:7" ht="15.75" customHeight="1" x14ac:dyDescent="0.25">
      <c r="G213" s="50"/>
    </row>
    <row r="214" spans="7:7" ht="15.75" customHeight="1" x14ac:dyDescent="0.25">
      <c r="G214" s="50"/>
    </row>
    <row r="215" spans="7:7" ht="15.75" customHeight="1" x14ac:dyDescent="0.25">
      <c r="G215" s="50"/>
    </row>
    <row r="216" spans="7:7" ht="15.75" customHeight="1" x14ac:dyDescent="0.25">
      <c r="G216" s="50"/>
    </row>
    <row r="217" spans="7:7" ht="15.75" customHeight="1" x14ac:dyDescent="0.25">
      <c r="G217" s="50"/>
    </row>
    <row r="218" spans="7:7" ht="15.75" customHeight="1" x14ac:dyDescent="0.25">
      <c r="G218" s="50"/>
    </row>
    <row r="219" spans="7:7" ht="15.75" customHeight="1" x14ac:dyDescent="0.25">
      <c r="G219" s="50"/>
    </row>
    <row r="220" spans="7:7" ht="15.75" customHeight="1" x14ac:dyDescent="0.25">
      <c r="G220" s="50"/>
    </row>
    <row r="221" spans="7:7" ht="15.75" customHeight="1" x14ac:dyDescent="0.25">
      <c r="G221" s="50"/>
    </row>
    <row r="222" spans="7:7" ht="15.75" customHeight="1" x14ac:dyDescent="0.25">
      <c r="G222" s="50"/>
    </row>
    <row r="223" spans="7:7" ht="15.75" customHeight="1" x14ac:dyDescent="0.25">
      <c r="G223" s="50"/>
    </row>
    <row r="224" spans="7:7" ht="15.75" customHeight="1" x14ac:dyDescent="0.25">
      <c r="G224" s="50"/>
    </row>
    <row r="225" spans="7:7" ht="15.75" customHeight="1" x14ac:dyDescent="0.25">
      <c r="G225" s="50"/>
    </row>
    <row r="226" spans="7:7" ht="15.75" customHeight="1" x14ac:dyDescent="0.25">
      <c r="G226" s="50"/>
    </row>
    <row r="227" spans="7:7" ht="15.75" customHeight="1" x14ac:dyDescent="0.25">
      <c r="G227" s="50"/>
    </row>
    <row r="228" spans="7:7" ht="15.75" customHeight="1" x14ac:dyDescent="0.25">
      <c r="G228" s="50"/>
    </row>
    <row r="229" spans="7:7" ht="15.75" customHeight="1" x14ac:dyDescent="0.25">
      <c r="G229" s="50"/>
    </row>
    <row r="230" spans="7:7" ht="15.75" customHeight="1" x14ac:dyDescent="0.25">
      <c r="G230" s="50"/>
    </row>
    <row r="231" spans="7:7" ht="15.75" customHeight="1" x14ac:dyDescent="0.25">
      <c r="G231" s="50"/>
    </row>
    <row r="232" spans="7:7" ht="15.75" customHeight="1" x14ac:dyDescent="0.25">
      <c r="G232" s="50"/>
    </row>
    <row r="233" spans="7:7" ht="15.75" customHeight="1" x14ac:dyDescent="0.25">
      <c r="G233" s="50"/>
    </row>
    <row r="234" spans="7:7" ht="15.75" customHeight="1" x14ac:dyDescent="0.25">
      <c r="G234" s="50"/>
    </row>
    <row r="235" spans="7:7" ht="15.75" customHeight="1" x14ac:dyDescent="0.25">
      <c r="G235" s="50"/>
    </row>
    <row r="236" spans="7:7" ht="15.75" customHeight="1" x14ac:dyDescent="0.25">
      <c r="G236" s="50"/>
    </row>
    <row r="237" spans="7:7" ht="15.75" customHeight="1" x14ac:dyDescent="0.25">
      <c r="G237" s="50"/>
    </row>
    <row r="238" spans="7:7" ht="15.75" customHeight="1" x14ac:dyDescent="0.25">
      <c r="G238" s="50"/>
    </row>
    <row r="239" spans="7:7" ht="15.75" customHeight="1" x14ac:dyDescent="0.25">
      <c r="G239" s="50"/>
    </row>
    <row r="240" spans="7:7" ht="15.75" customHeight="1" x14ac:dyDescent="0.25">
      <c r="G240" s="50"/>
    </row>
    <row r="241" spans="7:7" ht="15.75" customHeight="1" x14ac:dyDescent="0.25">
      <c r="G241" s="50"/>
    </row>
    <row r="242" spans="7:7" ht="15.75" customHeight="1" x14ac:dyDescent="0.25">
      <c r="G242" s="50"/>
    </row>
    <row r="243" spans="7:7" ht="15.75" customHeight="1" x14ac:dyDescent="0.25">
      <c r="G243" s="50"/>
    </row>
    <row r="244" spans="7:7" ht="15.75" customHeight="1" x14ac:dyDescent="0.25">
      <c r="G244" s="50"/>
    </row>
    <row r="245" spans="7:7" ht="15.75" customHeight="1" x14ac:dyDescent="0.25">
      <c r="G245" s="50"/>
    </row>
    <row r="246" spans="7:7" ht="15.75" customHeight="1" x14ac:dyDescent="0.25">
      <c r="G246" s="50"/>
    </row>
    <row r="247" spans="7:7" ht="15.75" customHeight="1" x14ac:dyDescent="0.25">
      <c r="G247" s="50"/>
    </row>
    <row r="248" spans="7:7" ht="15.75" customHeight="1" x14ac:dyDescent="0.25">
      <c r="G248" s="50"/>
    </row>
    <row r="249" spans="7:7" ht="15.75" customHeight="1" x14ac:dyDescent="0.25">
      <c r="G249" s="50"/>
    </row>
    <row r="250" spans="7:7" ht="15.75" customHeight="1" x14ac:dyDescent="0.25">
      <c r="G250" s="50"/>
    </row>
    <row r="251" spans="7:7" ht="15.75" customHeight="1" x14ac:dyDescent="0.25">
      <c r="G251" s="50"/>
    </row>
    <row r="252" spans="7:7" ht="15.75" customHeight="1" x14ac:dyDescent="0.25">
      <c r="G252" s="50"/>
    </row>
    <row r="253" spans="7:7" ht="15.75" customHeight="1" x14ac:dyDescent="0.25">
      <c r="G253" s="50"/>
    </row>
    <row r="254" spans="7:7" ht="15.75" customHeight="1" x14ac:dyDescent="0.25">
      <c r="G254" s="50"/>
    </row>
    <row r="255" spans="7:7" ht="15.75" customHeight="1" x14ac:dyDescent="0.25">
      <c r="G255" s="50"/>
    </row>
    <row r="256" spans="7:7" ht="15.75" customHeight="1" x14ac:dyDescent="0.25">
      <c r="G256" s="50"/>
    </row>
    <row r="257" spans="7:7" ht="15.75" customHeight="1" x14ac:dyDescent="0.25">
      <c r="G257" s="50"/>
    </row>
    <row r="258" spans="7:7" ht="15.75" customHeight="1" x14ac:dyDescent="0.25">
      <c r="G258" s="50"/>
    </row>
    <row r="259" spans="7:7" ht="15.75" customHeight="1" x14ac:dyDescent="0.25">
      <c r="G259" s="50"/>
    </row>
    <row r="260" spans="7:7" ht="15.75" customHeight="1" x14ac:dyDescent="0.25">
      <c r="G260" s="50"/>
    </row>
    <row r="261" spans="7:7" ht="15.75" customHeight="1" x14ac:dyDescent="0.25">
      <c r="G261" s="50"/>
    </row>
    <row r="262" spans="7:7" ht="15.75" customHeight="1" x14ac:dyDescent="0.25">
      <c r="G262" s="50"/>
    </row>
    <row r="263" spans="7:7" ht="15.75" customHeight="1" x14ac:dyDescent="0.25">
      <c r="G263" s="50"/>
    </row>
    <row r="264" spans="7:7" ht="15.75" customHeight="1" x14ac:dyDescent="0.25">
      <c r="G264" s="50"/>
    </row>
    <row r="265" spans="7:7" ht="15.75" customHeight="1" x14ac:dyDescent="0.25">
      <c r="G265" s="50"/>
    </row>
    <row r="266" spans="7:7" ht="15.75" customHeight="1" x14ac:dyDescent="0.25">
      <c r="G266" s="50"/>
    </row>
    <row r="267" spans="7:7" ht="15.75" customHeight="1" x14ac:dyDescent="0.25">
      <c r="G267" s="50"/>
    </row>
    <row r="268" spans="7:7" ht="15.75" customHeight="1" x14ac:dyDescent="0.25">
      <c r="G268" s="50"/>
    </row>
    <row r="269" spans="7:7" ht="15.75" customHeight="1" x14ac:dyDescent="0.25">
      <c r="G269" s="50"/>
    </row>
    <row r="270" spans="7:7" ht="15.75" customHeight="1" x14ac:dyDescent="0.25">
      <c r="G270" s="50"/>
    </row>
    <row r="271" spans="7:7" ht="15.75" customHeight="1" x14ac:dyDescent="0.25">
      <c r="G271" s="50"/>
    </row>
    <row r="272" spans="7:7" ht="15.75" customHeight="1" x14ac:dyDescent="0.25">
      <c r="G272" s="50"/>
    </row>
    <row r="273" spans="7:7" ht="15.75" customHeight="1" x14ac:dyDescent="0.25">
      <c r="G273" s="50"/>
    </row>
    <row r="274" spans="7:7" ht="15.75" customHeight="1" x14ac:dyDescent="0.25">
      <c r="G274" s="50"/>
    </row>
    <row r="275" spans="7:7" ht="15.75" customHeight="1" x14ac:dyDescent="0.25">
      <c r="G275" s="50"/>
    </row>
    <row r="276" spans="7:7" ht="15.75" customHeight="1" x14ac:dyDescent="0.25">
      <c r="G276" s="50"/>
    </row>
    <row r="277" spans="7:7" ht="15.75" customHeight="1" x14ac:dyDescent="0.25">
      <c r="G277" s="50"/>
    </row>
    <row r="278" spans="7:7" ht="15.75" customHeight="1" x14ac:dyDescent="0.25">
      <c r="G278" s="50"/>
    </row>
    <row r="279" spans="7:7" ht="15.75" customHeight="1" x14ac:dyDescent="0.25">
      <c r="G279" s="50"/>
    </row>
    <row r="280" spans="7:7" ht="15.75" customHeight="1" x14ac:dyDescent="0.25">
      <c r="G280" s="50"/>
    </row>
    <row r="281" spans="7:7" ht="15.75" customHeight="1" x14ac:dyDescent="0.25">
      <c r="G281" s="50"/>
    </row>
    <row r="282" spans="7:7" ht="15.75" customHeight="1" x14ac:dyDescent="0.25">
      <c r="G282" s="50"/>
    </row>
    <row r="283" spans="7:7" ht="15.75" customHeight="1" x14ac:dyDescent="0.25">
      <c r="G283" s="50"/>
    </row>
    <row r="284" spans="7:7" ht="15.75" customHeight="1" x14ac:dyDescent="0.25">
      <c r="G284" s="50"/>
    </row>
    <row r="285" spans="7:7" ht="15.75" customHeight="1" x14ac:dyDescent="0.25">
      <c r="G285" s="50"/>
    </row>
    <row r="286" spans="7:7" ht="15.75" customHeight="1" x14ac:dyDescent="0.25">
      <c r="G286" s="50"/>
    </row>
    <row r="287" spans="7:7" ht="15.75" customHeight="1" x14ac:dyDescent="0.25">
      <c r="G287" s="50"/>
    </row>
    <row r="288" spans="7:7" ht="15.75" customHeight="1" x14ac:dyDescent="0.25">
      <c r="G288" s="50"/>
    </row>
    <row r="289" spans="7:7" ht="15.75" customHeight="1" x14ac:dyDescent="0.25">
      <c r="G289" s="50"/>
    </row>
    <row r="290" spans="7:7" ht="15.75" customHeight="1" x14ac:dyDescent="0.25">
      <c r="G290" s="50"/>
    </row>
    <row r="291" spans="7:7" ht="15.75" customHeight="1" x14ac:dyDescent="0.25">
      <c r="G291" s="50"/>
    </row>
    <row r="292" spans="7:7" ht="15.75" customHeight="1" x14ac:dyDescent="0.25">
      <c r="G292" s="50"/>
    </row>
    <row r="293" spans="7:7" ht="15.75" customHeight="1" x14ac:dyDescent="0.25">
      <c r="G293" s="50"/>
    </row>
    <row r="294" spans="7:7" ht="15.75" customHeight="1" x14ac:dyDescent="0.25">
      <c r="G294" s="50"/>
    </row>
    <row r="295" spans="7:7" ht="15.75" customHeight="1" x14ac:dyDescent="0.25">
      <c r="G295" s="50"/>
    </row>
    <row r="296" spans="7:7" ht="15.75" customHeight="1" x14ac:dyDescent="0.25">
      <c r="G296" s="50"/>
    </row>
    <row r="297" spans="7:7" ht="15.75" customHeight="1" x14ac:dyDescent="0.25">
      <c r="G297" s="50"/>
    </row>
    <row r="298" spans="7:7" ht="15.75" customHeight="1" x14ac:dyDescent="0.25">
      <c r="G298" s="50"/>
    </row>
    <row r="299" spans="7:7" ht="15.75" customHeight="1" x14ac:dyDescent="0.25">
      <c r="G299" s="50"/>
    </row>
    <row r="300" spans="7:7" ht="15.75" customHeight="1" x14ac:dyDescent="0.25">
      <c r="G300" s="50"/>
    </row>
    <row r="301" spans="7:7" ht="15.75" customHeight="1" x14ac:dyDescent="0.25">
      <c r="G301" s="50"/>
    </row>
    <row r="302" spans="7:7" ht="15.75" customHeight="1" x14ac:dyDescent="0.25">
      <c r="G302" s="50"/>
    </row>
    <row r="303" spans="7:7" ht="15.75" customHeight="1" x14ac:dyDescent="0.25">
      <c r="G303" s="50"/>
    </row>
    <row r="304" spans="7:7" ht="15.75" customHeight="1" x14ac:dyDescent="0.25">
      <c r="G304" s="50"/>
    </row>
    <row r="305" spans="7:7" ht="15.75" customHeight="1" x14ac:dyDescent="0.25">
      <c r="G305" s="50"/>
    </row>
    <row r="306" spans="7:7" ht="15.75" customHeight="1" x14ac:dyDescent="0.25">
      <c r="G306" s="50"/>
    </row>
    <row r="307" spans="7:7" ht="15.75" customHeight="1" x14ac:dyDescent="0.25">
      <c r="G307" s="50"/>
    </row>
    <row r="308" spans="7:7" ht="15.75" customHeight="1" x14ac:dyDescent="0.25">
      <c r="G308" s="50"/>
    </row>
    <row r="309" spans="7:7" ht="15.75" customHeight="1" x14ac:dyDescent="0.25">
      <c r="G309" s="50"/>
    </row>
    <row r="310" spans="7:7" ht="15.75" customHeight="1" x14ac:dyDescent="0.25">
      <c r="G310" s="50"/>
    </row>
    <row r="311" spans="7:7" ht="15.75" customHeight="1" x14ac:dyDescent="0.25">
      <c r="G311" s="50"/>
    </row>
    <row r="312" spans="7:7" ht="15.75" customHeight="1" x14ac:dyDescent="0.25">
      <c r="G312" s="50"/>
    </row>
    <row r="313" spans="7:7" ht="15.75" customHeight="1" x14ac:dyDescent="0.25">
      <c r="G313" s="50"/>
    </row>
    <row r="314" spans="7:7" ht="15.75" customHeight="1" x14ac:dyDescent="0.25">
      <c r="G314" s="50"/>
    </row>
    <row r="315" spans="7:7" ht="15.75" customHeight="1" x14ac:dyDescent="0.25">
      <c r="G315" s="50"/>
    </row>
    <row r="316" spans="7:7" ht="15.75" customHeight="1" x14ac:dyDescent="0.25">
      <c r="G316" s="50"/>
    </row>
    <row r="317" spans="7:7" ht="15.75" customHeight="1" x14ac:dyDescent="0.25">
      <c r="G317" s="50"/>
    </row>
    <row r="318" spans="7:7" ht="15.75" customHeight="1" x14ac:dyDescent="0.25">
      <c r="G318" s="50"/>
    </row>
    <row r="319" spans="7:7" ht="15.75" customHeight="1" x14ac:dyDescent="0.25">
      <c r="G319" s="50"/>
    </row>
    <row r="320" spans="7:7" ht="15.75" customHeight="1" x14ac:dyDescent="0.25">
      <c r="G320" s="50"/>
    </row>
    <row r="321" spans="7:7" ht="15.75" customHeight="1" x14ac:dyDescent="0.25">
      <c r="G321" s="50"/>
    </row>
    <row r="322" spans="7:7" ht="15.75" customHeight="1" x14ac:dyDescent="0.25">
      <c r="G322" s="50"/>
    </row>
    <row r="323" spans="7:7" ht="15.75" customHeight="1" x14ac:dyDescent="0.25">
      <c r="G323" s="50"/>
    </row>
    <row r="324" spans="7:7" ht="15.75" customHeight="1" x14ac:dyDescent="0.25">
      <c r="G324" s="50"/>
    </row>
    <row r="325" spans="7:7" ht="15.75" customHeight="1" x14ac:dyDescent="0.25">
      <c r="G325" s="50"/>
    </row>
    <row r="326" spans="7:7" ht="15.75" customHeight="1" x14ac:dyDescent="0.25">
      <c r="G326" s="50"/>
    </row>
    <row r="327" spans="7:7" ht="15.75" customHeight="1" x14ac:dyDescent="0.25">
      <c r="G327" s="50"/>
    </row>
    <row r="328" spans="7:7" ht="15.75" customHeight="1" x14ac:dyDescent="0.25">
      <c r="G328" s="50"/>
    </row>
    <row r="329" spans="7:7" ht="15.75" customHeight="1" x14ac:dyDescent="0.25">
      <c r="G329" s="50"/>
    </row>
    <row r="330" spans="7:7" ht="15.75" customHeight="1" x14ac:dyDescent="0.25">
      <c r="G330" s="50"/>
    </row>
    <row r="331" spans="7:7" ht="15.75" customHeight="1" x14ac:dyDescent="0.25">
      <c r="G331" s="50"/>
    </row>
    <row r="332" spans="7:7" ht="15.75" customHeight="1" x14ac:dyDescent="0.25">
      <c r="G332" s="50"/>
    </row>
    <row r="333" spans="7:7" ht="15.75" customHeight="1" x14ac:dyDescent="0.25">
      <c r="G333" s="50"/>
    </row>
    <row r="334" spans="7:7" ht="15.75" customHeight="1" x14ac:dyDescent="0.25">
      <c r="G334" s="50"/>
    </row>
    <row r="335" spans="7:7" ht="15.75" customHeight="1" x14ac:dyDescent="0.25">
      <c r="G335" s="50"/>
    </row>
    <row r="336" spans="7:7" ht="15.75" customHeight="1" x14ac:dyDescent="0.25">
      <c r="G336" s="50"/>
    </row>
    <row r="337" spans="7:7" ht="15.75" customHeight="1" x14ac:dyDescent="0.25">
      <c r="G337" s="50"/>
    </row>
    <row r="338" spans="7:7" ht="15.75" customHeight="1" x14ac:dyDescent="0.25">
      <c r="G338" s="50"/>
    </row>
    <row r="339" spans="7:7" ht="15.75" customHeight="1" x14ac:dyDescent="0.25">
      <c r="G339" s="50"/>
    </row>
    <row r="340" spans="7:7" ht="15.75" customHeight="1" x14ac:dyDescent="0.25">
      <c r="G340" s="50"/>
    </row>
    <row r="341" spans="7:7" ht="15.75" customHeight="1" x14ac:dyDescent="0.25">
      <c r="G341" s="50"/>
    </row>
    <row r="342" spans="7:7" ht="15.75" customHeight="1" x14ac:dyDescent="0.25">
      <c r="G342" s="50"/>
    </row>
    <row r="343" spans="7:7" ht="15.75" customHeight="1" x14ac:dyDescent="0.25">
      <c r="G343" s="50"/>
    </row>
    <row r="344" spans="7:7" ht="15.75" customHeight="1" x14ac:dyDescent="0.25">
      <c r="G344" s="50"/>
    </row>
    <row r="345" spans="7:7" ht="15.75" customHeight="1" x14ac:dyDescent="0.25">
      <c r="G345" s="50"/>
    </row>
    <row r="346" spans="7:7" ht="15.75" customHeight="1" x14ac:dyDescent="0.25">
      <c r="G346" s="50"/>
    </row>
    <row r="347" spans="7:7" ht="15.75" customHeight="1" x14ac:dyDescent="0.25">
      <c r="G347" s="50"/>
    </row>
    <row r="348" spans="7:7" ht="15.75" customHeight="1" x14ac:dyDescent="0.25">
      <c r="G348" s="50"/>
    </row>
    <row r="349" spans="7:7" ht="15.75" customHeight="1" x14ac:dyDescent="0.25">
      <c r="G349" s="50"/>
    </row>
    <row r="350" spans="7:7" ht="15.75" customHeight="1" x14ac:dyDescent="0.25">
      <c r="G350" s="50"/>
    </row>
    <row r="351" spans="7:7" ht="15.75" customHeight="1" x14ac:dyDescent="0.25">
      <c r="G351" s="50"/>
    </row>
    <row r="352" spans="7:7" ht="15.75" customHeight="1" x14ac:dyDescent="0.25">
      <c r="G352" s="50"/>
    </row>
    <row r="353" spans="7:7" ht="15.75" customHeight="1" x14ac:dyDescent="0.25">
      <c r="G353" s="50"/>
    </row>
    <row r="354" spans="7:7" ht="15.75" customHeight="1" x14ac:dyDescent="0.25">
      <c r="G354" s="50"/>
    </row>
    <row r="355" spans="7:7" ht="15.75" customHeight="1" x14ac:dyDescent="0.25">
      <c r="G355" s="50"/>
    </row>
    <row r="356" spans="7:7" ht="15.75" customHeight="1" x14ac:dyDescent="0.25">
      <c r="G356" s="50"/>
    </row>
    <row r="357" spans="7:7" ht="15.75" customHeight="1" x14ac:dyDescent="0.25">
      <c r="G357" s="50"/>
    </row>
    <row r="358" spans="7:7" ht="15.75" customHeight="1" x14ac:dyDescent="0.25">
      <c r="G358" s="50"/>
    </row>
    <row r="359" spans="7:7" ht="15.75" customHeight="1" x14ac:dyDescent="0.25">
      <c r="G359" s="50"/>
    </row>
    <row r="360" spans="7:7" ht="15.75" customHeight="1" x14ac:dyDescent="0.25">
      <c r="G360" s="50"/>
    </row>
    <row r="361" spans="7:7" ht="15.75" customHeight="1" x14ac:dyDescent="0.25">
      <c r="G361" s="50"/>
    </row>
    <row r="362" spans="7:7" ht="15.75" customHeight="1" x14ac:dyDescent="0.25">
      <c r="G362" s="50"/>
    </row>
    <row r="363" spans="7:7" ht="15.75" customHeight="1" x14ac:dyDescent="0.25">
      <c r="G363" s="50"/>
    </row>
    <row r="364" spans="7:7" ht="15.75" customHeight="1" x14ac:dyDescent="0.25">
      <c r="G364" s="50"/>
    </row>
    <row r="365" spans="7:7" ht="15.75" customHeight="1" x14ac:dyDescent="0.25">
      <c r="G365" s="50"/>
    </row>
    <row r="366" spans="7:7" ht="15.75" customHeight="1" x14ac:dyDescent="0.25">
      <c r="G366" s="50"/>
    </row>
    <row r="367" spans="7:7" ht="15.75" customHeight="1" x14ac:dyDescent="0.25">
      <c r="G367" s="50"/>
    </row>
    <row r="368" spans="7:7" ht="15.75" customHeight="1" x14ac:dyDescent="0.25">
      <c r="G368" s="50"/>
    </row>
    <row r="369" spans="7:7" ht="15.75" customHeight="1" x14ac:dyDescent="0.25">
      <c r="G369" s="50"/>
    </row>
    <row r="370" spans="7:7" ht="15.75" customHeight="1" x14ac:dyDescent="0.25">
      <c r="G370" s="50"/>
    </row>
    <row r="371" spans="7:7" ht="15.75" customHeight="1" x14ac:dyDescent="0.25">
      <c r="G371" s="50"/>
    </row>
    <row r="372" spans="7:7" ht="15.75" customHeight="1" x14ac:dyDescent="0.25">
      <c r="G372" s="50"/>
    </row>
    <row r="373" spans="7:7" ht="15.75" customHeight="1" x14ac:dyDescent="0.25">
      <c r="G373" s="50"/>
    </row>
    <row r="374" spans="7:7" ht="15.75" customHeight="1" x14ac:dyDescent="0.25">
      <c r="G374" s="50"/>
    </row>
    <row r="375" spans="7:7" ht="15.75" customHeight="1" x14ac:dyDescent="0.25">
      <c r="G375" s="50"/>
    </row>
    <row r="376" spans="7:7" ht="15.75" customHeight="1" x14ac:dyDescent="0.25">
      <c r="G376" s="50"/>
    </row>
    <row r="377" spans="7:7" ht="15.75" customHeight="1" x14ac:dyDescent="0.25">
      <c r="G377" s="50"/>
    </row>
    <row r="378" spans="7:7" ht="15.75" customHeight="1" x14ac:dyDescent="0.25">
      <c r="G378" s="50"/>
    </row>
    <row r="379" spans="7:7" ht="15.75" customHeight="1" x14ac:dyDescent="0.25">
      <c r="G379" s="50"/>
    </row>
    <row r="380" spans="7:7" ht="15.75" customHeight="1" x14ac:dyDescent="0.25">
      <c r="G380" s="50"/>
    </row>
    <row r="381" spans="7:7" ht="15.75" customHeight="1" x14ac:dyDescent="0.25">
      <c r="G381" s="50"/>
    </row>
    <row r="382" spans="7:7" ht="15.75" customHeight="1" x14ac:dyDescent="0.25">
      <c r="G382" s="50"/>
    </row>
    <row r="383" spans="7:7" ht="15.75" customHeight="1" x14ac:dyDescent="0.25">
      <c r="G383" s="50"/>
    </row>
    <row r="384" spans="7:7" ht="15.75" customHeight="1" x14ac:dyDescent="0.25">
      <c r="G384" s="50"/>
    </row>
    <row r="385" spans="7:7" ht="15.75" customHeight="1" x14ac:dyDescent="0.25">
      <c r="G385" s="50"/>
    </row>
    <row r="386" spans="7:7" ht="15.75" customHeight="1" x14ac:dyDescent="0.25">
      <c r="G386" s="50"/>
    </row>
    <row r="387" spans="7:7" ht="15.75" customHeight="1" x14ac:dyDescent="0.25">
      <c r="G387" s="50"/>
    </row>
    <row r="388" spans="7:7" ht="15.75" customHeight="1" x14ac:dyDescent="0.25">
      <c r="G388" s="50"/>
    </row>
    <row r="389" spans="7:7" ht="15.75" customHeight="1" x14ac:dyDescent="0.25">
      <c r="G389" s="50"/>
    </row>
    <row r="390" spans="7:7" ht="15.75" customHeight="1" x14ac:dyDescent="0.25">
      <c r="G390" s="50"/>
    </row>
    <row r="391" spans="7:7" ht="15.75" customHeight="1" x14ac:dyDescent="0.25">
      <c r="G391" s="50"/>
    </row>
    <row r="392" spans="7:7" ht="15.75" customHeight="1" x14ac:dyDescent="0.25">
      <c r="G392" s="50"/>
    </row>
    <row r="393" spans="7:7" ht="15.75" customHeight="1" x14ac:dyDescent="0.25">
      <c r="G393" s="50"/>
    </row>
    <row r="394" spans="7:7" ht="15.75" customHeight="1" x14ac:dyDescent="0.25">
      <c r="G394" s="50"/>
    </row>
    <row r="395" spans="7:7" ht="15.75" customHeight="1" x14ac:dyDescent="0.25">
      <c r="G395" s="50"/>
    </row>
    <row r="396" spans="7:7" ht="15.75" customHeight="1" x14ac:dyDescent="0.25">
      <c r="G396" s="50"/>
    </row>
    <row r="397" spans="7:7" ht="15.75" customHeight="1" x14ac:dyDescent="0.25">
      <c r="G397" s="50"/>
    </row>
    <row r="398" spans="7:7" ht="15.75" customHeight="1" x14ac:dyDescent="0.25">
      <c r="G398" s="50"/>
    </row>
    <row r="399" spans="7:7" ht="15.75" customHeight="1" x14ac:dyDescent="0.25">
      <c r="G399" s="50"/>
    </row>
    <row r="400" spans="7:7" ht="15.75" customHeight="1" x14ac:dyDescent="0.25">
      <c r="G400" s="50"/>
    </row>
    <row r="401" spans="7:7" ht="15.75" customHeight="1" x14ac:dyDescent="0.25">
      <c r="G401" s="50"/>
    </row>
    <row r="402" spans="7:7" ht="15.75" customHeight="1" x14ac:dyDescent="0.25">
      <c r="G402" s="50"/>
    </row>
    <row r="403" spans="7:7" ht="15.75" customHeight="1" x14ac:dyDescent="0.25">
      <c r="G403" s="50"/>
    </row>
    <row r="404" spans="7:7" ht="15.75" customHeight="1" x14ac:dyDescent="0.25">
      <c r="G404" s="50"/>
    </row>
    <row r="405" spans="7:7" ht="15.75" customHeight="1" x14ac:dyDescent="0.25">
      <c r="G405" s="50"/>
    </row>
    <row r="406" spans="7:7" ht="15.75" customHeight="1" x14ac:dyDescent="0.25">
      <c r="G406" s="50"/>
    </row>
    <row r="407" spans="7:7" ht="15.75" customHeight="1" x14ac:dyDescent="0.25">
      <c r="G407" s="50"/>
    </row>
    <row r="408" spans="7:7" ht="15.75" customHeight="1" x14ac:dyDescent="0.25">
      <c r="G408" s="50"/>
    </row>
    <row r="409" spans="7:7" ht="15.75" customHeight="1" x14ac:dyDescent="0.25">
      <c r="G409" s="50"/>
    </row>
    <row r="410" spans="7:7" ht="15.75" customHeight="1" x14ac:dyDescent="0.25">
      <c r="G410" s="50"/>
    </row>
    <row r="411" spans="7:7" ht="15.75" customHeight="1" x14ac:dyDescent="0.25">
      <c r="G411" s="50"/>
    </row>
    <row r="412" spans="7:7" ht="15.75" customHeight="1" x14ac:dyDescent="0.25">
      <c r="G412" s="50"/>
    </row>
    <row r="413" spans="7:7" ht="15.75" customHeight="1" x14ac:dyDescent="0.25">
      <c r="G413" s="50"/>
    </row>
    <row r="414" spans="7:7" ht="15.75" customHeight="1" x14ac:dyDescent="0.25">
      <c r="G414" s="50"/>
    </row>
    <row r="415" spans="7:7" ht="15.75" customHeight="1" x14ac:dyDescent="0.25">
      <c r="G415" s="50"/>
    </row>
    <row r="416" spans="7:7" ht="15.75" customHeight="1" x14ac:dyDescent="0.25">
      <c r="G416" s="50"/>
    </row>
    <row r="417" spans="7:7" ht="15.75" customHeight="1" x14ac:dyDescent="0.25">
      <c r="G417" s="50"/>
    </row>
    <row r="418" spans="7:7" ht="15.75" customHeight="1" x14ac:dyDescent="0.25">
      <c r="G418" s="50"/>
    </row>
    <row r="419" spans="7:7" ht="15.75" customHeight="1" x14ac:dyDescent="0.25">
      <c r="G419" s="50"/>
    </row>
    <row r="420" spans="7:7" ht="15.75" customHeight="1" x14ac:dyDescent="0.25">
      <c r="G420" s="50"/>
    </row>
    <row r="421" spans="7:7" ht="15.75" customHeight="1" x14ac:dyDescent="0.25">
      <c r="G421" s="50"/>
    </row>
    <row r="422" spans="7:7" ht="15.75" customHeight="1" x14ac:dyDescent="0.25">
      <c r="G422" s="50"/>
    </row>
    <row r="423" spans="7:7" ht="15.75" customHeight="1" x14ac:dyDescent="0.25">
      <c r="G423" s="50"/>
    </row>
    <row r="424" spans="7:7" ht="15.75" customHeight="1" x14ac:dyDescent="0.25">
      <c r="G424" s="50"/>
    </row>
    <row r="425" spans="7:7" ht="15.75" customHeight="1" x14ac:dyDescent="0.25">
      <c r="G425" s="50"/>
    </row>
    <row r="426" spans="7:7" ht="15.75" customHeight="1" x14ac:dyDescent="0.25">
      <c r="G426" s="50"/>
    </row>
    <row r="427" spans="7:7" ht="15.75" customHeight="1" x14ac:dyDescent="0.25">
      <c r="G427" s="50"/>
    </row>
    <row r="428" spans="7:7" ht="15.75" customHeight="1" x14ac:dyDescent="0.25">
      <c r="G428" s="50"/>
    </row>
    <row r="429" spans="7:7" ht="15.75" customHeight="1" x14ac:dyDescent="0.25">
      <c r="G429" s="50"/>
    </row>
    <row r="430" spans="7:7" ht="15.75" customHeight="1" x14ac:dyDescent="0.25">
      <c r="G430" s="50"/>
    </row>
    <row r="431" spans="7:7" ht="15.75" customHeight="1" x14ac:dyDescent="0.25">
      <c r="G431" s="50"/>
    </row>
    <row r="432" spans="7:7" ht="15.75" customHeight="1" x14ac:dyDescent="0.25">
      <c r="G432" s="50"/>
    </row>
    <row r="433" spans="7:7" ht="15.75" customHeight="1" x14ac:dyDescent="0.25">
      <c r="G433" s="50"/>
    </row>
    <row r="434" spans="7:7" ht="15.75" customHeight="1" x14ac:dyDescent="0.25">
      <c r="G434" s="50"/>
    </row>
    <row r="435" spans="7:7" ht="15.75" customHeight="1" x14ac:dyDescent="0.25">
      <c r="G435" s="50"/>
    </row>
    <row r="436" spans="7:7" ht="15.75" customHeight="1" x14ac:dyDescent="0.25">
      <c r="G436" s="50"/>
    </row>
    <row r="437" spans="7:7" ht="15.75" customHeight="1" x14ac:dyDescent="0.25">
      <c r="G437" s="50"/>
    </row>
    <row r="438" spans="7:7" ht="15.75" customHeight="1" x14ac:dyDescent="0.25">
      <c r="G438" s="50"/>
    </row>
    <row r="439" spans="7:7" ht="15.75" customHeight="1" x14ac:dyDescent="0.25">
      <c r="G439" s="50"/>
    </row>
    <row r="440" spans="7:7" ht="15.75" customHeight="1" x14ac:dyDescent="0.25">
      <c r="G440" s="50"/>
    </row>
    <row r="441" spans="7:7" ht="15.75" customHeight="1" x14ac:dyDescent="0.25">
      <c r="G441" s="50"/>
    </row>
    <row r="442" spans="7:7" ht="15.75" customHeight="1" x14ac:dyDescent="0.25">
      <c r="G442" s="50"/>
    </row>
    <row r="443" spans="7:7" ht="15.75" customHeight="1" x14ac:dyDescent="0.25">
      <c r="G443" s="50"/>
    </row>
    <row r="444" spans="7:7" ht="15.75" customHeight="1" x14ac:dyDescent="0.25">
      <c r="G444" s="50"/>
    </row>
    <row r="445" spans="7:7" ht="15.75" customHeight="1" x14ac:dyDescent="0.25">
      <c r="G445" s="50"/>
    </row>
    <row r="446" spans="7:7" ht="15.75" customHeight="1" x14ac:dyDescent="0.25">
      <c r="G446" s="50"/>
    </row>
    <row r="447" spans="7:7" ht="15.75" customHeight="1" x14ac:dyDescent="0.25">
      <c r="G447" s="50"/>
    </row>
    <row r="448" spans="7:7" ht="15.75" customHeight="1" x14ac:dyDescent="0.25">
      <c r="G448" s="50"/>
    </row>
    <row r="449" spans="7:7" ht="15.75" customHeight="1" x14ac:dyDescent="0.25">
      <c r="G449" s="50"/>
    </row>
    <row r="450" spans="7:7" ht="15.75" customHeight="1" x14ac:dyDescent="0.25">
      <c r="G450" s="50"/>
    </row>
    <row r="451" spans="7:7" ht="15.75" customHeight="1" x14ac:dyDescent="0.25">
      <c r="G451" s="50"/>
    </row>
    <row r="452" spans="7:7" ht="15.75" customHeight="1" x14ac:dyDescent="0.25">
      <c r="G452" s="50"/>
    </row>
    <row r="453" spans="7:7" ht="15.75" customHeight="1" x14ac:dyDescent="0.25">
      <c r="G453" s="50"/>
    </row>
    <row r="454" spans="7:7" ht="15.75" customHeight="1" x14ac:dyDescent="0.25">
      <c r="G454" s="50"/>
    </row>
    <row r="455" spans="7:7" ht="15.75" customHeight="1" x14ac:dyDescent="0.25">
      <c r="G455" s="50"/>
    </row>
    <row r="456" spans="7:7" ht="15.75" customHeight="1" x14ac:dyDescent="0.25">
      <c r="G456" s="50"/>
    </row>
    <row r="457" spans="7:7" ht="15.75" customHeight="1" x14ac:dyDescent="0.25">
      <c r="G457" s="50"/>
    </row>
    <row r="458" spans="7:7" ht="15.75" customHeight="1" x14ac:dyDescent="0.25">
      <c r="G458" s="50"/>
    </row>
    <row r="459" spans="7:7" ht="15.75" customHeight="1" x14ac:dyDescent="0.25">
      <c r="G459" s="50"/>
    </row>
    <row r="460" spans="7:7" ht="15.75" customHeight="1" x14ac:dyDescent="0.25">
      <c r="G460" s="50"/>
    </row>
    <row r="461" spans="7:7" ht="15.75" customHeight="1" x14ac:dyDescent="0.25">
      <c r="G461" s="50"/>
    </row>
    <row r="462" spans="7:7" ht="15.75" customHeight="1" x14ac:dyDescent="0.25">
      <c r="G462" s="50"/>
    </row>
    <row r="463" spans="7:7" ht="15.75" customHeight="1" x14ac:dyDescent="0.25">
      <c r="G463" s="50"/>
    </row>
    <row r="464" spans="7:7" ht="15.75" customHeight="1" x14ac:dyDescent="0.25">
      <c r="G464" s="50"/>
    </row>
    <row r="465" spans="7:7" ht="15.75" customHeight="1" x14ac:dyDescent="0.25">
      <c r="G465" s="50"/>
    </row>
    <row r="466" spans="7:7" ht="15.75" customHeight="1" x14ac:dyDescent="0.25">
      <c r="G466" s="50"/>
    </row>
    <row r="467" spans="7:7" ht="15.75" customHeight="1" x14ac:dyDescent="0.25">
      <c r="G467" s="50"/>
    </row>
    <row r="468" spans="7:7" ht="15.75" customHeight="1" x14ac:dyDescent="0.25">
      <c r="G468" s="50"/>
    </row>
    <row r="469" spans="7:7" ht="15.75" customHeight="1" x14ac:dyDescent="0.25">
      <c r="G469" s="50"/>
    </row>
    <row r="470" spans="7:7" ht="15.75" customHeight="1" x14ac:dyDescent="0.25">
      <c r="G470" s="50"/>
    </row>
    <row r="471" spans="7:7" ht="15.75" customHeight="1" x14ac:dyDescent="0.25">
      <c r="G471" s="50"/>
    </row>
    <row r="472" spans="7:7" ht="15.75" customHeight="1" x14ac:dyDescent="0.25">
      <c r="G472" s="50"/>
    </row>
    <row r="473" spans="7:7" ht="15.75" customHeight="1" x14ac:dyDescent="0.25">
      <c r="G473" s="50"/>
    </row>
    <row r="474" spans="7:7" ht="15.75" customHeight="1" x14ac:dyDescent="0.25">
      <c r="G474" s="50"/>
    </row>
    <row r="475" spans="7:7" ht="15.75" customHeight="1" x14ac:dyDescent="0.25">
      <c r="G475" s="50"/>
    </row>
    <row r="476" spans="7:7" ht="15.75" customHeight="1" x14ac:dyDescent="0.25">
      <c r="G476" s="50"/>
    </row>
    <row r="477" spans="7:7" ht="15.75" customHeight="1" x14ac:dyDescent="0.25">
      <c r="G477" s="50"/>
    </row>
    <row r="478" spans="7:7" ht="15.75" customHeight="1" x14ac:dyDescent="0.25">
      <c r="G478" s="50"/>
    </row>
    <row r="479" spans="7:7" ht="15.75" customHeight="1" x14ac:dyDescent="0.25">
      <c r="G479" s="50"/>
    </row>
    <row r="480" spans="7:7" ht="15.75" customHeight="1" x14ac:dyDescent="0.25">
      <c r="G480" s="50"/>
    </row>
    <row r="481" spans="7:7" ht="15.75" customHeight="1" x14ac:dyDescent="0.25">
      <c r="G481" s="50"/>
    </row>
    <row r="482" spans="7:7" ht="15.75" customHeight="1" x14ac:dyDescent="0.25">
      <c r="G482" s="50"/>
    </row>
    <row r="483" spans="7:7" ht="15.75" customHeight="1" x14ac:dyDescent="0.25">
      <c r="G483" s="50"/>
    </row>
    <row r="484" spans="7:7" ht="15.75" customHeight="1" x14ac:dyDescent="0.25">
      <c r="G484" s="50"/>
    </row>
    <row r="485" spans="7:7" ht="15.75" customHeight="1" x14ac:dyDescent="0.25">
      <c r="G485" s="50"/>
    </row>
    <row r="486" spans="7:7" ht="15.75" customHeight="1" x14ac:dyDescent="0.25">
      <c r="G486" s="50"/>
    </row>
    <row r="487" spans="7:7" ht="15.75" customHeight="1" x14ac:dyDescent="0.25">
      <c r="G487" s="50"/>
    </row>
    <row r="488" spans="7:7" ht="15.75" customHeight="1" x14ac:dyDescent="0.25">
      <c r="G488" s="50"/>
    </row>
    <row r="489" spans="7:7" ht="15.75" customHeight="1" x14ac:dyDescent="0.25">
      <c r="G489" s="50"/>
    </row>
    <row r="490" spans="7:7" ht="15.75" customHeight="1" x14ac:dyDescent="0.25">
      <c r="G490" s="50"/>
    </row>
    <row r="491" spans="7:7" ht="15.75" customHeight="1" x14ac:dyDescent="0.25">
      <c r="G491" s="50"/>
    </row>
    <row r="492" spans="7:7" ht="15.75" customHeight="1" x14ac:dyDescent="0.25">
      <c r="G492" s="50"/>
    </row>
    <row r="493" spans="7:7" ht="15.75" customHeight="1" x14ac:dyDescent="0.25">
      <c r="G493" s="50"/>
    </row>
    <row r="494" spans="7:7" ht="15.75" customHeight="1" x14ac:dyDescent="0.25">
      <c r="G494" s="50"/>
    </row>
    <row r="495" spans="7:7" ht="15.75" customHeight="1" x14ac:dyDescent="0.25">
      <c r="G495" s="50"/>
    </row>
    <row r="496" spans="7:7" ht="15.75" customHeight="1" x14ac:dyDescent="0.25">
      <c r="G496" s="50"/>
    </row>
    <row r="497" spans="7:7" ht="15.75" customHeight="1" x14ac:dyDescent="0.25">
      <c r="G497" s="50"/>
    </row>
    <row r="498" spans="7:7" ht="15.75" customHeight="1" x14ac:dyDescent="0.25">
      <c r="G498" s="50"/>
    </row>
    <row r="499" spans="7:7" ht="15.75" customHeight="1" x14ac:dyDescent="0.25">
      <c r="G499" s="50"/>
    </row>
    <row r="500" spans="7:7" ht="15.75" customHeight="1" x14ac:dyDescent="0.25">
      <c r="G500" s="50"/>
    </row>
    <row r="501" spans="7:7" ht="15.75" customHeight="1" x14ac:dyDescent="0.25">
      <c r="G501" s="50"/>
    </row>
    <row r="502" spans="7:7" ht="15.75" customHeight="1" x14ac:dyDescent="0.25">
      <c r="G502" s="50"/>
    </row>
    <row r="503" spans="7:7" ht="15.75" customHeight="1" x14ac:dyDescent="0.25">
      <c r="G503" s="50"/>
    </row>
    <row r="504" spans="7:7" ht="15.75" customHeight="1" x14ac:dyDescent="0.25">
      <c r="G504" s="50"/>
    </row>
    <row r="505" spans="7:7" ht="15.75" customHeight="1" x14ac:dyDescent="0.25">
      <c r="G505" s="50"/>
    </row>
    <row r="506" spans="7:7" ht="15.75" customHeight="1" x14ac:dyDescent="0.25">
      <c r="G506" s="50"/>
    </row>
    <row r="507" spans="7:7" ht="15.75" customHeight="1" x14ac:dyDescent="0.25">
      <c r="G507" s="50"/>
    </row>
    <row r="508" spans="7:7" ht="15.75" customHeight="1" x14ac:dyDescent="0.25">
      <c r="G508" s="50"/>
    </row>
    <row r="509" spans="7:7" ht="15.75" customHeight="1" x14ac:dyDescent="0.25">
      <c r="G509" s="50"/>
    </row>
    <row r="510" spans="7:7" ht="15.75" customHeight="1" x14ac:dyDescent="0.25">
      <c r="G510" s="50"/>
    </row>
    <row r="511" spans="7:7" ht="15.75" customHeight="1" x14ac:dyDescent="0.25">
      <c r="G511" s="50"/>
    </row>
    <row r="512" spans="7:7" ht="15.75" customHeight="1" x14ac:dyDescent="0.25">
      <c r="G512" s="50"/>
    </row>
    <row r="513" spans="7:7" ht="15.75" customHeight="1" x14ac:dyDescent="0.25">
      <c r="G513" s="50"/>
    </row>
    <row r="514" spans="7:7" ht="15.75" customHeight="1" x14ac:dyDescent="0.25">
      <c r="G514" s="50"/>
    </row>
    <row r="515" spans="7:7" ht="15.75" customHeight="1" x14ac:dyDescent="0.25">
      <c r="G515" s="50"/>
    </row>
    <row r="516" spans="7:7" ht="15.75" customHeight="1" x14ac:dyDescent="0.25">
      <c r="G516" s="50"/>
    </row>
    <row r="517" spans="7:7" ht="15.75" customHeight="1" x14ac:dyDescent="0.25">
      <c r="G517" s="50"/>
    </row>
    <row r="518" spans="7:7" ht="15.75" customHeight="1" x14ac:dyDescent="0.25">
      <c r="G518" s="50"/>
    </row>
    <row r="519" spans="7:7" ht="15.75" customHeight="1" x14ac:dyDescent="0.25">
      <c r="G519" s="50"/>
    </row>
    <row r="520" spans="7:7" ht="15.75" customHeight="1" x14ac:dyDescent="0.25">
      <c r="G520" s="50"/>
    </row>
    <row r="521" spans="7:7" ht="15.75" customHeight="1" x14ac:dyDescent="0.25">
      <c r="G521" s="50"/>
    </row>
    <row r="522" spans="7:7" ht="15.75" customHeight="1" x14ac:dyDescent="0.25">
      <c r="G522" s="50"/>
    </row>
    <row r="523" spans="7:7" ht="15.75" customHeight="1" x14ac:dyDescent="0.25">
      <c r="G523" s="50"/>
    </row>
    <row r="524" spans="7:7" ht="15.75" customHeight="1" x14ac:dyDescent="0.25">
      <c r="G524" s="50"/>
    </row>
    <row r="525" spans="7:7" ht="15.75" customHeight="1" x14ac:dyDescent="0.25">
      <c r="G525" s="50"/>
    </row>
    <row r="526" spans="7:7" ht="15.75" customHeight="1" x14ac:dyDescent="0.25">
      <c r="G526" s="50"/>
    </row>
    <row r="527" spans="7:7" ht="15.75" customHeight="1" x14ac:dyDescent="0.25">
      <c r="G527" s="50"/>
    </row>
    <row r="528" spans="7:7" ht="15.75" customHeight="1" x14ac:dyDescent="0.25">
      <c r="G528" s="50"/>
    </row>
    <row r="529" spans="7:7" ht="15.75" customHeight="1" x14ac:dyDescent="0.25">
      <c r="G529" s="50"/>
    </row>
    <row r="530" spans="7:7" ht="15.75" customHeight="1" x14ac:dyDescent="0.25">
      <c r="G530" s="50"/>
    </row>
    <row r="531" spans="7:7" ht="15.75" customHeight="1" x14ac:dyDescent="0.25">
      <c r="G531" s="50"/>
    </row>
    <row r="532" spans="7:7" ht="15.75" customHeight="1" x14ac:dyDescent="0.25">
      <c r="G532" s="50"/>
    </row>
    <row r="533" spans="7:7" ht="15.75" customHeight="1" x14ac:dyDescent="0.25">
      <c r="G533" s="50"/>
    </row>
    <row r="534" spans="7:7" ht="15.75" customHeight="1" x14ac:dyDescent="0.25">
      <c r="G534" s="50"/>
    </row>
    <row r="535" spans="7:7" ht="15.75" customHeight="1" x14ac:dyDescent="0.25">
      <c r="G535" s="50"/>
    </row>
    <row r="536" spans="7:7" ht="15.75" customHeight="1" x14ac:dyDescent="0.25">
      <c r="G536" s="50"/>
    </row>
    <row r="537" spans="7:7" ht="15.75" customHeight="1" x14ac:dyDescent="0.25">
      <c r="G537" s="50"/>
    </row>
    <row r="538" spans="7:7" ht="15.75" customHeight="1" x14ac:dyDescent="0.25">
      <c r="G538" s="50"/>
    </row>
    <row r="539" spans="7:7" ht="15.75" customHeight="1" x14ac:dyDescent="0.25">
      <c r="G539" s="50"/>
    </row>
    <row r="540" spans="7:7" ht="15.75" customHeight="1" x14ac:dyDescent="0.25">
      <c r="G540" s="50"/>
    </row>
    <row r="541" spans="7:7" ht="15.75" customHeight="1" x14ac:dyDescent="0.25">
      <c r="G541" s="50"/>
    </row>
    <row r="542" spans="7:7" ht="15.75" customHeight="1" x14ac:dyDescent="0.25">
      <c r="G542" s="50"/>
    </row>
    <row r="543" spans="7:7" ht="15.75" customHeight="1" x14ac:dyDescent="0.25">
      <c r="G543" s="50"/>
    </row>
    <row r="544" spans="7:7" ht="15.75" customHeight="1" x14ac:dyDescent="0.25">
      <c r="G544" s="50"/>
    </row>
    <row r="545" spans="7:7" ht="15.75" customHeight="1" x14ac:dyDescent="0.25">
      <c r="G545" s="50"/>
    </row>
    <row r="546" spans="7:7" ht="15.75" customHeight="1" x14ac:dyDescent="0.25">
      <c r="G546" s="50"/>
    </row>
    <row r="547" spans="7:7" ht="15.75" customHeight="1" x14ac:dyDescent="0.25">
      <c r="G547" s="50"/>
    </row>
    <row r="548" spans="7:7" ht="15.75" customHeight="1" x14ac:dyDescent="0.25">
      <c r="G548" s="50"/>
    </row>
    <row r="549" spans="7:7" ht="15.75" customHeight="1" x14ac:dyDescent="0.25">
      <c r="G549" s="50"/>
    </row>
    <row r="550" spans="7:7" ht="15.75" customHeight="1" x14ac:dyDescent="0.25">
      <c r="G550" s="50"/>
    </row>
    <row r="551" spans="7:7" ht="15.75" customHeight="1" x14ac:dyDescent="0.25">
      <c r="G551" s="50"/>
    </row>
    <row r="552" spans="7:7" ht="15.75" customHeight="1" x14ac:dyDescent="0.25">
      <c r="G552" s="50"/>
    </row>
    <row r="553" spans="7:7" ht="15.75" customHeight="1" x14ac:dyDescent="0.25">
      <c r="G553" s="50"/>
    </row>
    <row r="554" spans="7:7" ht="15.75" customHeight="1" x14ac:dyDescent="0.25">
      <c r="G554" s="50"/>
    </row>
    <row r="555" spans="7:7" ht="15.75" customHeight="1" x14ac:dyDescent="0.25">
      <c r="G555" s="50"/>
    </row>
    <row r="556" spans="7:7" ht="15.75" customHeight="1" x14ac:dyDescent="0.25">
      <c r="G556" s="50"/>
    </row>
    <row r="557" spans="7:7" ht="15.75" customHeight="1" x14ac:dyDescent="0.25">
      <c r="G557" s="50"/>
    </row>
    <row r="558" spans="7:7" ht="15.75" customHeight="1" x14ac:dyDescent="0.25">
      <c r="G558" s="50"/>
    </row>
    <row r="559" spans="7:7" ht="15.75" customHeight="1" x14ac:dyDescent="0.25">
      <c r="G559" s="50"/>
    </row>
    <row r="560" spans="7:7" ht="15.75" customHeight="1" x14ac:dyDescent="0.25">
      <c r="G560" s="50"/>
    </row>
    <row r="561" spans="7:7" ht="15.75" customHeight="1" x14ac:dyDescent="0.25">
      <c r="G561" s="50"/>
    </row>
    <row r="562" spans="7:7" ht="15.75" customHeight="1" x14ac:dyDescent="0.25">
      <c r="G562" s="50"/>
    </row>
    <row r="563" spans="7:7" ht="15.75" customHeight="1" x14ac:dyDescent="0.25">
      <c r="G563" s="50"/>
    </row>
    <row r="564" spans="7:7" ht="15.75" customHeight="1" x14ac:dyDescent="0.25">
      <c r="G564" s="50"/>
    </row>
    <row r="565" spans="7:7" ht="15.75" customHeight="1" x14ac:dyDescent="0.25">
      <c r="G565" s="50"/>
    </row>
    <row r="566" spans="7:7" ht="15.75" customHeight="1" x14ac:dyDescent="0.25">
      <c r="G566" s="50"/>
    </row>
    <row r="567" spans="7:7" ht="15.75" customHeight="1" x14ac:dyDescent="0.25">
      <c r="G567" s="50"/>
    </row>
    <row r="568" spans="7:7" ht="15.75" customHeight="1" x14ac:dyDescent="0.25">
      <c r="G568" s="50"/>
    </row>
    <row r="569" spans="7:7" ht="15.75" customHeight="1" x14ac:dyDescent="0.25">
      <c r="G569" s="50"/>
    </row>
    <row r="570" spans="7:7" ht="15.75" customHeight="1" x14ac:dyDescent="0.25">
      <c r="G570" s="50"/>
    </row>
    <row r="571" spans="7:7" ht="15.75" customHeight="1" x14ac:dyDescent="0.25">
      <c r="G571" s="50"/>
    </row>
    <row r="572" spans="7:7" ht="15.75" customHeight="1" x14ac:dyDescent="0.25">
      <c r="G572" s="50"/>
    </row>
    <row r="573" spans="7:7" ht="15.75" customHeight="1" x14ac:dyDescent="0.25">
      <c r="G573" s="50"/>
    </row>
    <row r="574" spans="7:7" ht="15.75" customHeight="1" x14ac:dyDescent="0.25">
      <c r="G574" s="50"/>
    </row>
    <row r="575" spans="7:7" ht="15.75" customHeight="1" x14ac:dyDescent="0.25">
      <c r="G575" s="50"/>
    </row>
    <row r="576" spans="7:7" ht="15.75" customHeight="1" x14ac:dyDescent="0.25">
      <c r="G576" s="50"/>
    </row>
    <row r="577" spans="7:7" ht="15.75" customHeight="1" x14ac:dyDescent="0.25">
      <c r="G577" s="50"/>
    </row>
    <row r="578" spans="7:7" ht="15.75" customHeight="1" x14ac:dyDescent="0.25">
      <c r="G578" s="50"/>
    </row>
    <row r="579" spans="7:7" ht="15.75" customHeight="1" x14ac:dyDescent="0.25">
      <c r="G579" s="50"/>
    </row>
    <row r="580" spans="7:7" ht="15.75" customHeight="1" x14ac:dyDescent="0.25">
      <c r="G580" s="50"/>
    </row>
    <row r="581" spans="7:7" ht="15.75" customHeight="1" x14ac:dyDescent="0.25">
      <c r="G581" s="50"/>
    </row>
    <row r="582" spans="7:7" ht="15.75" customHeight="1" x14ac:dyDescent="0.25">
      <c r="G582" s="50"/>
    </row>
    <row r="583" spans="7:7" ht="15.75" customHeight="1" x14ac:dyDescent="0.25">
      <c r="G583" s="50"/>
    </row>
    <row r="584" spans="7:7" ht="15.75" customHeight="1" x14ac:dyDescent="0.25">
      <c r="G584" s="50"/>
    </row>
    <row r="585" spans="7:7" ht="15.75" customHeight="1" x14ac:dyDescent="0.25">
      <c r="G585" s="50"/>
    </row>
    <row r="586" spans="7:7" ht="15.75" customHeight="1" x14ac:dyDescent="0.25">
      <c r="G586" s="50"/>
    </row>
    <row r="587" spans="7:7" ht="15.75" customHeight="1" x14ac:dyDescent="0.25">
      <c r="G587" s="50"/>
    </row>
    <row r="588" spans="7:7" ht="15.75" customHeight="1" x14ac:dyDescent="0.25">
      <c r="G588" s="50"/>
    </row>
    <row r="589" spans="7:7" ht="15.75" customHeight="1" x14ac:dyDescent="0.25">
      <c r="G589" s="50"/>
    </row>
    <row r="590" spans="7:7" ht="15.75" customHeight="1" x14ac:dyDescent="0.25">
      <c r="G590" s="50"/>
    </row>
    <row r="591" spans="7:7" ht="15.75" customHeight="1" x14ac:dyDescent="0.25">
      <c r="G591" s="50"/>
    </row>
    <row r="592" spans="7:7" ht="15.75" customHeight="1" x14ac:dyDescent="0.25">
      <c r="G592" s="50"/>
    </row>
    <row r="593" spans="7:7" ht="15.75" customHeight="1" x14ac:dyDescent="0.25">
      <c r="G593" s="50"/>
    </row>
    <row r="594" spans="7:7" ht="15.75" customHeight="1" x14ac:dyDescent="0.25">
      <c r="G594" s="50"/>
    </row>
    <row r="595" spans="7:7" ht="15.75" customHeight="1" x14ac:dyDescent="0.25">
      <c r="G595" s="50"/>
    </row>
    <row r="596" spans="7:7" ht="15.75" customHeight="1" x14ac:dyDescent="0.25">
      <c r="G596" s="50"/>
    </row>
    <row r="597" spans="7:7" ht="15.75" customHeight="1" x14ac:dyDescent="0.25">
      <c r="G597" s="50"/>
    </row>
    <row r="598" spans="7:7" ht="15.75" customHeight="1" x14ac:dyDescent="0.25">
      <c r="G598" s="50"/>
    </row>
    <row r="599" spans="7:7" ht="15.75" customHeight="1" x14ac:dyDescent="0.25">
      <c r="G599" s="50"/>
    </row>
    <row r="600" spans="7:7" ht="15.75" customHeight="1" x14ac:dyDescent="0.25">
      <c r="G600" s="50"/>
    </row>
    <row r="601" spans="7:7" ht="15.75" customHeight="1" x14ac:dyDescent="0.25">
      <c r="G601" s="50"/>
    </row>
    <row r="602" spans="7:7" ht="15.75" customHeight="1" x14ac:dyDescent="0.25">
      <c r="G602" s="50"/>
    </row>
    <row r="603" spans="7:7" ht="15.75" customHeight="1" x14ac:dyDescent="0.25">
      <c r="G603" s="50"/>
    </row>
    <row r="604" spans="7:7" ht="15.75" customHeight="1" x14ac:dyDescent="0.25">
      <c r="G604" s="50"/>
    </row>
    <row r="605" spans="7:7" ht="15.75" customHeight="1" x14ac:dyDescent="0.25">
      <c r="G605" s="50"/>
    </row>
    <row r="606" spans="7:7" ht="15.75" customHeight="1" x14ac:dyDescent="0.25">
      <c r="G606" s="50"/>
    </row>
    <row r="607" spans="7:7" ht="15.75" customHeight="1" x14ac:dyDescent="0.25">
      <c r="G607" s="50"/>
    </row>
    <row r="608" spans="7:7" ht="15.75" customHeight="1" x14ac:dyDescent="0.25">
      <c r="G608" s="50"/>
    </row>
    <row r="609" spans="7:7" ht="15.75" customHeight="1" x14ac:dyDescent="0.25">
      <c r="G609" s="50"/>
    </row>
    <row r="610" spans="7:7" ht="15.75" customHeight="1" x14ac:dyDescent="0.25">
      <c r="G610" s="50"/>
    </row>
    <row r="611" spans="7:7" ht="15.75" customHeight="1" x14ac:dyDescent="0.25">
      <c r="G611" s="50"/>
    </row>
    <row r="612" spans="7:7" ht="15.75" customHeight="1" x14ac:dyDescent="0.25">
      <c r="G612" s="50"/>
    </row>
    <row r="613" spans="7:7" ht="15.75" customHeight="1" x14ac:dyDescent="0.25">
      <c r="G613" s="50"/>
    </row>
    <row r="614" spans="7:7" ht="15.75" customHeight="1" x14ac:dyDescent="0.25">
      <c r="G614" s="50"/>
    </row>
    <row r="615" spans="7:7" ht="15.75" customHeight="1" x14ac:dyDescent="0.25">
      <c r="G615" s="50"/>
    </row>
    <row r="616" spans="7:7" ht="15.75" customHeight="1" x14ac:dyDescent="0.25">
      <c r="G616" s="50"/>
    </row>
    <row r="617" spans="7:7" ht="15.75" customHeight="1" x14ac:dyDescent="0.25">
      <c r="G617" s="50"/>
    </row>
    <row r="618" spans="7:7" ht="15.75" customHeight="1" x14ac:dyDescent="0.25">
      <c r="G618" s="50"/>
    </row>
    <row r="619" spans="7:7" ht="15.75" customHeight="1" x14ac:dyDescent="0.25">
      <c r="G619" s="50"/>
    </row>
    <row r="620" spans="7:7" ht="15.75" customHeight="1" x14ac:dyDescent="0.25">
      <c r="G620" s="50"/>
    </row>
    <row r="621" spans="7:7" ht="15.75" customHeight="1" x14ac:dyDescent="0.25">
      <c r="G621" s="50"/>
    </row>
    <row r="622" spans="7:7" ht="15.75" customHeight="1" x14ac:dyDescent="0.25">
      <c r="G622" s="50"/>
    </row>
    <row r="623" spans="7:7" ht="15.75" customHeight="1" x14ac:dyDescent="0.25">
      <c r="G623" s="50"/>
    </row>
    <row r="624" spans="7:7" ht="15.75" customHeight="1" x14ac:dyDescent="0.25">
      <c r="G624" s="50"/>
    </row>
    <row r="625" spans="7:7" ht="15.75" customHeight="1" x14ac:dyDescent="0.25">
      <c r="G625" s="50"/>
    </row>
    <row r="626" spans="7:7" ht="15.75" customHeight="1" x14ac:dyDescent="0.25">
      <c r="G626" s="50"/>
    </row>
    <row r="627" spans="7:7" ht="15.75" customHeight="1" x14ac:dyDescent="0.25">
      <c r="G627" s="50"/>
    </row>
    <row r="628" spans="7:7" ht="15.75" customHeight="1" x14ac:dyDescent="0.25">
      <c r="G628" s="50"/>
    </row>
    <row r="629" spans="7:7" ht="15.75" customHeight="1" x14ac:dyDescent="0.25">
      <c r="G629" s="50"/>
    </row>
    <row r="630" spans="7:7" ht="15.75" customHeight="1" x14ac:dyDescent="0.25">
      <c r="G630" s="50"/>
    </row>
    <row r="631" spans="7:7" ht="15.75" customHeight="1" x14ac:dyDescent="0.25">
      <c r="G631" s="50"/>
    </row>
    <row r="632" spans="7:7" ht="15.75" customHeight="1" x14ac:dyDescent="0.25">
      <c r="G632" s="50"/>
    </row>
    <row r="633" spans="7:7" ht="15.75" customHeight="1" x14ac:dyDescent="0.25">
      <c r="G633" s="50"/>
    </row>
    <row r="634" spans="7:7" ht="15.75" customHeight="1" x14ac:dyDescent="0.25">
      <c r="G634" s="50"/>
    </row>
    <row r="635" spans="7:7" ht="15.75" customHeight="1" x14ac:dyDescent="0.25">
      <c r="G635" s="50"/>
    </row>
    <row r="636" spans="7:7" ht="15.75" customHeight="1" x14ac:dyDescent="0.25">
      <c r="G636" s="50"/>
    </row>
    <row r="637" spans="7:7" ht="15.75" customHeight="1" x14ac:dyDescent="0.25">
      <c r="G637" s="50"/>
    </row>
    <row r="638" spans="7:7" ht="15.75" customHeight="1" x14ac:dyDescent="0.25">
      <c r="G638" s="50"/>
    </row>
    <row r="639" spans="7:7" ht="15.75" customHeight="1" x14ac:dyDescent="0.25">
      <c r="G639" s="50"/>
    </row>
    <row r="640" spans="7:7" ht="15.75" customHeight="1" x14ac:dyDescent="0.25">
      <c r="G640" s="50"/>
    </row>
    <row r="641" spans="7:7" ht="15.75" customHeight="1" x14ac:dyDescent="0.25">
      <c r="G641" s="50"/>
    </row>
    <row r="642" spans="7:7" ht="15.75" customHeight="1" x14ac:dyDescent="0.25">
      <c r="G642" s="50"/>
    </row>
    <row r="643" spans="7:7" ht="15.75" customHeight="1" x14ac:dyDescent="0.25">
      <c r="G643" s="50"/>
    </row>
    <row r="644" spans="7:7" ht="15.75" customHeight="1" x14ac:dyDescent="0.25">
      <c r="G644" s="50"/>
    </row>
    <row r="645" spans="7:7" ht="15.75" customHeight="1" x14ac:dyDescent="0.25">
      <c r="G645" s="50"/>
    </row>
    <row r="646" spans="7:7" ht="15.75" customHeight="1" x14ac:dyDescent="0.25">
      <c r="G646" s="50"/>
    </row>
    <row r="647" spans="7:7" ht="15.75" customHeight="1" x14ac:dyDescent="0.25">
      <c r="G647" s="50"/>
    </row>
    <row r="648" spans="7:7" ht="15.75" customHeight="1" x14ac:dyDescent="0.25">
      <c r="G648" s="50"/>
    </row>
    <row r="649" spans="7:7" ht="15.75" customHeight="1" x14ac:dyDescent="0.25">
      <c r="G649" s="50"/>
    </row>
    <row r="650" spans="7:7" ht="15.75" customHeight="1" x14ac:dyDescent="0.25">
      <c r="G650" s="50"/>
    </row>
    <row r="651" spans="7:7" ht="15.75" customHeight="1" x14ac:dyDescent="0.25">
      <c r="G651" s="50"/>
    </row>
    <row r="652" spans="7:7" ht="15.75" customHeight="1" x14ac:dyDescent="0.25">
      <c r="G652" s="50"/>
    </row>
    <row r="653" spans="7:7" ht="15.75" customHeight="1" x14ac:dyDescent="0.25">
      <c r="G653" s="50"/>
    </row>
    <row r="654" spans="7:7" ht="15.75" customHeight="1" x14ac:dyDescent="0.25">
      <c r="G654" s="50"/>
    </row>
    <row r="655" spans="7:7" ht="15.75" customHeight="1" x14ac:dyDescent="0.25">
      <c r="G655" s="50"/>
    </row>
    <row r="656" spans="7:7" ht="15.75" customHeight="1" x14ac:dyDescent="0.25">
      <c r="G656" s="50"/>
    </row>
    <row r="657" spans="7:7" ht="15.75" customHeight="1" x14ac:dyDescent="0.25">
      <c r="G657" s="50"/>
    </row>
    <row r="658" spans="7:7" ht="15.75" customHeight="1" x14ac:dyDescent="0.25">
      <c r="G658" s="50"/>
    </row>
    <row r="659" spans="7:7" ht="15.75" customHeight="1" x14ac:dyDescent="0.25">
      <c r="G659" s="50"/>
    </row>
    <row r="660" spans="7:7" ht="15.75" customHeight="1" x14ac:dyDescent="0.25">
      <c r="G660" s="50"/>
    </row>
    <row r="661" spans="7:7" ht="15.75" customHeight="1" x14ac:dyDescent="0.25">
      <c r="G661" s="50"/>
    </row>
    <row r="662" spans="7:7" ht="15.75" customHeight="1" x14ac:dyDescent="0.25">
      <c r="G662" s="50"/>
    </row>
    <row r="663" spans="7:7" ht="15.75" customHeight="1" x14ac:dyDescent="0.25">
      <c r="G663" s="50"/>
    </row>
    <row r="664" spans="7:7" ht="15.75" customHeight="1" x14ac:dyDescent="0.25">
      <c r="G664" s="50"/>
    </row>
    <row r="665" spans="7:7" ht="15.75" customHeight="1" x14ac:dyDescent="0.25">
      <c r="G665" s="50"/>
    </row>
    <row r="666" spans="7:7" ht="15.75" customHeight="1" x14ac:dyDescent="0.25">
      <c r="G666" s="50"/>
    </row>
    <row r="667" spans="7:7" ht="15.75" customHeight="1" x14ac:dyDescent="0.25">
      <c r="G667" s="50"/>
    </row>
    <row r="668" spans="7:7" ht="15.75" customHeight="1" x14ac:dyDescent="0.25">
      <c r="G668" s="50"/>
    </row>
    <row r="669" spans="7:7" ht="15.75" customHeight="1" x14ac:dyDescent="0.25">
      <c r="G669" s="50"/>
    </row>
    <row r="670" spans="7:7" ht="15.75" customHeight="1" x14ac:dyDescent="0.25">
      <c r="G670" s="50"/>
    </row>
    <row r="671" spans="7:7" ht="15.75" customHeight="1" x14ac:dyDescent="0.25">
      <c r="G671" s="50"/>
    </row>
    <row r="672" spans="7:7" ht="15.75" customHeight="1" x14ac:dyDescent="0.25">
      <c r="G672" s="50"/>
    </row>
    <row r="673" spans="7:7" ht="15.75" customHeight="1" x14ac:dyDescent="0.25">
      <c r="G673" s="50"/>
    </row>
    <row r="674" spans="7:7" ht="15.75" customHeight="1" x14ac:dyDescent="0.25">
      <c r="G674" s="50"/>
    </row>
    <row r="675" spans="7:7" ht="15.75" customHeight="1" x14ac:dyDescent="0.25">
      <c r="G675" s="50"/>
    </row>
    <row r="676" spans="7:7" ht="15.75" customHeight="1" x14ac:dyDescent="0.25">
      <c r="G676" s="50"/>
    </row>
    <row r="677" spans="7:7" ht="15.75" customHeight="1" x14ac:dyDescent="0.25">
      <c r="G677" s="50"/>
    </row>
    <row r="678" spans="7:7" ht="15.75" customHeight="1" x14ac:dyDescent="0.25">
      <c r="G678" s="50"/>
    </row>
    <row r="679" spans="7:7" ht="15.75" customHeight="1" x14ac:dyDescent="0.25">
      <c r="G679" s="50"/>
    </row>
    <row r="680" spans="7:7" ht="15.75" customHeight="1" x14ac:dyDescent="0.25">
      <c r="G680" s="50"/>
    </row>
    <row r="681" spans="7:7" ht="15.75" customHeight="1" x14ac:dyDescent="0.25">
      <c r="G681" s="50"/>
    </row>
    <row r="682" spans="7:7" ht="15.75" customHeight="1" x14ac:dyDescent="0.25">
      <c r="G682" s="50"/>
    </row>
    <row r="683" spans="7:7" ht="15.75" customHeight="1" x14ac:dyDescent="0.25">
      <c r="G683" s="50"/>
    </row>
    <row r="684" spans="7:7" ht="15.75" customHeight="1" x14ac:dyDescent="0.25">
      <c r="G684" s="50"/>
    </row>
    <row r="685" spans="7:7" ht="15.75" customHeight="1" x14ac:dyDescent="0.25">
      <c r="G685" s="50"/>
    </row>
    <row r="686" spans="7:7" ht="15.75" customHeight="1" x14ac:dyDescent="0.25">
      <c r="G686" s="50"/>
    </row>
    <row r="687" spans="7:7" ht="15.75" customHeight="1" x14ac:dyDescent="0.25">
      <c r="G687" s="50"/>
    </row>
    <row r="688" spans="7:7" ht="15.75" customHeight="1" x14ac:dyDescent="0.25">
      <c r="G688" s="50"/>
    </row>
    <row r="689" spans="7:7" ht="15.75" customHeight="1" x14ac:dyDescent="0.25">
      <c r="G689" s="50"/>
    </row>
    <row r="690" spans="7:7" ht="15.75" customHeight="1" x14ac:dyDescent="0.25">
      <c r="G690" s="50"/>
    </row>
    <row r="691" spans="7:7" ht="15.75" customHeight="1" x14ac:dyDescent="0.25">
      <c r="G691" s="50"/>
    </row>
    <row r="692" spans="7:7" ht="15.75" customHeight="1" x14ac:dyDescent="0.25">
      <c r="G692" s="50"/>
    </row>
    <row r="693" spans="7:7" ht="15.75" customHeight="1" x14ac:dyDescent="0.25">
      <c r="G693" s="50"/>
    </row>
    <row r="694" spans="7:7" ht="15.75" customHeight="1" x14ac:dyDescent="0.25">
      <c r="G694" s="50"/>
    </row>
    <row r="695" spans="7:7" ht="15.75" customHeight="1" x14ac:dyDescent="0.25">
      <c r="G695" s="50"/>
    </row>
    <row r="696" spans="7:7" ht="15.75" customHeight="1" x14ac:dyDescent="0.25">
      <c r="G696" s="50"/>
    </row>
    <row r="697" spans="7:7" ht="15.75" customHeight="1" x14ac:dyDescent="0.25">
      <c r="G697" s="50"/>
    </row>
    <row r="698" spans="7:7" ht="15.75" customHeight="1" x14ac:dyDescent="0.25">
      <c r="G698" s="50"/>
    </row>
    <row r="699" spans="7:7" ht="15.75" customHeight="1" x14ac:dyDescent="0.25">
      <c r="G699" s="50"/>
    </row>
    <row r="700" spans="7:7" ht="15.75" customHeight="1" x14ac:dyDescent="0.25">
      <c r="G700" s="50"/>
    </row>
    <row r="701" spans="7:7" ht="15.75" customHeight="1" x14ac:dyDescent="0.25">
      <c r="G701" s="50"/>
    </row>
    <row r="702" spans="7:7" ht="15.75" customHeight="1" x14ac:dyDescent="0.25">
      <c r="G702" s="50"/>
    </row>
    <row r="703" spans="7:7" ht="15.75" customHeight="1" x14ac:dyDescent="0.25">
      <c r="G703" s="50"/>
    </row>
    <row r="704" spans="7:7" ht="15.75" customHeight="1" x14ac:dyDescent="0.25">
      <c r="G704" s="50"/>
    </row>
    <row r="705" spans="7:7" ht="15.75" customHeight="1" x14ac:dyDescent="0.25">
      <c r="G705" s="50"/>
    </row>
    <row r="706" spans="7:7" ht="15.75" customHeight="1" x14ac:dyDescent="0.25">
      <c r="G706" s="50"/>
    </row>
    <row r="707" spans="7:7" ht="15.75" customHeight="1" x14ac:dyDescent="0.25">
      <c r="G707" s="50"/>
    </row>
    <row r="708" spans="7:7" ht="15.75" customHeight="1" x14ac:dyDescent="0.25">
      <c r="G708" s="50"/>
    </row>
    <row r="709" spans="7:7" ht="15.75" customHeight="1" x14ac:dyDescent="0.25">
      <c r="G709" s="50"/>
    </row>
    <row r="710" spans="7:7" ht="15.75" customHeight="1" x14ac:dyDescent="0.25">
      <c r="G710" s="50"/>
    </row>
    <row r="711" spans="7:7" ht="15.75" customHeight="1" x14ac:dyDescent="0.25">
      <c r="G711" s="50"/>
    </row>
    <row r="712" spans="7:7" ht="15.75" customHeight="1" x14ac:dyDescent="0.25">
      <c r="G712" s="50"/>
    </row>
    <row r="713" spans="7:7" ht="15.75" customHeight="1" x14ac:dyDescent="0.25">
      <c r="G713" s="50"/>
    </row>
    <row r="714" spans="7:7" ht="15.75" customHeight="1" x14ac:dyDescent="0.25">
      <c r="G714" s="50"/>
    </row>
    <row r="715" spans="7:7" ht="15.75" customHeight="1" x14ac:dyDescent="0.25">
      <c r="G715" s="50"/>
    </row>
    <row r="716" spans="7:7" ht="15.75" customHeight="1" x14ac:dyDescent="0.25">
      <c r="G716" s="50"/>
    </row>
    <row r="717" spans="7:7" ht="15.75" customHeight="1" x14ac:dyDescent="0.25">
      <c r="G717" s="50"/>
    </row>
    <row r="718" spans="7:7" ht="15.75" customHeight="1" x14ac:dyDescent="0.25">
      <c r="G718" s="50"/>
    </row>
    <row r="719" spans="7:7" ht="15.75" customHeight="1" x14ac:dyDescent="0.25">
      <c r="G719" s="50"/>
    </row>
    <row r="720" spans="7:7" ht="15.75" customHeight="1" x14ac:dyDescent="0.25">
      <c r="G720" s="50"/>
    </row>
    <row r="721" spans="7:7" ht="15.75" customHeight="1" x14ac:dyDescent="0.25">
      <c r="G721" s="50"/>
    </row>
    <row r="722" spans="7:7" ht="15.75" customHeight="1" x14ac:dyDescent="0.25">
      <c r="G722" s="50"/>
    </row>
    <row r="723" spans="7:7" ht="15.75" customHeight="1" x14ac:dyDescent="0.25">
      <c r="G723" s="50"/>
    </row>
    <row r="724" spans="7:7" ht="15.75" customHeight="1" x14ac:dyDescent="0.25">
      <c r="G724" s="50"/>
    </row>
    <row r="725" spans="7:7" ht="15.75" customHeight="1" x14ac:dyDescent="0.25">
      <c r="G725" s="50"/>
    </row>
    <row r="726" spans="7:7" ht="15.75" customHeight="1" x14ac:dyDescent="0.25">
      <c r="G726" s="50"/>
    </row>
    <row r="727" spans="7:7" ht="15.75" customHeight="1" x14ac:dyDescent="0.25">
      <c r="G727" s="50"/>
    </row>
    <row r="728" spans="7:7" ht="15.75" customHeight="1" x14ac:dyDescent="0.25">
      <c r="G728" s="50"/>
    </row>
    <row r="729" spans="7:7" ht="15.75" customHeight="1" x14ac:dyDescent="0.25">
      <c r="G729" s="50"/>
    </row>
    <row r="730" spans="7:7" ht="15.75" customHeight="1" x14ac:dyDescent="0.25">
      <c r="G730" s="50"/>
    </row>
    <row r="731" spans="7:7" ht="15.75" customHeight="1" x14ac:dyDescent="0.25">
      <c r="G731" s="50"/>
    </row>
    <row r="732" spans="7:7" ht="15.75" customHeight="1" x14ac:dyDescent="0.25">
      <c r="G732" s="50"/>
    </row>
    <row r="733" spans="7:7" ht="15.75" customHeight="1" x14ac:dyDescent="0.25">
      <c r="G733" s="50"/>
    </row>
    <row r="734" spans="7:7" ht="15.75" customHeight="1" x14ac:dyDescent="0.25">
      <c r="G734" s="50"/>
    </row>
    <row r="735" spans="7:7" ht="15.75" customHeight="1" x14ac:dyDescent="0.25">
      <c r="G735" s="50"/>
    </row>
    <row r="736" spans="7:7" ht="15.75" customHeight="1" x14ac:dyDescent="0.25">
      <c r="G736" s="50"/>
    </row>
    <row r="737" spans="7:7" ht="15.75" customHeight="1" x14ac:dyDescent="0.25">
      <c r="G737" s="50"/>
    </row>
    <row r="738" spans="7:7" ht="15.75" customHeight="1" x14ac:dyDescent="0.25">
      <c r="G738" s="50"/>
    </row>
    <row r="739" spans="7:7" ht="15.75" customHeight="1" x14ac:dyDescent="0.25">
      <c r="G739" s="50"/>
    </row>
    <row r="740" spans="7:7" ht="15.75" customHeight="1" x14ac:dyDescent="0.25">
      <c r="G740" s="50"/>
    </row>
    <row r="741" spans="7:7" ht="15.75" customHeight="1" x14ac:dyDescent="0.25">
      <c r="G741" s="50"/>
    </row>
    <row r="742" spans="7:7" ht="15.75" customHeight="1" x14ac:dyDescent="0.25">
      <c r="G742" s="50"/>
    </row>
    <row r="743" spans="7:7" ht="15.75" customHeight="1" x14ac:dyDescent="0.25">
      <c r="G743" s="50"/>
    </row>
    <row r="744" spans="7:7" ht="15.75" customHeight="1" x14ac:dyDescent="0.25">
      <c r="G744" s="50"/>
    </row>
    <row r="745" spans="7:7" ht="15.75" customHeight="1" x14ac:dyDescent="0.25">
      <c r="G745" s="50"/>
    </row>
    <row r="746" spans="7:7" ht="15.75" customHeight="1" x14ac:dyDescent="0.25">
      <c r="G746" s="50"/>
    </row>
    <row r="747" spans="7:7" ht="15.75" customHeight="1" x14ac:dyDescent="0.25">
      <c r="G747" s="50"/>
    </row>
    <row r="748" spans="7:7" ht="15.75" customHeight="1" x14ac:dyDescent="0.25">
      <c r="G748" s="50"/>
    </row>
    <row r="749" spans="7:7" ht="15.75" customHeight="1" x14ac:dyDescent="0.25">
      <c r="G749" s="50"/>
    </row>
    <row r="750" spans="7:7" ht="15.75" customHeight="1" x14ac:dyDescent="0.25">
      <c r="G750" s="50"/>
    </row>
    <row r="751" spans="7:7" ht="15.75" customHeight="1" x14ac:dyDescent="0.25">
      <c r="G751" s="50"/>
    </row>
    <row r="752" spans="7:7" ht="15.75" customHeight="1" x14ac:dyDescent="0.25">
      <c r="G752" s="50"/>
    </row>
    <row r="753" spans="7:7" ht="15.75" customHeight="1" x14ac:dyDescent="0.25">
      <c r="G753" s="50"/>
    </row>
    <row r="754" spans="7:7" ht="15.75" customHeight="1" x14ac:dyDescent="0.25">
      <c r="G754" s="50"/>
    </row>
    <row r="755" spans="7:7" ht="15.75" customHeight="1" x14ac:dyDescent="0.25">
      <c r="G755" s="50"/>
    </row>
    <row r="756" spans="7:7" ht="15.75" customHeight="1" x14ac:dyDescent="0.25">
      <c r="G756" s="50"/>
    </row>
    <row r="757" spans="7:7" ht="15.75" customHeight="1" x14ac:dyDescent="0.25">
      <c r="G757" s="50"/>
    </row>
    <row r="758" spans="7:7" ht="15.75" customHeight="1" x14ac:dyDescent="0.25">
      <c r="G758" s="50"/>
    </row>
    <row r="759" spans="7:7" ht="15.75" customHeight="1" x14ac:dyDescent="0.25">
      <c r="G759" s="50"/>
    </row>
    <row r="760" spans="7:7" ht="15.75" customHeight="1" x14ac:dyDescent="0.25">
      <c r="G760" s="50"/>
    </row>
    <row r="761" spans="7:7" ht="15.75" customHeight="1" x14ac:dyDescent="0.25">
      <c r="G761" s="50"/>
    </row>
    <row r="762" spans="7:7" ht="15.75" customHeight="1" x14ac:dyDescent="0.25">
      <c r="G762" s="50"/>
    </row>
    <row r="763" spans="7:7" ht="15.75" customHeight="1" x14ac:dyDescent="0.25">
      <c r="G763" s="50"/>
    </row>
    <row r="764" spans="7:7" ht="15.75" customHeight="1" x14ac:dyDescent="0.25">
      <c r="G764" s="50"/>
    </row>
    <row r="765" spans="7:7" ht="15.75" customHeight="1" x14ac:dyDescent="0.25">
      <c r="G765" s="50"/>
    </row>
    <row r="766" spans="7:7" ht="15.75" customHeight="1" x14ac:dyDescent="0.25">
      <c r="G766" s="50"/>
    </row>
    <row r="767" spans="7:7" ht="15.75" customHeight="1" x14ac:dyDescent="0.25">
      <c r="G767" s="50"/>
    </row>
    <row r="768" spans="7:7" ht="15.75" customHeight="1" x14ac:dyDescent="0.25">
      <c r="G768" s="50"/>
    </row>
    <row r="769" spans="7:7" ht="15.75" customHeight="1" x14ac:dyDescent="0.25">
      <c r="G769" s="50"/>
    </row>
    <row r="770" spans="7:7" ht="15.75" customHeight="1" x14ac:dyDescent="0.25">
      <c r="G770" s="50"/>
    </row>
    <row r="771" spans="7:7" ht="15.75" customHeight="1" x14ac:dyDescent="0.25">
      <c r="G771" s="50"/>
    </row>
    <row r="772" spans="7:7" ht="15.75" customHeight="1" x14ac:dyDescent="0.25">
      <c r="G772" s="50"/>
    </row>
    <row r="773" spans="7:7" ht="15.75" customHeight="1" x14ac:dyDescent="0.25">
      <c r="G773" s="50"/>
    </row>
    <row r="774" spans="7:7" ht="15.75" customHeight="1" x14ac:dyDescent="0.25">
      <c r="G774" s="50"/>
    </row>
    <row r="775" spans="7:7" ht="15.75" customHeight="1" x14ac:dyDescent="0.25">
      <c r="G775" s="50"/>
    </row>
    <row r="776" spans="7:7" ht="15.75" customHeight="1" x14ac:dyDescent="0.25">
      <c r="G776" s="50"/>
    </row>
    <row r="777" spans="7:7" ht="15.75" customHeight="1" x14ac:dyDescent="0.25">
      <c r="G777" s="50"/>
    </row>
    <row r="778" spans="7:7" ht="15.75" customHeight="1" x14ac:dyDescent="0.25">
      <c r="G778" s="50"/>
    </row>
    <row r="779" spans="7:7" ht="15.75" customHeight="1" x14ac:dyDescent="0.25">
      <c r="G779" s="50"/>
    </row>
    <row r="780" spans="7:7" ht="15.75" customHeight="1" x14ac:dyDescent="0.25">
      <c r="G780" s="50"/>
    </row>
    <row r="781" spans="7:7" ht="15.75" customHeight="1" x14ac:dyDescent="0.25">
      <c r="G781" s="50"/>
    </row>
    <row r="782" spans="7:7" ht="15.75" customHeight="1" x14ac:dyDescent="0.25">
      <c r="G782" s="50"/>
    </row>
    <row r="783" spans="7:7" ht="15.75" customHeight="1" x14ac:dyDescent="0.25">
      <c r="G783" s="50"/>
    </row>
    <row r="784" spans="7:7" ht="15.75" customHeight="1" x14ac:dyDescent="0.25">
      <c r="G784" s="50"/>
    </row>
    <row r="785" spans="7:7" ht="15.75" customHeight="1" x14ac:dyDescent="0.25">
      <c r="G785" s="50"/>
    </row>
    <row r="786" spans="7:7" ht="15.75" customHeight="1" x14ac:dyDescent="0.25">
      <c r="G786" s="50"/>
    </row>
    <row r="787" spans="7:7" ht="15.75" customHeight="1" x14ac:dyDescent="0.25">
      <c r="G787" s="50"/>
    </row>
    <row r="788" spans="7:7" ht="15.75" customHeight="1" x14ac:dyDescent="0.25">
      <c r="G788" s="50"/>
    </row>
    <row r="789" spans="7:7" ht="15.75" customHeight="1" x14ac:dyDescent="0.25">
      <c r="G789" s="50"/>
    </row>
    <row r="790" spans="7:7" ht="15.75" customHeight="1" x14ac:dyDescent="0.25">
      <c r="G790" s="50"/>
    </row>
    <row r="791" spans="7:7" ht="15.75" customHeight="1" x14ac:dyDescent="0.25">
      <c r="G791" s="50"/>
    </row>
    <row r="792" spans="7:7" ht="15.75" customHeight="1" x14ac:dyDescent="0.25">
      <c r="G792" s="50"/>
    </row>
    <row r="793" spans="7:7" ht="15.75" customHeight="1" x14ac:dyDescent="0.25">
      <c r="G793" s="50"/>
    </row>
    <row r="794" spans="7:7" ht="15.75" customHeight="1" x14ac:dyDescent="0.25">
      <c r="G794" s="50"/>
    </row>
    <row r="795" spans="7:7" ht="15.75" customHeight="1" x14ac:dyDescent="0.25">
      <c r="G795" s="50"/>
    </row>
    <row r="796" spans="7:7" ht="15.75" customHeight="1" x14ac:dyDescent="0.25">
      <c r="G796" s="50"/>
    </row>
    <row r="797" spans="7:7" ht="15.75" customHeight="1" x14ac:dyDescent="0.25">
      <c r="G797" s="50"/>
    </row>
    <row r="798" spans="7:7" ht="15.75" customHeight="1" x14ac:dyDescent="0.25">
      <c r="G798" s="50"/>
    </row>
    <row r="799" spans="7:7" ht="15.75" customHeight="1" x14ac:dyDescent="0.25">
      <c r="G799" s="50"/>
    </row>
    <row r="800" spans="7:7" ht="15.75" customHeight="1" x14ac:dyDescent="0.25">
      <c r="G800" s="50"/>
    </row>
    <row r="801" spans="7:7" ht="15.75" customHeight="1" x14ac:dyDescent="0.25">
      <c r="G801" s="50"/>
    </row>
    <row r="802" spans="7:7" ht="15.75" customHeight="1" x14ac:dyDescent="0.25">
      <c r="G802" s="50"/>
    </row>
    <row r="803" spans="7:7" ht="15.75" customHeight="1" x14ac:dyDescent="0.25">
      <c r="G803" s="50"/>
    </row>
    <row r="804" spans="7:7" ht="15.75" customHeight="1" x14ac:dyDescent="0.25">
      <c r="G804" s="50"/>
    </row>
    <row r="805" spans="7:7" ht="15.75" customHeight="1" x14ac:dyDescent="0.25">
      <c r="G805" s="50"/>
    </row>
    <row r="806" spans="7:7" ht="15.75" customHeight="1" x14ac:dyDescent="0.25">
      <c r="G806" s="50"/>
    </row>
    <row r="807" spans="7:7" ht="15.75" customHeight="1" x14ac:dyDescent="0.25">
      <c r="G807" s="50"/>
    </row>
    <row r="808" spans="7:7" ht="15.75" customHeight="1" x14ac:dyDescent="0.25">
      <c r="G808" s="50"/>
    </row>
    <row r="809" spans="7:7" ht="15.75" customHeight="1" x14ac:dyDescent="0.25">
      <c r="G809" s="50"/>
    </row>
    <row r="810" spans="7:7" ht="15.75" customHeight="1" x14ac:dyDescent="0.25">
      <c r="G810" s="50"/>
    </row>
    <row r="811" spans="7:7" ht="15.75" customHeight="1" x14ac:dyDescent="0.25">
      <c r="G811" s="50"/>
    </row>
    <row r="812" spans="7:7" ht="15.75" customHeight="1" x14ac:dyDescent="0.25">
      <c r="G812" s="50"/>
    </row>
    <row r="813" spans="7:7" ht="15.75" customHeight="1" x14ac:dyDescent="0.25">
      <c r="G813" s="50"/>
    </row>
    <row r="814" spans="7:7" ht="15.75" customHeight="1" x14ac:dyDescent="0.25">
      <c r="G814" s="50"/>
    </row>
    <row r="815" spans="7:7" ht="15.75" customHeight="1" x14ac:dyDescent="0.25">
      <c r="G815" s="50"/>
    </row>
    <row r="816" spans="7:7" ht="15.75" customHeight="1" x14ac:dyDescent="0.25">
      <c r="G816" s="50"/>
    </row>
    <row r="817" spans="7:7" ht="15.75" customHeight="1" x14ac:dyDescent="0.25">
      <c r="G817" s="50"/>
    </row>
    <row r="818" spans="7:7" ht="15.75" customHeight="1" x14ac:dyDescent="0.25">
      <c r="G818" s="50"/>
    </row>
    <row r="819" spans="7:7" ht="15.75" customHeight="1" x14ac:dyDescent="0.25">
      <c r="G819" s="50"/>
    </row>
    <row r="820" spans="7:7" ht="15.75" customHeight="1" x14ac:dyDescent="0.25">
      <c r="G820" s="50"/>
    </row>
    <row r="821" spans="7:7" ht="15.75" customHeight="1" x14ac:dyDescent="0.25">
      <c r="G821" s="50"/>
    </row>
    <row r="822" spans="7:7" ht="15.75" customHeight="1" x14ac:dyDescent="0.25">
      <c r="G822" s="50"/>
    </row>
    <row r="823" spans="7:7" ht="15.75" customHeight="1" x14ac:dyDescent="0.25">
      <c r="G823" s="50"/>
    </row>
    <row r="824" spans="7:7" ht="15.75" customHeight="1" x14ac:dyDescent="0.25">
      <c r="G824" s="50"/>
    </row>
    <row r="825" spans="7:7" ht="15.75" customHeight="1" x14ac:dyDescent="0.25">
      <c r="G825" s="50"/>
    </row>
    <row r="826" spans="7:7" ht="15.75" customHeight="1" x14ac:dyDescent="0.25">
      <c r="G826" s="50"/>
    </row>
    <row r="827" spans="7:7" ht="15.75" customHeight="1" x14ac:dyDescent="0.25">
      <c r="G827" s="50"/>
    </row>
    <row r="828" spans="7:7" ht="15.75" customHeight="1" x14ac:dyDescent="0.25">
      <c r="G828" s="50"/>
    </row>
    <row r="829" spans="7:7" ht="15.75" customHeight="1" x14ac:dyDescent="0.25">
      <c r="G829" s="50"/>
    </row>
    <row r="830" spans="7:7" ht="15.75" customHeight="1" x14ac:dyDescent="0.25">
      <c r="G830" s="50"/>
    </row>
    <row r="831" spans="7:7" ht="15.75" customHeight="1" x14ac:dyDescent="0.25">
      <c r="G831" s="50"/>
    </row>
    <row r="832" spans="7:7" ht="15.75" customHeight="1" x14ac:dyDescent="0.25">
      <c r="G832" s="50"/>
    </row>
    <row r="833" spans="7:7" ht="15.75" customHeight="1" x14ac:dyDescent="0.25">
      <c r="G833" s="50"/>
    </row>
    <row r="834" spans="7:7" ht="15.75" customHeight="1" x14ac:dyDescent="0.25">
      <c r="G834" s="50"/>
    </row>
    <row r="835" spans="7:7" ht="15.75" customHeight="1" x14ac:dyDescent="0.25">
      <c r="G835" s="50"/>
    </row>
    <row r="836" spans="7:7" ht="15.75" customHeight="1" x14ac:dyDescent="0.25">
      <c r="G836" s="50"/>
    </row>
    <row r="837" spans="7:7" ht="15.75" customHeight="1" x14ac:dyDescent="0.25">
      <c r="G837" s="50"/>
    </row>
    <row r="838" spans="7:7" ht="15.75" customHeight="1" x14ac:dyDescent="0.25">
      <c r="G838" s="50"/>
    </row>
    <row r="839" spans="7:7" ht="15.75" customHeight="1" x14ac:dyDescent="0.25">
      <c r="G839" s="50"/>
    </row>
    <row r="840" spans="7:7" ht="15.75" customHeight="1" x14ac:dyDescent="0.25">
      <c r="G840" s="50"/>
    </row>
    <row r="841" spans="7:7" ht="15.75" customHeight="1" x14ac:dyDescent="0.25">
      <c r="G841" s="50"/>
    </row>
    <row r="842" spans="7:7" ht="15.75" customHeight="1" x14ac:dyDescent="0.25">
      <c r="G842" s="50"/>
    </row>
    <row r="843" spans="7:7" ht="15.75" customHeight="1" x14ac:dyDescent="0.25">
      <c r="G843" s="50"/>
    </row>
    <row r="844" spans="7:7" ht="15.75" customHeight="1" x14ac:dyDescent="0.25">
      <c r="G844" s="50"/>
    </row>
    <row r="845" spans="7:7" ht="15.75" customHeight="1" x14ac:dyDescent="0.25">
      <c r="G845" s="50"/>
    </row>
    <row r="846" spans="7:7" ht="15.75" customHeight="1" x14ac:dyDescent="0.25">
      <c r="G846" s="50"/>
    </row>
    <row r="847" spans="7:7" ht="15.75" customHeight="1" x14ac:dyDescent="0.25">
      <c r="G847" s="50"/>
    </row>
    <row r="848" spans="7:7" ht="15.75" customHeight="1" x14ac:dyDescent="0.25">
      <c r="G848" s="50"/>
    </row>
    <row r="849" spans="7:7" ht="15.75" customHeight="1" x14ac:dyDescent="0.25">
      <c r="G849" s="50"/>
    </row>
    <row r="850" spans="7:7" ht="15.75" customHeight="1" x14ac:dyDescent="0.25">
      <c r="G850" s="50"/>
    </row>
    <row r="851" spans="7:7" ht="15.75" customHeight="1" x14ac:dyDescent="0.25">
      <c r="G851" s="50"/>
    </row>
    <row r="852" spans="7:7" ht="15.75" customHeight="1" x14ac:dyDescent="0.25">
      <c r="G852" s="50"/>
    </row>
    <row r="853" spans="7:7" ht="15.75" customHeight="1" x14ac:dyDescent="0.25">
      <c r="G853" s="50"/>
    </row>
    <row r="854" spans="7:7" ht="15.75" customHeight="1" x14ac:dyDescent="0.25">
      <c r="G854" s="50"/>
    </row>
    <row r="855" spans="7:7" ht="15.75" customHeight="1" x14ac:dyDescent="0.25">
      <c r="G855" s="50"/>
    </row>
    <row r="856" spans="7:7" ht="15.75" customHeight="1" x14ac:dyDescent="0.25">
      <c r="G856" s="50"/>
    </row>
    <row r="857" spans="7:7" ht="15.75" customHeight="1" x14ac:dyDescent="0.25">
      <c r="G857" s="50"/>
    </row>
    <row r="858" spans="7:7" ht="15.75" customHeight="1" x14ac:dyDescent="0.25">
      <c r="G858" s="50"/>
    </row>
    <row r="859" spans="7:7" ht="15.75" customHeight="1" x14ac:dyDescent="0.25">
      <c r="G859" s="50"/>
    </row>
    <row r="860" spans="7:7" ht="15.75" customHeight="1" x14ac:dyDescent="0.25">
      <c r="G860" s="50"/>
    </row>
    <row r="861" spans="7:7" ht="15.75" customHeight="1" x14ac:dyDescent="0.25">
      <c r="G861" s="50"/>
    </row>
    <row r="862" spans="7:7" ht="15.75" customHeight="1" x14ac:dyDescent="0.25">
      <c r="G862" s="50"/>
    </row>
    <row r="863" spans="7:7" ht="15.75" customHeight="1" x14ac:dyDescent="0.25">
      <c r="G863" s="50"/>
    </row>
    <row r="864" spans="7:7" ht="15.75" customHeight="1" x14ac:dyDescent="0.25">
      <c r="G864" s="50"/>
    </row>
    <row r="865" spans="7:7" ht="15.75" customHeight="1" x14ac:dyDescent="0.25">
      <c r="G865" s="50"/>
    </row>
    <row r="866" spans="7:7" ht="15.75" customHeight="1" x14ac:dyDescent="0.25">
      <c r="G866" s="50"/>
    </row>
    <row r="867" spans="7:7" ht="15.75" customHeight="1" x14ac:dyDescent="0.25">
      <c r="G867" s="50"/>
    </row>
    <row r="868" spans="7:7" ht="15.75" customHeight="1" x14ac:dyDescent="0.25">
      <c r="G868" s="50"/>
    </row>
    <row r="869" spans="7:7" ht="15.75" customHeight="1" x14ac:dyDescent="0.25">
      <c r="G869" s="50"/>
    </row>
    <row r="870" spans="7:7" ht="15.75" customHeight="1" x14ac:dyDescent="0.25">
      <c r="G870" s="50"/>
    </row>
    <row r="871" spans="7:7" ht="15.75" customHeight="1" x14ac:dyDescent="0.25">
      <c r="G871" s="50"/>
    </row>
    <row r="872" spans="7:7" ht="15.75" customHeight="1" x14ac:dyDescent="0.25">
      <c r="G872" s="50"/>
    </row>
    <row r="873" spans="7:7" ht="15.75" customHeight="1" x14ac:dyDescent="0.25">
      <c r="G873" s="50"/>
    </row>
    <row r="874" spans="7:7" ht="15.75" customHeight="1" x14ac:dyDescent="0.25">
      <c r="G874" s="50"/>
    </row>
    <row r="875" spans="7:7" ht="15.75" customHeight="1" x14ac:dyDescent="0.25">
      <c r="G875" s="50"/>
    </row>
    <row r="876" spans="7:7" ht="15.75" customHeight="1" x14ac:dyDescent="0.25">
      <c r="G876" s="50"/>
    </row>
    <row r="877" spans="7:7" ht="15.75" customHeight="1" x14ac:dyDescent="0.25">
      <c r="G877" s="50"/>
    </row>
    <row r="878" spans="7:7" ht="15.75" customHeight="1" x14ac:dyDescent="0.25">
      <c r="G878" s="50"/>
    </row>
    <row r="879" spans="7:7" ht="15.75" customHeight="1" x14ac:dyDescent="0.25">
      <c r="G879" s="50"/>
    </row>
    <row r="880" spans="7:7" ht="15.75" customHeight="1" x14ac:dyDescent="0.25">
      <c r="G880" s="50"/>
    </row>
    <row r="881" spans="7:7" ht="15.75" customHeight="1" x14ac:dyDescent="0.25">
      <c r="G881" s="50"/>
    </row>
    <row r="882" spans="7:7" ht="15.75" customHeight="1" x14ac:dyDescent="0.25">
      <c r="G882" s="50"/>
    </row>
    <row r="883" spans="7:7" ht="15.75" customHeight="1" x14ac:dyDescent="0.25">
      <c r="G883" s="50"/>
    </row>
    <row r="884" spans="7:7" ht="15.75" customHeight="1" x14ac:dyDescent="0.25">
      <c r="G884" s="50"/>
    </row>
    <row r="885" spans="7:7" ht="15.75" customHeight="1" x14ac:dyDescent="0.25">
      <c r="G885" s="50"/>
    </row>
    <row r="886" spans="7:7" ht="15.75" customHeight="1" x14ac:dyDescent="0.25">
      <c r="G886" s="50"/>
    </row>
    <row r="887" spans="7:7" ht="15.75" customHeight="1" x14ac:dyDescent="0.25">
      <c r="G887" s="50"/>
    </row>
    <row r="888" spans="7:7" ht="15.75" customHeight="1" x14ac:dyDescent="0.25">
      <c r="G888" s="50"/>
    </row>
    <row r="889" spans="7:7" ht="15.75" customHeight="1" x14ac:dyDescent="0.25">
      <c r="G889" s="50"/>
    </row>
    <row r="890" spans="7:7" ht="15.75" customHeight="1" x14ac:dyDescent="0.25">
      <c r="G890" s="50"/>
    </row>
    <row r="891" spans="7:7" ht="15.75" customHeight="1" x14ac:dyDescent="0.25">
      <c r="G891" s="50"/>
    </row>
    <row r="892" spans="7:7" ht="15.75" customHeight="1" x14ac:dyDescent="0.25">
      <c r="G892" s="50"/>
    </row>
    <row r="893" spans="7:7" ht="15.75" customHeight="1" x14ac:dyDescent="0.25">
      <c r="G893" s="50"/>
    </row>
    <row r="894" spans="7:7" ht="15.75" customHeight="1" x14ac:dyDescent="0.25">
      <c r="G894" s="50"/>
    </row>
    <row r="895" spans="7:7" ht="15.75" customHeight="1" x14ac:dyDescent="0.25">
      <c r="G895" s="50"/>
    </row>
    <row r="896" spans="7:7" ht="15.75" customHeight="1" x14ac:dyDescent="0.25">
      <c r="G896" s="50"/>
    </row>
    <row r="897" spans="7:7" ht="15.75" customHeight="1" x14ac:dyDescent="0.25">
      <c r="G897" s="50"/>
    </row>
    <row r="898" spans="7:7" ht="15.75" customHeight="1" x14ac:dyDescent="0.25">
      <c r="G898" s="50"/>
    </row>
    <row r="899" spans="7:7" ht="15.75" customHeight="1" x14ac:dyDescent="0.25">
      <c r="G899" s="50"/>
    </row>
    <row r="900" spans="7:7" ht="15.75" customHeight="1" x14ac:dyDescent="0.25">
      <c r="G900" s="50"/>
    </row>
    <row r="901" spans="7:7" ht="15.75" customHeight="1" x14ac:dyDescent="0.25">
      <c r="G901" s="50"/>
    </row>
    <row r="902" spans="7:7" ht="15.75" customHeight="1" x14ac:dyDescent="0.25">
      <c r="G902" s="50"/>
    </row>
    <row r="903" spans="7:7" ht="15.75" customHeight="1" x14ac:dyDescent="0.25">
      <c r="G903" s="50"/>
    </row>
    <row r="904" spans="7:7" ht="15.75" customHeight="1" x14ac:dyDescent="0.25">
      <c r="G904" s="50"/>
    </row>
    <row r="905" spans="7:7" ht="15.75" customHeight="1" x14ac:dyDescent="0.25">
      <c r="G905" s="50"/>
    </row>
    <row r="906" spans="7:7" ht="15.75" customHeight="1" x14ac:dyDescent="0.25">
      <c r="G906" s="50"/>
    </row>
    <row r="907" spans="7:7" ht="15.75" customHeight="1" x14ac:dyDescent="0.25">
      <c r="G907" s="50"/>
    </row>
    <row r="908" spans="7:7" ht="15.75" customHeight="1" x14ac:dyDescent="0.25">
      <c r="G908" s="50"/>
    </row>
    <row r="909" spans="7:7" ht="15.75" customHeight="1" x14ac:dyDescent="0.25">
      <c r="G909" s="50"/>
    </row>
    <row r="910" spans="7:7" ht="15.75" customHeight="1" x14ac:dyDescent="0.25">
      <c r="G910" s="50"/>
    </row>
    <row r="911" spans="7:7" ht="15.75" customHeight="1" x14ac:dyDescent="0.25">
      <c r="G911" s="50"/>
    </row>
    <row r="912" spans="7:7" ht="15.75" customHeight="1" x14ac:dyDescent="0.25">
      <c r="G912" s="50"/>
    </row>
    <row r="913" spans="7:7" ht="15.75" customHeight="1" x14ac:dyDescent="0.25">
      <c r="G913" s="50"/>
    </row>
    <row r="914" spans="7:7" ht="15.75" customHeight="1" x14ac:dyDescent="0.25">
      <c r="G914" s="50"/>
    </row>
    <row r="915" spans="7:7" ht="15.75" customHeight="1" x14ac:dyDescent="0.25">
      <c r="G915" s="50"/>
    </row>
    <row r="916" spans="7:7" ht="15.75" customHeight="1" x14ac:dyDescent="0.25">
      <c r="G916" s="50"/>
    </row>
    <row r="917" spans="7:7" ht="15.75" customHeight="1" x14ac:dyDescent="0.25">
      <c r="G917" s="50"/>
    </row>
    <row r="918" spans="7:7" ht="15.75" customHeight="1" x14ac:dyDescent="0.25">
      <c r="G918" s="50"/>
    </row>
    <row r="919" spans="7:7" ht="15.75" customHeight="1" x14ac:dyDescent="0.25">
      <c r="G919" s="50"/>
    </row>
    <row r="920" spans="7:7" ht="15.75" customHeight="1" x14ac:dyDescent="0.25">
      <c r="G920" s="50"/>
    </row>
    <row r="921" spans="7:7" ht="15.75" customHeight="1" x14ac:dyDescent="0.25">
      <c r="G921" s="50"/>
    </row>
    <row r="922" spans="7:7" ht="15.75" customHeight="1" x14ac:dyDescent="0.25">
      <c r="G922" s="50"/>
    </row>
    <row r="923" spans="7:7" ht="15.75" customHeight="1" x14ac:dyDescent="0.25">
      <c r="G923" s="50"/>
    </row>
    <row r="924" spans="7:7" ht="15.75" customHeight="1" x14ac:dyDescent="0.25">
      <c r="G924" s="50"/>
    </row>
    <row r="925" spans="7:7" ht="15.75" customHeight="1" x14ac:dyDescent="0.25">
      <c r="G925" s="50"/>
    </row>
    <row r="926" spans="7:7" ht="15.75" customHeight="1" x14ac:dyDescent="0.25">
      <c r="G926" s="50"/>
    </row>
    <row r="927" spans="7:7" ht="15.75" customHeight="1" x14ac:dyDescent="0.25">
      <c r="G927" s="50"/>
    </row>
    <row r="928" spans="7:7" ht="15.75" customHeight="1" x14ac:dyDescent="0.25">
      <c r="G928" s="50"/>
    </row>
    <row r="929" spans="7:7" ht="15.75" customHeight="1" x14ac:dyDescent="0.25">
      <c r="G929" s="50"/>
    </row>
    <row r="930" spans="7:7" ht="15.75" customHeight="1" x14ac:dyDescent="0.25">
      <c r="G930" s="50"/>
    </row>
    <row r="931" spans="7:7" ht="15.75" customHeight="1" x14ac:dyDescent="0.25">
      <c r="G931" s="50"/>
    </row>
    <row r="932" spans="7:7" ht="15.75" customHeight="1" x14ac:dyDescent="0.25">
      <c r="G932" s="50"/>
    </row>
    <row r="933" spans="7:7" ht="15.75" customHeight="1" x14ac:dyDescent="0.25">
      <c r="G933" s="50"/>
    </row>
    <row r="934" spans="7:7" ht="15.75" customHeight="1" x14ac:dyDescent="0.25">
      <c r="G934" s="50"/>
    </row>
    <row r="935" spans="7:7" ht="15.75" customHeight="1" x14ac:dyDescent="0.25">
      <c r="G935" s="50"/>
    </row>
    <row r="936" spans="7:7" ht="15.75" customHeight="1" x14ac:dyDescent="0.25">
      <c r="G936" s="50"/>
    </row>
    <row r="937" spans="7:7" ht="15.75" customHeight="1" x14ac:dyDescent="0.25">
      <c r="G937" s="50"/>
    </row>
    <row r="938" spans="7:7" ht="15.75" customHeight="1" x14ac:dyDescent="0.25">
      <c r="G938" s="50"/>
    </row>
    <row r="939" spans="7:7" ht="15.75" customHeight="1" x14ac:dyDescent="0.25">
      <c r="G939" s="50"/>
    </row>
    <row r="940" spans="7:7" ht="15.75" customHeight="1" x14ac:dyDescent="0.25">
      <c r="G940" s="50"/>
    </row>
    <row r="941" spans="7:7" ht="15.75" customHeight="1" x14ac:dyDescent="0.25">
      <c r="G941" s="50"/>
    </row>
    <row r="942" spans="7:7" ht="15.75" customHeight="1" x14ac:dyDescent="0.25">
      <c r="G942" s="50"/>
    </row>
    <row r="943" spans="7:7" ht="15.75" customHeight="1" x14ac:dyDescent="0.25">
      <c r="G943" s="50"/>
    </row>
    <row r="944" spans="7:7" ht="15.75" customHeight="1" x14ac:dyDescent="0.25">
      <c r="G944" s="50"/>
    </row>
    <row r="945" spans="7:7" ht="15.75" customHeight="1" x14ac:dyDescent="0.25">
      <c r="G945" s="50"/>
    </row>
    <row r="946" spans="7:7" ht="15.75" customHeight="1" x14ac:dyDescent="0.25">
      <c r="G946" s="50"/>
    </row>
    <row r="947" spans="7:7" ht="15.75" customHeight="1" x14ac:dyDescent="0.25">
      <c r="G947" s="50"/>
    </row>
    <row r="948" spans="7:7" ht="15.75" customHeight="1" x14ac:dyDescent="0.25">
      <c r="G948" s="50"/>
    </row>
    <row r="949" spans="7:7" ht="15.75" customHeight="1" x14ac:dyDescent="0.25">
      <c r="G949" s="50"/>
    </row>
    <row r="950" spans="7:7" ht="15.75" customHeight="1" x14ac:dyDescent="0.25">
      <c r="G950" s="50"/>
    </row>
    <row r="951" spans="7:7" ht="15.75" customHeight="1" x14ac:dyDescent="0.25">
      <c r="G951" s="50"/>
    </row>
    <row r="952" spans="7:7" ht="15.75" customHeight="1" x14ac:dyDescent="0.25">
      <c r="G952" s="50"/>
    </row>
    <row r="953" spans="7:7" ht="15.75" customHeight="1" x14ac:dyDescent="0.25">
      <c r="G953" s="50"/>
    </row>
    <row r="954" spans="7:7" ht="15.75" customHeight="1" x14ac:dyDescent="0.25">
      <c r="G954" s="50"/>
    </row>
    <row r="955" spans="7:7" ht="15.75" customHeight="1" x14ac:dyDescent="0.25">
      <c r="G955" s="50"/>
    </row>
    <row r="956" spans="7:7" ht="15.75" customHeight="1" x14ac:dyDescent="0.25">
      <c r="G956" s="50"/>
    </row>
    <row r="957" spans="7:7" ht="15.75" customHeight="1" x14ac:dyDescent="0.25">
      <c r="G957" s="50"/>
    </row>
    <row r="958" spans="7:7" ht="15.75" customHeight="1" x14ac:dyDescent="0.25">
      <c r="G958" s="50"/>
    </row>
    <row r="959" spans="7:7" ht="15.75" customHeight="1" x14ac:dyDescent="0.25">
      <c r="G959" s="50"/>
    </row>
    <row r="960" spans="7:7" ht="15.75" customHeight="1" x14ac:dyDescent="0.25">
      <c r="G960" s="50"/>
    </row>
    <row r="961" spans="7:7" ht="15.75" customHeight="1" x14ac:dyDescent="0.25">
      <c r="G961" s="50"/>
    </row>
    <row r="962" spans="7:7" ht="15.75" customHeight="1" x14ac:dyDescent="0.25">
      <c r="G962" s="50"/>
    </row>
    <row r="963" spans="7:7" ht="15.75" customHeight="1" x14ac:dyDescent="0.25">
      <c r="G963" s="50"/>
    </row>
    <row r="964" spans="7:7" ht="15.75" customHeight="1" x14ac:dyDescent="0.25">
      <c r="G964" s="50"/>
    </row>
    <row r="965" spans="7:7" ht="15.75" customHeight="1" x14ac:dyDescent="0.25">
      <c r="G965" s="50"/>
    </row>
    <row r="966" spans="7:7" ht="15.75" customHeight="1" x14ac:dyDescent="0.25">
      <c r="G966" s="50"/>
    </row>
    <row r="967" spans="7:7" ht="15.75" customHeight="1" x14ac:dyDescent="0.25">
      <c r="G967" s="50"/>
    </row>
    <row r="968" spans="7:7" ht="15.75" customHeight="1" x14ac:dyDescent="0.25">
      <c r="G968" s="50"/>
    </row>
    <row r="969" spans="7:7" ht="15.75" customHeight="1" x14ac:dyDescent="0.25">
      <c r="G969" s="50"/>
    </row>
    <row r="970" spans="7:7" ht="15.75" customHeight="1" x14ac:dyDescent="0.25">
      <c r="G970" s="50"/>
    </row>
    <row r="971" spans="7:7" ht="15.75" customHeight="1" x14ac:dyDescent="0.25">
      <c r="G971" s="50"/>
    </row>
    <row r="972" spans="7:7" ht="15.75" customHeight="1" x14ac:dyDescent="0.25">
      <c r="G972" s="50"/>
    </row>
    <row r="973" spans="7:7" ht="15.75" customHeight="1" x14ac:dyDescent="0.25">
      <c r="G973" s="50"/>
    </row>
    <row r="974" spans="7:7" ht="15.75" customHeight="1" x14ac:dyDescent="0.25">
      <c r="G974" s="50"/>
    </row>
    <row r="975" spans="7:7" ht="15.75" customHeight="1" x14ac:dyDescent="0.25">
      <c r="G975" s="50"/>
    </row>
    <row r="976" spans="7:7" ht="15.75" customHeight="1" x14ac:dyDescent="0.25">
      <c r="G976" s="50"/>
    </row>
    <row r="977" spans="7:7" ht="15.75" customHeight="1" x14ac:dyDescent="0.25">
      <c r="G977" s="50"/>
    </row>
    <row r="978" spans="7:7" ht="15.75" customHeight="1" x14ac:dyDescent="0.25">
      <c r="G978" s="50"/>
    </row>
    <row r="979" spans="7:7" ht="15.75" customHeight="1" x14ac:dyDescent="0.25">
      <c r="G979" s="50"/>
    </row>
    <row r="980" spans="7:7" ht="15.75" customHeight="1" x14ac:dyDescent="0.25">
      <c r="G980" s="50"/>
    </row>
    <row r="981" spans="7:7" ht="15.75" customHeight="1" x14ac:dyDescent="0.25">
      <c r="G981" s="50"/>
    </row>
    <row r="982" spans="7:7" ht="15.75" customHeight="1" x14ac:dyDescent="0.25">
      <c r="G982" s="50"/>
    </row>
    <row r="983" spans="7:7" ht="15.75" customHeight="1" x14ac:dyDescent="0.25">
      <c r="G983" s="50"/>
    </row>
    <row r="984" spans="7:7" ht="15.75" customHeight="1" x14ac:dyDescent="0.25">
      <c r="G984" s="50"/>
    </row>
    <row r="985" spans="7:7" ht="15.75" customHeight="1" x14ac:dyDescent="0.25">
      <c r="G985" s="50"/>
    </row>
    <row r="986" spans="7:7" ht="15.75" customHeight="1" x14ac:dyDescent="0.25">
      <c r="G986" s="50"/>
    </row>
    <row r="987" spans="7:7" ht="15.75" customHeight="1" x14ac:dyDescent="0.25">
      <c r="G987" s="50"/>
    </row>
    <row r="988" spans="7:7" ht="15.75" customHeight="1" x14ac:dyDescent="0.25">
      <c r="G988" s="50"/>
    </row>
    <row r="989" spans="7:7" ht="15.75" customHeight="1" x14ac:dyDescent="0.25">
      <c r="G989" s="50"/>
    </row>
    <row r="990" spans="7:7" ht="15.75" customHeight="1" x14ac:dyDescent="0.25">
      <c r="G990" s="50"/>
    </row>
    <row r="991" spans="7:7" ht="15.75" customHeight="1" x14ac:dyDescent="0.25">
      <c r="G991" s="50"/>
    </row>
    <row r="992" spans="7:7" ht="15.75" customHeight="1" x14ac:dyDescent="0.25">
      <c r="G992" s="50"/>
    </row>
    <row r="993" spans="7:7" ht="15.75" customHeight="1" x14ac:dyDescent="0.25">
      <c r="G993" s="50"/>
    </row>
    <row r="994" spans="7:7" ht="15.75" customHeight="1" x14ac:dyDescent="0.25">
      <c r="G994" s="50"/>
    </row>
    <row r="995" spans="7:7" ht="15.75" customHeight="1" x14ac:dyDescent="0.25">
      <c r="G995" s="50"/>
    </row>
    <row r="996" spans="7:7" ht="15.75" customHeight="1" x14ac:dyDescent="0.25">
      <c r="G996" s="50"/>
    </row>
    <row r="997" spans="7:7" ht="15.75" customHeight="1" x14ac:dyDescent="0.25">
      <c r="G997" s="50"/>
    </row>
    <row r="998" spans="7:7" ht="15.75" customHeight="1" x14ac:dyDescent="0.25">
      <c r="G998" s="50"/>
    </row>
    <row r="999" spans="7:7" ht="15.75" customHeight="1" x14ac:dyDescent="0.25">
      <c r="G999" s="50"/>
    </row>
    <row r="1000" spans="7:7" ht="15.75" customHeight="1" x14ac:dyDescent="0.25">
      <c r="G1000" s="50"/>
    </row>
    <row r="1001" spans="7:7" ht="15.75" customHeight="1" x14ac:dyDescent="0.25">
      <c r="G1001" s="50"/>
    </row>
    <row r="1002" spans="7:7" ht="15.75" customHeight="1" x14ac:dyDescent="0.25">
      <c r="G1002" s="50"/>
    </row>
    <row r="1003" spans="7:7" ht="15.75" customHeight="1" x14ac:dyDescent="0.25">
      <c r="G1003" s="50"/>
    </row>
    <row r="1004" spans="7:7" ht="15.75" customHeight="1" x14ac:dyDescent="0.25">
      <c r="G1004" s="50"/>
    </row>
    <row r="1005" spans="7:7" ht="15.75" customHeight="1" x14ac:dyDescent="0.25">
      <c r="G1005" s="50"/>
    </row>
    <row r="1006" spans="7:7" ht="15.75" customHeight="1" x14ac:dyDescent="0.25">
      <c r="G1006" s="50"/>
    </row>
    <row r="1007" spans="7:7" ht="15.75" customHeight="1" x14ac:dyDescent="0.25">
      <c r="G1007" s="50"/>
    </row>
    <row r="1008" spans="7:7" ht="15.75" customHeight="1" x14ac:dyDescent="0.25">
      <c r="G1008" s="50"/>
    </row>
    <row r="1009" spans="7:7" ht="15.75" customHeight="1" x14ac:dyDescent="0.25">
      <c r="G1009" s="50"/>
    </row>
    <row r="1010" spans="7:7" ht="15.75" customHeight="1" x14ac:dyDescent="0.25">
      <c r="G1010" s="50"/>
    </row>
    <row r="1011" spans="7:7" ht="15.75" customHeight="1" x14ac:dyDescent="0.25">
      <c r="G1011" s="50"/>
    </row>
    <row r="1012" spans="7:7" ht="15.75" customHeight="1" x14ac:dyDescent="0.25">
      <c r="G1012" s="50"/>
    </row>
    <row r="1013" spans="7:7" ht="15.75" customHeight="1" x14ac:dyDescent="0.25">
      <c r="G1013" s="50"/>
    </row>
    <row r="1014" spans="7:7" ht="15.75" customHeight="1" x14ac:dyDescent="0.25">
      <c r="G1014" s="50"/>
    </row>
    <row r="1015" spans="7:7" ht="15.75" customHeight="1" x14ac:dyDescent="0.25">
      <c r="G1015" s="50"/>
    </row>
    <row r="1016" spans="7:7" ht="15.75" customHeight="1" x14ac:dyDescent="0.25">
      <c r="G1016" s="50"/>
    </row>
    <row r="1017" spans="7:7" ht="15.75" customHeight="1" x14ac:dyDescent="0.25">
      <c r="G1017" s="50"/>
    </row>
    <row r="1018" spans="7:7" ht="15.75" customHeight="1" x14ac:dyDescent="0.25">
      <c r="G1018" s="50"/>
    </row>
    <row r="1019" spans="7:7" ht="15.75" customHeight="1" x14ac:dyDescent="0.25">
      <c r="G1019" s="50"/>
    </row>
    <row r="1020" spans="7:7" ht="15.75" customHeight="1" x14ac:dyDescent="0.25">
      <c r="G1020" s="50"/>
    </row>
    <row r="1021" spans="7:7" ht="15.75" customHeight="1" x14ac:dyDescent="0.25">
      <c r="G1021" s="50"/>
    </row>
    <row r="1022" spans="7:7" ht="15.75" customHeight="1" x14ac:dyDescent="0.25">
      <c r="G1022" s="50"/>
    </row>
    <row r="1023" spans="7:7" ht="15.75" customHeight="1" x14ac:dyDescent="0.25">
      <c r="G1023" s="50"/>
    </row>
    <row r="1024" spans="7:7" ht="15.75" customHeight="1" x14ac:dyDescent="0.25">
      <c r="G1024" s="50"/>
    </row>
    <row r="1025" spans="7:7" ht="15.75" customHeight="1" x14ac:dyDescent="0.25">
      <c r="G1025" s="50"/>
    </row>
    <row r="1026" spans="7:7" ht="15.75" customHeight="1" x14ac:dyDescent="0.25">
      <c r="G1026" s="50"/>
    </row>
    <row r="1027" spans="7:7" ht="15.75" customHeight="1" x14ac:dyDescent="0.25">
      <c r="G1027" s="50"/>
    </row>
    <row r="1028" spans="7:7" ht="15.75" customHeight="1" x14ac:dyDescent="0.25">
      <c r="G1028" s="50"/>
    </row>
    <row r="1029" spans="7:7" ht="15.75" customHeight="1" x14ac:dyDescent="0.25">
      <c r="G1029" s="50"/>
    </row>
    <row r="1030" spans="7:7" ht="15.75" customHeight="1" x14ac:dyDescent="0.25">
      <c r="G1030" s="50"/>
    </row>
    <row r="1031" spans="7:7" ht="15.75" customHeight="1" x14ac:dyDescent="0.25">
      <c r="G1031" s="50"/>
    </row>
    <row r="1032" spans="7:7" ht="15.75" customHeight="1" x14ac:dyDescent="0.25">
      <c r="G1032" s="50"/>
    </row>
    <row r="1033" spans="7:7" ht="15.75" customHeight="1" x14ac:dyDescent="0.25">
      <c r="G1033" s="50"/>
    </row>
    <row r="1034" spans="7:7" ht="15.75" customHeight="1" x14ac:dyDescent="0.25">
      <c r="G1034" s="50"/>
    </row>
    <row r="1035" spans="7:7" ht="15.75" customHeight="1" x14ac:dyDescent="0.25">
      <c r="G1035" s="50"/>
    </row>
    <row r="1036" spans="7:7" ht="15.75" customHeight="1" x14ac:dyDescent="0.25">
      <c r="G1036" s="50"/>
    </row>
    <row r="1037" spans="7:7" ht="15.75" customHeight="1" x14ac:dyDescent="0.25">
      <c r="G1037" s="50"/>
    </row>
    <row r="1038" spans="7:7" ht="15.75" customHeight="1" x14ac:dyDescent="0.25">
      <c r="G1038" s="50"/>
    </row>
    <row r="1039" spans="7:7" ht="15.75" customHeight="1" x14ac:dyDescent="0.25">
      <c r="G1039" s="50"/>
    </row>
    <row r="1040" spans="7:7" ht="15.75" customHeight="1" x14ac:dyDescent="0.25">
      <c r="G1040" s="50"/>
    </row>
    <row r="1041" spans="7:7" ht="15.75" customHeight="1" x14ac:dyDescent="0.25">
      <c r="G1041" s="50"/>
    </row>
    <row r="1042" spans="7:7" ht="15.75" customHeight="1" x14ac:dyDescent="0.25">
      <c r="G1042" s="50"/>
    </row>
    <row r="1043" spans="7:7" ht="15.75" customHeight="1" x14ac:dyDescent="0.25">
      <c r="G1043" s="50"/>
    </row>
    <row r="1044" spans="7:7" ht="15.75" customHeight="1" x14ac:dyDescent="0.25">
      <c r="G1044" s="50"/>
    </row>
    <row r="1045" spans="7:7" ht="15.75" customHeight="1" x14ac:dyDescent="0.25">
      <c r="G1045" s="50"/>
    </row>
    <row r="1046" spans="7:7" ht="15.75" customHeight="1" x14ac:dyDescent="0.25">
      <c r="G1046" s="50"/>
    </row>
    <row r="1047" spans="7:7" ht="15.75" customHeight="1" x14ac:dyDescent="0.25">
      <c r="G1047" s="50"/>
    </row>
    <row r="1048" spans="7:7" ht="15.75" customHeight="1" x14ac:dyDescent="0.25">
      <c r="G1048" s="50"/>
    </row>
    <row r="1049" spans="7:7" ht="15.75" customHeight="1" x14ac:dyDescent="0.25">
      <c r="G1049" s="50"/>
    </row>
    <row r="1050" spans="7:7" ht="15.75" customHeight="1" x14ac:dyDescent="0.25">
      <c r="G1050" s="50"/>
    </row>
    <row r="1051" spans="7:7" ht="15.75" customHeight="1" x14ac:dyDescent="0.25">
      <c r="G1051" s="50"/>
    </row>
    <row r="1052" spans="7:7" ht="15.75" customHeight="1" x14ac:dyDescent="0.25">
      <c r="G1052" s="50"/>
    </row>
    <row r="1053" spans="7:7" ht="15.75" customHeight="1" x14ac:dyDescent="0.25">
      <c r="G1053" s="50"/>
    </row>
    <row r="1054" spans="7:7" ht="15.75" customHeight="1" x14ac:dyDescent="0.25">
      <c r="G1054" s="50"/>
    </row>
    <row r="1055" spans="7:7" ht="15.75" customHeight="1" x14ac:dyDescent="0.25">
      <c r="G1055" s="50"/>
    </row>
    <row r="1056" spans="7:7" ht="15.75" customHeight="1" x14ac:dyDescent="0.25">
      <c r="G1056" s="50"/>
    </row>
    <row r="1057" spans="7:7" ht="15.75" customHeight="1" x14ac:dyDescent="0.25">
      <c r="G1057" s="50"/>
    </row>
    <row r="1058" spans="7:7" ht="15.75" customHeight="1" x14ac:dyDescent="0.25">
      <c r="G1058" s="50"/>
    </row>
    <row r="1059" spans="7:7" ht="15.75" customHeight="1" x14ac:dyDescent="0.25">
      <c r="G1059" s="50"/>
    </row>
    <row r="1060" spans="7:7" ht="15.75" customHeight="1" x14ac:dyDescent="0.25">
      <c r="G1060" s="50"/>
    </row>
    <row r="1061" spans="7:7" ht="15.75" customHeight="1" x14ac:dyDescent="0.25">
      <c r="G1061" s="50"/>
    </row>
    <row r="1062" spans="7:7" ht="15.75" customHeight="1" x14ac:dyDescent="0.25">
      <c r="G1062" s="50"/>
    </row>
    <row r="1063" spans="7:7" ht="15.75" customHeight="1" x14ac:dyDescent="0.25">
      <c r="G1063" s="50"/>
    </row>
    <row r="1064" spans="7:7" ht="15.75" customHeight="1" x14ac:dyDescent="0.25">
      <c r="G1064" s="50"/>
    </row>
    <row r="1065" spans="7:7" ht="15.75" customHeight="1" x14ac:dyDescent="0.25">
      <c r="G1065" s="50"/>
    </row>
    <row r="1066" spans="7:7" ht="15.75" customHeight="1" x14ac:dyDescent="0.25">
      <c r="G1066" s="50"/>
    </row>
    <row r="1067" spans="7:7" ht="15.75" customHeight="1" x14ac:dyDescent="0.25">
      <c r="G1067" s="50"/>
    </row>
    <row r="1068" spans="7:7" ht="15.75" customHeight="1" x14ac:dyDescent="0.25">
      <c r="G1068" s="50"/>
    </row>
    <row r="1069" spans="7:7" ht="15.75" customHeight="1" x14ac:dyDescent="0.25">
      <c r="G1069" s="50"/>
    </row>
    <row r="1070" spans="7:7" ht="15.75" customHeight="1" x14ac:dyDescent="0.25">
      <c r="G1070" s="50"/>
    </row>
    <row r="1071" spans="7:7" ht="15.75" customHeight="1" x14ac:dyDescent="0.25">
      <c r="G1071" s="50"/>
    </row>
    <row r="1072" spans="7:7" ht="15.75" customHeight="1" x14ac:dyDescent="0.25">
      <c r="G1072" s="50"/>
    </row>
    <row r="1073" spans="7:7" ht="15.75" customHeight="1" x14ac:dyDescent="0.25">
      <c r="G1073" s="50"/>
    </row>
    <row r="1074" spans="7:7" ht="15.75" customHeight="1" x14ac:dyDescent="0.25">
      <c r="G1074" s="50"/>
    </row>
    <row r="1075" spans="7:7" ht="15.75" customHeight="1" x14ac:dyDescent="0.25">
      <c r="G1075" s="50"/>
    </row>
    <row r="1076" spans="7:7" ht="15.75" customHeight="1" x14ac:dyDescent="0.25">
      <c r="G1076" s="50"/>
    </row>
    <row r="1077" spans="7:7" ht="15.75" customHeight="1" x14ac:dyDescent="0.25">
      <c r="G1077" s="50"/>
    </row>
    <row r="1078" spans="7:7" ht="15.75" customHeight="1" x14ac:dyDescent="0.25">
      <c r="G1078" s="50"/>
    </row>
    <row r="1079" spans="7:7" ht="15.75" customHeight="1" x14ac:dyDescent="0.25">
      <c r="G1079" s="50"/>
    </row>
    <row r="1080" spans="7:7" ht="15.75" customHeight="1" x14ac:dyDescent="0.25">
      <c r="G1080" s="50"/>
    </row>
    <row r="1081" spans="7:7" ht="15.75" customHeight="1" x14ac:dyDescent="0.25">
      <c r="G1081" s="50"/>
    </row>
    <row r="1082" spans="7:7" ht="15.75" customHeight="1" x14ac:dyDescent="0.25">
      <c r="G1082" s="50"/>
    </row>
    <row r="1083" spans="7:7" ht="15.75" customHeight="1" x14ac:dyDescent="0.25">
      <c r="G1083" s="50"/>
    </row>
    <row r="1084" spans="7:7" ht="15.75" customHeight="1" x14ac:dyDescent="0.25">
      <c r="G1084" s="50"/>
    </row>
    <row r="1085" spans="7:7" ht="15.75" customHeight="1" x14ac:dyDescent="0.25">
      <c r="G1085" s="50"/>
    </row>
    <row r="1086" spans="7:7" ht="15.75" customHeight="1" x14ac:dyDescent="0.25">
      <c r="G1086" s="50"/>
    </row>
    <row r="1087" spans="7:7" ht="15.75" customHeight="1" x14ac:dyDescent="0.25">
      <c r="G1087" s="50"/>
    </row>
    <row r="1088" spans="7:7" ht="15.75" customHeight="1" x14ac:dyDescent="0.25">
      <c r="G1088" s="50"/>
    </row>
    <row r="1089" spans="7:7" ht="15.75" customHeight="1" x14ac:dyDescent="0.25">
      <c r="G1089" s="50"/>
    </row>
    <row r="1090" spans="7:7" ht="15.75" customHeight="1" x14ac:dyDescent="0.25">
      <c r="G1090" s="50"/>
    </row>
    <row r="1091" spans="7:7" ht="15.75" customHeight="1" x14ac:dyDescent="0.25">
      <c r="G1091" s="50"/>
    </row>
    <row r="1092" spans="7:7" ht="15.75" customHeight="1" x14ac:dyDescent="0.25">
      <c r="G1092" s="50"/>
    </row>
    <row r="1093" spans="7:7" ht="15.75" customHeight="1" x14ac:dyDescent="0.25">
      <c r="G1093" s="50"/>
    </row>
    <row r="1094" spans="7:7" ht="15.75" customHeight="1" x14ac:dyDescent="0.25">
      <c r="G1094" s="50"/>
    </row>
    <row r="1095" spans="7:7" ht="15.75" customHeight="1" x14ac:dyDescent="0.25">
      <c r="G1095" s="50"/>
    </row>
    <row r="1096" spans="7:7" ht="15.75" customHeight="1" x14ac:dyDescent="0.25">
      <c r="G1096" s="50"/>
    </row>
    <row r="1097" spans="7:7" ht="15.75" customHeight="1" x14ac:dyDescent="0.25">
      <c r="G1097" s="50"/>
    </row>
    <row r="1098" spans="7:7" ht="15.75" customHeight="1" x14ac:dyDescent="0.25">
      <c r="G1098" s="50"/>
    </row>
    <row r="1099" spans="7:7" ht="15.75" customHeight="1" x14ac:dyDescent="0.25">
      <c r="G1099" s="50"/>
    </row>
    <row r="1100" spans="7:7" ht="15.75" customHeight="1" x14ac:dyDescent="0.25">
      <c r="G1100" s="50"/>
    </row>
    <row r="1101" spans="7:7" ht="15.75" customHeight="1" x14ac:dyDescent="0.25">
      <c r="G1101" s="50"/>
    </row>
    <row r="1102" spans="7:7" ht="15.75" customHeight="1" x14ac:dyDescent="0.25">
      <c r="G1102" s="50"/>
    </row>
    <row r="1103" spans="7:7" ht="15.75" customHeight="1" x14ac:dyDescent="0.25">
      <c r="G1103" s="50"/>
    </row>
    <row r="1104" spans="7:7" ht="15.75" customHeight="1" x14ac:dyDescent="0.25">
      <c r="G1104" s="50"/>
    </row>
    <row r="1105" spans="7:7" ht="15.75" customHeight="1" x14ac:dyDescent="0.25">
      <c r="G1105" s="50"/>
    </row>
  </sheetData>
  <mergeCells count="141">
    <mergeCell ref="B122:F122"/>
    <mergeCell ref="B119:C119"/>
    <mergeCell ref="B120:C120"/>
    <mergeCell ref="B121:C121"/>
    <mergeCell ref="B58:C58"/>
    <mergeCell ref="B135:C135"/>
    <mergeCell ref="B111:C111"/>
    <mergeCell ref="B117:C117"/>
    <mergeCell ref="B118:C118"/>
    <mergeCell ref="B72:C72"/>
    <mergeCell ref="B76:C76"/>
    <mergeCell ref="B77:C77"/>
    <mergeCell ref="B123:F123"/>
    <mergeCell ref="B124:F124"/>
    <mergeCell ref="B132:F132"/>
    <mergeCell ref="B133:F133"/>
    <mergeCell ref="B134:F134"/>
    <mergeCell ref="B125:C125"/>
    <mergeCell ref="B126:C126"/>
    <mergeCell ref="B127:C127"/>
    <mergeCell ref="B128:C128"/>
    <mergeCell ref="B129:C129"/>
    <mergeCell ref="B130:C130"/>
    <mergeCell ref="B131:C131"/>
    <mergeCell ref="B112:F112"/>
    <mergeCell ref="B105:F105"/>
    <mergeCell ref="B106:F106"/>
    <mergeCell ref="B108:F108"/>
    <mergeCell ref="B109:F109"/>
    <mergeCell ref="B110:F110"/>
    <mergeCell ref="B107:C107"/>
    <mergeCell ref="B115:F115"/>
    <mergeCell ref="B116:F116"/>
    <mergeCell ref="B113:F113"/>
    <mergeCell ref="B114:F114"/>
    <mergeCell ref="B98:F98"/>
    <mergeCell ref="B100:F100"/>
    <mergeCell ref="B101:F101"/>
    <mergeCell ref="B102:F102"/>
    <mergeCell ref="B104:F104"/>
    <mergeCell ref="B99:C99"/>
    <mergeCell ref="B103:C103"/>
    <mergeCell ref="B91:F91"/>
    <mergeCell ref="B93:F93"/>
    <mergeCell ref="B94:F94"/>
    <mergeCell ref="B96:F96"/>
    <mergeCell ref="B97:F97"/>
    <mergeCell ref="B92:C92"/>
    <mergeCell ref="B95:C95"/>
    <mergeCell ref="B85:F85"/>
    <mergeCell ref="B87:F87"/>
    <mergeCell ref="B86:F86"/>
    <mergeCell ref="B89:F89"/>
    <mergeCell ref="B90:F90"/>
    <mergeCell ref="B88:C88"/>
    <mergeCell ref="B81:F81"/>
    <mergeCell ref="B82:F82"/>
    <mergeCell ref="B84:F84"/>
    <mergeCell ref="B83:C83"/>
    <mergeCell ref="B74:F74"/>
    <mergeCell ref="B75:F75"/>
    <mergeCell ref="B78:F78"/>
    <mergeCell ref="B79:F79"/>
    <mergeCell ref="B80:F80"/>
    <mergeCell ref="B33:F33"/>
    <mergeCell ref="B34:F34"/>
    <mergeCell ref="B49:F49"/>
    <mergeCell ref="B50:F50"/>
    <mergeCell ref="B51:F51"/>
    <mergeCell ref="B59:F59"/>
    <mergeCell ref="B62:F62"/>
    <mergeCell ref="B63:F63"/>
    <mergeCell ref="B64:F64"/>
    <mergeCell ref="B66:F66"/>
    <mergeCell ref="B67:F67"/>
    <mergeCell ref="B68:F68"/>
    <mergeCell ref="B73:F73"/>
    <mergeCell ref="B60:C60"/>
    <mergeCell ref="B61:C61"/>
    <mergeCell ref="B65:C65"/>
    <mergeCell ref="B69:C69"/>
    <mergeCell ref="B52:C52"/>
    <mergeCell ref="B53:C53"/>
    <mergeCell ref="B28:F28"/>
    <mergeCell ref="B29:F29"/>
    <mergeCell ref="B30:F30"/>
    <mergeCell ref="B31:F31"/>
    <mergeCell ref="B48:C48"/>
    <mergeCell ref="B54:F54"/>
    <mergeCell ref="B55:F55"/>
    <mergeCell ref="B56:F56"/>
    <mergeCell ref="B35:C35"/>
    <mergeCell ref="B41:C41"/>
    <mergeCell ref="B42:C42"/>
    <mergeCell ref="B44:C44"/>
    <mergeCell ref="B45:C45"/>
    <mergeCell ref="B32:F32"/>
    <mergeCell ref="A1:E1"/>
    <mergeCell ref="F1:G1"/>
    <mergeCell ref="A2:G2"/>
    <mergeCell ref="B4:G4"/>
    <mergeCell ref="B5:G5"/>
    <mergeCell ref="B6:G6"/>
    <mergeCell ref="B7:G7"/>
    <mergeCell ref="B8:G8"/>
    <mergeCell ref="B9:G9"/>
    <mergeCell ref="B27:F27"/>
    <mergeCell ref="B10:G10"/>
    <mergeCell ref="B11:G11"/>
    <mergeCell ref="B12:G12"/>
    <mergeCell ref="A18:G18"/>
    <mergeCell ref="F19:G19"/>
    <mergeCell ref="B19:E19"/>
    <mergeCell ref="B20:E20"/>
    <mergeCell ref="F20:G20"/>
    <mergeCell ref="B21:E21"/>
    <mergeCell ref="F21:G21"/>
    <mergeCell ref="B57:C57"/>
    <mergeCell ref="B22:E22"/>
    <mergeCell ref="F22:G22"/>
    <mergeCell ref="C139:G139"/>
    <mergeCell ref="C144:G144"/>
    <mergeCell ref="C145:G145"/>
    <mergeCell ref="B23:E23"/>
    <mergeCell ref="F23:G23"/>
    <mergeCell ref="A136:F136"/>
    <mergeCell ref="B137:C137"/>
    <mergeCell ref="C138:G138"/>
    <mergeCell ref="A25:A26"/>
    <mergeCell ref="B25:C26"/>
    <mergeCell ref="D25:F25"/>
    <mergeCell ref="B36:C36"/>
    <mergeCell ref="B37:C37"/>
    <mergeCell ref="B38:C38"/>
    <mergeCell ref="B39:C39"/>
    <mergeCell ref="B40:C40"/>
    <mergeCell ref="B46:C46"/>
    <mergeCell ref="B47:C47"/>
    <mergeCell ref="B43:C43"/>
    <mergeCell ref="B71:C71"/>
    <mergeCell ref="B70:C70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(kode sub kegiatan)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prola</dc:creator>
  <cp:lastModifiedBy>dinkeskabbogor01@outlook.com</cp:lastModifiedBy>
  <cp:lastPrinted>2026-02-13T05:19:27Z</cp:lastPrinted>
  <dcterms:created xsi:type="dcterms:W3CDTF">2022-02-03T05:54:32Z</dcterms:created>
  <dcterms:modified xsi:type="dcterms:W3CDTF">2026-03-06T07:43:21Z</dcterms:modified>
</cp:coreProperties>
</file>