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E:\YANKESRUJ 2027\"/>
    </mc:Choice>
  </mc:AlternateContent>
  <xr:revisionPtr revIDLastSave="0" documentId="13_ncr:1_{48A0F585-4514-4787-A56D-112CA432CA8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(04.0001" sheetId="2" r:id="rId1"/>
    <sheet name="(04.0004" sheetId="3" r:id="rId2"/>
    <sheet name="cth (kode sub kegiatan)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" roundtripDataChecksum="eOFbojenaZYJi3fO66NsIv0blmS2lpBK3+Bh1gm1Ru4="/>
    </ext>
  </extLst>
</workbook>
</file>

<file path=xl/calcChain.xml><?xml version="1.0" encoding="utf-8"?>
<calcChain xmlns="http://schemas.openxmlformats.org/spreadsheetml/2006/main">
  <c r="G29" i="2" l="1"/>
  <c r="G47" i="3"/>
  <c r="G49" i="3"/>
  <c r="G104" i="3"/>
  <c r="G102" i="3"/>
  <c r="G97" i="3"/>
  <c r="G96" i="3"/>
  <c r="G95" i="3"/>
  <c r="G94" i="3"/>
  <c r="G85" i="3"/>
  <c r="G84" i="3"/>
  <c r="G93" i="3"/>
  <c r="G92" i="3"/>
  <c r="G91" i="3"/>
  <c r="G90" i="3"/>
  <c r="G89" i="3"/>
  <c r="G88" i="3"/>
  <c r="G87" i="3"/>
  <c r="G86" i="3"/>
  <c r="G83" i="3"/>
  <c r="G81" i="3"/>
  <c r="G77" i="3"/>
  <c r="G79" i="3"/>
  <c r="G78" i="3"/>
  <c r="G76" i="3"/>
  <c r="G72" i="3"/>
  <c r="G71" i="3"/>
  <c r="G70" i="3"/>
  <c r="G69" i="3" s="1"/>
  <c r="G100" i="3"/>
  <c r="G98" i="3" s="1"/>
  <c r="G68" i="3"/>
  <c r="G67" i="3" s="1"/>
  <c r="G61" i="3"/>
  <c r="G60" i="3" s="1"/>
  <c r="G59" i="3" s="1"/>
  <c r="G58" i="3" s="1"/>
  <c r="G57" i="3"/>
  <c r="G56" i="3"/>
  <c r="G54" i="3"/>
  <c r="G53" i="3"/>
  <c r="G52" i="3" s="1"/>
  <c r="G48" i="3"/>
  <c r="G51" i="3"/>
  <c r="G50" i="3" s="1"/>
  <c r="G46" i="3"/>
  <c r="G45" i="3"/>
  <c r="G42" i="3"/>
  <c r="G41" i="3"/>
  <c r="G40" i="3"/>
  <c r="G39" i="3"/>
  <c r="G34" i="3"/>
  <c r="G35" i="3"/>
  <c r="G36" i="3"/>
  <c r="G37" i="3"/>
  <c r="G38" i="3"/>
  <c r="G43" i="3"/>
  <c r="G33" i="3"/>
  <c r="G37" i="2"/>
  <c r="G46" i="2"/>
  <c r="G45" i="2"/>
  <c r="G64" i="2"/>
  <c r="G66" i="2"/>
  <c r="G67" i="2"/>
  <c r="G68" i="2"/>
  <c r="G69" i="2"/>
  <c r="G70" i="2"/>
  <c r="G71" i="2"/>
  <c r="G72" i="2"/>
  <c r="G73" i="2"/>
  <c r="G74" i="2"/>
  <c r="G75" i="2"/>
  <c r="G63" i="2"/>
  <c r="G62" i="2" s="1"/>
  <c r="G59" i="2"/>
  <c r="G58" i="2" s="1"/>
  <c r="G57" i="2"/>
  <c r="G56" i="2" s="1"/>
  <c r="G55" i="2"/>
  <c r="G54" i="2" s="1"/>
  <c r="G50" i="2"/>
  <c r="G43" i="2"/>
  <c r="G41" i="2"/>
  <c r="G40" i="2"/>
  <c r="G34" i="2"/>
  <c r="G35" i="2"/>
  <c r="G36" i="2"/>
  <c r="G38" i="2"/>
  <c r="G33" i="2"/>
  <c r="G78" i="2"/>
  <c r="G76" i="2" s="1"/>
  <c r="G52" i="2"/>
  <c r="G51" i="2" s="1"/>
  <c r="G49" i="2"/>
  <c r="G48" i="2" s="1"/>
  <c r="G42" i="2"/>
  <c r="G31" i="3" l="1"/>
  <c r="G75" i="3"/>
  <c r="G55" i="3"/>
  <c r="G44" i="3"/>
  <c r="G32" i="3"/>
  <c r="G61" i="2"/>
  <c r="G53" i="2"/>
  <c r="G47" i="2"/>
  <c r="G39" i="2"/>
  <c r="G44" i="2"/>
  <c r="G32" i="2"/>
  <c r="D62" i="2"/>
  <c r="L33" i="2"/>
  <c r="L30" i="2"/>
  <c r="G82" i="3"/>
  <c r="G80" i="3" s="1"/>
  <c r="B120" i="3"/>
  <c r="G107" i="3"/>
  <c r="B94" i="2"/>
  <c r="B45" i="1"/>
  <c r="G32" i="1"/>
  <c r="G31" i="1"/>
  <c r="G106" i="3" l="1"/>
  <c r="G74" i="3"/>
  <c r="G73" i="3" s="1"/>
  <c r="G30" i="3"/>
  <c r="G31" i="2"/>
  <c r="G30" i="2" s="1"/>
  <c r="G80" i="2"/>
  <c r="H80" i="2" s="1"/>
  <c r="G60" i="2"/>
  <c r="L34" i="2"/>
  <c r="G29" i="3" l="1"/>
  <c r="G28" i="3" s="1"/>
  <c r="G27" i="3" s="1"/>
  <c r="G28" i="2"/>
  <c r="G27" i="2" s="1"/>
  <c r="H21" i="2" s="1"/>
</calcChain>
</file>

<file path=xl/sharedStrings.xml><?xml version="1.0" encoding="utf-8"?>
<sst xmlns="http://schemas.openxmlformats.org/spreadsheetml/2006/main" count="450" uniqueCount="238">
  <si>
    <t>RENCANA KERJA DAN ANGGARAN
SATUAN KERJA PERANGKAT DAERAH</t>
  </si>
  <si>
    <t>Formulir 
RKA-RINCIAN BELANJA
SKPD</t>
  </si>
  <si>
    <t>Urusan</t>
  </si>
  <si>
    <t>: 1.02 URUSAN PEMERINTAHAN WAJIB YANG BERKAITAN DENGAN PELAYANAN DASAR</t>
  </si>
  <si>
    <t>Unit Organisasi</t>
  </si>
  <si>
    <t>: 1.02.0.00.0.00.01.0000 DINAS KESEHATAN</t>
  </si>
  <si>
    <t>Sub Unit Organisasi</t>
  </si>
  <si>
    <t>Program</t>
  </si>
  <si>
    <t>Kegiatan</t>
  </si>
  <si>
    <t>Sub Kegiatan</t>
  </si>
  <si>
    <t>Sumber Pendanaan</t>
  </si>
  <si>
    <t>Lokasi Kegiatan</t>
  </si>
  <si>
    <t>Waktu Pelaksanaan</t>
  </si>
  <si>
    <t>: Januari s.d. Desember</t>
  </si>
  <si>
    <t>Kelompok Sasaran</t>
  </si>
  <si>
    <t>:</t>
  </si>
  <si>
    <t xml:space="preserve">: </t>
  </si>
  <si>
    <t>Indikator dan Tolok Ukur Kinerja Belanja</t>
  </si>
  <si>
    <t>Indikator</t>
  </si>
  <si>
    <t>Tolak Ukur Kinerja</t>
  </si>
  <si>
    <t>Target Kinerja</t>
  </si>
  <si>
    <t>Capaian Program</t>
  </si>
  <si>
    <t>Masukan</t>
  </si>
  <si>
    <t>Keluaran</t>
  </si>
  <si>
    <t>Hasil</t>
  </si>
  <si>
    <t>Kode Rekening</t>
  </si>
  <si>
    <t>Uraian</t>
  </si>
  <si>
    <t>Rincian Perhitungan</t>
  </si>
  <si>
    <t>Jumlah</t>
  </si>
  <si>
    <t>Koefisien</t>
  </si>
  <si>
    <t>Satuan</t>
  </si>
  <si>
    <t>Harga</t>
  </si>
  <si>
    <t>(Rp)</t>
  </si>
  <si>
    <t>Jumlah Anggaran Sub Kegiatan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</si>
  <si>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</si>
  <si>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</si>
  <si>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</si>
  <si>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</si>
  <si>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</si>
  <si>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</si>
  <si>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</si>
  <si>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</si>
  <si>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</si>
  <si>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</si>
  <si>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</si>
  <si>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</si>
  <si>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Jumlah 2026</t>
  </si>
  <si>
    <t>Pemerintah Kabupaten Bogor Tahun Anggaran 2027</t>
  </si>
  <si>
    <t>Jumlah 2027</t>
  </si>
  <si>
    <t>Jumlah 2028</t>
  </si>
  <si>
    <t>Kabupaten Bogor,                                2026</t>
  </si>
  <si>
    <t>Kepala ...</t>
  </si>
  <si>
    <t>Belanja Daerah</t>
  </si>
  <si>
    <t>BELANJA OPERASI</t>
  </si>
  <si>
    <t>5.1.02</t>
  </si>
  <si>
    <t>Belanja Barang dan Jasa</t>
  </si>
  <si>
    <t>5.1.02.01</t>
  </si>
  <si>
    <t>Belanja Barang</t>
  </si>
  <si>
    <t>Belanja Barang Habis Pakai</t>
  </si>
  <si>
    <t>buku</t>
  </si>
  <si>
    <t xml:space="preserve">Belanja Makanan dan Minuman Rapat </t>
  </si>
  <si>
    <t>Makmin kegiatan Pertemuan (evaluasi dan Kebijakan Rujukan)</t>
  </si>
  <si>
    <t>org/kl</t>
  </si>
  <si>
    <t>Snack pertemuan</t>
  </si>
  <si>
    <t>5.1.02.02</t>
  </si>
  <si>
    <t>Belanja Jasa</t>
  </si>
  <si>
    <t>Belanja Jasa Kantor</t>
  </si>
  <si>
    <t>Honorarium Narasumber atau Pembahas, Moderator, Pembawa Acara, dan Panitia</t>
  </si>
  <si>
    <t xml:space="preserve">Honorarium Narasumber/Pembahas Spesifikasi : Pejabat Eselon III kebawah/yang disetarakan </t>
  </si>
  <si>
    <t>org/3 jam</t>
  </si>
  <si>
    <t xml:space="preserve"> - Pertemuan Evaluasi Pelayanan rujukan RS (1 org/3 jam)</t>
  </si>
  <si>
    <t xml:space="preserve"> - Pertemuan Evaluasi Pelayanan rujukan Pkm (1 org/3 jam)</t>
  </si>
  <si>
    <t xml:space="preserve"> - Pertemuan Mutu Pelayanan RS dan INM RS (1 org/3 jam)</t>
  </si>
  <si>
    <t xml:space="preserve"> - Pertemuan Evaluasi Aspark RS, SISRUTE, RS Online (1 org/3 jam)</t>
  </si>
  <si>
    <t>5.1.02.04</t>
  </si>
  <si>
    <t>Belanja Perjalanan Dinas</t>
  </si>
  <si>
    <t>Belanja Perjalanan Dinas Dalam Negeri</t>
  </si>
  <si>
    <t>Belanja Perjalanan Dinas Dalam Kota</t>
  </si>
  <si>
    <t>Uang Harian Perjalanan Dinas Dalam Daerah lebih dari 8 Jam</t>
  </si>
  <si>
    <t>org/hr</t>
  </si>
  <si>
    <r>
      <t xml:space="preserve">Tranport </t>
    </r>
    <r>
      <rPr>
        <b/>
        <sz val="11"/>
        <color theme="1"/>
        <rFont val="Calibri"/>
        <family val="2"/>
        <scheme val="minor"/>
      </rPr>
      <t>Lingkup</t>
    </r>
    <r>
      <rPr>
        <sz val="11"/>
        <color theme="1"/>
        <rFont val="Calibri"/>
        <scheme val="minor"/>
      </rPr>
      <t xml:space="preserve"> Kecamatan</t>
    </r>
  </si>
  <si>
    <r>
      <t xml:space="preserve">Transport </t>
    </r>
    <r>
      <rPr>
        <b/>
        <sz val="12"/>
        <color theme="1"/>
        <rFont val="Calibri"/>
        <family val="2"/>
        <scheme val="minor"/>
      </rPr>
      <t>Antar</t>
    </r>
    <r>
      <rPr>
        <sz val="12"/>
        <color theme="1"/>
        <rFont val="Calibri"/>
        <family val="2"/>
        <scheme val="minor"/>
      </rPr>
      <t xml:space="preserve"> Kecamatan</t>
    </r>
  </si>
  <si>
    <t>org    /paket</t>
  </si>
  <si>
    <t>Tim Yankesruj</t>
  </si>
  <si>
    <t>6 org</t>
  </si>
  <si>
    <t>kali gerak tim yankesruj</t>
  </si>
  <si>
    <t>10 bulan</t>
  </si>
  <si>
    <t>16 hari (4minggu x4 hr)</t>
  </si>
  <si>
    <t>Tim Perizinan seksi lain</t>
  </si>
  <si>
    <t>2 org</t>
  </si>
  <si>
    <t>kali gerak tim lain</t>
  </si>
  <si>
    <t>Belanja Alat /Bahan untuk Kegiatan  Kantor - Alat Tulis Kantor</t>
  </si>
  <si>
    <t>Total</t>
  </si>
  <si>
    <t>Buku Spesifikasi : Buku Folio 200 Lbr</t>
  </si>
  <si>
    <t>8 hari</t>
  </si>
  <si>
    <t xml:space="preserve">bh </t>
  </si>
  <si>
    <t>Map 5002</t>
  </si>
  <si>
    <t>Dus</t>
  </si>
  <si>
    <t>Map Business File</t>
  </si>
  <si>
    <t>pack</t>
  </si>
  <si>
    <t xml:space="preserve">pcs </t>
  </si>
  <si>
    <t>Belanja Alat /Bahan untuk Kegiatan  Kantor - Kertas dan Cover</t>
  </si>
  <si>
    <t>rim</t>
  </si>
  <si>
    <t>Kertas Spesifikasi : Hvs A4 80 Gr</t>
  </si>
  <si>
    <t>Honorarium Narasumber/Pembahas Spesifikasi : Pejabat Eselon III kebawah/yang disetarakan (Pertemuan Pembinaan Fasyankes)</t>
  </si>
  <si>
    <t>org/bln</t>
  </si>
  <si>
    <t>Belanja Jasa Tenaga Administrasi</t>
  </si>
  <si>
    <t>Belanja Iuran Jaminan/Asuransi</t>
  </si>
  <si>
    <t>Belanja Iuran Jaminan Kesehatan bagi Non ASN</t>
  </si>
  <si>
    <t>Iuran Jaminan Kesehatan bagi Non
PNS</t>
  </si>
  <si>
    <t>: BIDANG PELAYANAN KESEHATAN</t>
  </si>
  <si>
    <t>: 1.02.02 - PROGRAM PEMENUHAN UPAYA KESEHATAN PERORANGAN DAN UPAYA KESEHATAN MASYARAKAT</t>
  </si>
  <si>
    <t>: 1.02.02.2.04 - Penerbitan Izin Rumah Sakit Kelas C, D dan Fasilitas Pelayanan Kesehatan Tingkat Daerah Kabupaten/Kota</t>
  </si>
  <si>
    <t>: 1.02.02.2.04.0001 - Pengendalian dan Pengawasan serta Tindak Lanjut Pengawasan Perizinan Rumah Sakit Kelas C, D dan Fasilitas Pelayanan Kesehatan Lainnya</t>
  </si>
  <si>
    <t>:  APBD Kabupaten</t>
  </si>
  <si>
    <t xml:space="preserve">: Dinas Kesehatan </t>
  </si>
  <si>
    <t>: Rumah Sakit</t>
  </si>
  <si>
    <t>: 83.367.893</t>
  </si>
  <si>
    <t>: 83.368.000</t>
  </si>
  <si>
    <t>: 191.384.000</t>
  </si>
  <si>
    <t>: 1.02.02.2.04.0004 - Penyiapan Perumusan dan Pelaksanaan Pelayanan Kesehatan Rujukan</t>
  </si>
  <si>
    <t>: Rumah Sakit dan Fasilitas Kesehatan Lainnya</t>
  </si>
  <si>
    <t>: 191.383.486</t>
  </si>
  <si>
    <t>Persentase fasilitas kesehatan yang terintegrasi dalam Sistem Informasi Kesehatan Nasional (SIKN)</t>
  </si>
  <si>
    <t>Dana Yang Dibutuhkan</t>
  </si>
  <si>
    <t>Jumlah Rumah Sakit Kelas C, D dan Fasilitas Pelayanan Kesehatan yang Dikendalikan, Diawasi dan Ditindaklanjuti Perizinannya</t>
  </si>
  <si>
    <t>Persentase fasilitas kesehatan yang memenuhi standar Indikator Nasional Mutu (INM) pelayanan kesehatan</t>
  </si>
  <si>
    <t xml:space="preserve"> Persentase fasilitas kesehatan yang terintegrasi dalam Sistem Informasi Kesehatan Nasional (SIKN)</t>
  </si>
  <si>
    <t xml:space="preserve">Dana Yang Dibutuhkan </t>
  </si>
  <si>
    <t xml:space="preserve">Jumlah Dokumen Hasil Penyiapan Perumusan dan Pelaksanaan Pelayanan Kesehatan Rujukan </t>
  </si>
  <si>
    <t>2 Dokumen</t>
  </si>
  <si>
    <t>5.1.02.01.001</t>
  </si>
  <si>
    <t>5.1.02.01.001.00024</t>
  </si>
  <si>
    <t>5.1.02.01.001.00025</t>
  </si>
  <si>
    <t>5.1.02.01.001.00027</t>
  </si>
  <si>
    <t>Belanja Alat/Bahan untuk Kegiatan Kantor-Benda Pos</t>
  </si>
  <si>
    <t>Materai</t>
  </si>
  <si>
    <t>buah</t>
  </si>
  <si>
    <t>Kertas Spesifikasi : Hvs F4 80 Gr</t>
  </si>
  <si>
    <t>5.1.02.01.001.00052</t>
  </si>
  <si>
    <t>Belanja Makanan dan Minuman Rapat</t>
  </si>
  <si>
    <t>Makan</t>
  </si>
  <si>
    <t>Snack</t>
  </si>
  <si>
    <t>5.1.02.02.001</t>
  </si>
  <si>
    <t>5.1.02.02.001.00003</t>
  </si>
  <si>
    <t>5.1.02.02.001.00026</t>
  </si>
  <si>
    <t>Jasa Tenaga Rekruitmen untuk Tenaga Teknis pendukung pelaksana kegiatan Pendidikan S1</t>
  </si>
  <si>
    <t>org/12 bln</t>
  </si>
  <si>
    <t>5.1.02.02.002</t>
  </si>
  <si>
    <t>5.1.02.02.002.00005</t>
  </si>
  <si>
    <t>Odner Folio</t>
  </si>
  <si>
    <t>Pcs</t>
  </si>
  <si>
    <t xml:space="preserve">Boxfile Folio </t>
  </si>
  <si>
    <t>5.1.02.02.002.00006</t>
  </si>
  <si>
    <t>Belanja Iuran Jaminan Kecelakaan Kerja bagi Non ASN</t>
  </si>
  <si>
    <t>Iuran Jaminan Kecelakaan Kerja Non ASN</t>
  </si>
  <si>
    <t>5.1.02.02.002.00007</t>
  </si>
  <si>
    <t>Belanja Iuran Jaminan Kematian bagi Non ASN</t>
  </si>
  <si>
    <t>Iuran Jaminan Kematian Non ASN</t>
  </si>
  <si>
    <t>5.1.02.04.001</t>
  </si>
  <si>
    <t>5.1.02.04.001.00003</t>
  </si>
  <si>
    <t>Lingkup kecamatan Cibinong</t>
  </si>
  <si>
    <t>Nanggung</t>
  </si>
  <si>
    <t>Antar Kecamatan</t>
  </si>
  <si>
    <t>Leuwiliang</t>
  </si>
  <si>
    <t>Jonggol</t>
  </si>
  <si>
    <t>Jasinga</t>
  </si>
  <si>
    <t>Gunungsindur</t>
  </si>
  <si>
    <t>Gunung Putri</t>
  </si>
  <si>
    <t>Cileungsi</t>
  </si>
  <si>
    <t>Cigudeg</t>
  </si>
  <si>
    <t>Cigombong</t>
  </si>
  <si>
    <t>Bojonggede</t>
  </si>
  <si>
    <t>5.1.02.04.001.00004</t>
  </si>
  <si>
    <t>Belanja Perjalanan Dinas Paket Meeting Dalam Kota</t>
  </si>
  <si>
    <t>Pertemuan Sosialisasi dan Evaluasi Perizinan Fasyankes</t>
  </si>
  <si>
    <t>Biaya Kegiatan Rapat atau Pertemuan di Luar Kantor - paket fullday
Spesifikasi: setingkat Pejabat Eselon II ke bawah di Hotel Bintang 3, Hotel Bintang4 atau Hotel Bintang 5</t>
  </si>
  <si>
    <t>Orang/Paket</t>
  </si>
  <si>
    <t>165 Unit</t>
  </si>
  <si>
    <t>efisiensi</t>
  </si>
  <si>
    <t>Stabilo</t>
  </si>
  <si>
    <t>Boxfile Folio Size</t>
  </si>
  <si>
    <t>Buku Tulis Spesifikasi : Buku Folio 200 Lbr</t>
  </si>
  <si>
    <t>Buku Tulis Spesifikasi : Ekspedisi 100 Lbr</t>
  </si>
  <si>
    <t xml:space="preserve">Odner Folio </t>
  </si>
  <si>
    <t>Map Display book, ukuran folio isi 10 lbr</t>
  </si>
  <si>
    <t>Buah</t>
  </si>
  <si>
    <t>Ballpoin gel</t>
  </si>
  <si>
    <t>lusin</t>
  </si>
  <si>
    <t>Binder Clip No 280 Warna Hitam</t>
  </si>
  <si>
    <t>Isi staples
Spesifikasi: Nomor 10, isi 20 dus</t>
  </si>
  <si>
    <t>Pack</t>
  </si>
  <si>
    <t>Staples
Spesifikasi: Nomor 10</t>
  </si>
  <si>
    <t>5.1.02.01.001.00026</t>
  </si>
  <si>
    <t>Belanja Alat/Bahan untuk Kegiatan Kantor- Bahan Cetak</t>
  </si>
  <si>
    <t>Foto Copy</t>
  </si>
  <si>
    <t>lbr</t>
  </si>
  <si>
    <t xml:space="preserve">5.1.02.01.001.00029
</t>
  </si>
  <si>
    <t>Belanja Alat/Bahan untuk Kegiatan Kantor-Bahan Komputer</t>
  </si>
  <si>
    <t>Tinta Epson 003 Black</t>
  </si>
  <si>
    <t>Tinta Epson 003 Warna</t>
  </si>
  <si>
    <t xml:space="preserve"> - Pertemuan Evaluasi pelayanan berbasis kompetensi RS (2 org/3 jam)</t>
  </si>
  <si>
    <t>Belanja jasa Pegawai Pemerintah dengan Perjanjian Kerja (PPPK) Paruh Waktu pada jabatan tenaga teknis</t>
  </si>
  <si>
    <t xml:space="preserve">5.1.02.02.001.00086 </t>
  </si>
  <si>
    <t>Pegawai Pemerintah dengan Perjanjian Kerja (PPPK) Paruh Waktu pada JabatanTenaga Teknis Spesifikasi: Pendidikan S1</t>
  </si>
  <si>
    <t>Belanja Perjalanan Dinas Biasa</t>
  </si>
  <si>
    <t xml:space="preserve">8.1.01.01.09.0002 </t>
  </si>
  <si>
    <t>Beban Iuran Jaminan Kesehatan PPPK</t>
  </si>
  <si>
    <t xml:space="preserve">8.1.01.01.10.0002 </t>
  </si>
  <si>
    <t>Beban Iuran Jaminan Kecelakaan Kerja PPPK</t>
  </si>
  <si>
    <t xml:space="preserve">8.1.01.01.11.0002 </t>
  </si>
  <si>
    <t>Beban Iuran Jaminan Kematian PPPK</t>
  </si>
  <si>
    <t>5.1.02.04.001.0001</t>
  </si>
  <si>
    <t>5.1.02.04.001.0003</t>
  </si>
  <si>
    <t>Biaya Transportasi Perjalanan Dinas Dalam Negeri
Spesifikasi: dari Kabupaten Bogor ke DKI Jakarta (one way)</t>
  </si>
  <si>
    <t>Biaya Transportasi Perjalanan Dinas Dalam Negeri
Spesifikasi: dari Kabupaten Bogor ke Kota Bandung (one way)</t>
  </si>
  <si>
    <t>Uang Harian Perjalanan Dinas Dalam Negeri
Spesifikasi: ke DKI Jakarta (luar kota)</t>
  </si>
  <si>
    <t>Uang Harian Perjalanan Dinas Dalam Negeri
Spesifikasi: ke Jawa Barat (luar kota)</t>
  </si>
  <si>
    <t>orang/kali</t>
  </si>
  <si>
    <t>orang/kali PP</t>
  </si>
  <si>
    <t xml:space="preserve">orang/kali </t>
  </si>
  <si>
    <t>Babakan Madang</t>
  </si>
  <si>
    <t>Ciawi</t>
  </si>
  <si>
    <t>Cisarua</t>
  </si>
  <si>
    <t>Citeureup</t>
  </si>
  <si>
    <t>Dramaga</t>
  </si>
  <si>
    <t xml:space="preserve">Gunung Putri </t>
  </si>
  <si>
    <t>Guinung Sindur</t>
  </si>
  <si>
    <t>Kemang</t>
  </si>
  <si>
    <t>Parung</t>
  </si>
  <si>
    <t>Sukaraja</t>
  </si>
  <si>
    <t>Pertemuan Monitoring dan Evaluasi Mutu RS</t>
  </si>
  <si>
    <t xml:space="preserve">Biaya Kegiatan Rapat atau Pertemuan di Luar Kantor - paket fullday </t>
  </si>
  <si>
    <t>Pertemuan Pembahasan Perumusan Kebijakan Pelayanan Kesehatan</t>
  </si>
  <si>
    <t>Biaya Kegiatan Rapat atau Pertemuan di Luar Kantor - paket fullday</t>
  </si>
  <si>
    <t>Pertemuan Evaluasi (RS online dan SIRS)</t>
  </si>
  <si>
    <t>5.1.02.02.001.0003</t>
  </si>
  <si>
    <t>Fotocopy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</si>
</sst>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64" formatCode="_(* #,##0_);_(* \(#,##0\);_(* &quot;-&quot;??_);_(@_)"/>
    <numFmt numFmtId="165" formatCode="_(* #,##0.00_);_(* \(#,##0.00\);_(* &quot;-&quot;??_);_(@_)"/>
    <numFmt numFmtId="166" formatCode="_-* #,##0_-;\-* #,##0_-;_-* &quot;-&quot;??_-;_-@_-"/>
    <numFmt numFmtId="167" formatCode="_(* #,##0.000000_);_(* \(#,##0.000000\);_(* &quot;-&quot;??_);_(@_)"/>
  </numFmts>
  <fonts count="3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b/>
      <u/>
      <sz val="11"/>
      <color theme="1"/>
      <name val="Calibri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0"/>
      <color theme="1"/>
      <name val="Arial Narrow"/>
      <family val="2"/>
    </font>
    <font>
      <sz val="8.5"/>
      <color theme="1"/>
      <name val="Arial Narrow"/>
      <family val="2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sz val="9"/>
      <color theme="1"/>
      <name val="Arial Narrow"/>
      <family val="2"/>
    </font>
    <font>
      <sz val="10"/>
      <color theme="1"/>
      <name val="Calibri"/>
      <family val="2"/>
      <scheme val="minor"/>
    </font>
    <font>
      <sz val="10"/>
      <name val="Arial Narrow"/>
      <family val="2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1"/>
      <color theme="1"/>
      <name val="Arial Narrow"/>
      <family val="2"/>
    </font>
    <font>
      <sz val="9"/>
      <color rgb="FFFF0000"/>
      <name val="Arial Narrow"/>
      <family val="2"/>
    </font>
    <font>
      <sz val="9"/>
      <name val="Arial Narrow"/>
      <family val="2"/>
    </font>
    <font>
      <sz val="11"/>
      <name val="Arial Narrow"/>
      <family val="2"/>
    </font>
    <font>
      <b/>
      <sz val="11"/>
      <color theme="1"/>
      <name val="Calibri"/>
      <family val="2"/>
    </font>
    <font>
      <b/>
      <sz val="10"/>
      <color theme="1"/>
      <name val="Calibri"/>
      <family val="2"/>
      <scheme val="minor"/>
    </font>
    <font>
      <sz val="11"/>
      <name val="Calibri"/>
      <family val="2"/>
    </font>
    <font>
      <sz val="9"/>
      <name val="Arial"/>
      <family val="2"/>
    </font>
    <font>
      <b/>
      <sz val="9"/>
      <color theme="1"/>
      <name val="Arial Narrow"/>
      <family val="2"/>
    </font>
    <font>
      <b/>
      <sz val="11"/>
      <name val="Calibri"/>
      <family val="2"/>
    </font>
    <font>
      <b/>
      <sz val="9"/>
      <name val="Arial Narrow"/>
      <family val="2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</cellStyleXfs>
  <cellXfs count="272">
    <xf numFmtId="0" fontId="0" fillId="0" borderId="0" xfId="0"/>
    <xf numFmtId="0" fontId="3" fillId="0" borderId="0" xfId="0" applyFont="1" applyAlignment="1">
      <alignment horizontal="center"/>
    </xf>
    <xf numFmtId="0" fontId="5" fillId="0" borderId="0" xfId="0" applyFont="1"/>
    <xf numFmtId="0" fontId="3" fillId="0" borderId="0" xfId="0" applyFont="1"/>
    <xf numFmtId="0" fontId="6" fillId="0" borderId="0" xfId="0" applyFont="1" applyAlignment="1">
      <alignment horizontal="left"/>
    </xf>
    <xf numFmtId="0" fontId="3" fillId="0" borderId="9" xfId="0" applyFont="1" applyBorder="1" applyAlignment="1">
      <alignment horizontal="center"/>
    </xf>
    <xf numFmtId="0" fontId="6" fillId="0" borderId="9" xfId="0" applyFont="1" applyBorder="1"/>
    <xf numFmtId="0" fontId="6" fillId="0" borderId="14" xfId="0" applyFont="1" applyBorder="1"/>
    <xf numFmtId="164" fontId="3" fillId="0" borderId="20" xfId="0" applyNumberFormat="1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164" fontId="3" fillId="0" borderId="25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vertical="top"/>
    </xf>
    <xf numFmtId="0" fontId="3" fillId="0" borderId="24" xfId="0" applyFont="1" applyBorder="1" applyAlignment="1">
      <alignment vertical="top"/>
    </xf>
    <xf numFmtId="164" fontId="3" fillId="0" borderId="25" xfId="0" applyNumberFormat="1" applyFont="1" applyBorder="1" applyAlignment="1">
      <alignment vertical="top"/>
    </xf>
    <xf numFmtId="0" fontId="3" fillId="0" borderId="24" xfId="0" applyFont="1" applyBorder="1" applyAlignment="1">
      <alignment horizontal="center" vertical="top"/>
    </xf>
    <xf numFmtId="0" fontId="6" fillId="0" borderId="9" xfId="0" applyFont="1" applyBorder="1" applyAlignment="1">
      <alignment vertical="top"/>
    </xf>
    <xf numFmtId="0" fontId="6" fillId="0" borderId="24" xfId="0" applyFont="1" applyBorder="1" applyAlignment="1">
      <alignment horizontal="center" vertical="top"/>
    </xf>
    <xf numFmtId="0" fontId="6" fillId="0" borderId="24" xfId="0" applyFont="1" applyBorder="1" applyAlignment="1">
      <alignment vertical="top"/>
    </xf>
    <xf numFmtId="164" fontId="6" fillId="0" borderId="25" xfId="0" applyNumberFormat="1" applyFont="1" applyBorder="1" applyAlignment="1">
      <alignment vertical="top"/>
    </xf>
    <xf numFmtId="164" fontId="3" fillId="0" borderId="26" xfId="0" applyNumberFormat="1" applyFont="1" applyBorder="1" applyAlignment="1">
      <alignment horizontal="right" vertical="top"/>
    </xf>
    <xf numFmtId="0" fontId="6" fillId="0" borderId="0" xfId="0" applyFont="1" applyAlignment="1">
      <alignment horizontal="right"/>
    </xf>
    <xf numFmtId="0" fontId="6" fillId="0" borderId="24" xfId="0" applyFont="1" applyBorder="1" applyAlignment="1">
      <alignment horizontal="center" vertical="center"/>
    </xf>
    <xf numFmtId="164" fontId="6" fillId="0" borderId="25" xfId="0" applyNumberFormat="1" applyFont="1" applyBorder="1"/>
    <xf numFmtId="0" fontId="6" fillId="0" borderId="27" xfId="0" applyFont="1" applyBorder="1"/>
    <xf numFmtId="164" fontId="6" fillId="0" borderId="28" xfId="0" applyNumberFormat="1" applyFont="1" applyBorder="1"/>
    <xf numFmtId="0" fontId="6" fillId="0" borderId="14" xfId="0" applyFont="1" applyBorder="1" applyAlignment="1">
      <alignment horizontal="center"/>
    </xf>
    <xf numFmtId="164" fontId="6" fillId="0" borderId="26" xfId="0" applyNumberFormat="1" applyFont="1" applyBorder="1"/>
    <xf numFmtId="0" fontId="6" fillId="0" borderId="29" xfId="0" applyFont="1" applyBorder="1"/>
    <xf numFmtId="0" fontId="6" fillId="0" borderId="30" xfId="0" applyFont="1" applyBorder="1"/>
    <xf numFmtId="164" fontId="6" fillId="0" borderId="31" xfId="0" applyNumberFormat="1" applyFont="1" applyBorder="1"/>
    <xf numFmtId="164" fontId="6" fillId="0" borderId="0" xfId="0" applyNumberFormat="1" applyFont="1"/>
    <xf numFmtId="0" fontId="0" fillId="0" borderId="0" xfId="0" applyAlignment="1">
      <alignment vertical="center"/>
    </xf>
    <xf numFmtId="0" fontId="12" fillId="0" borderId="0" xfId="0" applyFont="1"/>
    <xf numFmtId="41" fontId="12" fillId="0" borderId="0" xfId="0" applyNumberFormat="1" applyFont="1"/>
    <xf numFmtId="0" fontId="14" fillId="0" borderId="32" xfId="0" applyFont="1" applyBorder="1" applyAlignment="1">
      <alignment vertical="center"/>
    </xf>
    <xf numFmtId="0" fontId="0" fillId="0" borderId="32" xfId="0" applyBorder="1" applyAlignment="1">
      <alignment vertical="center"/>
    </xf>
    <xf numFmtId="164" fontId="12" fillId="0" borderId="0" xfId="0" applyNumberFormat="1" applyFont="1"/>
    <xf numFmtId="165" fontId="12" fillId="0" borderId="0" xfId="0" applyNumberFormat="1" applyFont="1"/>
    <xf numFmtId="0" fontId="12" fillId="0" borderId="32" xfId="0" applyFont="1" applyBorder="1"/>
    <xf numFmtId="164" fontId="12" fillId="0" borderId="0" xfId="1" applyNumberFormat="1" applyFont="1"/>
    <xf numFmtId="164" fontId="21" fillId="0" borderId="0" xfId="1" applyNumberFormat="1" applyFont="1"/>
    <xf numFmtId="0" fontId="21" fillId="0" borderId="0" xfId="0" applyFont="1"/>
    <xf numFmtId="0" fontId="3" fillId="0" borderId="36" xfId="0" applyFont="1" applyBorder="1" applyAlignment="1">
      <alignment horizontal="center" vertical="center"/>
    </xf>
    <xf numFmtId="164" fontId="3" fillId="0" borderId="37" xfId="0" applyNumberFormat="1" applyFont="1" applyBorder="1" applyAlignment="1">
      <alignment horizontal="center" vertical="center"/>
    </xf>
    <xf numFmtId="0" fontId="10" fillId="0" borderId="32" xfId="0" applyFont="1" applyBorder="1" applyAlignment="1">
      <alignment horizontal="left" vertical="center" wrapText="1"/>
    </xf>
    <xf numFmtId="0" fontId="11" fillId="0" borderId="32" xfId="0" applyFont="1" applyBorder="1" applyAlignment="1">
      <alignment horizontal="left" vertical="center" wrapText="1" indent="2"/>
    </xf>
    <xf numFmtId="0" fontId="11" fillId="0" borderId="32" xfId="0" applyFont="1" applyBorder="1" applyAlignment="1">
      <alignment horizontal="left" vertical="center" wrapText="1" indent="1"/>
    </xf>
    <xf numFmtId="0" fontId="10" fillId="0" borderId="32" xfId="0" applyFont="1" applyBorder="1" applyAlignment="1">
      <alignment vertical="center" wrapText="1"/>
    </xf>
    <xf numFmtId="0" fontId="13" fillId="0" borderId="32" xfId="0" applyFont="1" applyBorder="1" applyAlignment="1">
      <alignment horizontal="left" vertical="center" wrapText="1" indent="2"/>
    </xf>
    <xf numFmtId="0" fontId="13" fillId="0" borderId="32" xfId="0" applyFont="1" applyBorder="1" applyAlignment="1">
      <alignment horizontal="left" vertical="center" wrapText="1" indent="1"/>
    </xf>
    <xf numFmtId="0" fontId="13" fillId="0" borderId="32" xfId="0" applyFont="1" applyBorder="1" applyAlignment="1">
      <alignment vertical="center" wrapText="1"/>
    </xf>
    <xf numFmtId="0" fontId="15" fillId="0" borderId="32" xfId="0" applyFont="1" applyBorder="1" applyAlignment="1">
      <alignment vertical="center" wrapText="1"/>
    </xf>
    <xf numFmtId="164" fontId="0" fillId="0" borderId="32" xfId="1" applyNumberFormat="1" applyFont="1" applyFill="1" applyBorder="1" applyAlignment="1">
      <alignment vertical="center" wrapText="1"/>
    </xf>
    <xf numFmtId="0" fontId="15" fillId="0" borderId="32" xfId="0" applyFont="1" applyBorder="1" applyAlignment="1">
      <alignment vertical="center"/>
    </xf>
    <xf numFmtId="0" fontId="13" fillId="0" borderId="32" xfId="0" applyFont="1" applyBorder="1" applyAlignment="1">
      <alignment vertical="center"/>
    </xf>
    <xf numFmtId="164" fontId="0" fillId="0" borderId="32" xfId="1" applyNumberFormat="1" applyFont="1" applyFill="1" applyBorder="1" applyAlignment="1">
      <alignment vertical="center"/>
    </xf>
    <xf numFmtId="164" fontId="13" fillId="0" borderId="32" xfId="1" applyNumberFormat="1" applyFont="1" applyBorder="1" applyAlignment="1">
      <alignment horizontal="left" vertical="center" wrapText="1" indent="1"/>
    </xf>
    <xf numFmtId="0" fontId="16" fillId="0" borderId="32" xfId="0" applyFont="1" applyBorder="1" applyAlignment="1">
      <alignment horizontal="left" vertical="center" wrapText="1" indent="2"/>
    </xf>
    <xf numFmtId="0" fontId="16" fillId="0" borderId="32" xfId="0" applyFont="1" applyBorder="1" applyAlignment="1">
      <alignment horizontal="left" vertical="center" wrapText="1" indent="1"/>
    </xf>
    <xf numFmtId="164" fontId="16" fillId="0" borderId="32" xfId="1" applyNumberFormat="1" applyFont="1" applyBorder="1" applyAlignment="1">
      <alignment horizontal="left" vertical="center" wrapText="1" indent="1"/>
    </xf>
    <xf numFmtId="0" fontId="14" fillId="0" borderId="32" xfId="0" applyFont="1" applyBorder="1" applyAlignment="1">
      <alignment horizontal="left" vertical="center" wrapText="1" indent="2"/>
    </xf>
    <xf numFmtId="164" fontId="13" fillId="0" borderId="32" xfId="1" applyNumberFormat="1" applyFont="1" applyFill="1" applyBorder="1" applyAlignment="1">
      <alignment horizontal="right" vertical="center" wrapText="1"/>
    </xf>
    <xf numFmtId="41" fontId="13" fillId="0" borderId="32" xfId="2" applyFont="1" applyBorder="1" applyAlignment="1">
      <alignment horizontal="left" vertical="center" wrapText="1" indent="1"/>
    </xf>
    <xf numFmtId="0" fontId="0" fillId="0" borderId="32" xfId="0" applyBorder="1" applyAlignment="1">
      <alignment horizontal="left" vertical="center"/>
    </xf>
    <xf numFmtId="0" fontId="16" fillId="0" borderId="32" xfId="0" applyFont="1" applyBorder="1" applyAlignment="1">
      <alignment horizontal="center" vertical="center"/>
    </xf>
    <xf numFmtId="164" fontId="17" fillId="0" borderId="32" xfId="1" applyNumberFormat="1" applyFont="1" applyFill="1" applyBorder="1" applyAlignment="1">
      <alignment vertical="center"/>
    </xf>
    <xf numFmtId="0" fontId="18" fillId="0" borderId="32" xfId="0" applyFont="1" applyBorder="1" applyAlignment="1">
      <alignment horizontal="left" vertical="center" wrapText="1"/>
    </xf>
    <xf numFmtId="0" fontId="13" fillId="0" borderId="32" xfId="0" applyFont="1" applyBorder="1" applyAlignment="1">
      <alignment horizontal="center" vertical="center" wrapText="1"/>
    </xf>
    <xf numFmtId="0" fontId="20" fillId="0" borderId="32" xfId="0" applyFont="1" applyBorder="1" applyAlignment="1">
      <alignment horizontal="left" vertical="center"/>
    </xf>
    <xf numFmtId="0" fontId="16" fillId="0" borderId="32" xfId="0" applyFont="1" applyBorder="1" applyAlignment="1">
      <alignment horizontal="center"/>
    </xf>
    <xf numFmtId="164" fontId="17" fillId="0" borderId="32" xfId="1" applyNumberFormat="1" applyFont="1" applyFill="1" applyBorder="1"/>
    <xf numFmtId="164" fontId="12" fillId="0" borderId="32" xfId="0" applyNumberFormat="1" applyFont="1" applyBorder="1"/>
    <xf numFmtId="164" fontId="3" fillId="0" borderId="39" xfId="0" applyNumberFormat="1" applyFont="1" applyBorder="1" applyAlignment="1">
      <alignment horizontal="right" vertical="top"/>
    </xf>
    <xf numFmtId="164" fontId="15" fillId="0" borderId="32" xfId="1" applyNumberFormat="1" applyFont="1" applyFill="1" applyBorder="1" applyAlignment="1">
      <alignment vertical="center" wrapText="1"/>
    </xf>
    <xf numFmtId="0" fontId="14" fillId="0" borderId="32" xfId="0" applyFont="1" applyBorder="1" applyAlignment="1">
      <alignment horizontal="left" vertical="center" wrapText="1"/>
    </xf>
    <xf numFmtId="164" fontId="16" fillId="0" borderId="32" xfId="1" applyNumberFormat="1" applyFont="1" applyFill="1" applyBorder="1" applyAlignment="1">
      <alignment vertical="center"/>
    </xf>
    <xf numFmtId="0" fontId="22" fillId="0" borderId="32" xfId="0" applyFont="1" applyBorder="1" applyAlignment="1">
      <alignment horizontal="left" vertical="center" wrapText="1"/>
    </xf>
    <xf numFmtId="0" fontId="6" fillId="0" borderId="32" xfId="0" applyFont="1" applyBorder="1" applyAlignment="1">
      <alignment vertical="top"/>
    </xf>
    <xf numFmtId="0" fontId="6" fillId="0" borderId="32" xfId="0" applyFont="1" applyBorder="1" applyAlignment="1">
      <alignment horizontal="center" vertical="top"/>
    </xf>
    <xf numFmtId="164" fontId="6" fillId="0" borderId="32" xfId="0" applyNumberFormat="1" applyFont="1" applyBorder="1" applyAlignment="1">
      <alignment vertical="top"/>
    </xf>
    <xf numFmtId="0" fontId="0" fillId="0" borderId="0" xfId="0" applyAlignment="1">
      <alignment wrapText="1"/>
    </xf>
    <xf numFmtId="0" fontId="5" fillId="0" borderId="0" xfId="0" applyFont="1" applyAlignment="1">
      <alignment vertical="top"/>
    </xf>
    <xf numFmtId="0" fontId="2" fillId="0" borderId="0" xfId="0" applyFont="1"/>
    <xf numFmtId="0" fontId="6" fillId="0" borderId="14" xfId="0" applyFont="1" applyBorder="1" applyAlignment="1">
      <alignment vertical="top"/>
    </xf>
    <xf numFmtId="0" fontId="12" fillId="0" borderId="32" xfId="0" applyFont="1" applyBorder="1" applyAlignment="1">
      <alignment horizontal="center" vertical="center" wrapText="1"/>
    </xf>
    <xf numFmtId="0" fontId="15" fillId="0" borderId="40" xfId="0" applyFont="1" applyBorder="1" applyAlignment="1">
      <alignment horizontal="left" vertical="top" wrapText="1"/>
    </xf>
    <xf numFmtId="0" fontId="15" fillId="0" borderId="41" xfId="0" applyFont="1" applyBorder="1" applyAlignment="1">
      <alignment horizontal="left" vertical="top" wrapText="1"/>
    </xf>
    <xf numFmtId="164" fontId="12" fillId="0" borderId="32" xfId="0" applyNumberFormat="1" applyFont="1" applyBorder="1" applyAlignment="1">
      <alignment vertical="center"/>
    </xf>
    <xf numFmtId="164" fontId="21" fillId="0" borderId="32" xfId="0" applyNumberFormat="1" applyFont="1" applyBorder="1" applyAlignment="1">
      <alignment vertical="center"/>
    </xf>
    <xf numFmtId="164" fontId="21" fillId="0" borderId="32" xfId="0" applyNumberFormat="1" applyFont="1" applyBorder="1"/>
    <xf numFmtId="0" fontId="1" fillId="0" borderId="32" xfId="0" applyFont="1" applyBorder="1" applyAlignment="1">
      <alignment vertical="center"/>
    </xf>
    <xf numFmtId="0" fontId="25" fillId="0" borderId="9" xfId="0" applyFont="1" applyBorder="1" applyAlignment="1">
      <alignment vertical="top" wrapText="1"/>
    </xf>
    <xf numFmtId="166" fontId="6" fillId="0" borderId="24" xfId="1" applyNumberFormat="1" applyFont="1" applyBorder="1" applyAlignment="1">
      <alignment vertical="top"/>
    </xf>
    <xf numFmtId="164" fontId="25" fillId="0" borderId="25" xfId="0" applyNumberFormat="1" applyFont="1" applyBorder="1" applyAlignment="1">
      <alignment vertical="top"/>
    </xf>
    <xf numFmtId="0" fontId="4" fillId="0" borderId="0" xfId="0" applyFont="1" applyBorder="1"/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right" vertical="top"/>
    </xf>
    <xf numFmtId="164" fontId="3" fillId="0" borderId="0" xfId="0" applyNumberFormat="1" applyFont="1" applyBorder="1" applyAlignment="1">
      <alignment horizontal="center" vertical="center"/>
    </xf>
    <xf numFmtId="164" fontId="21" fillId="0" borderId="0" xfId="0" applyNumberFormat="1" applyFont="1" applyBorder="1"/>
    <xf numFmtId="164" fontId="12" fillId="0" borderId="0" xfId="0" applyNumberFormat="1" applyFont="1" applyBorder="1" applyAlignment="1">
      <alignment vertical="center"/>
    </xf>
    <xf numFmtId="164" fontId="21" fillId="0" borderId="0" xfId="0" applyNumberFormat="1" applyFont="1" applyBorder="1" applyAlignment="1">
      <alignment vertical="center"/>
    </xf>
    <xf numFmtId="164" fontId="3" fillId="0" borderId="0" xfId="0" applyNumberFormat="1" applyFont="1" applyBorder="1" applyAlignment="1">
      <alignment vertical="top"/>
    </xf>
    <xf numFmtId="164" fontId="6" fillId="0" borderId="0" xfId="0" applyNumberFormat="1" applyFont="1" applyBorder="1" applyAlignment="1">
      <alignment vertical="top"/>
    </xf>
    <xf numFmtId="164" fontId="3" fillId="0" borderId="0" xfId="0" applyNumberFormat="1" applyFont="1" applyBorder="1" applyAlignment="1">
      <alignment horizontal="right" vertical="top"/>
    </xf>
    <xf numFmtId="164" fontId="25" fillId="0" borderId="0" xfId="0" applyNumberFormat="1" applyFont="1" applyBorder="1" applyAlignment="1">
      <alignment vertical="top"/>
    </xf>
    <xf numFmtId="164" fontId="6" fillId="0" borderId="0" xfId="0" applyNumberFormat="1" applyFont="1" applyBorder="1"/>
    <xf numFmtId="164" fontId="3" fillId="0" borderId="26" xfId="0" applyNumberFormat="1" applyFont="1" applyBorder="1" applyAlignment="1">
      <alignment horizontal="right" vertical="center"/>
    </xf>
    <xf numFmtId="164" fontId="4" fillId="0" borderId="0" xfId="0" applyNumberFormat="1" applyFont="1" applyBorder="1" applyAlignment="1">
      <alignment horizontal="right" vertical="top"/>
    </xf>
    <xf numFmtId="166" fontId="6" fillId="0" borderId="44" xfId="1" applyNumberFormat="1" applyFont="1" applyBorder="1" applyAlignment="1">
      <alignment vertical="top"/>
    </xf>
    <xf numFmtId="164" fontId="6" fillId="0" borderId="37" xfId="0" applyNumberFormat="1" applyFont="1" applyBorder="1" applyAlignment="1">
      <alignment vertical="top"/>
    </xf>
    <xf numFmtId="0" fontId="6" fillId="0" borderId="36" xfId="0" applyFont="1" applyBorder="1" applyAlignment="1">
      <alignment horizontal="center" vertical="top"/>
    </xf>
    <xf numFmtId="0" fontId="9" fillId="0" borderId="36" xfId="0" applyFont="1" applyBorder="1" applyAlignment="1">
      <alignment vertical="top" wrapText="1"/>
    </xf>
    <xf numFmtId="0" fontId="9" fillId="0" borderId="32" xfId="0" applyFont="1" applyBorder="1" applyAlignment="1">
      <alignment vertical="top" wrapText="1"/>
    </xf>
    <xf numFmtId="0" fontId="9" fillId="0" borderId="40" xfId="0" applyFont="1" applyBorder="1" applyAlignment="1">
      <alignment horizontal="left" vertical="top" wrapText="1"/>
    </xf>
    <xf numFmtId="0" fontId="4" fillId="0" borderId="41" xfId="0" applyFont="1" applyBorder="1"/>
    <xf numFmtId="0" fontId="6" fillId="0" borderId="46" xfId="0" applyFont="1" applyBorder="1" applyAlignment="1">
      <alignment vertical="top"/>
    </xf>
    <xf numFmtId="0" fontId="1" fillId="0" borderId="40" xfId="0" applyFont="1" applyBorder="1" applyAlignment="1">
      <alignment horizontal="left" vertical="center" wrapText="1"/>
    </xf>
    <xf numFmtId="0" fontId="0" fillId="0" borderId="41" xfId="0" applyBorder="1" applyAlignment="1">
      <alignment horizontal="left" vertical="center" wrapText="1"/>
    </xf>
    <xf numFmtId="0" fontId="14" fillId="0" borderId="32" xfId="0" applyFont="1" applyBorder="1" applyAlignment="1">
      <alignment horizontal="center" vertical="center" wrapText="1"/>
    </xf>
    <xf numFmtId="0" fontId="14" fillId="0" borderId="40" xfId="0" applyFont="1" applyBorder="1" applyAlignment="1">
      <alignment vertical="center"/>
    </xf>
    <xf numFmtId="0" fontId="14" fillId="0" borderId="41" xfId="0" applyFont="1" applyBorder="1" applyAlignment="1">
      <alignment horizontal="left" vertical="center" wrapText="1"/>
    </xf>
    <xf numFmtId="166" fontId="13" fillId="0" borderId="32" xfId="1" applyNumberFormat="1" applyFont="1" applyBorder="1" applyAlignment="1">
      <alignment horizontal="left" vertical="center" wrapText="1" indent="1"/>
    </xf>
    <xf numFmtId="0" fontId="18" fillId="0" borderId="41" xfId="0" applyFont="1" applyBorder="1" applyAlignment="1">
      <alignment horizontal="left" vertical="center" wrapText="1"/>
    </xf>
    <xf numFmtId="0" fontId="17" fillId="0" borderId="32" xfId="0" applyFont="1" applyBorder="1" applyAlignment="1">
      <alignment horizontal="left" vertical="center"/>
    </xf>
    <xf numFmtId="0" fontId="31" fillId="0" borderId="32" xfId="0" applyFont="1" applyBorder="1" applyAlignment="1">
      <alignment vertical="center"/>
    </xf>
    <xf numFmtId="164" fontId="6" fillId="0" borderId="0" xfId="0" applyNumberFormat="1" applyFont="1" applyAlignment="1">
      <alignment horizontal="right"/>
    </xf>
    <xf numFmtId="164" fontId="0" fillId="0" borderId="0" xfId="0" applyNumberFormat="1"/>
    <xf numFmtId="167" fontId="0" fillId="0" borderId="0" xfId="0" applyNumberFormat="1"/>
    <xf numFmtId="166" fontId="6" fillId="0" borderId="24" xfId="1" applyNumberFormat="1" applyFont="1" applyBorder="1" applyAlignment="1">
      <alignment vertical="center"/>
    </xf>
    <xf numFmtId="164" fontId="6" fillId="0" borderId="25" xfId="0" applyNumberFormat="1" applyFont="1" applyBorder="1" applyAlignment="1">
      <alignment vertical="center"/>
    </xf>
    <xf numFmtId="0" fontId="15" fillId="0" borderId="40" xfId="0" applyFont="1" applyBorder="1" applyAlignment="1">
      <alignment horizontal="left" vertical="center"/>
    </xf>
    <xf numFmtId="0" fontId="15" fillId="0" borderId="41" xfId="0" applyFont="1" applyBorder="1" applyAlignment="1">
      <alignment horizontal="left" vertical="center"/>
    </xf>
    <xf numFmtId="0" fontId="9" fillId="0" borderId="0" xfId="0" applyFont="1"/>
    <xf numFmtId="0" fontId="0" fillId="0" borderId="0" xfId="0"/>
    <xf numFmtId="0" fontId="26" fillId="0" borderId="40" xfId="0" applyFont="1" applyBorder="1" applyAlignment="1">
      <alignment horizontal="left" vertical="top" wrapText="1"/>
    </xf>
    <xf numFmtId="0" fontId="26" fillId="0" borderId="41" xfId="0" applyFont="1" applyBorder="1" applyAlignment="1">
      <alignment horizontal="left" vertical="top" wrapText="1"/>
    </xf>
    <xf numFmtId="0" fontId="15" fillId="0" borderId="40" xfId="0" applyFont="1" applyBorder="1" applyAlignment="1">
      <alignment horizontal="left" vertical="top" wrapText="1"/>
    </xf>
    <xf numFmtId="0" fontId="15" fillId="0" borderId="4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0" fontId="4" fillId="0" borderId="2" xfId="0" applyFont="1" applyBorder="1"/>
    <xf numFmtId="0" fontId="4" fillId="0" borderId="3" xfId="0" applyFont="1" applyBorder="1"/>
    <xf numFmtId="0" fontId="3" fillId="0" borderId="4" xfId="0" applyFont="1" applyBorder="1" applyAlignment="1">
      <alignment horizontal="center" vertical="center" wrapText="1"/>
    </xf>
    <xf numFmtId="0" fontId="4" fillId="0" borderId="5" xfId="0" applyFont="1" applyBorder="1"/>
    <xf numFmtId="0" fontId="3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6" fillId="0" borderId="0" xfId="0" applyFont="1"/>
    <xf numFmtId="0" fontId="9" fillId="0" borderId="10" xfId="0" applyFont="1" applyBorder="1" applyAlignment="1">
      <alignment horizontal="left" vertical="top"/>
    </xf>
    <xf numFmtId="0" fontId="4" fillId="0" borderId="11" xfId="0" applyFont="1" applyBorder="1" applyAlignment="1">
      <alignment vertical="top"/>
    </xf>
    <xf numFmtId="0" fontId="4" fillId="0" borderId="12" xfId="0" applyFont="1" applyBorder="1" applyAlignment="1">
      <alignment vertical="top"/>
    </xf>
    <xf numFmtId="164" fontId="6" fillId="0" borderId="10" xfId="0" applyNumberFormat="1" applyFont="1" applyBorder="1" applyAlignment="1">
      <alignment horizontal="right" vertical="top"/>
    </xf>
    <xf numFmtId="0" fontId="4" fillId="0" borderId="13" xfId="0" applyFont="1" applyBorder="1" applyAlignment="1">
      <alignment horizontal="right" vertical="top"/>
    </xf>
    <xf numFmtId="0" fontId="9" fillId="0" borderId="0" xfId="0" applyFont="1" applyAlignment="1">
      <alignment wrapText="1"/>
    </xf>
    <xf numFmtId="0" fontId="0" fillId="0" borderId="0" xfId="0" applyAlignment="1">
      <alignment wrapText="1"/>
    </xf>
    <xf numFmtId="0" fontId="25" fillId="0" borderId="0" xfId="0" applyFont="1" applyAlignment="1">
      <alignment wrapText="1"/>
    </xf>
    <xf numFmtId="0" fontId="3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/>
    <xf numFmtId="0" fontId="9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vertical="top" wrapText="1"/>
    </xf>
    <xf numFmtId="0" fontId="4" fillId="0" borderId="12" xfId="0" applyFont="1" applyBorder="1" applyAlignment="1">
      <alignment vertical="top" wrapText="1"/>
    </xf>
    <xf numFmtId="9" fontId="6" fillId="0" borderId="10" xfId="0" applyNumberFormat="1" applyFont="1" applyBorder="1" applyAlignment="1">
      <alignment horizontal="right" vertical="top"/>
    </xf>
    <xf numFmtId="0" fontId="9" fillId="0" borderId="10" xfId="0" applyFont="1" applyBorder="1" applyAlignment="1">
      <alignment horizontal="left" wrapText="1"/>
    </xf>
    <xf numFmtId="0" fontId="4" fillId="0" borderId="11" xfId="0" applyFont="1" applyBorder="1" applyAlignment="1">
      <alignment wrapText="1"/>
    </xf>
    <xf numFmtId="0" fontId="4" fillId="0" borderId="12" xfId="0" applyFont="1" applyBorder="1" applyAlignment="1">
      <alignment wrapText="1"/>
    </xf>
    <xf numFmtId="0" fontId="9" fillId="0" borderId="10" xfId="0" applyFont="1" applyBorder="1" applyAlignment="1">
      <alignment horizontal="right" vertical="top"/>
    </xf>
    <xf numFmtId="0" fontId="9" fillId="0" borderId="15" xfId="0" applyFont="1" applyBorder="1" applyAlignment="1">
      <alignment horizontal="left" wrapText="1"/>
    </xf>
    <xf numFmtId="0" fontId="4" fillId="0" borderId="7" xfId="0" applyFont="1" applyBorder="1" applyAlignment="1">
      <alignment wrapText="1"/>
    </xf>
    <xf numFmtId="0" fontId="4" fillId="0" borderId="16" xfId="0" applyFont="1" applyBorder="1" applyAlignment="1">
      <alignment wrapText="1"/>
    </xf>
    <xf numFmtId="9" fontId="6" fillId="0" borderId="15" xfId="0" applyNumberFormat="1" applyFont="1" applyBorder="1" applyAlignment="1">
      <alignment horizontal="right" vertical="top"/>
    </xf>
    <xf numFmtId="0" fontId="4" fillId="0" borderId="8" xfId="0" applyFont="1" applyBorder="1" applyAlignment="1">
      <alignment horizontal="right" vertical="top"/>
    </xf>
    <xf numFmtId="0" fontId="3" fillId="0" borderId="17" xfId="0" applyFont="1" applyBorder="1" applyAlignment="1">
      <alignment horizontal="center" vertical="center"/>
    </xf>
    <xf numFmtId="0" fontId="4" fillId="0" borderId="33" xfId="0" applyFont="1" applyBorder="1"/>
    <xf numFmtId="0" fontId="3" fillId="0" borderId="18" xfId="0" applyFont="1" applyBorder="1" applyAlignment="1">
      <alignment horizontal="center" vertical="center"/>
    </xf>
    <xf numFmtId="0" fontId="4" fillId="0" borderId="19" xfId="0" applyFont="1" applyBorder="1"/>
    <xf numFmtId="0" fontId="4" fillId="0" borderId="34" xfId="0" applyFont="1" applyBorder="1"/>
    <xf numFmtId="0" fontId="4" fillId="0" borderId="35" xfId="0" applyFont="1" applyBorder="1"/>
    <xf numFmtId="0" fontId="3" fillId="0" borderId="4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/>
    </xf>
    <xf numFmtId="0" fontId="4" fillId="0" borderId="28" xfId="0" applyFont="1" applyBorder="1"/>
    <xf numFmtId="0" fontId="7" fillId="0" borderId="27" xfId="0" applyFont="1" applyBorder="1" applyAlignment="1">
      <alignment horizontal="center"/>
    </xf>
    <xf numFmtId="0" fontId="10" fillId="0" borderId="32" xfId="0" applyFont="1" applyBorder="1" applyAlignment="1">
      <alignment horizontal="left" vertical="center" wrapText="1"/>
    </xf>
    <xf numFmtId="0" fontId="15" fillId="0" borderId="32" xfId="0" applyFont="1" applyBorder="1" applyAlignment="1">
      <alignment horizontal="left" vertical="center"/>
    </xf>
    <xf numFmtId="0" fontId="25" fillId="0" borderId="10" xfId="0" applyFont="1" applyBorder="1" applyAlignment="1">
      <alignment horizontal="left" vertical="top" wrapText="1"/>
    </xf>
    <xf numFmtId="0" fontId="27" fillId="0" borderId="12" xfId="0" applyFont="1" applyBorder="1"/>
    <xf numFmtId="0" fontId="9" fillId="0" borderId="45" xfId="0" applyFont="1" applyBorder="1" applyAlignment="1">
      <alignment horizontal="left" vertical="top" wrapText="1"/>
    </xf>
    <xf numFmtId="0" fontId="4" fillId="0" borderId="44" xfId="0" applyFont="1" applyBorder="1"/>
    <xf numFmtId="0" fontId="3" fillId="0" borderId="29" xfId="0" applyFont="1" applyBorder="1" applyAlignment="1">
      <alignment horizontal="right" vertical="center"/>
    </xf>
    <xf numFmtId="0" fontId="4" fillId="0" borderId="30" xfId="0" applyFont="1" applyBorder="1" applyAlignment="1">
      <alignment horizontal="right" vertical="center"/>
    </xf>
    <xf numFmtId="0" fontId="4" fillId="0" borderId="16" xfId="0" applyFont="1" applyBorder="1" applyAlignment="1">
      <alignment horizontal="right" vertical="center"/>
    </xf>
    <xf numFmtId="0" fontId="6" fillId="0" borderId="10" xfId="0" applyFont="1" applyBorder="1" applyAlignment="1">
      <alignment horizontal="left" vertical="top" wrapText="1"/>
    </xf>
    <xf numFmtId="0" fontId="20" fillId="0" borderId="40" xfId="0" applyFont="1" applyBorder="1" applyAlignment="1">
      <alignment horizontal="left" vertical="center" wrapText="1"/>
    </xf>
    <xf numFmtId="0" fontId="20" fillId="0" borderId="41" xfId="0" applyFont="1" applyBorder="1" applyAlignment="1">
      <alignment horizontal="left" vertical="center" wrapText="1"/>
    </xf>
    <xf numFmtId="0" fontId="12" fillId="0" borderId="32" xfId="0" applyFont="1" applyBorder="1" applyAlignment="1">
      <alignment horizontal="center" wrapText="1"/>
    </xf>
    <xf numFmtId="0" fontId="15" fillId="0" borderId="32" xfId="0" applyFont="1" applyBorder="1" applyAlignment="1">
      <alignment horizontal="left" vertical="top" wrapText="1"/>
    </xf>
    <xf numFmtId="0" fontId="24" fillId="0" borderId="32" xfId="0" applyFont="1" applyBorder="1" applyAlignment="1">
      <alignment horizontal="left" vertical="center" wrapText="1"/>
    </xf>
    <xf numFmtId="0" fontId="20" fillId="0" borderId="32" xfId="0" applyFont="1" applyBorder="1" applyAlignment="1">
      <alignment horizontal="left" vertical="center" wrapText="1"/>
    </xf>
    <xf numFmtId="0" fontId="12" fillId="0" borderId="32" xfId="0" applyFont="1" applyBorder="1" applyAlignment="1">
      <alignment horizontal="left" vertical="top" wrapText="1"/>
    </xf>
    <xf numFmtId="0" fontId="17" fillId="0" borderId="40" xfId="0" applyFont="1" applyBorder="1" applyAlignment="1">
      <alignment horizontal="left" vertical="center" wrapText="1"/>
    </xf>
    <xf numFmtId="0" fontId="17" fillId="0" borderId="41" xfId="0" applyFont="1" applyBorder="1" applyAlignment="1">
      <alignment horizontal="left" vertical="center" wrapText="1"/>
    </xf>
    <xf numFmtId="0" fontId="21" fillId="0" borderId="32" xfId="0" applyFont="1" applyBorder="1" applyAlignment="1">
      <alignment horizontal="left" vertical="center" wrapText="1"/>
    </xf>
    <xf numFmtId="0" fontId="17" fillId="0" borderId="32" xfId="0" applyFont="1" applyBorder="1" applyAlignment="1">
      <alignment horizontal="left" vertical="center" wrapText="1"/>
    </xf>
    <xf numFmtId="0" fontId="1" fillId="0" borderId="42" xfId="0" applyFont="1" applyBorder="1" applyAlignment="1">
      <alignment horizontal="left" vertical="center"/>
    </xf>
    <xf numFmtId="0" fontId="1" fillId="0" borderId="43" xfId="0" applyFont="1" applyBorder="1" applyAlignment="1">
      <alignment horizontal="left" vertical="center"/>
    </xf>
    <xf numFmtId="0" fontId="13" fillId="0" borderId="32" xfId="0" applyFont="1" applyBorder="1" applyAlignment="1">
      <alignment horizontal="left" vertical="center" wrapText="1"/>
    </xf>
    <xf numFmtId="0" fontId="1" fillId="0" borderId="32" xfId="0" applyFont="1" applyBorder="1" applyAlignment="1">
      <alignment horizontal="left" vertical="center"/>
    </xf>
    <xf numFmtId="0" fontId="0" fillId="0" borderId="32" xfId="0" applyBorder="1" applyAlignment="1">
      <alignment horizontal="left" vertical="center"/>
    </xf>
    <xf numFmtId="0" fontId="18" fillId="0" borderId="32" xfId="0" applyFont="1" applyBorder="1" applyAlignment="1">
      <alignment horizontal="left" vertical="center" wrapText="1"/>
    </xf>
    <xf numFmtId="0" fontId="17" fillId="0" borderId="32" xfId="0" applyFont="1" applyBorder="1" applyAlignment="1">
      <alignment horizontal="left" vertical="center"/>
    </xf>
    <xf numFmtId="0" fontId="1" fillId="0" borderId="40" xfId="0" applyFont="1" applyBorder="1" applyAlignment="1">
      <alignment horizontal="left" vertical="center"/>
    </xf>
    <xf numFmtId="0" fontId="1" fillId="0" borderId="41" xfId="0" applyFont="1" applyBorder="1" applyAlignment="1">
      <alignment horizontal="left" vertical="center"/>
    </xf>
    <xf numFmtId="0" fontId="1" fillId="0" borderId="40" xfId="0" applyFont="1" applyBorder="1" applyAlignment="1">
      <alignment horizontal="left"/>
    </xf>
    <xf numFmtId="0" fontId="1" fillId="0" borderId="41" xfId="0" applyFont="1" applyBorder="1" applyAlignment="1">
      <alignment horizontal="left"/>
    </xf>
    <xf numFmtId="0" fontId="18" fillId="0" borderId="40" xfId="0" applyFont="1" applyBorder="1" applyAlignment="1">
      <alignment horizontal="left" vertical="center" wrapText="1"/>
    </xf>
    <xf numFmtId="0" fontId="18" fillId="0" borderId="41" xfId="0" applyFont="1" applyBorder="1" applyAlignment="1">
      <alignment horizontal="left" vertical="center" wrapText="1"/>
    </xf>
    <xf numFmtId="0" fontId="25" fillId="0" borderId="22" xfId="0" applyFont="1" applyBorder="1" applyAlignment="1">
      <alignment horizontal="left" vertical="top" wrapText="1"/>
    </xf>
    <xf numFmtId="0" fontId="25" fillId="0" borderId="10" xfId="0" applyFont="1" applyBorder="1" applyAlignment="1">
      <alignment horizontal="left" vertical="center" wrapText="1"/>
    </xf>
    <xf numFmtId="0" fontId="30" fillId="0" borderId="12" xfId="0" applyFont="1" applyBorder="1" applyAlignment="1">
      <alignment vertical="center"/>
    </xf>
    <xf numFmtId="0" fontId="12" fillId="0" borderId="40" xfId="0" applyFont="1" applyBorder="1" applyAlignment="1">
      <alignment horizontal="left" vertical="center" wrapText="1"/>
    </xf>
    <xf numFmtId="0" fontId="12" fillId="0" borderId="41" xfId="0" applyFont="1" applyBorder="1" applyAlignment="1">
      <alignment horizontal="left" vertical="center" wrapText="1"/>
    </xf>
    <xf numFmtId="0" fontId="10" fillId="0" borderId="40" xfId="0" applyFont="1" applyBorder="1" applyAlignment="1">
      <alignment horizontal="left" vertical="center" wrapText="1"/>
    </xf>
    <xf numFmtId="0" fontId="10" fillId="0" borderId="41" xfId="0" applyFont="1" applyBorder="1" applyAlignment="1">
      <alignment horizontal="left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4" fillId="0" borderId="40" xfId="0" applyFont="1" applyBorder="1" applyAlignment="1">
      <alignment horizontal="left" vertical="center" wrapText="1"/>
    </xf>
    <xf numFmtId="0" fontId="14" fillId="0" borderId="41" xfId="0" applyFont="1" applyBorder="1" applyAlignment="1">
      <alignment horizontal="left" vertical="center" wrapText="1"/>
    </xf>
    <xf numFmtId="0" fontId="29" fillId="0" borderId="40" xfId="0" applyFont="1" applyBorder="1" applyAlignment="1">
      <alignment horizontal="left" vertical="center" wrapText="1"/>
    </xf>
    <xf numFmtId="0" fontId="29" fillId="0" borderId="41" xfId="0" applyFont="1" applyBorder="1" applyAlignment="1">
      <alignment horizontal="left" vertical="center" wrapText="1"/>
    </xf>
    <xf numFmtId="0" fontId="13" fillId="0" borderId="40" xfId="0" applyFont="1" applyBorder="1" applyAlignment="1">
      <alignment horizontal="left" vertical="center" wrapText="1"/>
    </xf>
    <xf numFmtId="0" fontId="13" fillId="0" borderId="41" xfId="0" applyFont="1" applyBorder="1" applyAlignment="1">
      <alignment horizontal="left" vertical="center" wrapText="1"/>
    </xf>
    <xf numFmtId="0" fontId="1" fillId="0" borderId="40" xfId="0" applyFont="1" applyBorder="1" applyAlignment="1">
      <alignment horizontal="left" vertical="center" wrapText="1"/>
    </xf>
    <xf numFmtId="0" fontId="0" fillId="0" borderId="41" xfId="0" applyBorder="1" applyAlignment="1">
      <alignment horizontal="left" vertical="center" wrapText="1"/>
    </xf>
    <xf numFmtId="0" fontId="15" fillId="0" borderId="40" xfId="0" applyFont="1" applyBorder="1" applyAlignment="1">
      <alignment horizontal="left" vertical="center" wrapText="1"/>
    </xf>
    <xf numFmtId="0" fontId="15" fillId="0" borderId="41" xfId="0" applyFont="1" applyBorder="1" applyAlignment="1">
      <alignment horizontal="left" vertical="center" wrapText="1"/>
    </xf>
    <xf numFmtId="0" fontId="8" fillId="0" borderId="40" xfId="0" applyFont="1" applyBorder="1" applyAlignment="1">
      <alignment horizontal="left" vertical="center" wrapText="1"/>
    </xf>
    <xf numFmtId="0" fontId="8" fillId="0" borderId="41" xfId="0" applyFont="1" applyBorder="1" applyAlignment="1">
      <alignment horizontal="left" vertical="center" wrapText="1"/>
    </xf>
    <xf numFmtId="0" fontId="1" fillId="0" borderId="41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left"/>
    </xf>
    <xf numFmtId="164" fontId="6" fillId="0" borderId="10" xfId="0" applyNumberFormat="1" applyFont="1" applyBorder="1" applyAlignment="1">
      <alignment horizontal="left"/>
    </xf>
    <xf numFmtId="0" fontId="9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4" fillId="0" borderId="13" xfId="0" applyFont="1" applyBorder="1" applyAlignment="1">
      <alignment vertical="top"/>
    </xf>
    <xf numFmtId="0" fontId="9" fillId="0" borderId="15" xfId="0" applyFont="1" applyBorder="1" applyAlignment="1">
      <alignment horizontal="left" vertical="top" wrapText="1"/>
    </xf>
    <xf numFmtId="0" fontId="4" fillId="0" borderId="7" xfId="0" applyFont="1" applyBorder="1" applyAlignment="1">
      <alignment vertical="top" wrapText="1"/>
    </xf>
    <xf numFmtId="0" fontId="4" fillId="0" borderId="16" xfId="0" applyFont="1" applyBorder="1" applyAlignment="1">
      <alignment vertical="top" wrapText="1"/>
    </xf>
    <xf numFmtId="0" fontId="4" fillId="0" borderId="8" xfId="0" applyFont="1" applyBorder="1" applyAlignment="1">
      <alignment vertical="top"/>
    </xf>
    <xf numFmtId="0" fontId="23" fillId="0" borderId="40" xfId="0" applyFont="1" applyBorder="1" applyAlignment="1">
      <alignment horizontal="left" vertical="center" wrapText="1"/>
    </xf>
    <xf numFmtId="0" fontId="23" fillId="0" borderId="41" xfId="0" applyFont="1" applyBorder="1" applyAlignment="1">
      <alignment horizontal="left" vertical="center" wrapText="1"/>
    </xf>
    <xf numFmtId="0" fontId="6" fillId="0" borderId="32" xfId="0" applyFont="1" applyBorder="1" applyAlignment="1">
      <alignment horizontal="left" vertical="top" wrapText="1"/>
    </xf>
    <xf numFmtId="0" fontId="4" fillId="0" borderId="32" xfId="0" applyFont="1" applyBorder="1"/>
    <xf numFmtId="0" fontId="3" fillId="0" borderId="29" xfId="0" applyFont="1" applyBorder="1" applyAlignment="1">
      <alignment horizontal="right" vertical="top"/>
    </xf>
    <xf numFmtId="0" fontId="4" fillId="0" borderId="30" xfId="0" applyFont="1" applyBorder="1"/>
    <xf numFmtId="0" fontId="4" fillId="0" borderId="38" xfId="0" applyFont="1" applyBorder="1"/>
    <xf numFmtId="0" fontId="28" fillId="0" borderId="40" xfId="0" applyFont="1" applyBorder="1" applyAlignment="1">
      <alignment horizontal="left" vertical="center" wrapText="1"/>
    </xf>
    <xf numFmtId="0" fontId="28" fillId="0" borderId="41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/>
    </xf>
    <xf numFmtId="0" fontId="4" fillId="0" borderId="7" xfId="0" applyFont="1" applyBorder="1"/>
    <xf numFmtId="0" fontId="4" fillId="0" borderId="16" xfId="0" applyFont="1" applyBorder="1"/>
    <xf numFmtId="9" fontId="6" fillId="0" borderId="15" xfId="0" applyNumberFormat="1" applyFont="1" applyBorder="1" applyAlignment="1">
      <alignment horizontal="right"/>
    </xf>
    <xf numFmtId="0" fontId="4" fillId="0" borderId="8" xfId="0" applyFont="1" applyBorder="1"/>
    <xf numFmtId="0" fontId="3" fillId="0" borderId="10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right" vertical="top"/>
    </xf>
    <xf numFmtId="0" fontId="4" fillId="0" borderId="21" xfId="0" applyFont="1" applyBorder="1"/>
    <xf numFmtId="0" fontId="4" fillId="0" borderId="22" xfId="0" applyFont="1" applyBorder="1"/>
    <xf numFmtId="0" fontId="4" fillId="0" borderId="23" xfId="0" applyFont="1" applyBorder="1"/>
    <xf numFmtId="0" fontId="3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top"/>
    </xf>
    <xf numFmtId="0" fontId="6" fillId="0" borderId="10" xfId="0" applyFont="1" applyBorder="1" applyAlignment="1">
      <alignment horizontal="left"/>
    </xf>
    <xf numFmtId="0" fontId="6" fillId="0" borderId="10" xfId="0" applyFont="1" applyBorder="1" applyAlignment="1">
      <alignment horizontal="right"/>
    </xf>
    <xf numFmtId="0" fontId="3" fillId="0" borderId="0" xfId="0" applyFont="1"/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05659-2B3E-40B1-A0F5-28EB36B0153B}">
  <dimension ref="A1:X1049"/>
  <sheetViews>
    <sheetView tabSelected="1" topLeftCell="A79" zoomScale="71" zoomScaleNormal="71" workbookViewId="0">
      <selection activeCell="B42" sqref="B42:C42"/>
    </sheetView>
  </sheetViews>
  <sheetFormatPr defaultColWidth="14.453125" defaultRowHeight="15" customHeight="1" x14ac:dyDescent="0.35"/>
  <cols>
    <col min="1" max="1" width="18.453125" bestFit="1" customWidth="1"/>
    <col min="2" max="2" width="18.81640625" customWidth="1"/>
    <col min="3" max="3" width="33.54296875" customWidth="1"/>
    <col min="4" max="4" width="10" customWidth="1"/>
    <col min="5" max="5" width="9.453125" customWidth="1"/>
    <col min="6" max="6" width="13.1796875" customWidth="1"/>
    <col min="7" max="8" width="17" customWidth="1"/>
    <col min="9" max="9" width="8.7265625" customWidth="1"/>
    <col min="10" max="10" width="13.54296875" customWidth="1"/>
    <col min="11" max="11" width="24.7265625" customWidth="1"/>
    <col min="12" max="24" width="8.7265625" customWidth="1"/>
  </cols>
  <sheetData>
    <row r="1" spans="1:8" ht="44.25" customHeight="1" x14ac:dyDescent="0.35">
      <c r="A1" s="138" t="s">
        <v>0</v>
      </c>
      <c r="B1" s="139"/>
      <c r="C1" s="139"/>
      <c r="D1" s="139"/>
      <c r="E1" s="140"/>
      <c r="F1" s="141" t="s">
        <v>1</v>
      </c>
      <c r="G1" s="142"/>
      <c r="H1" s="94"/>
    </row>
    <row r="2" spans="1:8" s="31" customFormat="1" thickBot="1" x14ac:dyDescent="0.4">
      <c r="A2" s="143" t="s">
        <v>47</v>
      </c>
      <c r="B2" s="144"/>
      <c r="C2" s="144"/>
      <c r="D2" s="144"/>
      <c r="E2" s="144"/>
      <c r="F2" s="144"/>
      <c r="G2" s="145"/>
      <c r="H2" s="95"/>
    </row>
    <row r="3" spans="1:8" ht="14.5" x14ac:dyDescent="0.35">
      <c r="A3" s="1"/>
      <c r="B3" s="1"/>
      <c r="C3" s="1"/>
      <c r="D3" s="1"/>
      <c r="E3" s="1"/>
      <c r="F3" s="1"/>
      <c r="G3" s="1"/>
      <c r="H3" s="1"/>
    </row>
    <row r="4" spans="1:8" ht="14.25" customHeight="1" x14ac:dyDescent="0.35">
      <c r="A4" s="2" t="s">
        <v>2</v>
      </c>
      <c r="B4" s="146" t="s">
        <v>3</v>
      </c>
      <c r="C4" s="133"/>
      <c r="D4" s="133"/>
      <c r="E4" s="133"/>
      <c r="F4" s="133"/>
      <c r="G4" s="133"/>
    </row>
    <row r="5" spans="1:8" ht="14.25" customHeight="1" x14ac:dyDescent="0.35">
      <c r="A5" s="2" t="s">
        <v>4</v>
      </c>
      <c r="B5" s="146" t="s">
        <v>5</v>
      </c>
      <c r="C5" s="133"/>
      <c r="D5" s="133"/>
      <c r="E5" s="133"/>
      <c r="F5" s="133"/>
      <c r="G5" s="133"/>
    </row>
    <row r="6" spans="1:8" ht="14.25" customHeight="1" x14ac:dyDescent="0.35">
      <c r="A6" s="2" t="s">
        <v>6</v>
      </c>
      <c r="B6" s="132" t="s">
        <v>110</v>
      </c>
      <c r="C6" s="133"/>
      <c r="D6" s="133"/>
      <c r="E6" s="133"/>
      <c r="F6" s="133"/>
      <c r="G6" s="133"/>
    </row>
    <row r="7" spans="1:8" ht="14.25" customHeight="1" x14ac:dyDescent="0.35">
      <c r="A7" s="2" t="s">
        <v>7</v>
      </c>
      <c r="B7" s="132" t="s">
        <v>111</v>
      </c>
      <c r="C7" s="133"/>
      <c r="D7" s="133"/>
      <c r="E7" s="133"/>
      <c r="F7" s="133"/>
      <c r="G7" s="133"/>
    </row>
    <row r="8" spans="1:8" ht="29.5" customHeight="1" x14ac:dyDescent="0.35">
      <c r="A8" s="81" t="s">
        <v>8</v>
      </c>
      <c r="B8" s="152" t="s">
        <v>112</v>
      </c>
      <c r="C8" s="153"/>
      <c r="D8" s="153"/>
      <c r="E8" s="153"/>
      <c r="F8" s="153"/>
      <c r="G8" s="153"/>
      <c r="H8" s="80"/>
    </row>
    <row r="9" spans="1:8" ht="29.15" customHeight="1" x14ac:dyDescent="0.35">
      <c r="A9" s="81" t="s">
        <v>9</v>
      </c>
      <c r="B9" s="154" t="s">
        <v>113</v>
      </c>
      <c r="C9" s="153"/>
      <c r="D9" s="153"/>
      <c r="E9" s="153"/>
      <c r="F9" s="153"/>
      <c r="G9" s="153"/>
      <c r="H9" s="80"/>
    </row>
    <row r="10" spans="1:8" ht="14.25" customHeight="1" x14ac:dyDescent="0.35">
      <c r="A10" s="2" t="s">
        <v>10</v>
      </c>
      <c r="B10" s="132" t="s">
        <v>114</v>
      </c>
      <c r="C10" s="133"/>
      <c r="D10" s="133"/>
      <c r="E10" s="133"/>
      <c r="F10" s="133"/>
      <c r="G10" s="133"/>
    </row>
    <row r="11" spans="1:8" ht="14.25" customHeight="1" x14ac:dyDescent="0.35">
      <c r="A11" s="2" t="s">
        <v>11</v>
      </c>
      <c r="B11" s="132" t="s">
        <v>115</v>
      </c>
      <c r="C11" s="133"/>
      <c r="D11" s="133"/>
      <c r="E11" s="133"/>
      <c r="F11" s="133"/>
      <c r="G11" s="133"/>
    </row>
    <row r="12" spans="1:8" ht="14.25" customHeight="1" x14ac:dyDescent="0.35">
      <c r="A12" s="2" t="s">
        <v>12</v>
      </c>
      <c r="B12" s="146" t="s">
        <v>13</v>
      </c>
      <c r="C12" s="133"/>
      <c r="D12" s="133"/>
      <c r="E12" s="133"/>
      <c r="F12" s="133"/>
      <c r="G12" s="133"/>
    </row>
    <row r="13" spans="1:8" ht="14.25" customHeight="1" x14ac:dyDescent="0.35">
      <c r="A13" s="2" t="s">
        <v>14</v>
      </c>
      <c r="B13" s="82" t="s">
        <v>121</v>
      </c>
    </row>
    <row r="14" spans="1:8" ht="14.25" customHeight="1" x14ac:dyDescent="0.35">
      <c r="A14" t="s">
        <v>46</v>
      </c>
      <c r="B14" s="82" t="s">
        <v>117</v>
      </c>
    </row>
    <row r="15" spans="1:8" ht="14.25" customHeight="1" x14ac:dyDescent="0.35">
      <c r="A15" t="s">
        <v>48</v>
      </c>
      <c r="B15" s="82" t="s">
        <v>118</v>
      </c>
    </row>
    <row r="16" spans="1:8" ht="14.25" customHeight="1" x14ac:dyDescent="0.35">
      <c r="A16" t="s">
        <v>49</v>
      </c>
      <c r="B16" t="s">
        <v>15</v>
      </c>
    </row>
    <row r="17" spans="1:13" thickBot="1" x14ac:dyDescent="0.4">
      <c r="C17" s="4"/>
      <c r="D17" s="4"/>
      <c r="E17" s="4"/>
      <c r="F17" s="4"/>
      <c r="G17" s="4"/>
      <c r="H17" s="4"/>
    </row>
    <row r="18" spans="1:13" ht="14.5" x14ac:dyDescent="0.35">
      <c r="A18" s="155" t="s">
        <v>17</v>
      </c>
      <c r="B18" s="139"/>
      <c r="C18" s="139"/>
      <c r="D18" s="139"/>
      <c r="E18" s="139"/>
      <c r="F18" s="139"/>
      <c r="G18" s="142"/>
      <c r="H18" s="94"/>
    </row>
    <row r="19" spans="1:13" ht="14.25" customHeight="1" x14ac:dyDescent="0.35">
      <c r="A19" s="5" t="s">
        <v>18</v>
      </c>
      <c r="B19" s="156" t="s">
        <v>19</v>
      </c>
      <c r="C19" s="157"/>
      <c r="D19" s="157"/>
      <c r="E19" s="158"/>
      <c r="F19" s="156" t="s">
        <v>20</v>
      </c>
      <c r="G19" s="159"/>
      <c r="H19" s="94"/>
    </row>
    <row r="20" spans="1:13" ht="33.65" customHeight="1" x14ac:dyDescent="0.35">
      <c r="A20" s="15" t="s">
        <v>21</v>
      </c>
      <c r="B20" s="160" t="s">
        <v>123</v>
      </c>
      <c r="C20" s="161"/>
      <c r="D20" s="161"/>
      <c r="E20" s="162"/>
      <c r="F20" s="163">
        <v>0.65</v>
      </c>
      <c r="G20" s="151"/>
      <c r="H20" s="96"/>
    </row>
    <row r="21" spans="1:13" ht="18.649999999999999" customHeight="1" x14ac:dyDescent="0.35">
      <c r="A21" s="15" t="s">
        <v>22</v>
      </c>
      <c r="B21" s="147" t="s">
        <v>124</v>
      </c>
      <c r="C21" s="148"/>
      <c r="D21" s="148"/>
      <c r="E21" s="149"/>
      <c r="F21" s="150">
        <v>83368000</v>
      </c>
      <c r="G21" s="151"/>
      <c r="H21" s="107">
        <f>F21-G27</f>
        <v>0</v>
      </c>
    </row>
    <row r="22" spans="1:13" ht="30.75" customHeight="1" x14ac:dyDescent="0.35">
      <c r="A22" s="15" t="s">
        <v>23</v>
      </c>
      <c r="B22" s="164" t="s">
        <v>125</v>
      </c>
      <c r="C22" s="165"/>
      <c r="D22" s="165"/>
      <c r="E22" s="166"/>
      <c r="F22" s="167" t="s">
        <v>178</v>
      </c>
      <c r="G22" s="151"/>
      <c r="H22" s="96"/>
    </row>
    <row r="23" spans="1:13" ht="33.75" customHeight="1" thickBot="1" x14ac:dyDescent="0.4">
      <c r="A23" s="83" t="s">
        <v>24</v>
      </c>
      <c r="B23" s="168" t="s">
        <v>126</v>
      </c>
      <c r="C23" s="169"/>
      <c r="D23" s="169"/>
      <c r="E23" s="170"/>
      <c r="F23" s="171">
        <v>0.77</v>
      </c>
      <c r="G23" s="172"/>
      <c r="H23" s="96"/>
    </row>
    <row r="24" spans="1:13" ht="6" customHeight="1" thickBot="1" x14ac:dyDescent="0.4">
      <c r="B24" s="4"/>
      <c r="C24" s="4"/>
      <c r="D24" s="4"/>
      <c r="E24" s="4"/>
      <c r="F24" s="4"/>
      <c r="G24" s="4"/>
      <c r="H24" s="4"/>
    </row>
    <row r="25" spans="1:13" ht="14.25" customHeight="1" x14ac:dyDescent="0.35">
      <c r="A25" s="173" t="s">
        <v>25</v>
      </c>
      <c r="B25" s="175" t="s">
        <v>26</v>
      </c>
      <c r="C25" s="176"/>
      <c r="D25" s="179" t="s">
        <v>27</v>
      </c>
      <c r="E25" s="139"/>
      <c r="F25" s="140"/>
      <c r="G25" s="8" t="s">
        <v>28</v>
      </c>
      <c r="H25" s="97"/>
    </row>
    <row r="26" spans="1:13" ht="15.75" customHeight="1" x14ac:dyDescent="0.35">
      <c r="A26" s="174"/>
      <c r="B26" s="177"/>
      <c r="C26" s="178"/>
      <c r="D26" s="42" t="s">
        <v>29</v>
      </c>
      <c r="E26" s="42" t="s">
        <v>30</v>
      </c>
      <c r="F26" s="42" t="s">
        <v>31</v>
      </c>
      <c r="G26" s="43" t="s">
        <v>32</v>
      </c>
      <c r="H26" s="97"/>
    </row>
    <row r="27" spans="1:13" s="32" customFormat="1" ht="17.149999999999999" customHeight="1" x14ac:dyDescent="0.3">
      <c r="A27" s="44">
        <v>5</v>
      </c>
      <c r="B27" s="183" t="s">
        <v>52</v>
      </c>
      <c r="C27" s="183"/>
      <c r="D27" s="45"/>
      <c r="E27" s="46"/>
      <c r="F27" s="46"/>
      <c r="G27" s="89">
        <f>G28</f>
        <v>83368000</v>
      </c>
      <c r="H27" s="98"/>
      <c r="K27" s="33"/>
    </row>
    <row r="28" spans="1:13" s="32" customFormat="1" ht="16.5" customHeight="1" x14ac:dyDescent="0.3">
      <c r="A28" s="44">
        <v>5.0999999999999996</v>
      </c>
      <c r="B28" s="183" t="s">
        <v>53</v>
      </c>
      <c r="C28" s="183"/>
      <c r="D28" s="45"/>
      <c r="E28" s="46"/>
      <c r="F28" s="46"/>
      <c r="G28" s="89">
        <f>G29</f>
        <v>83368000</v>
      </c>
      <c r="H28" s="98"/>
      <c r="K28" s="33"/>
    </row>
    <row r="29" spans="1:13" s="32" customFormat="1" ht="14" x14ac:dyDescent="0.3">
      <c r="A29" s="47" t="s">
        <v>54</v>
      </c>
      <c r="B29" s="183" t="s">
        <v>55</v>
      </c>
      <c r="C29" s="183"/>
      <c r="D29" s="48"/>
      <c r="E29" s="49"/>
      <c r="F29" s="49"/>
      <c r="G29" s="89">
        <f>G30+G47+G60+G79</f>
        <v>83368000</v>
      </c>
      <c r="H29" s="98"/>
    </row>
    <row r="30" spans="1:13" s="32" customFormat="1" ht="14" x14ac:dyDescent="0.3">
      <c r="A30" s="47" t="s">
        <v>56</v>
      </c>
      <c r="B30" s="183" t="s">
        <v>57</v>
      </c>
      <c r="C30" s="183"/>
      <c r="D30" s="48"/>
      <c r="E30" s="49"/>
      <c r="F30" s="49"/>
      <c r="G30" s="89">
        <f>G31</f>
        <v>8557425</v>
      </c>
      <c r="H30" s="98"/>
      <c r="J30" s="195" t="s">
        <v>83</v>
      </c>
      <c r="K30" s="38" t="s">
        <v>84</v>
      </c>
      <c r="L30" s="39">
        <f>6*10*16</f>
        <v>960</v>
      </c>
      <c r="M30" s="32" t="s">
        <v>85</v>
      </c>
    </row>
    <row r="31" spans="1:13" s="32" customFormat="1" ht="18" customHeight="1" x14ac:dyDescent="0.3">
      <c r="A31" s="47" t="s">
        <v>131</v>
      </c>
      <c r="B31" s="183" t="s">
        <v>58</v>
      </c>
      <c r="C31" s="183"/>
      <c r="D31" s="48"/>
      <c r="E31" s="49"/>
      <c r="F31" s="49"/>
      <c r="G31" s="89">
        <f>G32+G39+G42+G44</f>
        <v>8557425</v>
      </c>
      <c r="H31" s="98"/>
      <c r="J31" s="195"/>
      <c r="K31" s="38" t="s">
        <v>86</v>
      </c>
      <c r="L31" s="39"/>
    </row>
    <row r="32" spans="1:13" s="32" customFormat="1" ht="25.5" customHeight="1" x14ac:dyDescent="0.3">
      <c r="A32" s="47" t="s">
        <v>132</v>
      </c>
      <c r="B32" s="183" t="s">
        <v>91</v>
      </c>
      <c r="C32" s="183"/>
      <c r="D32" s="48"/>
      <c r="E32" s="49"/>
      <c r="F32" s="49"/>
      <c r="G32" s="89">
        <f>SUM(G33:G38)</f>
        <v>3172550</v>
      </c>
      <c r="H32" s="98"/>
      <c r="J32" s="38"/>
      <c r="K32" s="38" t="s">
        <v>87</v>
      </c>
      <c r="L32" s="39"/>
    </row>
    <row r="33" spans="1:13" s="32" customFormat="1" ht="33.75" customHeight="1" x14ac:dyDescent="0.3">
      <c r="A33" s="50"/>
      <c r="B33" s="184" t="s">
        <v>93</v>
      </c>
      <c r="C33" s="184"/>
      <c r="D33" s="51">
        <v>2</v>
      </c>
      <c r="E33" s="50" t="s">
        <v>151</v>
      </c>
      <c r="F33" s="52">
        <v>48025</v>
      </c>
      <c r="G33" s="87">
        <f>D33*F33</f>
        <v>96050</v>
      </c>
      <c r="H33" s="99"/>
      <c r="J33" s="84" t="s">
        <v>88</v>
      </c>
      <c r="K33" s="38" t="s">
        <v>89</v>
      </c>
      <c r="L33" s="39">
        <f>2*10*8</f>
        <v>160</v>
      </c>
      <c r="M33" s="32" t="s">
        <v>90</v>
      </c>
    </row>
    <row r="34" spans="1:13" s="32" customFormat="1" ht="14.5" x14ac:dyDescent="0.3">
      <c r="A34" s="50"/>
      <c r="B34" s="184" t="s">
        <v>152</v>
      </c>
      <c r="C34" s="184"/>
      <c r="D34" s="53">
        <v>18</v>
      </c>
      <c r="E34" s="54" t="s">
        <v>137</v>
      </c>
      <c r="F34" s="55">
        <v>64675</v>
      </c>
      <c r="G34" s="87">
        <f t="shared" ref="G34:G38" si="0">D34*F34</f>
        <v>1164150</v>
      </c>
      <c r="H34" s="99">
        <v>12</v>
      </c>
      <c r="J34" s="84"/>
      <c r="K34" s="38" t="s">
        <v>86</v>
      </c>
      <c r="L34" s="40">
        <f>SUM(L30:L33)</f>
        <v>1120</v>
      </c>
      <c r="M34" s="41" t="s">
        <v>92</v>
      </c>
    </row>
    <row r="35" spans="1:13" s="32" customFormat="1" ht="14.5" x14ac:dyDescent="0.3">
      <c r="A35" s="50"/>
      <c r="B35" s="184" t="s">
        <v>96</v>
      </c>
      <c r="C35" s="184"/>
      <c r="D35" s="53">
        <v>3</v>
      </c>
      <c r="E35" s="54" t="s">
        <v>97</v>
      </c>
      <c r="F35" s="55">
        <v>138775</v>
      </c>
      <c r="G35" s="87">
        <f t="shared" si="0"/>
        <v>416325</v>
      </c>
      <c r="H35" s="99"/>
      <c r="J35" s="84"/>
      <c r="K35" s="38" t="s">
        <v>94</v>
      </c>
    </row>
    <row r="36" spans="1:13" s="32" customFormat="1" ht="14.5" x14ac:dyDescent="0.3">
      <c r="A36" s="50"/>
      <c r="B36" s="184" t="s">
        <v>98</v>
      </c>
      <c r="C36" s="184"/>
      <c r="D36" s="53">
        <v>3</v>
      </c>
      <c r="E36" s="54" t="s">
        <v>99</v>
      </c>
      <c r="F36" s="55">
        <v>61425</v>
      </c>
      <c r="G36" s="87">
        <f t="shared" si="0"/>
        <v>184275</v>
      </c>
      <c r="H36" s="99"/>
    </row>
    <row r="37" spans="1:13" s="32" customFormat="1" ht="14.5" x14ac:dyDescent="0.3">
      <c r="A37" s="50"/>
      <c r="B37" s="130" t="s">
        <v>180</v>
      </c>
      <c r="C37" s="131"/>
      <c r="D37" s="53">
        <v>1</v>
      </c>
      <c r="E37" s="54"/>
      <c r="F37" s="55">
        <v>14400</v>
      </c>
      <c r="G37" s="87">
        <f t="shared" si="0"/>
        <v>14400</v>
      </c>
      <c r="H37" s="99"/>
    </row>
    <row r="38" spans="1:13" s="32" customFormat="1" ht="14.5" x14ac:dyDescent="0.3">
      <c r="A38" s="50"/>
      <c r="B38" s="184" t="s">
        <v>150</v>
      </c>
      <c r="C38" s="184"/>
      <c r="D38" s="53">
        <v>18</v>
      </c>
      <c r="E38" s="54" t="s">
        <v>137</v>
      </c>
      <c r="F38" s="55">
        <v>72075</v>
      </c>
      <c r="G38" s="87">
        <f t="shared" si="0"/>
        <v>1297350</v>
      </c>
      <c r="H38" s="99"/>
    </row>
    <row r="39" spans="1:13" s="32" customFormat="1" ht="30.75" customHeight="1" x14ac:dyDescent="0.3">
      <c r="A39" s="47" t="s">
        <v>133</v>
      </c>
      <c r="B39" s="183" t="s">
        <v>101</v>
      </c>
      <c r="C39" s="183"/>
      <c r="D39" s="53"/>
      <c r="E39" s="54"/>
      <c r="F39" s="55"/>
      <c r="G39" s="88">
        <f>SUM(G40:G41)</f>
        <v>2419875</v>
      </c>
      <c r="H39" s="100"/>
    </row>
    <row r="40" spans="1:13" s="32" customFormat="1" ht="15.65" customHeight="1" x14ac:dyDescent="0.3">
      <c r="A40" s="50"/>
      <c r="B40" s="196" t="s">
        <v>138</v>
      </c>
      <c r="C40" s="196"/>
      <c r="D40" s="51">
        <v>15</v>
      </c>
      <c r="E40" s="50" t="s">
        <v>102</v>
      </c>
      <c r="F40" s="52">
        <v>87875</v>
      </c>
      <c r="G40" s="87">
        <f>D40*F40</f>
        <v>1318125</v>
      </c>
      <c r="H40" s="99"/>
    </row>
    <row r="41" spans="1:13" s="32" customFormat="1" ht="15.65" customHeight="1" x14ac:dyDescent="0.3">
      <c r="A41" s="50"/>
      <c r="B41" s="196" t="s">
        <v>103</v>
      </c>
      <c r="C41" s="196"/>
      <c r="D41" s="51">
        <v>15</v>
      </c>
      <c r="E41" s="50" t="s">
        <v>102</v>
      </c>
      <c r="F41" s="52">
        <v>73450</v>
      </c>
      <c r="G41" s="87">
        <f>D41*F41</f>
        <v>1101750</v>
      </c>
      <c r="H41" s="99"/>
    </row>
    <row r="42" spans="1:13" s="32" customFormat="1" ht="28.5" customHeight="1" x14ac:dyDescent="0.3">
      <c r="A42" s="47" t="s">
        <v>134</v>
      </c>
      <c r="B42" s="134" t="s">
        <v>135</v>
      </c>
      <c r="C42" s="135"/>
      <c r="D42" s="51"/>
      <c r="E42" s="50"/>
      <c r="F42" s="52"/>
      <c r="G42" s="88">
        <f>G43</f>
        <v>490000</v>
      </c>
      <c r="H42" s="100"/>
    </row>
    <row r="43" spans="1:13" s="32" customFormat="1" ht="15.65" customHeight="1" x14ac:dyDescent="0.3">
      <c r="A43" s="50"/>
      <c r="B43" s="136" t="s">
        <v>136</v>
      </c>
      <c r="C43" s="137"/>
      <c r="D43" s="51">
        <v>49</v>
      </c>
      <c r="E43" s="50" t="s">
        <v>137</v>
      </c>
      <c r="F43" s="52">
        <v>10000</v>
      </c>
      <c r="G43" s="87">
        <f>D43*F43</f>
        <v>490000</v>
      </c>
      <c r="H43" s="99"/>
    </row>
    <row r="44" spans="1:13" s="32" customFormat="1" ht="24.75" customHeight="1" x14ac:dyDescent="0.3">
      <c r="A44" s="47" t="s">
        <v>139</v>
      </c>
      <c r="B44" s="134" t="s">
        <v>140</v>
      </c>
      <c r="C44" s="135"/>
      <c r="D44" s="51"/>
      <c r="E44" s="50"/>
      <c r="F44" s="52"/>
      <c r="G44" s="88">
        <f>SUM(G45:G46)</f>
        <v>2475000</v>
      </c>
      <c r="H44" s="100"/>
    </row>
    <row r="45" spans="1:13" s="32" customFormat="1" ht="15.65" customHeight="1" x14ac:dyDescent="0.3">
      <c r="A45" s="50"/>
      <c r="B45" s="85" t="s">
        <v>141</v>
      </c>
      <c r="C45" s="86"/>
      <c r="D45" s="51">
        <v>50</v>
      </c>
      <c r="E45" s="50"/>
      <c r="F45" s="52">
        <v>33000</v>
      </c>
      <c r="G45" s="87">
        <f>D45*F45</f>
        <v>1650000</v>
      </c>
      <c r="H45" s="99"/>
    </row>
    <row r="46" spans="1:13" s="32" customFormat="1" ht="15.65" customHeight="1" x14ac:dyDescent="0.3">
      <c r="A46" s="50"/>
      <c r="B46" s="85" t="s">
        <v>142</v>
      </c>
      <c r="C46" s="86"/>
      <c r="D46" s="51">
        <v>50</v>
      </c>
      <c r="E46" s="50"/>
      <c r="F46" s="52">
        <v>16500</v>
      </c>
      <c r="G46" s="87">
        <f>D46*F46</f>
        <v>825000</v>
      </c>
      <c r="H46" s="99"/>
    </row>
    <row r="47" spans="1:13" s="32" customFormat="1" ht="21" customHeight="1" x14ac:dyDescent="0.3">
      <c r="A47" s="47" t="s">
        <v>64</v>
      </c>
      <c r="B47" s="183" t="s">
        <v>65</v>
      </c>
      <c r="C47" s="183"/>
      <c r="D47" s="48"/>
      <c r="E47" s="49"/>
      <c r="F47" s="56"/>
      <c r="G47" s="88">
        <f>G48+G53</f>
        <v>38007252</v>
      </c>
      <c r="H47" s="100"/>
    </row>
    <row r="48" spans="1:13" s="32" customFormat="1" ht="16.5" customHeight="1" x14ac:dyDescent="0.3">
      <c r="A48" s="47" t="s">
        <v>143</v>
      </c>
      <c r="B48" s="183" t="s">
        <v>66</v>
      </c>
      <c r="C48" s="183"/>
      <c r="D48" s="48"/>
      <c r="E48" s="49"/>
      <c r="F48" s="56"/>
      <c r="G48" s="88">
        <f>G49+G51</f>
        <v>35400000</v>
      </c>
      <c r="H48" s="100"/>
    </row>
    <row r="49" spans="1:8" s="32" customFormat="1" ht="28.5" customHeight="1" x14ac:dyDescent="0.3">
      <c r="A49" s="47" t="s">
        <v>144</v>
      </c>
      <c r="B49" s="183" t="s">
        <v>67</v>
      </c>
      <c r="C49" s="183"/>
      <c r="D49" s="48"/>
      <c r="E49" s="49"/>
      <c r="F49" s="56"/>
      <c r="G49" s="88">
        <f>G50</f>
        <v>5400000</v>
      </c>
      <c r="H49" s="100"/>
    </row>
    <row r="50" spans="1:8" s="32" customFormat="1" ht="54.65" customHeight="1" x14ac:dyDescent="0.3">
      <c r="A50" s="47"/>
      <c r="B50" s="197" t="s">
        <v>104</v>
      </c>
      <c r="C50" s="197"/>
      <c r="D50" s="57">
        <v>2</v>
      </c>
      <c r="E50" s="58" t="s">
        <v>69</v>
      </c>
      <c r="F50" s="59">
        <v>900000</v>
      </c>
      <c r="G50" s="87">
        <f>D50*F50*3</f>
        <v>5400000</v>
      </c>
      <c r="H50" s="99"/>
    </row>
    <row r="51" spans="1:8" s="32" customFormat="1" ht="24" customHeight="1" x14ac:dyDescent="0.3">
      <c r="A51" s="47" t="s">
        <v>145</v>
      </c>
      <c r="B51" s="198" t="s">
        <v>106</v>
      </c>
      <c r="C51" s="198"/>
      <c r="D51" s="48"/>
      <c r="E51" s="49"/>
      <c r="F51" s="56"/>
      <c r="G51" s="88">
        <f>G52</f>
        <v>30000000</v>
      </c>
      <c r="H51" s="100"/>
    </row>
    <row r="52" spans="1:8" s="32" customFormat="1" ht="54" customHeight="1" x14ac:dyDescent="0.3">
      <c r="A52" s="47"/>
      <c r="B52" s="199" t="s">
        <v>146</v>
      </c>
      <c r="C52" s="199"/>
      <c r="D52" s="48">
        <v>1</v>
      </c>
      <c r="E52" s="49" t="s">
        <v>147</v>
      </c>
      <c r="F52" s="56">
        <v>2500000</v>
      </c>
      <c r="G52" s="87">
        <f>D52*F52*12</f>
        <v>30000000</v>
      </c>
      <c r="H52" s="99"/>
    </row>
    <row r="53" spans="1:8" s="32" customFormat="1" ht="20.25" customHeight="1" x14ac:dyDescent="0.3">
      <c r="A53" s="47" t="s">
        <v>148</v>
      </c>
      <c r="B53" s="198" t="s">
        <v>107</v>
      </c>
      <c r="C53" s="198"/>
      <c r="D53" s="60"/>
      <c r="E53" s="49"/>
      <c r="F53" s="56"/>
      <c r="G53" s="88">
        <f>G58+G56+G54</f>
        <v>2607252</v>
      </c>
      <c r="H53" s="100"/>
    </row>
    <row r="54" spans="1:8" s="32" customFormat="1" ht="28.5" customHeight="1" x14ac:dyDescent="0.3">
      <c r="A54" s="47" t="s">
        <v>149</v>
      </c>
      <c r="B54" s="202" t="s">
        <v>108</v>
      </c>
      <c r="C54" s="202"/>
      <c r="D54" s="60"/>
      <c r="E54" s="49"/>
      <c r="F54" s="56"/>
      <c r="G54" s="88">
        <f>G55</f>
        <v>2477652</v>
      </c>
      <c r="H54" s="100"/>
    </row>
    <row r="55" spans="1:8" s="32" customFormat="1" ht="30.65" customHeight="1" x14ac:dyDescent="0.3">
      <c r="A55" s="47"/>
      <c r="B55" s="203" t="s">
        <v>109</v>
      </c>
      <c r="C55" s="203"/>
      <c r="D55" s="48">
        <v>1</v>
      </c>
      <c r="E55" s="49" t="s">
        <v>105</v>
      </c>
      <c r="F55" s="56">
        <v>206471</v>
      </c>
      <c r="G55" s="87">
        <f>D55*F55*12</f>
        <v>2477652</v>
      </c>
      <c r="H55" s="99"/>
    </row>
    <row r="56" spans="1:8" s="32" customFormat="1" ht="30.65" customHeight="1" x14ac:dyDescent="0.3">
      <c r="A56" s="47" t="s">
        <v>153</v>
      </c>
      <c r="B56" s="193" t="s">
        <v>154</v>
      </c>
      <c r="C56" s="194"/>
      <c r="D56" s="48"/>
      <c r="E56" s="49"/>
      <c r="F56" s="56"/>
      <c r="G56" s="88">
        <f>G57</f>
        <v>57600</v>
      </c>
      <c r="H56" s="100"/>
    </row>
    <row r="57" spans="1:8" s="32" customFormat="1" ht="30.65" customHeight="1" x14ac:dyDescent="0.3">
      <c r="A57" s="47"/>
      <c r="B57" s="200" t="s">
        <v>155</v>
      </c>
      <c r="C57" s="201"/>
      <c r="D57" s="48">
        <v>1</v>
      </c>
      <c r="E57" s="49" t="s">
        <v>105</v>
      </c>
      <c r="F57" s="56">
        <v>4800</v>
      </c>
      <c r="G57" s="87">
        <f>D57*F57*12</f>
        <v>57600</v>
      </c>
      <c r="H57" s="99"/>
    </row>
    <row r="58" spans="1:8" s="32" customFormat="1" ht="30.65" customHeight="1" x14ac:dyDescent="0.3">
      <c r="A58" s="47" t="s">
        <v>156</v>
      </c>
      <c r="B58" s="193" t="s">
        <v>157</v>
      </c>
      <c r="C58" s="194"/>
      <c r="D58" s="48"/>
      <c r="E58" s="49"/>
      <c r="F58" s="56"/>
      <c r="G58" s="88">
        <f>G59</f>
        <v>72000</v>
      </c>
      <c r="H58" s="100"/>
    </row>
    <row r="59" spans="1:8" s="32" customFormat="1" ht="25.5" customHeight="1" x14ac:dyDescent="0.3">
      <c r="A59" s="47"/>
      <c r="B59" s="200" t="s">
        <v>158</v>
      </c>
      <c r="C59" s="201"/>
      <c r="D59" s="48">
        <v>1</v>
      </c>
      <c r="E59" s="49" t="s">
        <v>105</v>
      </c>
      <c r="F59" s="56">
        <v>6000</v>
      </c>
      <c r="G59" s="87">
        <f>D59*F59*12</f>
        <v>72000</v>
      </c>
      <c r="H59" s="99"/>
    </row>
    <row r="60" spans="1:8" s="32" customFormat="1" ht="14" x14ac:dyDescent="0.3">
      <c r="A60" s="47" t="s">
        <v>74</v>
      </c>
      <c r="B60" s="183" t="s">
        <v>75</v>
      </c>
      <c r="C60" s="183"/>
      <c r="D60" s="48"/>
      <c r="E60" s="49"/>
      <c r="F60" s="49"/>
      <c r="G60" s="88">
        <f>G61</f>
        <v>36802000</v>
      </c>
      <c r="H60" s="100"/>
    </row>
    <row r="61" spans="1:8" s="32" customFormat="1" ht="14" x14ac:dyDescent="0.3">
      <c r="A61" s="47" t="s">
        <v>159</v>
      </c>
      <c r="B61" s="183" t="s">
        <v>76</v>
      </c>
      <c r="C61" s="183"/>
      <c r="D61" s="48"/>
      <c r="E61" s="49"/>
      <c r="F61" s="49"/>
      <c r="G61" s="88">
        <f>G62+G76</f>
        <v>36802000</v>
      </c>
      <c r="H61" s="100"/>
    </row>
    <row r="62" spans="1:8" s="32" customFormat="1" ht="23.25" customHeight="1" x14ac:dyDescent="0.3">
      <c r="A62" s="47" t="s">
        <v>160</v>
      </c>
      <c r="B62" s="183" t="s">
        <v>77</v>
      </c>
      <c r="C62" s="183"/>
      <c r="D62" s="48">
        <f>SUM(D55:D61)</f>
        <v>3</v>
      </c>
      <c r="E62" s="49"/>
      <c r="F62" s="49"/>
      <c r="G62" s="88">
        <f>SUM(G63:G75)</f>
        <v>23270000</v>
      </c>
      <c r="H62" s="100"/>
    </row>
    <row r="63" spans="1:8" s="32" customFormat="1" ht="28" customHeight="1" x14ac:dyDescent="0.3">
      <c r="A63" s="50"/>
      <c r="B63" s="206" t="s">
        <v>78</v>
      </c>
      <c r="C63" s="206"/>
      <c r="D63" s="48">
        <v>100</v>
      </c>
      <c r="E63" s="49" t="s">
        <v>79</v>
      </c>
      <c r="F63" s="62">
        <v>170000</v>
      </c>
      <c r="G63" s="87">
        <f>D63*F63</f>
        <v>17000000</v>
      </c>
      <c r="H63" s="99"/>
    </row>
    <row r="64" spans="1:8" s="32" customFormat="1" ht="18" customHeight="1" x14ac:dyDescent="0.3">
      <c r="A64" s="50"/>
      <c r="B64" s="207" t="s">
        <v>161</v>
      </c>
      <c r="C64" s="208"/>
      <c r="D64" s="48">
        <v>3</v>
      </c>
      <c r="E64" s="49" t="s">
        <v>79</v>
      </c>
      <c r="F64" s="62">
        <v>100000</v>
      </c>
      <c r="G64" s="87">
        <f t="shared" ref="G64:G75" si="1">D64*F64</f>
        <v>300000</v>
      </c>
      <c r="H64" s="99"/>
    </row>
    <row r="65" spans="1:24" s="32" customFormat="1" ht="18" customHeight="1" x14ac:dyDescent="0.3">
      <c r="A65" s="50"/>
      <c r="B65" s="207" t="s">
        <v>163</v>
      </c>
      <c r="C65" s="208"/>
      <c r="D65" s="64"/>
      <c r="E65" s="49"/>
      <c r="F65" s="65"/>
      <c r="G65" s="87"/>
      <c r="H65" s="99"/>
    </row>
    <row r="66" spans="1:24" s="32" customFormat="1" ht="18" customHeight="1" x14ac:dyDescent="0.3">
      <c r="A66" s="50"/>
      <c r="B66" s="209" t="s">
        <v>162</v>
      </c>
      <c r="C66" s="209"/>
      <c r="D66" s="67">
        <v>2</v>
      </c>
      <c r="E66" s="49" t="s">
        <v>79</v>
      </c>
      <c r="F66" s="62">
        <v>255000</v>
      </c>
      <c r="G66" s="87">
        <f t="shared" si="1"/>
        <v>510000</v>
      </c>
      <c r="H66" s="99"/>
    </row>
    <row r="67" spans="1:24" s="32" customFormat="1" ht="18" customHeight="1" x14ac:dyDescent="0.3">
      <c r="A67" s="50"/>
      <c r="B67" s="210" t="s">
        <v>164</v>
      </c>
      <c r="C67" s="210"/>
      <c r="D67" s="67">
        <v>3</v>
      </c>
      <c r="E67" s="49" t="s">
        <v>79</v>
      </c>
      <c r="F67" s="62">
        <v>210000</v>
      </c>
      <c r="G67" s="87">
        <f t="shared" si="1"/>
        <v>630000</v>
      </c>
      <c r="H67" s="99"/>
    </row>
    <row r="68" spans="1:24" s="32" customFormat="1" ht="18" customHeight="1" x14ac:dyDescent="0.3">
      <c r="A68" s="50"/>
      <c r="B68" s="211" t="s">
        <v>165</v>
      </c>
      <c r="C68" s="212"/>
      <c r="D68" s="64">
        <v>2</v>
      </c>
      <c r="E68" s="49" t="s">
        <v>79</v>
      </c>
      <c r="F68" s="65">
        <v>165000</v>
      </c>
      <c r="G68" s="87">
        <f t="shared" si="1"/>
        <v>330000</v>
      </c>
      <c r="H68" s="99"/>
    </row>
    <row r="69" spans="1:24" s="32" customFormat="1" ht="18" customHeight="1" x14ac:dyDescent="0.3">
      <c r="A69" s="50"/>
      <c r="B69" s="211" t="s">
        <v>166</v>
      </c>
      <c r="C69" s="212"/>
      <c r="D69" s="64">
        <v>2</v>
      </c>
      <c r="E69" s="49" t="s">
        <v>79</v>
      </c>
      <c r="F69" s="65">
        <v>245000</v>
      </c>
      <c r="G69" s="87">
        <f t="shared" si="1"/>
        <v>490000</v>
      </c>
      <c r="H69" s="99"/>
    </row>
    <row r="70" spans="1:24" s="32" customFormat="1" ht="18" customHeight="1" x14ac:dyDescent="0.3">
      <c r="A70" s="50"/>
      <c r="B70" s="211" t="s">
        <v>167</v>
      </c>
      <c r="C70" s="212"/>
      <c r="D70" s="64">
        <v>2</v>
      </c>
      <c r="E70" s="49" t="s">
        <v>79</v>
      </c>
      <c r="F70" s="65">
        <v>145000</v>
      </c>
      <c r="G70" s="87">
        <f t="shared" si="1"/>
        <v>290000</v>
      </c>
      <c r="H70" s="99"/>
    </row>
    <row r="71" spans="1:24" s="32" customFormat="1" ht="18" customHeight="1" x14ac:dyDescent="0.3">
      <c r="A71" s="50"/>
      <c r="B71" s="211" t="s">
        <v>168</v>
      </c>
      <c r="C71" s="212"/>
      <c r="D71" s="64">
        <v>10</v>
      </c>
      <c r="E71" s="49" t="s">
        <v>79</v>
      </c>
      <c r="F71" s="65">
        <v>135000</v>
      </c>
      <c r="G71" s="87">
        <f t="shared" si="1"/>
        <v>1350000</v>
      </c>
      <c r="H71" s="99"/>
    </row>
    <row r="72" spans="1:24" s="32" customFormat="1" ht="18" customHeight="1" x14ac:dyDescent="0.3">
      <c r="A72" s="50"/>
      <c r="B72" s="211" t="s">
        <v>169</v>
      </c>
      <c r="C72" s="212"/>
      <c r="D72" s="64">
        <v>10</v>
      </c>
      <c r="E72" s="49" t="s">
        <v>79</v>
      </c>
      <c r="F72" s="65">
        <v>140000</v>
      </c>
      <c r="G72" s="87">
        <f t="shared" si="1"/>
        <v>1400000</v>
      </c>
      <c r="H72" s="99"/>
    </row>
    <row r="73" spans="1:24" s="32" customFormat="1" ht="18" customHeight="1" x14ac:dyDescent="0.35">
      <c r="A73" s="50"/>
      <c r="B73" s="213" t="s">
        <v>170</v>
      </c>
      <c r="C73" s="214"/>
      <c r="D73" s="69">
        <v>2</v>
      </c>
      <c r="E73" s="49" t="s">
        <v>79</v>
      </c>
      <c r="F73" s="70">
        <v>210000</v>
      </c>
      <c r="G73" s="87">
        <f t="shared" si="1"/>
        <v>420000</v>
      </c>
      <c r="H73" s="99"/>
    </row>
    <row r="74" spans="1:24" s="32" customFormat="1" ht="18" customHeight="1" x14ac:dyDescent="0.35">
      <c r="A74" s="50"/>
      <c r="B74" s="213" t="s">
        <v>171</v>
      </c>
      <c r="C74" s="214"/>
      <c r="D74" s="69">
        <v>2</v>
      </c>
      <c r="E74" s="49" t="s">
        <v>79</v>
      </c>
      <c r="F74" s="70">
        <v>185000</v>
      </c>
      <c r="G74" s="87">
        <f t="shared" si="1"/>
        <v>370000</v>
      </c>
      <c r="H74" s="99"/>
    </row>
    <row r="75" spans="1:24" s="32" customFormat="1" ht="18" customHeight="1" x14ac:dyDescent="0.3">
      <c r="A75" s="50"/>
      <c r="B75" s="204" t="s">
        <v>172</v>
      </c>
      <c r="C75" s="205"/>
      <c r="D75" s="69">
        <v>2</v>
      </c>
      <c r="E75" s="49" t="s">
        <v>79</v>
      </c>
      <c r="F75" s="70">
        <v>90000</v>
      </c>
      <c r="G75" s="87">
        <f t="shared" si="1"/>
        <v>180000</v>
      </c>
      <c r="H75" s="99"/>
    </row>
    <row r="76" spans="1:24" ht="30" customHeight="1" x14ac:dyDescent="0.35">
      <c r="A76" s="91" t="s">
        <v>173</v>
      </c>
      <c r="B76" s="185" t="s">
        <v>174</v>
      </c>
      <c r="C76" s="166"/>
      <c r="D76" s="12"/>
      <c r="E76" s="12"/>
      <c r="F76" s="12"/>
      <c r="G76" s="13">
        <f>G78</f>
        <v>13532000</v>
      </c>
      <c r="H76" s="101"/>
    </row>
    <row r="77" spans="1:24" ht="33" customHeight="1" x14ac:dyDescent="0.35">
      <c r="A77" s="11"/>
      <c r="B77" s="160" t="s">
        <v>175</v>
      </c>
      <c r="C77" s="186"/>
      <c r="D77" s="14"/>
      <c r="E77" s="12"/>
      <c r="F77" s="12"/>
      <c r="G77" s="13"/>
      <c r="H77" s="101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63" customHeight="1" x14ac:dyDescent="0.35">
      <c r="A78" s="115"/>
      <c r="B78" s="187" t="s">
        <v>176</v>
      </c>
      <c r="C78" s="188"/>
      <c r="D78" s="110">
        <v>34</v>
      </c>
      <c r="E78" s="111" t="s">
        <v>177</v>
      </c>
      <c r="F78" s="92">
        <v>398000</v>
      </c>
      <c r="G78" s="18">
        <f>D78*F78</f>
        <v>13532000</v>
      </c>
      <c r="H78" s="102"/>
    </row>
    <row r="79" spans="1:24" ht="18.75" customHeight="1" x14ac:dyDescent="0.35">
      <c r="A79" s="77"/>
      <c r="B79" s="113" t="s">
        <v>179</v>
      </c>
      <c r="C79" s="114"/>
      <c r="D79" s="78"/>
      <c r="E79" s="112"/>
      <c r="F79" s="108"/>
      <c r="G79" s="109">
        <v>1323</v>
      </c>
      <c r="H79" s="102"/>
    </row>
    <row r="80" spans="1:24" ht="20.25" customHeight="1" thickBot="1" x14ac:dyDescent="0.4">
      <c r="A80" s="189" t="s">
        <v>33</v>
      </c>
      <c r="B80" s="190"/>
      <c r="C80" s="190"/>
      <c r="D80" s="190"/>
      <c r="E80" s="190"/>
      <c r="F80" s="191"/>
      <c r="G80" s="106">
        <f>G76+G62+G58+G56+G54+G51+G49+G44+G42+G39+G32+G79</f>
        <v>83368000</v>
      </c>
      <c r="H80" s="103">
        <f>F21-G80</f>
        <v>0</v>
      </c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</row>
    <row r="81" spans="1:8" ht="21" customHeight="1" x14ac:dyDescent="0.35">
      <c r="A81" s="15"/>
      <c r="B81" s="192"/>
      <c r="C81" s="158"/>
      <c r="D81" s="21"/>
      <c r="E81" s="17"/>
      <c r="F81" s="17"/>
      <c r="G81" s="93"/>
      <c r="H81" s="104"/>
    </row>
    <row r="82" spans="1:8" ht="15.75" customHeight="1" x14ac:dyDescent="0.35">
      <c r="A82" s="6" t="s">
        <v>34</v>
      </c>
      <c r="B82" s="22"/>
      <c r="C82" s="180" t="s">
        <v>50</v>
      </c>
      <c r="D82" s="133"/>
      <c r="E82" s="133"/>
      <c r="F82" s="133"/>
      <c r="G82" s="181"/>
      <c r="H82" s="94"/>
    </row>
    <row r="83" spans="1:8" ht="15.75" customHeight="1" x14ac:dyDescent="0.35">
      <c r="A83" s="6" t="s">
        <v>35</v>
      </c>
      <c r="B83" s="22"/>
      <c r="C83" s="180" t="s">
        <v>51</v>
      </c>
      <c r="D83" s="133"/>
      <c r="E83" s="133"/>
      <c r="F83" s="133"/>
      <c r="G83" s="181"/>
      <c r="H83" s="94"/>
    </row>
    <row r="84" spans="1:8" ht="15.75" customHeight="1" x14ac:dyDescent="0.35">
      <c r="A84" s="6" t="s">
        <v>36</v>
      </c>
      <c r="B84" s="22"/>
      <c r="C84" s="23"/>
      <c r="G84" s="24"/>
      <c r="H84" s="105"/>
    </row>
    <row r="85" spans="1:8" ht="15.75" customHeight="1" x14ac:dyDescent="0.35">
      <c r="A85" s="6" t="s">
        <v>37</v>
      </c>
      <c r="B85" s="22"/>
      <c r="C85" s="23"/>
      <c r="G85" s="24"/>
      <c r="H85" s="105"/>
    </row>
    <row r="86" spans="1:8" ht="15.75" customHeight="1" x14ac:dyDescent="0.35">
      <c r="A86" s="6" t="s">
        <v>38</v>
      </c>
      <c r="B86" s="22"/>
      <c r="C86" s="23"/>
      <c r="G86" s="24"/>
      <c r="H86" s="105"/>
    </row>
    <row r="87" spans="1:8" ht="15.75" customHeight="1" x14ac:dyDescent="0.35">
      <c r="A87" s="6" t="s">
        <v>39</v>
      </c>
      <c r="B87" s="22"/>
      <c r="C87" s="23"/>
      <c r="G87" s="24"/>
      <c r="H87" s="105"/>
    </row>
    <row r="88" spans="1:8" ht="15.75" customHeight="1" x14ac:dyDescent="0.35">
      <c r="A88" s="6" t="s">
        <v>40</v>
      </c>
      <c r="B88" s="22"/>
      <c r="C88" s="182"/>
      <c r="D88" s="133"/>
      <c r="E88" s="133"/>
      <c r="F88" s="133"/>
      <c r="G88" s="181"/>
      <c r="H88" s="94"/>
    </row>
    <row r="89" spans="1:8" ht="15.75" customHeight="1" x14ac:dyDescent="0.35">
      <c r="A89" s="6" t="s">
        <v>41</v>
      </c>
      <c r="B89" s="22"/>
      <c r="C89" s="180"/>
      <c r="D89" s="133"/>
      <c r="E89" s="133"/>
      <c r="F89" s="133"/>
      <c r="G89" s="181"/>
      <c r="H89" s="94"/>
    </row>
    <row r="90" spans="1:8" ht="15.75" customHeight="1" x14ac:dyDescent="0.35">
      <c r="A90" s="6" t="s">
        <v>42</v>
      </c>
      <c r="B90" s="22"/>
      <c r="C90" s="23"/>
      <c r="G90" s="24"/>
      <c r="H90" s="105"/>
    </row>
    <row r="91" spans="1:8" ht="15.75" customHeight="1" x14ac:dyDescent="0.35">
      <c r="A91" s="6" t="s">
        <v>43</v>
      </c>
      <c r="B91" s="22"/>
      <c r="C91" s="23"/>
      <c r="G91" s="24"/>
      <c r="H91" s="105"/>
    </row>
    <row r="92" spans="1:8" ht="15.75" customHeight="1" x14ac:dyDescent="0.35">
      <c r="A92" s="6" t="s">
        <v>44</v>
      </c>
      <c r="B92" s="22"/>
      <c r="C92" s="23"/>
      <c r="G92" s="24"/>
      <c r="H92" s="105"/>
    </row>
    <row r="93" spans="1:8" ht="15.75" customHeight="1" x14ac:dyDescent="0.35">
      <c r="A93" s="6" t="s">
        <v>45</v>
      </c>
      <c r="B93" s="22"/>
      <c r="C93" s="23"/>
      <c r="G93" s="24"/>
      <c r="H93" s="105"/>
    </row>
    <row r="94" spans="1:8" ht="15.75" customHeight="1" thickBot="1" x14ac:dyDescent="0.4">
      <c r="A94" s="25" t="s">
        <v>28</v>
      </c>
      <c r="B94" s="26">
        <f>SUM(B82:B93)</f>
        <v>0</v>
      </c>
      <c r="C94" s="27"/>
      <c r="D94" s="28"/>
      <c r="E94" s="28"/>
      <c r="F94" s="28"/>
      <c r="G94" s="29"/>
      <c r="H94" s="105"/>
    </row>
    <row r="95" spans="1:8" ht="15.75" customHeight="1" x14ac:dyDescent="0.35">
      <c r="G95" s="30"/>
      <c r="H95" s="30"/>
    </row>
    <row r="96" spans="1:8" ht="15.75" customHeight="1" x14ac:dyDescent="0.35">
      <c r="G96" s="30"/>
      <c r="H96" s="30"/>
    </row>
    <row r="97" spans="7:8" ht="15.75" customHeight="1" x14ac:dyDescent="0.35">
      <c r="G97" s="30"/>
      <c r="H97" s="30"/>
    </row>
    <row r="98" spans="7:8" ht="15.75" customHeight="1" x14ac:dyDescent="0.35">
      <c r="G98" s="30"/>
      <c r="H98" s="30"/>
    </row>
    <row r="99" spans="7:8" ht="15.75" customHeight="1" x14ac:dyDescent="0.35">
      <c r="G99" s="30"/>
      <c r="H99" s="30"/>
    </row>
    <row r="100" spans="7:8" ht="15.75" customHeight="1" x14ac:dyDescent="0.35">
      <c r="G100" s="30"/>
      <c r="H100" s="30"/>
    </row>
    <row r="101" spans="7:8" ht="15.75" customHeight="1" x14ac:dyDescent="0.35">
      <c r="G101" s="30"/>
      <c r="H101" s="30"/>
    </row>
    <row r="102" spans="7:8" ht="15.75" customHeight="1" x14ac:dyDescent="0.35">
      <c r="G102" s="30"/>
      <c r="H102" s="30"/>
    </row>
    <row r="103" spans="7:8" ht="15.75" customHeight="1" x14ac:dyDescent="0.35">
      <c r="G103" s="30"/>
      <c r="H103" s="30"/>
    </row>
    <row r="104" spans="7:8" ht="15.75" customHeight="1" x14ac:dyDescent="0.35">
      <c r="G104" s="30"/>
      <c r="H104" s="30"/>
    </row>
    <row r="105" spans="7:8" ht="15.75" customHeight="1" x14ac:dyDescent="0.35">
      <c r="G105" s="30"/>
      <c r="H105" s="30"/>
    </row>
    <row r="106" spans="7:8" ht="15.75" customHeight="1" x14ac:dyDescent="0.35">
      <c r="G106" s="30"/>
      <c r="H106" s="30"/>
    </row>
    <row r="107" spans="7:8" ht="15.75" customHeight="1" x14ac:dyDescent="0.35">
      <c r="G107" s="30"/>
      <c r="H107" s="30"/>
    </row>
    <row r="108" spans="7:8" ht="15.75" customHeight="1" x14ac:dyDescent="0.35">
      <c r="G108" s="30"/>
      <c r="H108" s="30"/>
    </row>
    <row r="109" spans="7:8" ht="15.75" customHeight="1" x14ac:dyDescent="0.35">
      <c r="G109" s="30"/>
      <c r="H109" s="30"/>
    </row>
    <row r="110" spans="7:8" ht="15.75" customHeight="1" x14ac:dyDescent="0.35">
      <c r="G110" s="30"/>
      <c r="H110" s="30"/>
    </row>
    <row r="111" spans="7:8" ht="15.75" customHeight="1" x14ac:dyDescent="0.35">
      <c r="G111" s="30"/>
      <c r="H111" s="30"/>
    </row>
    <row r="112" spans="7:8" ht="15.75" customHeight="1" x14ac:dyDescent="0.35">
      <c r="G112" s="30"/>
      <c r="H112" s="30"/>
    </row>
    <row r="113" spans="7:8" ht="15.75" customHeight="1" x14ac:dyDescent="0.35">
      <c r="G113" s="30"/>
      <c r="H113" s="30"/>
    </row>
    <row r="114" spans="7:8" ht="15.75" customHeight="1" x14ac:dyDescent="0.35">
      <c r="G114" s="30"/>
      <c r="H114" s="30"/>
    </row>
    <row r="115" spans="7:8" ht="15.75" customHeight="1" x14ac:dyDescent="0.35">
      <c r="G115" s="30"/>
      <c r="H115" s="30"/>
    </row>
    <row r="116" spans="7:8" ht="15.75" customHeight="1" x14ac:dyDescent="0.35">
      <c r="G116" s="30"/>
      <c r="H116" s="30"/>
    </row>
    <row r="117" spans="7:8" ht="15.75" customHeight="1" x14ac:dyDescent="0.35">
      <c r="G117" s="30"/>
      <c r="H117" s="30"/>
    </row>
    <row r="118" spans="7:8" ht="15.75" customHeight="1" x14ac:dyDescent="0.35">
      <c r="G118" s="30"/>
      <c r="H118" s="30"/>
    </row>
    <row r="119" spans="7:8" ht="15.75" customHeight="1" x14ac:dyDescent="0.35">
      <c r="G119" s="30"/>
      <c r="H119" s="30"/>
    </row>
    <row r="120" spans="7:8" ht="15.75" customHeight="1" x14ac:dyDescent="0.35">
      <c r="G120" s="30"/>
      <c r="H120" s="30"/>
    </row>
    <row r="121" spans="7:8" ht="15.75" customHeight="1" x14ac:dyDescent="0.35">
      <c r="G121" s="30"/>
      <c r="H121" s="30"/>
    </row>
    <row r="122" spans="7:8" ht="15.75" customHeight="1" x14ac:dyDescent="0.35">
      <c r="G122" s="30"/>
      <c r="H122" s="30"/>
    </row>
    <row r="123" spans="7:8" ht="15.75" customHeight="1" x14ac:dyDescent="0.35">
      <c r="G123" s="30"/>
      <c r="H123" s="30"/>
    </row>
    <row r="124" spans="7:8" ht="15.75" customHeight="1" x14ac:dyDescent="0.35">
      <c r="G124" s="30"/>
      <c r="H124" s="30"/>
    </row>
    <row r="125" spans="7:8" ht="15.75" customHeight="1" x14ac:dyDescent="0.35">
      <c r="G125" s="30"/>
      <c r="H125" s="30"/>
    </row>
    <row r="126" spans="7:8" ht="15.75" customHeight="1" x14ac:dyDescent="0.35">
      <c r="G126" s="30"/>
      <c r="H126" s="30"/>
    </row>
    <row r="127" spans="7:8" ht="15.75" customHeight="1" x14ac:dyDescent="0.35">
      <c r="G127" s="30"/>
      <c r="H127" s="30"/>
    </row>
    <row r="128" spans="7:8" ht="15.75" customHeight="1" x14ac:dyDescent="0.35">
      <c r="G128" s="30"/>
      <c r="H128" s="30"/>
    </row>
    <row r="129" spans="7:8" ht="15.75" customHeight="1" x14ac:dyDescent="0.35">
      <c r="G129" s="30"/>
      <c r="H129" s="30"/>
    </row>
    <row r="130" spans="7:8" ht="15.75" customHeight="1" x14ac:dyDescent="0.35">
      <c r="G130" s="30"/>
      <c r="H130" s="30"/>
    </row>
    <row r="131" spans="7:8" ht="15.75" customHeight="1" x14ac:dyDescent="0.35">
      <c r="G131" s="30"/>
      <c r="H131" s="30"/>
    </row>
    <row r="132" spans="7:8" ht="15.75" customHeight="1" x14ac:dyDescent="0.35">
      <c r="G132" s="30"/>
      <c r="H132" s="30"/>
    </row>
    <row r="133" spans="7:8" ht="15.75" customHeight="1" x14ac:dyDescent="0.35">
      <c r="G133" s="30"/>
      <c r="H133" s="30"/>
    </row>
    <row r="134" spans="7:8" ht="15.75" customHeight="1" x14ac:dyDescent="0.35">
      <c r="G134" s="30"/>
      <c r="H134" s="30"/>
    </row>
    <row r="135" spans="7:8" ht="15.75" customHeight="1" x14ac:dyDescent="0.35">
      <c r="G135" s="30"/>
      <c r="H135" s="30"/>
    </row>
    <row r="136" spans="7:8" ht="15.75" customHeight="1" x14ac:dyDescent="0.35">
      <c r="G136" s="30"/>
      <c r="H136" s="30"/>
    </row>
    <row r="137" spans="7:8" ht="15.75" customHeight="1" x14ac:dyDescent="0.35">
      <c r="G137" s="30"/>
      <c r="H137" s="30"/>
    </row>
    <row r="138" spans="7:8" ht="15.75" customHeight="1" x14ac:dyDescent="0.35">
      <c r="G138" s="30"/>
      <c r="H138" s="30"/>
    </row>
    <row r="139" spans="7:8" ht="15.75" customHeight="1" x14ac:dyDescent="0.35">
      <c r="G139" s="30"/>
      <c r="H139" s="30"/>
    </row>
    <row r="140" spans="7:8" ht="15.75" customHeight="1" x14ac:dyDescent="0.35">
      <c r="G140" s="30"/>
      <c r="H140" s="30"/>
    </row>
    <row r="141" spans="7:8" ht="15.75" customHeight="1" x14ac:dyDescent="0.35">
      <c r="G141" s="30"/>
      <c r="H141" s="30"/>
    </row>
    <row r="142" spans="7:8" ht="15.75" customHeight="1" x14ac:dyDescent="0.35">
      <c r="G142" s="30"/>
      <c r="H142" s="30"/>
    </row>
    <row r="143" spans="7:8" ht="15.75" customHeight="1" x14ac:dyDescent="0.35">
      <c r="G143" s="30"/>
      <c r="H143" s="30"/>
    </row>
    <row r="144" spans="7:8" ht="15.75" customHeight="1" x14ac:dyDescent="0.35">
      <c r="G144" s="30"/>
      <c r="H144" s="30"/>
    </row>
    <row r="145" spans="7:8" ht="15.75" customHeight="1" x14ac:dyDescent="0.35">
      <c r="G145" s="30"/>
      <c r="H145" s="30"/>
    </row>
    <row r="146" spans="7:8" ht="15.75" customHeight="1" x14ac:dyDescent="0.35">
      <c r="G146" s="30"/>
      <c r="H146" s="30"/>
    </row>
    <row r="147" spans="7:8" ht="15.75" customHeight="1" x14ac:dyDescent="0.35">
      <c r="G147" s="30"/>
      <c r="H147" s="30"/>
    </row>
    <row r="148" spans="7:8" ht="15.75" customHeight="1" x14ac:dyDescent="0.35">
      <c r="G148" s="30"/>
      <c r="H148" s="30"/>
    </row>
    <row r="149" spans="7:8" ht="15.75" customHeight="1" x14ac:dyDescent="0.35">
      <c r="G149" s="30"/>
      <c r="H149" s="30"/>
    </row>
    <row r="150" spans="7:8" ht="15.75" customHeight="1" x14ac:dyDescent="0.35">
      <c r="G150" s="30"/>
      <c r="H150" s="30"/>
    </row>
    <row r="151" spans="7:8" ht="15.75" customHeight="1" x14ac:dyDescent="0.35">
      <c r="G151" s="30"/>
      <c r="H151" s="30"/>
    </row>
    <row r="152" spans="7:8" ht="15.75" customHeight="1" x14ac:dyDescent="0.35">
      <c r="G152" s="30"/>
      <c r="H152" s="30"/>
    </row>
    <row r="153" spans="7:8" ht="15.75" customHeight="1" x14ac:dyDescent="0.35">
      <c r="G153" s="30"/>
      <c r="H153" s="30"/>
    </row>
    <row r="154" spans="7:8" ht="15.75" customHeight="1" x14ac:dyDescent="0.35">
      <c r="G154" s="30"/>
      <c r="H154" s="30"/>
    </row>
    <row r="155" spans="7:8" ht="15.75" customHeight="1" x14ac:dyDescent="0.35">
      <c r="G155" s="30"/>
      <c r="H155" s="30"/>
    </row>
    <row r="156" spans="7:8" ht="15.75" customHeight="1" x14ac:dyDescent="0.35">
      <c r="G156" s="30"/>
      <c r="H156" s="30"/>
    </row>
    <row r="157" spans="7:8" ht="15.75" customHeight="1" x14ac:dyDescent="0.35">
      <c r="G157" s="30"/>
      <c r="H157" s="30"/>
    </row>
    <row r="158" spans="7:8" ht="15.75" customHeight="1" x14ac:dyDescent="0.35">
      <c r="G158" s="30"/>
      <c r="H158" s="30"/>
    </row>
    <row r="159" spans="7:8" ht="15.75" customHeight="1" x14ac:dyDescent="0.35">
      <c r="G159" s="30"/>
      <c r="H159" s="30"/>
    </row>
    <row r="160" spans="7:8" ht="15.75" customHeight="1" x14ac:dyDescent="0.35">
      <c r="G160" s="30"/>
      <c r="H160" s="30"/>
    </row>
    <row r="161" spans="7:8" ht="15.75" customHeight="1" x14ac:dyDescent="0.35">
      <c r="G161" s="30"/>
      <c r="H161" s="30"/>
    </row>
    <row r="162" spans="7:8" ht="15.75" customHeight="1" x14ac:dyDescent="0.35">
      <c r="G162" s="30"/>
      <c r="H162" s="30"/>
    </row>
    <row r="163" spans="7:8" ht="15.75" customHeight="1" x14ac:dyDescent="0.35">
      <c r="G163" s="30"/>
      <c r="H163" s="30"/>
    </row>
    <row r="164" spans="7:8" ht="15.75" customHeight="1" x14ac:dyDescent="0.35">
      <c r="G164" s="30"/>
      <c r="H164" s="30"/>
    </row>
    <row r="165" spans="7:8" ht="15.75" customHeight="1" x14ac:dyDescent="0.35">
      <c r="G165" s="30"/>
      <c r="H165" s="30"/>
    </row>
    <row r="166" spans="7:8" ht="15.75" customHeight="1" x14ac:dyDescent="0.35">
      <c r="G166" s="30"/>
      <c r="H166" s="30"/>
    </row>
    <row r="167" spans="7:8" ht="15.75" customHeight="1" x14ac:dyDescent="0.35">
      <c r="G167" s="30"/>
      <c r="H167" s="30"/>
    </row>
    <row r="168" spans="7:8" ht="15.75" customHeight="1" x14ac:dyDescent="0.35">
      <c r="G168" s="30"/>
      <c r="H168" s="30"/>
    </row>
    <row r="169" spans="7:8" ht="15.75" customHeight="1" x14ac:dyDescent="0.35">
      <c r="G169" s="30"/>
      <c r="H169" s="30"/>
    </row>
    <row r="170" spans="7:8" ht="15.75" customHeight="1" x14ac:dyDescent="0.35">
      <c r="G170" s="30"/>
      <c r="H170" s="30"/>
    </row>
    <row r="171" spans="7:8" ht="15.75" customHeight="1" x14ac:dyDescent="0.35">
      <c r="G171" s="30"/>
      <c r="H171" s="30"/>
    </row>
    <row r="172" spans="7:8" ht="15.75" customHeight="1" x14ac:dyDescent="0.35">
      <c r="G172" s="30"/>
      <c r="H172" s="30"/>
    </row>
    <row r="173" spans="7:8" ht="15.75" customHeight="1" x14ac:dyDescent="0.35">
      <c r="G173" s="30"/>
      <c r="H173" s="30"/>
    </row>
    <row r="174" spans="7:8" ht="15.75" customHeight="1" x14ac:dyDescent="0.35">
      <c r="G174" s="30"/>
      <c r="H174" s="30"/>
    </row>
    <row r="175" spans="7:8" ht="15.75" customHeight="1" x14ac:dyDescent="0.35">
      <c r="G175" s="30"/>
      <c r="H175" s="30"/>
    </row>
    <row r="176" spans="7:8" ht="15.75" customHeight="1" x14ac:dyDescent="0.35">
      <c r="G176" s="30"/>
      <c r="H176" s="30"/>
    </row>
    <row r="177" spans="7:8" ht="15.75" customHeight="1" x14ac:dyDescent="0.35">
      <c r="G177" s="30"/>
      <c r="H177" s="30"/>
    </row>
    <row r="178" spans="7:8" ht="15.75" customHeight="1" x14ac:dyDescent="0.35">
      <c r="G178" s="30"/>
      <c r="H178" s="30"/>
    </row>
    <row r="179" spans="7:8" ht="15.75" customHeight="1" x14ac:dyDescent="0.35">
      <c r="G179" s="30"/>
      <c r="H179" s="30"/>
    </row>
    <row r="180" spans="7:8" ht="15.75" customHeight="1" x14ac:dyDescent="0.35">
      <c r="G180" s="30"/>
      <c r="H180" s="30"/>
    </row>
    <row r="181" spans="7:8" ht="15.75" customHeight="1" x14ac:dyDescent="0.35">
      <c r="G181" s="30"/>
      <c r="H181" s="30"/>
    </row>
    <row r="182" spans="7:8" ht="15.75" customHeight="1" x14ac:dyDescent="0.35">
      <c r="G182" s="30"/>
      <c r="H182" s="30"/>
    </row>
    <row r="183" spans="7:8" ht="15.75" customHeight="1" x14ac:dyDescent="0.35">
      <c r="G183" s="30"/>
      <c r="H183" s="30"/>
    </row>
    <row r="184" spans="7:8" ht="15.75" customHeight="1" x14ac:dyDescent="0.35">
      <c r="G184" s="30"/>
      <c r="H184" s="30"/>
    </row>
    <row r="185" spans="7:8" ht="15.75" customHeight="1" x14ac:dyDescent="0.35">
      <c r="G185" s="30"/>
      <c r="H185" s="30"/>
    </row>
    <row r="186" spans="7:8" ht="15.75" customHeight="1" x14ac:dyDescent="0.35">
      <c r="G186" s="30"/>
      <c r="H186" s="30"/>
    </row>
    <row r="187" spans="7:8" ht="15.75" customHeight="1" x14ac:dyDescent="0.35">
      <c r="G187" s="30"/>
      <c r="H187" s="30"/>
    </row>
    <row r="188" spans="7:8" ht="15.75" customHeight="1" x14ac:dyDescent="0.35">
      <c r="G188" s="30"/>
      <c r="H188" s="30"/>
    </row>
    <row r="189" spans="7:8" ht="15.75" customHeight="1" x14ac:dyDescent="0.35">
      <c r="G189" s="30"/>
      <c r="H189" s="30"/>
    </row>
    <row r="190" spans="7:8" ht="15.75" customHeight="1" x14ac:dyDescent="0.35">
      <c r="G190" s="30"/>
      <c r="H190" s="30"/>
    </row>
    <row r="191" spans="7:8" ht="15.75" customHeight="1" x14ac:dyDescent="0.35">
      <c r="G191" s="30"/>
      <c r="H191" s="30"/>
    </row>
    <row r="192" spans="7:8" ht="15.75" customHeight="1" x14ac:dyDescent="0.35">
      <c r="G192" s="30"/>
      <c r="H192" s="30"/>
    </row>
    <row r="193" spans="7:8" ht="15.75" customHeight="1" x14ac:dyDescent="0.35">
      <c r="G193" s="30"/>
      <c r="H193" s="30"/>
    </row>
    <row r="194" spans="7:8" ht="15.75" customHeight="1" x14ac:dyDescent="0.35">
      <c r="G194" s="30"/>
      <c r="H194" s="30"/>
    </row>
    <row r="195" spans="7:8" ht="15.75" customHeight="1" x14ac:dyDescent="0.35">
      <c r="G195" s="30"/>
      <c r="H195" s="30"/>
    </row>
    <row r="196" spans="7:8" ht="15.75" customHeight="1" x14ac:dyDescent="0.35">
      <c r="G196" s="30"/>
      <c r="H196" s="30"/>
    </row>
    <row r="197" spans="7:8" ht="15.75" customHeight="1" x14ac:dyDescent="0.35">
      <c r="G197" s="30"/>
      <c r="H197" s="30"/>
    </row>
    <row r="198" spans="7:8" ht="15.75" customHeight="1" x14ac:dyDescent="0.35">
      <c r="G198" s="30"/>
      <c r="H198" s="30"/>
    </row>
    <row r="199" spans="7:8" ht="15.75" customHeight="1" x14ac:dyDescent="0.35">
      <c r="G199" s="30"/>
      <c r="H199" s="30"/>
    </row>
    <row r="200" spans="7:8" ht="15.75" customHeight="1" x14ac:dyDescent="0.35">
      <c r="G200" s="30"/>
      <c r="H200" s="30"/>
    </row>
    <row r="201" spans="7:8" ht="15.75" customHeight="1" x14ac:dyDescent="0.35">
      <c r="G201" s="30"/>
      <c r="H201" s="30"/>
    </row>
    <row r="202" spans="7:8" ht="15.75" customHeight="1" x14ac:dyDescent="0.35">
      <c r="G202" s="30"/>
      <c r="H202" s="30"/>
    </row>
    <row r="203" spans="7:8" ht="15.75" customHeight="1" x14ac:dyDescent="0.35">
      <c r="G203" s="30"/>
      <c r="H203" s="30"/>
    </row>
    <row r="204" spans="7:8" ht="15.75" customHeight="1" x14ac:dyDescent="0.35">
      <c r="G204" s="30"/>
      <c r="H204" s="30"/>
    </row>
    <row r="205" spans="7:8" ht="15.75" customHeight="1" x14ac:dyDescent="0.35">
      <c r="G205" s="30"/>
      <c r="H205" s="30"/>
    </row>
    <row r="206" spans="7:8" ht="15.75" customHeight="1" x14ac:dyDescent="0.35">
      <c r="G206" s="30"/>
      <c r="H206" s="30"/>
    </row>
    <row r="207" spans="7:8" ht="15.75" customHeight="1" x14ac:dyDescent="0.35">
      <c r="G207" s="30"/>
      <c r="H207" s="30"/>
    </row>
    <row r="208" spans="7:8" ht="15.75" customHeight="1" x14ac:dyDescent="0.35">
      <c r="G208" s="30"/>
      <c r="H208" s="30"/>
    </row>
    <row r="209" spans="7:8" ht="15.75" customHeight="1" x14ac:dyDescent="0.35">
      <c r="G209" s="30"/>
      <c r="H209" s="30"/>
    </row>
    <row r="210" spans="7:8" ht="15.75" customHeight="1" x14ac:dyDescent="0.35">
      <c r="G210" s="30"/>
      <c r="H210" s="30"/>
    </row>
    <row r="211" spans="7:8" ht="15.75" customHeight="1" x14ac:dyDescent="0.35">
      <c r="G211" s="30"/>
      <c r="H211" s="30"/>
    </row>
    <row r="212" spans="7:8" ht="15.75" customHeight="1" x14ac:dyDescent="0.35">
      <c r="G212" s="30"/>
      <c r="H212" s="30"/>
    </row>
    <row r="213" spans="7:8" ht="15.75" customHeight="1" x14ac:dyDescent="0.35">
      <c r="G213" s="30"/>
      <c r="H213" s="30"/>
    </row>
    <row r="214" spans="7:8" ht="15.75" customHeight="1" x14ac:dyDescent="0.35">
      <c r="G214" s="30"/>
      <c r="H214" s="30"/>
    </row>
    <row r="215" spans="7:8" ht="15.75" customHeight="1" x14ac:dyDescent="0.35">
      <c r="G215" s="30"/>
      <c r="H215" s="30"/>
    </row>
    <row r="216" spans="7:8" ht="15.75" customHeight="1" x14ac:dyDescent="0.35">
      <c r="G216" s="30"/>
      <c r="H216" s="30"/>
    </row>
    <row r="217" spans="7:8" ht="15.75" customHeight="1" x14ac:dyDescent="0.35">
      <c r="G217" s="30"/>
      <c r="H217" s="30"/>
    </row>
    <row r="218" spans="7:8" ht="15.75" customHeight="1" x14ac:dyDescent="0.35">
      <c r="G218" s="30"/>
      <c r="H218" s="30"/>
    </row>
    <row r="219" spans="7:8" ht="15.75" customHeight="1" x14ac:dyDescent="0.35">
      <c r="G219" s="30"/>
      <c r="H219" s="30"/>
    </row>
    <row r="220" spans="7:8" ht="15.75" customHeight="1" x14ac:dyDescent="0.35">
      <c r="G220" s="30"/>
      <c r="H220" s="30"/>
    </row>
    <row r="221" spans="7:8" ht="15.75" customHeight="1" x14ac:dyDescent="0.35">
      <c r="G221" s="30"/>
      <c r="H221" s="30"/>
    </row>
    <row r="222" spans="7:8" ht="15.75" customHeight="1" x14ac:dyDescent="0.35">
      <c r="G222" s="30"/>
      <c r="H222" s="30"/>
    </row>
    <row r="223" spans="7:8" ht="15.75" customHeight="1" x14ac:dyDescent="0.35">
      <c r="G223" s="30"/>
      <c r="H223" s="30"/>
    </row>
    <row r="224" spans="7:8" ht="15.75" customHeight="1" x14ac:dyDescent="0.35">
      <c r="G224" s="30"/>
      <c r="H224" s="30"/>
    </row>
    <row r="225" spans="7:8" ht="15.75" customHeight="1" x14ac:dyDescent="0.35">
      <c r="G225" s="30"/>
      <c r="H225" s="30"/>
    </row>
    <row r="226" spans="7:8" ht="15.75" customHeight="1" x14ac:dyDescent="0.35">
      <c r="G226" s="30"/>
      <c r="H226" s="30"/>
    </row>
    <row r="227" spans="7:8" ht="15.75" customHeight="1" x14ac:dyDescent="0.35">
      <c r="G227" s="30"/>
      <c r="H227" s="30"/>
    </row>
    <row r="228" spans="7:8" ht="15.75" customHeight="1" x14ac:dyDescent="0.35">
      <c r="G228" s="30"/>
      <c r="H228" s="30"/>
    </row>
    <row r="229" spans="7:8" ht="15.75" customHeight="1" x14ac:dyDescent="0.35">
      <c r="G229" s="30"/>
      <c r="H229" s="30"/>
    </row>
    <row r="230" spans="7:8" ht="15.75" customHeight="1" x14ac:dyDescent="0.35">
      <c r="G230" s="30"/>
      <c r="H230" s="30"/>
    </row>
    <row r="231" spans="7:8" ht="15.75" customHeight="1" x14ac:dyDescent="0.35">
      <c r="G231" s="30"/>
      <c r="H231" s="30"/>
    </row>
    <row r="232" spans="7:8" ht="15.75" customHeight="1" x14ac:dyDescent="0.35">
      <c r="G232" s="30"/>
      <c r="H232" s="30"/>
    </row>
    <row r="233" spans="7:8" ht="15.75" customHeight="1" x14ac:dyDescent="0.35">
      <c r="G233" s="30"/>
      <c r="H233" s="30"/>
    </row>
    <row r="234" spans="7:8" ht="15.75" customHeight="1" x14ac:dyDescent="0.35">
      <c r="G234" s="30"/>
      <c r="H234" s="30"/>
    </row>
    <row r="235" spans="7:8" ht="15.75" customHeight="1" x14ac:dyDescent="0.35">
      <c r="G235" s="30"/>
      <c r="H235" s="30"/>
    </row>
    <row r="236" spans="7:8" ht="15.75" customHeight="1" x14ac:dyDescent="0.35">
      <c r="G236" s="30"/>
      <c r="H236" s="30"/>
    </row>
    <row r="237" spans="7:8" ht="15.75" customHeight="1" x14ac:dyDescent="0.35">
      <c r="G237" s="30"/>
      <c r="H237" s="30"/>
    </row>
    <row r="238" spans="7:8" ht="15.75" customHeight="1" x14ac:dyDescent="0.35">
      <c r="G238" s="30"/>
      <c r="H238" s="30"/>
    </row>
    <row r="239" spans="7:8" ht="15.75" customHeight="1" x14ac:dyDescent="0.35">
      <c r="G239" s="30"/>
      <c r="H239" s="30"/>
    </row>
    <row r="240" spans="7:8" ht="15.75" customHeight="1" x14ac:dyDescent="0.35">
      <c r="G240" s="30"/>
      <c r="H240" s="30"/>
    </row>
    <row r="241" spans="7:8" ht="15.75" customHeight="1" x14ac:dyDescent="0.35">
      <c r="G241" s="30"/>
      <c r="H241" s="30"/>
    </row>
    <row r="242" spans="7:8" ht="15.75" customHeight="1" x14ac:dyDescent="0.35">
      <c r="G242" s="30"/>
      <c r="H242" s="30"/>
    </row>
    <row r="243" spans="7:8" ht="15.75" customHeight="1" x14ac:dyDescent="0.35">
      <c r="G243" s="30"/>
      <c r="H243" s="30"/>
    </row>
    <row r="244" spans="7:8" ht="15.75" customHeight="1" x14ac:dyDescent="0.35">
      <c r="G244" s="30"/>
      <c r="H244" s="30"/>
    </row>
    <row r="245" spans="7:8" ht="15.75" customHeight="1" x14ac:dyDescent="0.35">
      <c r="G245" s="30"/>
      <c r="H245" s="30"/>
    </row>
    <row r="246" spans="7:8" ht="15.75" customHeight="1" x14ac:dyDescent="0.35">
      <c r="G246" s="30"/>
      <c r="H246" s="30"/>
    </row>
    <row r="247" spans="7:8" ht="15.75" customHeight="1" x14ac:dyDescent="0.35">
      <c r="G247" s="30"/>
      <c r="H247" s="30"/>
    </row>
    <row r="248" spans="7:8" ht="15.75" customHeight="1" x14ac:dyDescent="0.35">
      <c r="G248" s="30"/>
      <c r="H248" s="30"/>
    </row>
    <row r="249" spans="7:8" ht="15.75" customHeight="1" x14ac:dyDescent="0.35">
      <c r="G249" s="30"/>
      <c r="H249" s="30"/>
    </row>
    <row r="250" spans="7:8" ht="15.75" customHeight="1" x14ac:dyDescent="0.35">
      <c r="G250" s="30"/>
      <c r="H250" s="30"/>
    </row>
    <row r="251" spans="7:8" ht="15.75" customHeight="1" x14ac:dyDescent="0.35">
      <c r="G251" s="30"/>
      <c r="H251" s="30"/>
    </row>
    <row r="252" spans="7:8" ht="15.75" customHeight="1" x14ac:dyDescent="0.35">
      <c r="G252" s="30"/>
      <c r="H252" s="30"/>
    </row>
    <row r="253" spans="7:8" ht="15.75" customHeight="1" x14ac:dyDescent="0.35">
      <c r="G253" s="30"/>
      <c r="H253" s="30"/>
    </row>
    <row r="254" spans="7:8" ht="15.75" customHeight="1" x14ac:dyDescent="0.35">
      <c r="G254" s="30"/>
      <c r="H254" s="30"/>
    </row>
    <row r="255" spans="7:8" ht="15.75" customHeight="1" x14ac:dyDescent="0.35">
      <c r="G255" s="30"/>
      <c r="H255" s="30"/>
    </row>
    <row r="256" spans="7:8" ht="15.75" customHeight="1" x14ac:dyDescent="0.35">
      <c r="G256" s="30"/>
      <c r="H256" s="30"/>
    </row>
    <row r="257" spans="7:8" ht="15.75" customHeight="1" x14ac:dyDescent="0.35">
      <c r="G257" s="30"/>
      <c r="H257" s="30"/>
    </row>
    <row r="258" spans="7:8" ht="15.75" customHeight="1" x14ac:dyDescent="0.35">
      <c r="G258" s="30"/>
      <c r="H258" s="30"/>
    </row>
    <row r="259" spans="7:8" ht="15.75" customHeight="1" x14ac:dyDescent="0.35">
      <c r="G259" s="30"/>
      <c r="H259" s="30"/>
    </row>
    <row r="260" spans="7:8" ht="15.75" customHeight="1" x14ac:dyDescent="0.35">
      <c r="G260" s="30"/>
      <c r="H260" s="30"/>
    </row>
    <row r="261" spans="7:8" ht="15.75" customHeight="1" x14ac:dyDescent="0.35">
      <c r="G261" s="30"/>
      <c r="H261" s="30"/>
    </row>
    <row r="262" spans="7:8" ht="15.75" customHeight="1" x14ac:dyDescent="0.35">
      <c r="G262" s="30"/>
      <c r="H262" s="30"/>
    </row>
    <row r="263" spans="7:8" ht="15.75" customHeight="1" x14ac:dyDescent="0.35">
      <c r="G263" s="30"/>
      <c r="H263" s="30"/>
    </row>
    <row r="264" spans="7:8" ht="15.75" customHeight="1" x14ac:dyDescent="0.35">
      <c r="G264" s="30"/>
      <c r="H264" s="30"/>
    </row>
    <row r="265" spans="7:8" ht="15.75" customHeight="1" x14ac:dyDescent="0.35">
      <c r="G265" s="30"/>
      <c r="H265" s="30"/>
    </row>
    <row r="266" spans="7:8" ht="15.75" customHeight="1" x14ac:dyDescent="0.35">
      <c r="G266" s="30"/>
      <c r="H266" s="30"/>
    </row>
    <row r="267" spans="7:8" ht="15.75" customHeight="1" x14ac:dyDescent="0.35">
      <c r="G267" s="30"/>
      <c r="H267" s="30"/>
    </row>
    <row r="268" spans="7:8" ht="15.75" customHeight="1" x14ac:dyDescent="0.35">
      <c r="G268" s="30"/>
      <c r="H268" s="30"/>
    </row>
    <row r="269" spans="7:8" ht="15.75" customHeight="1" x14ac:dyDescent="0.35">
      <c r="G269" s="30"/>
      <c r="H269" s="30"/>
    </row>
    <row r="270" spans="7:8" ht="15.75" customHeight="1" x14ac:dyDescent="0.35">
      <c r="G270" s="30"/>
      <c r="H270" s="30"/>
    </row>
    <row r="271" spans="7:8" ht="15.75" customHeight="1" x14ac:dyDescent="0.35">
      <c r="G271" s="30"/>
      <c r="H271" s="30"/>
    </row>
    <row r="272" spans="7:8" ht="15.75" customHeight="1" x14ac:dyDescent="0.35">
      <c r="G272" s="30"/>
      <c r="H272" s="30"/>
    </row>
    <row r="273" spans="7:8" ht="15.75" customHeight="1" x14ac:dyDescent="0.35">
      <c r="G273" s="30"/>
      <c r="H273" s="30"/>
    </row>
    <row r="274" spans="7:8" ht="15.75" customHeight="1" x14ac:dyDescent="0.35">
      <c r="G274" s="30"/>
      <c r="H274" s="30"/>
    </row>
    <row r="275" spans="7:8" ht="15.75" customHeight="1" x14ac:dyDescent="0.35">
      <c r="G275" s="30"/>
      <c r="H275" s="30"/>
    </row>
    <row r="276" spans="7:8" ht="15.75" customHeight="1" x14ac:dyDescent="0.35">
      <c r="G276" s="30"/>
      <c r="H276" s="30"/>
    </row>
    <row r="277" spans="7:8" ht="15.75" customHeight="1" x14ac:dyDescent="0.35">
      <c r="G277" s="30"/>
      <c r="H277" s="30"/>
    </row>
    <row r="278" spans="7:8" ht="15.75" customHeight="1" x14ac:dyDescent="0.35">
      <c r="G278" s="30"/>
      <c r="H278" s="30"/>
    </row>
    <row r="279" spans="7:8" ht="15.75" customHeight="1" x14ac:dyDescent="0.35">
      <c r="G279" s="30"/>
      <c r="H279" s="30"/>
    </row>
    <row r="280" spans="7:8" ht="15.75" customHeight="1" x14ac:dyDescent="0.35">
      <c r="G280" s="30"/>
      <c r="H280" s="30"/>
    </row>
    <row r="281" spans="7:8" ht="15.75" customHeight="1" x14ac:dyDescent="0.35">
      <c r="G281" s="30"/>
      <c r="H281" s="30"/>
    </row>
    <row r="282" spans="7:8" ht="15.75" customHeight="1" x14ac:dyDescent="0.35">
      <c r="G282" s="30"/>
      <c r="H282" s="30"/>
    </row>
    <row r="283" spans="7:8" ht="15.75" customHeight="1" x14ac:dyDescent="0.35">
      <c r="G283" s="30"/>
      <c r="H283" s="30"/>
    </row>
    <row r="284" spans="7:8" ht="15.75" customHeight="1" x14ac:dyDescent="0.35">
      <c r="G284" s="30"/>
      <c r="H284" s="30"/>
    </row>
    <row r="285" spans="7:8" ht="15.75" customHeight="1" x14ac:dyDescent="0.35">
      <c r="G285" s="30"/>
      <c r="H285" s="30"/>
    </row>
    <row r="286" spans="7:8" ht="15.75" customHeight="1" x14ac:dyDescent="0.35">
      <c r="G286" s="30"/>
      <c r="H286" s="30"/>
    </row>
    <row r="287" spans="7:8" ht="15.75" customHeight="1" x14ac:dyDescent="0.35">
      <c r="G287" s="30"/>
      <c r="H287" s="30"/>
    </row>
    <row r="288" spans="7:8" ht="15.75" customHeight="1" x14ac:dyDescent="0.35">
      <c r="G288" s="30"/>
      <c r="H288" s="30"/>
    </row>
    <row r="289" spans="7:8" ht="15.75" customHeight="1" x14ac:dyDescent="0.35">
      <c r="G289" s="30"/>
      <c r="H289" s="30"/>
    </row>
    <row r="290" spans="7:8" ht="15.75" customHeight="1" x14ac:dyDescent="0.35">
      <c r="G290" s="30"/>
      <c r="H290" s="30"/>
    </row>
    <row r="291" spans="7:8" ht="15.75" customHeight="1" x14ac:dyDescent="0.35">
      <c r="G291" s="30"/>
      <c r="H291" s="30"/>
    </row>
    <row r="292" spans="7:8" ht="15.75" customHeight="1" x14ac:dyDescent="0.35">
      <c r="G292" s="30"/>
      <c r="H292" s="30"/>
    </row>
    <row r="293" spans="7:8" ht="15.75" customHeight="1" x14ac:dyDescent="0.35">
      <c r="G293" s="30"/>
      <c r="H293" s="30"/>
    </row>
    <row r="294" spans="7:8" ht="15.75" customHeight="1" x14ac:dyDescent="0.35">
      <c r="G294" s="30"/>
      <c r="H294" s="30"/>
    </row>
    <row r="295" spans="7:8" ht="15.75" customHeight="1" x14ac:dyDescent="0.35">
      <c r="G295" s="30"/>
      <c r="H295" s="30"/>
    </row>
    <row r="296" spans="7:8" ht="15.75" customHeight="1" x14ac:dyDescent="0.35">
      <c r="G296" s="30"/>
      <c r="H296" s="30"/>
    </row>
    <row r="297" spans="7:8" ht="15.75" customHeight="1" x14ac:dyDescent="0.35">
      <c r="G297" s="30"/>
      <c r="H297" s="30"/>
    </row>
    <row r="298" spans="7:8" ht="15.75" customHeight="1" x14ac:dyDescent="0.35">
      <c r="G298" s="30"/>
      <c r="H298" s="30"/>
    </row>
    <row r="299" spans="7:8" ht="15.75" customHeight="1" x14ac:dyDescent="0.35">
      <c r="G299" s="30"/>
      <c r="H299" s="30"/>
    </row>
    <row r="300" spans="7:8" ht="15.75" customHeight="1" x14ac:dyDescent="0.35">
      <c r="G300" s="30"/>
      <c r="H300" s="30"/>
    </row>
    <row r="301" spans="7:8" ht="15.75" customHeight="1" x14ac:dyDescent="0.35">
      <c r="G301" s="30"/>
      <c r="H301" s="30"/>
    </row>
    <row r="302" spans="7:8" ht="15.75" customHeight="1" x14ac:dyDescent="0.35">
      <c r="G302" s="30"/>
      <c r="H302" s="30"/>
    </row>
    <row r="303" spans="7:8" ht="15.75" customHeight="1" x14ac:dyDescent="0.35">
      <c r="G303" s="30"/>
      <c r="H303" s="30"/>
    </row>
    <row r="304" spans="7:8" ht="15.75" customHeight="1" x14ac:dyDescent="0.35">
      <c r="G304" s="30"/>
      <c r="H304" s="30"/>
    </row>
    <row r="305" spans="7:8" ht="15.75" customHeight="1" x14ac:dyDescent="0.35">
      <c r="G305" s="30"/>
      <c r="H305" s="30"/>
    </row>
    <row r="306" spans="7:8" ht="15.75" customHeight="1" x14ac:dyDescent="0.35">
      <c r="G306" s="30"/>
      <c r="H306" s="30"/>
    </row>
    <row r="307" spans="7:8" ht="15.75" customHeight="1" x14ac:dyDescent="0.35">
      <c r="G307" s="30"/>
      <c r="H307" s="30"/>
    </row>
    <row r="308" spans="7:8" ht="15.75" customHeight="1" x14ac:dyDescent="0.35">
      <c r="G308" s="30"/>
      <c r="H308" s="30"/>
    </row>
    <row r="309" spans="7:8" ht="15.75" customHeight="1" x14ac:dyDescent="0.35">
      <c r="G309" s="30"/>
      <c r="H309" s="30"/>
    </row>
    <row r="310" spans="7:8" ht="15.75" customHeight="1" x14ac:dyDescent="0.35">
      <c r="G310" s="30"/>
      <c r="H310" s="30"/>
    </row>
    <row r="311" spans="7:8" ht="15.75" customHeight="1" x14ac:dyDescent="0.35">
      <c r="G311" s="30"/>
      <c r="H311" s="30"/>
    </row>
    <row r="312" spans="7:8" ht="15.75" customHeight="1" x14ac:dyDescent="0.35">
      <c r="G312" s="30"/>
      <c r="H312" s="30"/>
    </row>
    <row r="313" spans="7:8" ht="15.75" customHeight="1" x14ac:dyDescent="0.35">
      <c r="G313" s="30"/>
      <c r="H313" s="30"/>
    </row>
    <row r="314" spans="7:8" ht="15.75" customHeight="1" x14ac:dyDescent="0.35">
      <c r="G314" s="30"/>
      <c r="H314" s="30"/>
    </row>
    <row r="315" spans="7:8" ht="15.75" customHeight="1" x14ac:dyDescent="0.35">
      <c r="G315" s="30"/>
      <c r="H315" s="30"/>
    </row>
    <row r="316" spans="7:8" ht="15.75" customHeight="1" x14ac:dyDescent="0.35">
      <c r="G316" s="30"/>
      <c r="H316" s="30"/>
    </row>
    <row r="317" spans="7:8" ht="15.75" customHeight="1" x14ac:dyDescent="0.35">
      <c r="G317" s="30"/>
      <c r="H317" s="30"/>
    </row>
    <row r="318" spans="7:8" ht="15.75" customHeight="1" x14ac:dyDescent="0.35">
      <c r="G318" s="30"/>
      <c r="H318" s="30"/>
    </row>
    <row r="319" spans="7:8" ht="15.75" customHeight="1" x14ac:dyDescent="0.35">
      <c r="G319" s="30"/>
      <c r="H319" s="30"/>
    </row>
    <row r="320" spans="7:8" ht="15.75" customHeight="1" x14ac:dyDescent="0.35">
      <c r="G320" s="30"/>
      <c r="H320" s="30"/>
    </row>
    <row r="321" spans="7:8" ht="15.75" customHeight="1" x14ac:dyDescent="0.35">
      <c r="G321" s="30"/>
      <c r="H321" s="30"/>
    </row>
    <row r="322" spans="7:8" ht="15.75" customHeight="1" x14ac:dyDescent="0.35">
      <c r="G322" s="30"/>
      <c r="H322" s="30"/>
    </row>
    <row r="323" spans="7:8" ht="15.75" customHeight="1" x14ac:dyDescent="0.35">
      <c r="G323" s="30"/>
      <c r="H323" s="30"/>
    </row>
    <row r="324" spans="7:8" ht="15.75" customHeight="1" x14ac:dyDescent="0.35">
      <c r="G324" s="30"/>
      <c r="H324" s="30"/>
    </row>
    <row r="325" spans="7:8" ht="15.75" customHeight="1" x14ac:dyDescent="0.35">
      <c r="G325" s="30"/>
      <c r="H325" s="30"/>
    </row>
    <row r="326" spans="7:8" ht="15.75" customHeight="1" x14ac:dyDescent="0.35">
      <c r="G326" s="30"/>
      <c r="H326" s="30"/>
    </row>
    <row r="327" spans="7:8" ht="15.75" customHeight="1" x14ac:dyDescent="0.35">
      <c r="G327" s="30"/>
      <c r="H327" s="30"/>
    </row>
    <row r="328" spans="7:8" ht="15.75" customHeight="1" x14ac:dyDescent="0.35">
      <c r="G328" s="30"/>
      <c r="H328" s="30"/>
    </row>
    <row r="329" spans="7:8" ht="15.75" customHeight="1" x14ac:dyDescent="0.35">
      <c r="G329" s="30"/>
      <c r="H329" s="30"/>
    </row>
    <row r="330" spans="7:8" ht="15.75" customHeight="1" x14ac:dyDescent="0.35">
      <c r="G330" s="30"/>
      <c r="H330" s="30"/>
    </row>
    <row r="331" spans="7:8" ht="15.75" customHeight="1" x14ac:dyDescent="0.35">
      <c r="G331" s="30"/>
      <c r="H331" s="30"/>
    </row>
    <row r="332" spans="7:8" ht="15.75" customHeight="1" x14ac:dyDescent="0.35">
      <c r="G332" s="30"/>
      <c r="H332" s="30"/>
    </row>
    <row r="333" spans="7:8" ht="15.75" customHeight="1" x14ac:dyDescent="0.35">
      <c r="G333" s="30"/>
      <c r="H333" s="30"/>
    </row>
    <row r="334" spans="7:8" ht="15.75" customHeight="1" x14ac:dyDescent="0.35">
      <c r="G334" s="30"/>
      <c r="H334" s="30"/>
    </row>
    <row r="335" spans="7:8" ht="15.75" customHeight="1" x14ac:dyDescent="0.35">
      <c r="G335" s="30"/>
      <c r="H335" s="30"/>
    </row>
    <row r="336" spans="7:8" ht="15.75" customHeight="1" x14ac:dyDescent="0.35">
      <c r="G336" s="30"/>
      <c r="H336" s="30"/>
    </row>
    <row r="337" spans="7:8" ht="15.75" customHeight="1" x14ac:dyDescent="0.35">
      <c r="G337" s="30"/>
      <c r="H337" s="30"/>
    </row>
    <row r="338" spans="7:8" ht="15.75" customHeight="1" x14ac:dyDescent="0.35">
      <c r="G338" s="30"/>
      <c r="H338" s="30"/>
    </row>
    <row r="339" spans="7:8" ht="15.75" customHeight="1" x14ac:dyDescent="0.35">
      <c r="G339" s="30"/>
      <c r="H339" s="30"/>
    </row>
    <row r="340" spans="7:8" ht="15.75" customHeight="1" x14ac:dyDescent="0.35">
      <c r="G340" s="30"/>
      <c r="H340" s="30"/>
    </row>
    <row r="341" spans="7:8" ht="15.75" customHeight="1" x14ac:dyDescent="0.35">
      <c r="G341" s="30"/>
      <c r="H341" s="30"/>
    </row>
    <row r="342" spans="7:8" ht="15.75" customHeight="1" x14ac:dyDescent="0.35">
      <c r="G342" s="30"/>
      <c r="H342" s="30"/>
    </row>
    <row r="343" spans="7:8" ht="15.75" customHeight="1" x14ac:dyDescent="0.35">
      <c r="G343" s="30"/>
      <c r="H343" s="30"/>
    </row>
    <row r="344" spans="7:8" ht="15.75" customHeight="1" x14ac:dyDescent="0.35">
      <c r="G344" s="30"/>
      <c r="H344" s="30"/>
    </row>
    <row r="345" spans="7:8" ht="15.75" customHeight="1" x14ac:dyDescent="0.35">
      <c r="G345" s="30"/>
      <c r="H345" s="30"/>
    </row>
    <row r="346" spans="7:8" ht="15.75" customHeight="1" x14ac:dyDescent="0.35">
      <c r="G346" s="30"/>
      <c r="H346" s="30"/>
    </row>
    <row r="347" spans="7:8" ht="15.75" customHeight="1" x14ac:dyDescent="0.35">
      <c r="G347" s="30"/>
      <c r="H347" s="30"/>
    </row>
    <row r="348" spans="7:8" ht="15.75" customHeight="1" x14ac:dyDescent="0.35">
      <c r="G348" s="30"/>
      <c r="H348" s="30"/>
    </row>
    <row r="349" spans="7:8" ht="15.75" customHeight="1" x14ac:dyDescent="0.35">
      <c r="G349" s="30"/>
      <c r="H349" s="30"/>
    </row>
    <row r="350" spans="7:8" ht="15.75" customHeight="1" x14ac:dyDescent="0.35">
      <c r="G350" s="30"/>
      <c r="H350" s="30"/>
    </row>
    <row r="351" spans="7:8" ht="15.75" customHeight="1" x14ac:dyDescent="0.35">
      <c r="G351" s="30"/>
      <c r="H351" s="30"/>
    </row>
    <row r="352" spans="7:8" ht="15.75" customHeight="1" x14ac:dyDescent="0.35">
      <c r="G352" s="30"/>
      <c r="H352" s="30"/>
    </row>
    <row r="353" spans="7:8" ht="15.75" customHeight="1" x14ac:dyDescent="0.35">
      <c r="G353" s="30"/>
      <c r="H353" s="30"/>
    </row>
    <row r="354" spans="7:8" ht="15.75" customHeight="1" x14ac:dyDescent="0.35">
      <c r="G354" s="30"/>
      <c r="H354" s="30"/>
    </row>
    <row r="355" spans="7:8" ht="15.75" customHeight="1" x14ac:dyDescent="0.35">
      <c r="G355" s="30"/>
      <c r="H355" s="30"/>
    </row>
    <row r="356" spans="7:8" ht="15.75" customHeight="1" x14ac:dyDescent="0.35">
      <c r="G356" s="30"/>
      <c r="H356" s="30"/>
    </row>
    <row r="357" spans="7:8" ht="15.75" customHeight="1" x14ac:dyDescent="0.35">
      <c r="G357" s="30"/>
      <c r="H357" s="30"/>
    </row>
    <row r="358" spans="7:8" ht="15.75" customHeight="1" x14ac:dyDescent="0.35">
      <c r="G358" s="30"/>
      <c r="H358" s="30"/>
    </row>
    <row r="359" spans="7:8" ht="15.75" customHeight="1" x14ac:dyDescent="0.35">
      <c r="G359" s="30"/>
      <c r="H359" s="30"/>
    </row>
    <row r="360" spans="7:8" ht="15.75" customHeight="1" x14ac:dyDescent="0.35">
      <c r="G360" s="30"/>
      <c r="H360" s="30"/>
    </row>
    <row r="361" spans="7:8" ht="15.75" customHeight="1" x14ac:dyDescent="0.35">
      <c r="G361" s="30"/>
      <c r="H361" s="30"/>
    </row>
    <row r="362" spans="7:8" ht="15.75" customHeight="1" x14ac:dyDescent="0.35">
      <c r="G362" s="30"/>
      <c r="H362" s="30"/>
    </row>
    <row r="363" spans="7:8" ht="15.75" customHeight="1" x14ac:dyDescent="0.35">
      <c r="G363" s="30"/>
      <c r="H363" s="30"/>
    </row>
    <row r="364" spans="7:8" ht="15.75" customHeight="1" x14ac:dyDescent="0.35">
      <c r="G364" s="30"/>
      <c r="H364" s="30"/>
    </row>
    <row r="365" spans="7:8" ht="15.75" customHeight="1" x14ac:dyDescent="0.35">
      <c r="G365" s="30"/>
      <c r="H365" s="30"/>
    </row>
    <row r="366" spans="7:8" ht="15.75" customHeight="1" x14ac:dyDescent="0.35">
      <c r="G366" s="30"/>
      <c r="H366" s="30"/>
    </row>
    <row r="367" spans="7:8" ht="15.75" customHeight="1" x14ac:dyDescent="0.35">
      <c r="G367" s="30"/>
      <c r="H367" s="30"/>
    </row>
    <row r="368" spans="7:8" ht="15.75" customHeight="1" x14ac:dyDescent="0.35">
      <c r="G368" s="30"/>
      <c r="H368" s="30"/>
    </row>
    <row r="369" spans="7:8" ht="15.75" customHeight="1" x14ac:dyDescent="0.35">
      <c r="G369" s="30"/>
      <c r="H369" s="30"/>
    </row>
    <row r="370" spans="7:8" ht="15.75" customHeight="1" x14ac:dyDescent="0.35">
      <c r="G370" s="30"/>
      <c r="H370" s="30"/>
    </row>
    <row r="371" spans="7:8" ht="15.75" customHeight="1" x14ac:dyDescent="0.35">
      <c r="G371" s="30"/>
      <c r="H371" s="30"/>
    </row>
    <row r="372" spans="7:8" ht="15.75" customHeight="1" x14ac:dyDescent="0.35">
      <c r="G372" s="30"/>
      <c r="H372" s="30"/>
    </row>
    <row r="373" spans="7:8" ht="15.75" customHeight="1" x14ac:dyDescent="0.35">
      <c r="G373" s="30"/>
      <c r="H373" s="30"/>
    </row>
    <row r="374" spans="7:8" ht="15.75" customHeight="1" x14ac:dyDescent="0.35">
      <c r="G374" s="30"/>
      <c r="H374" s="30"/>
    </row>
    <row r="375" spans="7:8" ht="15.75" customHeight="1" x14ac:dyDescent="0.35">
      <c r="G375" s="30"/>
      <c r="H375" s="30"/>
    </row>
    <row r="376" spans="7:8" ht="15.75" customHeight="1" x14ac:dyDescent="0.35">
      <c r="G376" s="30"/>
      <c r="H376" s="30"/>
    </row>
    <row r="377" spans="7:8" ht="15.75" customHeight="1" x14ac:dyDescent="0.35">
      <c r="G377" s="30"/>
      <c r="H377" s="30"/>
    </row>
    <row r="378" spans="7:8" ht="15.75" customHeight="1" x14ac:dyDescent="0.35">
      <c r="G378" s="30"/>
      <c r="H378" s="30"/>
    </row>
    <row r="379" spans="7:8" ht="15.75" customHeight="1" x14ac:dyDescent="0.35">
      <c r="G379" s="30"/>
      <c r="H379" s="30"/>
    </row>
    <row r="380" spans="7:8" ht="15.75" customHeight="1" x14ac:dyDescent="0.35">
      <c r="G380" s="30"/>
      <c r="H380" s="30"/>
    </row>
    <row r="381" spans="7:8" ht="15.75" customHeight="1" x14ac:dyDescent="0.35">
      <c r="G381" s="30"/>
      <c r="H381" s="30"/>
    </row>
    <row r="382" spans="7:8" ht="15.75" customHeight="1" x14ac:dyDescent="0.35">
      <c r="G382" s="30"/>
      <c r="H382" s="30"/>
    </row>
    <row r="383" spans="7:8" ht="15.75" customHeight="1" x14ac:dyDescent="0.35">
      <c r="G383" s="30"/>
      <c r="H383" s="30"/>
    </row>
    <row r="384" spans="7:8" ht="15.75" customHeight="1" x14ac:dyDescent="0.35">
      <c r="G384" s="30"/>
      <c r="H384" s="30"/>
    </row>
    <row r="385" spans="7:8" ht="15.75" customHeight="1" x14ac:dyDescent="0.35">
      <c r="G385" s="30"/>
      <c r="H385" s="30"/>
    </row>
    <row r="386" spans="7:8" ht="15.75" customHeight="1" x14ac:dyDescent="0.35">
      <c r="G386" s="30"/>
      <c r="H386" s="30"/>
    </row>
    <row r="387" spans="7:8" ht="15.75" customHeight="1" x14ac:dyDescent="0.35">
      <c r="G387" s="30"/>
      <c r="H387" s="30"/>
    </row>
    <row r="388" spans="7:8" ht="15.75" customHeight="1" x14ac:dyDescent="0.35">
      <c r="G388" s="30"/>
      <c r="H388" s="30"/>
    </row>
    <row r="389" spans="7:8" ht="15.75" customHeight="1" x14ac:dyDescent="0.35">
      <c r="G389" s="30"/>
      <c r="H389" s="30"/>
    </row>
    <row r="390" spans="7:8" ht="15.75" customHeight="1" x14ac:dyDescent="0.35">
      <c r="G390" s="30"/>
      <c r="H390" s="30"/>
    </row>
    <row r="391" spans="7:8" ht="15.75" customHeight="1" x14ac:dyDescent="0.35">
      <c r="G391" s="30"/>
      <c r="H391" s="30"/>
    </row>
    <row r="392" spans="7:8" ht="15.75" customHeight="1" x14ac:dyDescent="0.35">
      <c r="G392" s="30"/>
      <c r="H392" s="30"/>
    </row>
    <row r="393" spans="7:8" ht="15.75" customHeight="1" x14ac:dyDescent="0.35">
      <c r="G393" s="30"/>
      <c r="H393" s="30"/>
    </row>
    <row r="394" spans="7:8" ht="15.75" customHeight="1" x14ac:dyDescent="0.35">
      <c r="G394" s="30"/>
      <c r="H394" s="30"/>
    </row>
    <row r="395" spans="7:8" ht="15.75" customHeight="1" x14ac:dyDescent="0.35">
      <c r="G395" s="30"/>
      <c r="H395" s="30"/>
    </row>
    <row r="396" spans="7:8" ht="15.75" customHeight="1" x14ac:dyDescent="0.35">
      <c r="G396" s="30"/>
      <c r="H396" s="30"/>
    </row>
    <row r="397" spans="7:8" ht="15.75" customHeight="1" x14ac:dyDescent="0.35">
      <c r="G397" s="30"/>
      <c r="H397" s="30"/>
    </row>
    <row r="398" spans="7:8" ht="15.75" customHeight="1" x14ac:dyDescent="0.35">
      <c r="G398" s="30"/>
      <c r="H398" s="30"/>
    </row>
    <row r="399" spans="7:8" ht="15.75" customHeight="1" x14ac:dyDescent="0.35">
      <c r="G399" s="30"/>
      <c r="H399" s="30"/>
    </row>
    <row r="400" spans="7:8" ht="15.75" customHeight="1" x14ac:dyDescent="0.35">
      <c r="G400" s="30"/>
      <c r="H400" s="30"/>
    </row>
    <row r="401" spans="7:8" ht="15.75" customHeight="1" x14ac:dyDescent="0.35">
      <c r="G401" s="30"/>
      <c r="H401" s="30"/>
    </row>
    <row r="402" spans="7:8" ht="15.75" customHeight="1" x14ac:dyDescent="0.35">
      <c r="G402" s="30"/>
      <c r="H402" s="30"/>
    </row>
    <row r="403" spans="7:8" ht="15.75" customHeight="1" x14ac:dyDescent="0.35">
      <c r="G403" s="30"/>
      <c r="H403" s="30"/>
    </row>
    <row r="404" spans="7:8" ht="15.75" customHeight="1" x14ac:dyDescent="0.35">
      <c r="G404" s="30"/>
      <c r="H404" s="30"/>
    </row>
    <row r="405" spans="7:8" ht="15.75" customHeight="1" x14ac:dyDescent="0.35">
      <c r="G405" s="30"/>
      <c r="H405" s="30"/>
    </row>
    <row r="406" spans="7:8" ht="15.75" customHeight="1" x14ac:dyDescent="0.35">
      <c r="G406" s="30"/>
      <c r="H406" s="30"/>
    </row>
    <row r="407" spans="7:8" ht="15.75" customHeight="1" x14ac:dyDescent="0.35">
      <c r="G407" s="30"/>
      <c r="H407" s="30"/>
    </row>
    <row r="408" spans="7:8" ht="15.75" customHeight="1" x14ac:dyDescent="0.35">
      <c r="G408" s="30"/>
      <c r="H408" s="30"/>
    </row>
    <row r="409" spans="7:8" ht="15.75" customHeight="1" x14ac:dyDescent="0.35">
      <c r="G409" s="30"/>
      <c r="H409" s="30"/>
    </row>
    <row r="410" spans="7:8" ht="15.75" customHeight="1" x14ac:dyDescent="0.35">
      <c r="G410" s="30"/>
      <c r="H410" s="30"/>
    </row>
    <row r="411" spans="7:8" ht="15.75" customHeight="1" x14ac:dyDescent="0.35">
      <c r="G411" s="30"/>
      <c r="H411" s="30"/>
    </row>
    <row r="412" spans="7:8" ht="15.75" customHeight="1" x14ac:dyDescent="0.35">
      <c r="G412" s="30"/>
      <c r="H412" s="30"/>
    </row>
    <row r="413" spans="7:8" ht="15.75" customHeight="1" x14ac:dyDescent="0.35">
      <c r="G413" s="30"/>
      <c r="H413" s="30"/>
    </row>
    <row r="414" spans="7:8" ht="15.75" customHeight="1" x14ac:dyDescent="0.35">
      <c r="G414" s="30"/>
      <c r="H414" s="30"/>
    </row>
    <row r="415" spans="7:8" ht="15.75" customHeight="1" x14ac:dyDescent="0.35">
      <c r="G415" s="30"/>
      <c r="H415" s="30"/>
    </row>
    <row r="416" spans="7:8" ht="15.75" customHeight="1" x14ac:dyDescent="0.35">
      <c r="G416" s="30"/>
      <c r="H416" s="30"/>
    </row>
    <row r="417" spans="7:8" ht="15.75" customHeight="1" x14ac:dyDescent="0.35">
      <c r="G417" s="30"/>
      <c r="H417" s="30"/>
    </row>
    <row r="418" spans="7:8" ht="15.75" customHeight="1" x14ac:dyDescent="0.35">
      <c r="G418" s="30"/>
      <c r="H418" s="30"/>
    </row>
    <row r="419" spans="7:8" ht="15.75" customHeight="1" x14ac:dyDescent="0.35">
      <c r="G419" s="30"/>
      <c r="H419" s="30"/>
    </row>
    <row r="420" spans="7:8" ht="15.75" customHeight="1" x14ac:dyDescent="0.35">
      <c r="G420" s="30"/>
      <c r="H420" s="30"/>
    </row>
    <row r="421" spans="7:8" ht="15.75" customHeight="1" x14ac:dyDescent="0.35">
      <c r="G421" s="30"/>
      <c r="H421" s="30"/>
    </row>
    <row r="422" spans="7:8" ht="15.75" customHeight="1" x14ac:dyDescent="0.35">
      <c r="G422" s="30"/>
      <c r="H422" s="30"/>
    </row>
    <row r="423" spans="7:8" ht="15.75" customHeight="1" x14ac:dyDescent="0.35">
      <c r="G423" s="30"/>
      <c r="H423" s="30"/>
    </row>
    <row r="424" spans="7:8" ht="15.75" customHeight="1" x14ac:dyDescent="0.35">
      <c r="G424" s="30"/>
      <c r="H424" s="30"/>
    </row>
    <row r="425" spans="7:8" ht="15.75" customHeight="1" x14ac:dyDescent="0.35">
      <c r="G425" s="30"/>
      <c r="H425" s="30"/>
    </row>
    <row r="426" spans="7:8" ht="15.75" customHeight="1" x14ac:dyDescent="0.35">
      <c r="G426" s="30"/>
      <c r="H426" s="30"/>
    </row>
    <row r="427" spans="7:8" ht="15.75" customHeight="1" x14ac:dyDescent="0.35">
      <c r="G427" s="30"/>
      <c r="H427" s="30"/>
    </row>
    <row r="428" spans="7:8" ht="15.75" customHeight="1" x14ac:dyDescent="0.35">
      <c r="G428" s="30"/>
      <c r="H428" s="30"/>
    </row>
    <row r="429" spans="7:8" ht="15.75" customHeight="1" x14ac:dyDescent="0.35">
      <c r="G429" s="30"/>
      <c r="H429" s="30"/>
    </row>
    <row r="430" spans="7:8" ht="15.75" customHeight="1" x14ac:dyDescent="0.35">
      <c r="G430" s="30"/>
      <c r="H430" s="30"/>
    </row>
    <row r="431" spans="7:8" ht="15.75" customHeight="1" x14ac:dyDescent="0.35">
      <c r="G431" s="30"/>
      <c r="H431" s="30"/>
    </row>
    <row r="432" spans="7:8" ht="15.75" customHeight="1" x14ac:dyDescent="0.35">
      <c r="G432" s="30"/>
      <c r="H432" s="30"/>
    </row>
    <row r="433" spans="7:8" ht="15.75" customHeight="1" x14ac:dyDescent="0.35">
      <c r="G433" s="30"/>
      <c r="H433" s="30"/>
    </row>
    <row r="434" spans="7:8" ht="15.75" customHeight="1" x14ac:dyDescent="0.35">
      <c r="G434" s="30"/>
      <c r="H434" s="30"/>
    </row>
    <row r="435" spans="7:8" ht="15.75" customHeight="1" x14ac:dyDescent="0.35">
      <c r="G435" s="30"/>
      <c r="H435" s="30"/>
    </row>
    <row r="436" spans="7:8" ht="15.75" customHeight="1" x14ac:dyDescent="0.35">
      <c r="G436" s="30"/>
      <c r="H436" s="30"/>
    </row>
    <row r="437" spans="7:8" ht="15.75" customHeight="1" x14ac:dyDescent="0.35">
      <c r="G437" s="30"/>
      <c r="H437" s="30"/>
    </row>
    <row r="438" spans="7:8" ht="15.75" customHeight="1" x14ac:dyDescent="0.35">
      <c r="G438" s="30"/>
      <c r="H438" s="30"/>
    </row>
    <row r="439" spans="7:8" ht="15.75" customHeight="1" x14ac:dyDescent="0.35">
      <c r="G439" s="30"/>
      <c r="H439" s="30"/>
    </row>
    <row r="440" spans="7:8" ht="15.75" customHeight="1" x14ac:dyDescent="0.35">
      <c r="G440" s="30"/>
      <c r="H440" s="30"/>
    </row>
    <row r="441" spans="7:8" ht="15.75" customHeight="1" x14ac:dyDescent="0.35">
      <c r="G441" s="30"/>
      <c r="H441" s="30"/>
    </row>
    <row r="442" spans="7:8" ht="15.75" customHeight="1" x14ac:dyDescent="0.35">
      <c r="G442" s="30"/>
      <c r="H442" s="30"/>
    </row>
    <row r="443" spans="7:8" ht="15.75" customHeight="1" x14ac:dyDescent="0.35">
      <c r="G443" s="30"/>
      <c r="H443" s="30"/>
    </row>
    <row r="444" spans="7:8" ht="15.75" customHeight="1" x14ac:dyDescent="0.35">
      <c r="G444" s="30"/>
      <c r="H444" s="30"/>
    </row>
    <row r="445" spans="7:8" ht="15.75" customHeight="1" x14ac:dyDescent="0.35">
      <c r="G445" s="30"/>
      <c r="H445" s="30"/>
    </row>
    <row r="446" spans="7:8" ht="15.75" customHeight="1" x14ac:dyDescent="0.35">
      <c r="G446" s="30"/>
      <c r="H446" s="30"/>
    </row>
    <row r="447" spans="7:8" ht="15.75" customHeight="1" x14ac:dyDescent="0.35">
      <c r="G447" s="30"/>
      <c r="H447" s="30"/>
    </row>
    <row r="448" spans="7:8" ht="15.75" customHeight="1" x14ac:dyDescent="0.35">
      <c r="G448" s="30"/>
      <c r="H448" s="30"/>
    </row>
    <row r="449" spans="7:8" ht="15.75" customHeight="1" x14ac:dyDescent="0.35">
      <c r="G449" s="30"/>
      <c r="H449" s="30"/>
    </row>
    <row r="450" spans="7:8" ht="15.75" customHeight="1" x14ac:dyDescent="0.35">
      <c r="G450" s="30"/>
      <c r="H450" s="30"/>
    </row>
    <row r="451" spans="7:8" ht="15.75" customHeight="1" x14ac:dyDescent="0.35">
      <c r="G451" s="30"/>
      <c r="H451" s="30"/>
    </row>
    <row r="452" spans="7:8" ht="15.75" customHeight="1" x14ac:dyDescent="0.35">
      <c r="G452" s="30"/>
      <c r="H452" s="30"/>
    </row>
    <row r="453" spans="7:8" ht="15.75" customHeight="1" x14ac:dyDescent="0.35">
      <c r="G453" s="30"/>
      <c r="H453" s="30"/>
    </row>
    <row r="454" spans="7:8" ht="15.75" customHeight="1" x14ac:dyDescent="0.35">
      <c r="G454" s="30"/>
      <c r="H454" s="30"/>
    </row>
    <row r="455" spans="7:8" ht="15.75" customHeight="1" x14ac:dyDescent="0.35">
      <c r="G455" s="30"/>
      <c r="H455" s="30"/>
    </row>
    <row r="456" spans="7:8" ht="15.75" customHeight="1" x14ac:dyDescent="0.35">
      <c r="G456" s="30"/>
      <c r="H456" s="30"/>
    </row>
    <row r="457" spans="7:8" ht="15.75" customHeight="1" x14ac:dyDescent="0.35">
      <c r="G457" s="30"/>
      <c r="H457" s="30"/>
    </row>
    <row r="458" spans="7:8" ht="15.75" customHeight="1" x14ac:dyDescent="0.35">
      <c r="G458" s="30"/>
      <c r="H458" s="30"/>
    </row>
    <row r="459" spans="7:8" ht="15.75" customHeight="1" x14ac:dyDescent="0.35">
      <c r="G459" s="30"/>
      <c r="H459" s="30"/>
    </row>
    <row r="460" spans="7:8" ht="15.75" customHeight="1" x14ac:dyDescent="0.35">
      <c r="G460" s="30"/>
      <c r="H460" s="30"/>
    </row>
    <row r="461" spans="7:8" ht="15.75" customHeight="1" x14ac:dyDescent="0.35">
      <c r="G461" s="30"/>
      <c r="H461" s="30"/>
    </row>
    <row r="462" spans="7:8" ht="15.75" customHeight="1" x14ac:dyDescent="0.35">
      <c r="G462" s="30"/>
      <c r="H462" s="30"/>
    </row>
    <row r="463" spans="7:8" ht="15.75" customHeight="1" x14ac:dyDescent="0.35">
      <c r="G463" s="30"/>
      <c r="H463" s="30"/>
    </row>
    <row r="464" spans="7:8" ht="15.75" customHeight="1" x14ac:dyDescent="0.35">
      <c r="G464" s="30"/>
      <c r="H464" s="30"/>
    </row>
    <row r="465" spans="7:8" ht="15.75" customHeight="1" x14ac:dyDescent="0.35">
      <c r="G465" s="30"/>
      <c r="H465" s="30"/>
    </row>
    <row r="466" spans="7:8" ht="15.75" customHeight="1" x14ac:dyDescent="0.35">
      <c r="G466" s="30"/>
      <c r="H466" s="30"/>
    </row>
    <row r="467" spans="7:8" ht="15.75" customHeight="1" x14ac:dyDescent="0.35">
      <c r="G467" s="30"/>
      <c r="H467" s="30"/>
    </row>
    <row r="468" spans="7:8" ht="15.75" customHeight="1" x14ac:dyDescent="0.35">
      <c r="G468" s="30"/>
      <c r="H468" s="30"/>
    </row>
    <row r="469" spans="7:8" ht="15.75" customHeight="1" x14ac:dyDescent="0.35">
      <c r="G469" s="30"/>
      <c r="H469" s="30"/>
    </row>
    <row r="470" spans="7:8" ht="15.75" customHeight="1" x14ac:dyDescent="0.35">
      <c r="G470" s="30"/>
      <c r="H470" s="30"/>
    </row>
    <row r="471" spans="7:8" ht="15.75" customHeight="1" x14ac:dyDescent="0.35">
      <c r="G471" s="30"/>
      <c r="H471" s="30"/>
    </row>
    <row r="472" spans="7:8" ht="15.75" customHeight="1" x14ac:dyDescent="0.35">
      <c r="G472" s="30"/>
      <c r="H472" s="30"/>
    </row>
    <row r="473" spans="7:8" ht="15.75" customHeight="1" x14ac:dyDescent="0.35">
      <c r="G473" s="30"/>
      <c r="H473" s="30"/>
    </row>
    <row r="474" spans="7:8" ht="15.75" customHeight="1" x14ac:dyDescent="0.35">
      <c r="G474" s="30"/>
      <c r="H474" s="30"/>
    </row>
    <row r="475" spans="7:8" ht="15.75" customHeight="1" x14ac:dyDescent="0.35">
      <c r="G475" s="30"/>
      <c r="H475" s="30"/>
    </row>
    <row r="476" spans="7:8" ht="15.75" customHeight="1" x14ac:dyDescent="0.35">
      <c r="G476" s="30"/>
      <c r="H476" s="30"/>
    </row>
    <row r="477" spans="7:8" ht="15.75" customHeight="1" x14ac:dyDescent="0.35">
      <c r="G477" s="30"/>
      <c r="H477" s="30"/>
    </row>
    <row r="478" spans="7:8" ht="15.75" customHeight="1" x14ac:dyDescent="0.35">
      <c r="G478" s="30"/>
      <c r="H478" s="30"/>
    </row>
    <row r="479" spans="7:8" ht="15.75" customHeight="1" x14ac:dyDescent="0.35">
      <c r="G479" s="30"/>
      <c r="H479" s="30"/>
    </row>
    <row r="480" spans="7:8" ht="15.75" customHeight="1" x14ac:dyDescent="0.35">
      <c r="G480" s="30"/>
      <c r="H480" s="30"/>
    </row>
    <row r="481" spans="7:8" ht="15.75" customHeight="1" x14ac:dyDescent="0.35">
      <c r="G481" s="30"/>
      <c r="H481" s="30"/>
    </row>
    <row r="482" spans="7:8" ht="15.75" customHeight="1" x14ac:dyDescent="0.35">
      <c r="G482" s="30"/>
      <c r="H482" s="30"/>
    </row>
    <row r="483" spans="7:8" ht="15.75" customHeight="1" x14ac:dyDescent="0.35">
      <c r="G483" s="30"/>
      <c r="H483" s="30"/>
    </row>
    <row r="484" spans="7:8" ht="15.75" customHeight="1" x14ac:dyDescent="0.35">
      <c r="G484" s="30"/>
      <c r="H484" s="30"/>
    </row>
    <row r="485" spans="7:8" ht="15.75" customHeight="1" x14ac:dyDescent="0.35">
      <c r="G485" s="30"/>
      <c r="H485" s="30"/>
    </row>
    <row r="486" spans="7:8" ht="15.75" customHeight="1" x14ac:dyDescent="0.35">
      <c r="G486" s="30"/>
      <c r="H486" s="30"/>
    </row>
    <row r="487" spans="7:8" ht="15.75" customHeight="1" x14ac:dyDescent="0.35">
      <c r="G487" s="30"/>
      <c r="H487" s="30"/>
    </row>
    <row r="488" spans="7:8" ht="15.75" customHeight="1" x14ac:dyDescent="0.35">
      <c r="G488" s="30"/>
      <c r="H488" s="30"/>
    </row>
    <row r="489" spans="7:8" ht="15.75" customHeight="1" x14ac:dyDescent="0.35">
      <c r="G489" s="30"/>
      <c r="H489" s="30"/>
    </row>
    <row r="490" spans="7:8" ht="15.75" customHeight="1" x14ac:dyDescent="0.35">
      <c r="G490" s="30"/>
      <c r="H490" s="30"/>
    </row>
    <row r="491" spans="7:8" ht="15.75" customHeight="1" x14ac:dyDescent="0.35">
      <c r="G491" s="30"/>
      <c r="H491" s="30"/>
    </row>
    <row r="492" spans="7:8" ht="15.75" customHeight="1" x14ac:dyDescent="0.35">
      <c r="G492" s="30"/>
      <c r="H492" s="30"/>
    </row>
    <row r="493" spans="7:8" ht="15.75" customHeight="1" x14ac:dyDescent="0.35">
      <c r="G493" s="30"/>
      <c r="H493" s="30"/>
    </row>
    <row r="494" spans="7:8" ht="15.75" customHeight="1" x14ac:dyDescent="0.35">
      <c r="G494" s="30"/>
      <c r="H494" s="30"/>
    </row>
    <row r="495" spans="7:8" ht="15.75" customHeight="1" x14ac:dyDescent="0.35">
      <c r="G495" s="30"/>
      <c r="H495" s="30"/>
    </row>
    <row r="496" spans="7:8" ht="15.75" customHeight="1" x14ac:dyDescent="0.35">
      <c r="G496" s="30"/>
      <c r="H496" s="30"/>
    </row>
    <row r="497" spans="7:8" ht="15.75" customHeight="1" x14ac:dyDescent="0.35">
      <c r="G497" s="30"/>
      <c r="H497" s="30"/>
    </row>
    <row r="498" spans="7:8" ht="15.75" customHeight="1" x14ac:dyDescent="0.35">
      <c r="G498" s="30"/>
      <c r="H498" s="30"/>
    </row>
    <row r="499" spans="7:8" ht="15.75" customHeight="1" x14ac:dyDescent="0.35">
      <c r="G499" s="30"/>
      <c r="H499" s="30"/>
    </row>
    <row r="500" spans="7:8" ht="15.75" customHeight="1" x14ac:dyDescent="0.35">
      <c r="G500" s="30"/>
      <c r="H500" s="30"/>
    </row>
    <row r="501" spans="7:8" ht="15.75" customHeight="1" x14ac:dyDescent="0.35">
      <c r="G501" s="30"/>
      <c r="H501" s="30"/>
    </row>
    <row r="502" spans="7:8" ht="15.75" customHeight="1" x14ac:dyDescent="0.35">
      <c r="G502" s="30"/>
      <c r="H502" s="30"/>
    </row>
    <row r="503" spans="7:8" ht="15.75" customHeight="1" x14ac:dyDescent="0.35">
      <c r="G503" s="30"/>
      <c r="H503" s="30"/>
    </row>
    <row r="504" spans="7:8" ht="15.75" customHeight="1" x14ac:dyDescent="0.35">
      <c r="G504" s="30"/>
      <c r="H504" s="30"/>
    </row>
    <row r="505" spans="7:8" ht="15.75" customHeight="1" x14ac:dyDescent="0.35">
      <c r="G505" s="30"/>
      <c r="H505" s="30"/>
    </row>
    <row r="506" spans="7:8" ht="15.75" customHeight="1" x14ac:dyDescent="0.35">
      <c r="G506" s="30"/>
      <c r="H506" s="30"/>
    </row>
    <row r="507" spans="7:8" ht="15.75" customHeight="1" x14ac:dyDescent="0.35">
      <c r="G507" s="30"/>
      <c r="H507" s="30"/>
    </row>
    <row r="508" spans="7:8" ht="15.75" customHeight="1" x14ac:dyDescent="0.35">
      <c r="G508" s="30"/>
      <c r="H508" s="30"/>
    </row>
    <row r="509" spans="7:8" ht="15.75" customHeight="1" x14ac:dyDescent="0.35">
      <c r="G509" s="30"/>
      <c r="H509" s="30"/>
    </row>
    <row r="510" spans="7:8" ht="15.75" customHeight="1" x14ac:dyDescent="0.35">
      <c r="G510" s="30"/>
      <c r="H510" s="30"/>
    </row>
    <row r="511" spans="7:8" ht="15.75" customHeight="1" x14ac:dyDescent="0.35">
      <c r="G511" s="30"/>
      <c r="H511" s="30"/>
    </row>
    <row r="512" spans="7:8" ht="15.75" customHeight="1" x14ac:dyDescent="0.35">
      <c r="G512" s="30"/>
      <c r="H512" s="30"/>
    </row>
    <row r="513" spans="7:8" ht="15.75" customHeight="1" x14ac:dyDescent="0.35">
      <c r="G513" s="30"/>
      <c r="H513" s="30"/>
    </row>
    <row r="514" spans="7:8" ht="15.75" customHeight="1" x14ac:dyDescent="0.35">
      <c r="G514" s="30"/>
      <c r="H514" s="30"/>
    </row>
    <row r="515" spans="7:8" ht="15.75" customHeight="1" x14ac:dyDescent="0.35">
      <c r="G515" s="30"/>
      <c r="H515" s="30"/>
    </row>
    <row r="516" spans="7:8" ht="15.75" customHeight="1" x14ac:dyDescent="0.35">
      <c r="G516" s="30"/>
      <c r="H516" s="30"/>
    </row>
    <row r="517" spans="7:8" ht="15.75" customHeight="1" x14ac:dyDescent="0.35">
      <c r="G517" s="30"/>
      <c r="H517" s="30"/>
    </row>
    <row r="518" spans="7:8" ht="15.75" customHeight="1" x14ac:dyDescent="0.35">
      <c r="G518" s="30"/>
      <c r="H518" s="30"/>
    </row>
    <row r="519" spans="7:8" ht="15.75" customHeight="1" x14ac:dyDescent="0.35">
      <c r="G519" s="30"/>
      <c r="H519" s="30"/>
    </row>
    <row r="520" spans="7:8" ht="15.75" customHeight="1" x14ac:dyDescent="0.35">
      <c r="G520" s="30"/>
      <c r="H520" s="30"/>
    </row>
    <row r="521" spans="7:8" ht="15.75" customHeight="1" x14ac:dyDescent="0.35">
      <c r="G521" s="30"/>
      <c r="H521" s="30"/>
    </row>
    <row r="522" spans="7:8" ht="15.75" customHeight="1" x14ac:dyDescent="0.35">
      <c r="G522" s="30"/>
      <c r="H522" s="30"/>
    </row>
    <row r="523" spans="7:8" ht="15.75" customHeight="1" x14ac:dyDescent="0.35">
      <c r="G523" s="30"/>
      <c r="H523" s="30"/>
    </row>
    <row r="524" spans="7:8" ht="15.75" customHeight="1" x14ac:dyDescent="0.35">
      <c r="G524" s="30"/>
      <c r="H524" s="30"/>
    </row>
    <row r="525" spans="7:8" ht="15.75" customHeight="1" x14ac:dyDescent="0.35">
      <c r="G525" s="30"/>
      <c r="H525" s="30"/>
    </row>
    <row r="526" spans="7:8" ht="15.75" customHeight="1" x14ac:dyDescent="0.35">
      <c r="G526" s="30"/>
      <c r="H526" s="30"/>
    </row>
    <row r="527" spans="7:8" ht="15.75" customHeight="1" x14ac:dyDescent="0.35">
      <c r="G527" s="30"/>
      <c r="H527" s="30"/>
    </row>
    <row r="528" spans="7:8" ht="15.75" customHeight="1" x14ac:dyDescent="0.35">
      <c r="G528" s="30"/>
      <c r="H528" s="30"/>
    </row>
    <row r="529" spans="7:8" ht="15.75" customHeight="1" x14ac:dyDescent="0.35">
      <c r="G529" s="30"/>
      <c r="H529" s="30"/>
    </row>
    <row r="530" spans="7:8" ht="15.75" customHeight="1" x14ac:dyDescent="0.35">
      <c r="G530" s="30"/>
      <c r="H530" s="30"/>
    </row>
    <row r="531" spans="7:8" ht="15.75" customHeight="1" x14ac:dyDescent="0.35">
      <c r="G531" s="30"/>
      <c r="H531" s="30"/>
    </row>
    <row r="532" spans="7:8" ht="15.75" customHeight="1" x14ac:dyDescent="0.35">
      <c r="G532" s="30"/>
      <c r="H532" s="30"/>
    </row>
    <row r="533" spans="7:8" ht="15.75" customHeight="1" x14ac:dyDescent="0.35">
      <c r="G533" s="30"/>
      <c r="H533" s="30"/>
    </row>
    <row r="534" spans="7:8" ht="15.75" customHeight="1" x14ac:dyDescent="0.35">
      <c r="G534" s="30"/>
      <c r="H534" s="30"/>
    </row>
    <row r="535" spans="7:8" ht="15.75" customHeight="1" x14ac:dyDescent="0.35">
      <c r="G535" s="30"/>
      <c r="H535" s="30"/>
    </row>
    <row r="536" spans="7:8" ht="15.75" customHeight="1" x14ac:dyDescent="0.35">
      <c r="G536" s="30"/>
      <c r="H536" s="30"/>
    </row>
    <row r="537" spans="7:8" ht="15.75" customHeight="1" x14ac:dyDescent="0.35">
      <c r="G537" s="30"/>
      <c r="H537" s="30"/>
    </row>
    <row r="538" spans="7:8" ht="15.75" customHeight="1" x14ac:dyDescent="0.35">
      <c r="G538" s="30"/>
      <c r="H538" s="30"/>
    </row>
    <row r="539" spans="7:8" ht="15.75" customHeight="1" x14ac:dyDescent="0.35">
      <c r="G539" s="30"/>
      <c r="H539" s="30"/>
    </row>
    <row r="540" spans="7:8" ht="15.75" customHeight="1" x14ac:dyDescent="0.35">
      <c r="G540" s="30"/>
      <c r="H540" s="30"/>
    </row>
    <row r="541" spans="7:8" ht="15.75" customHeight="1" x14ac:dyDescent="0.35">
      <c r="G541" s="30"/>
      <c r="H541" s="30"/>
    </row>
    <row r="542" spans="7:8" ht="15.75" customHeight="1" x14ac:dyDescent="0.35">
      <c r="G542" s="30"/>
      <c r="H542" s="30"/>
    </row>
    <row r="543" spans="7:8" ht="15.75" customHeight="1" x14ac:dyDescent="0.35">
      <c r="G543" s="30"/>
      <c r="H543" s="30"/>
    </row>
    <row r="544" spans="7:8" ht="15.75" customHeight="1" x14ac:dyDescent="0.35">
      <c r="G544" s="30"/>
      <c r="H544" s="30"/>
    </row>
    <row r="545" spans="7:8" ht="15.75" customHeight="1" x14ac:dyDescent="0.35">
      <c r="G545" s="30"/>
      <c r="H545" s="30"/>
    </row>
    <row r="546" spans="7:8" ht="15.75" customHeight="1" x14ac:dyDescent="0.35">
      <c r="G546" s="30"/>
      <c r="H546" s="30"/>
    </row>
    <row r="547" spans="7:8" ht="15.75" customHeight="1" x14ac:dyDescent="0.35">
      <c r="G547" s="30"/>
      <c r="H547" s="30"/>
    </row>
    <row r="548" spans="7:8" ht="15.75" customHeight="1" x14ac:dyDescent="0.35">
      <c r="G548" s="30"/>
      <c r="H548" s="30"/>
    </row>
    <row r="549" spans="7:8" ht="15.75" customHeight="1" x14ac:dyDescent="0.35">
      <c r="G549" s="30"/>
      <c r="H549" s="30"/>
    </row>
    <row r="550" spans="7:8" ht="15.75" customHeight="1" x14ac:dyDescent="0.35">
      <c r="G550" s="30"/>
      <c r="H550" s="30"/>
    </row>
    <row r="551" spans="7:8" ht="15.75" customHeight="1" x14ac:dyDescent="0.35">
      <c r="G551" s="30"/>
      <c r="H551" s="30"/>
    </row>
    <row r="552" spans="7:8" ht="15.75" customHeight="1" x14ac:dyDescent="0.35">
      <c r="G552" s="30"/>
      <c r="H552" s="30"/>
    </row>
    <row r="553" spans="7:8" ht="15.75" customHeight="1" x14ac:dyDescent="0.35">
      <c r="G553" s="30"/>
      <c r="H553" s="30"/>
    </row>
    <row r="554" spans="7:8" ht="15.75" customHeight="1" x14ac:dyDescent="0.35">
      <c r="G554" s="30"/>
      <c r="H554" s="30"/>
    </row>
    <row r="555" spans="7:8" ht="15.75" customHeight="1" x14ac:dyDescent="0.35">
      <c r="G555" s="30"/>
      <c r="H555" s="30"/>
    </row>
    <row r="556" spans="7:8" ht="15.75" customHeight="1" x14ac:dyDescent="0.35">
      <c r="G556" s="30"/>
      <c r="H556" s="30"/>
    </row>
    <row r="557" spans="7:8" ht="15.75" customHeight="1" x14ac:dyDescent="0.35">
      <c r="G557" s="30"/>
      <c r="H557" s="30"/>
    </row>
    <row r="558" spans="7:8" ht="15.75" customHeight="1" x14ac:dyDescent="0.35">
      <c r="G558" s="30"/>
      <c r="H558" s="30"/>
    </row>
    <row r="559" spans="7:8" ht="15.75" customHeight="1" x14ac:dyDescent="0.35">
      <c r="G559" s="30"/>
      <c r="H559" s="30"/>
    </row>
    <row r="560" spans="7:8" ht="15.75" customHeight="1" x14ac:dyDescent="0.35">
      <c r="G560" s="30"/>
      <c r="H560" s="30"/>
    </row>
    <row r="561" spans="7:8" ht="15.75" customHeight="1" x14ac:dyDescent="0.35">
      <c r="G561" s="30"/>
      <c r="H561" s="30"/>
    </row>
    <row r="562" spans="7:8" ht="15.75" customHeight="1" x14ac:dyDescent="0.35">
      <c r="G562" s="30"/>
      <c r="H562" s="30"/>
    </row>
    <row r="563" spans="7:8" ht="15.75" customHeight="1" x14ac:dyDescent="0.35">
      <c r="G563" s="30"/>
      <c r="H563" s="30"/>
    </row>
    <row r="564" spans="7:8" ht="15.75" customHeight="1" x14ac:dyDescent="0.35">
      <c r="G564" s="30"/>
      <c r="H564" s="30"/>
    </row>
    <row r="565" spans="7:8" ht="15.75" customHeight="1" x14ac:dyDescent="0.35">
      <c r="G565" s="30"/>
      <c r="H565" s="30"/>
    </row>
    <row r="566" spans="7:8" ht="15.75" customHeight="1" x14ac:dyDescent="0.35">
      <c r="G566" s="30"/>
      <c r="H566" s="30"/>
    </row>
    <row r="567" spans="7:8" ht="15.75" customHeight="1" x14ac:dyDescent="0.35">
      <c r="G567" s="30"/>
      <c r="H567" s="30"/>
    </row>
    <row r="568" spans="7:8" ht="15.75" customHeight="1" x14ac:dyDescent="0.35">
      <c r="G568" s="30"/>
      <c r="H568" s="30"/>
    </row>
    <row r="569" spans="7:8" ht="15.75" customHeight="1" x14ac:dyDescent="0.35">
      <c r="G569" s="30"/>
      <c r="H569" s="30"/>
    </row>
    <row r="570" spans="7:8" ht="15.75" customHeight="1" x14ac:dyDescent="0.35">
      <c r="G570" s="30"/>
      <c r="H570" s="30"/>
    </row>
    <row r="571" spans="7:8" ht="15.75" customHeight="1" x14ac:dyDescent="0.35">
      <c r="G571" s="30"/>
      <c r="H571" s="30"/>
    </row>
    <row r="572" spans="7:8" ht="15.75" customHeight="1" x14ac:dyDescent="0.35">
      <c r="G572" s="30"/>
      <c r="H572" s="30"/>
    </row>
    <row r="573" spans="7:8" ht="15.75" customHeight="1" x14ac:dyDescent="0.35">
      <c r="G573" s="30"/>
      <c r="H573" s="30"/>
    </row>
    <row r="574" spans="7:8" ht="15.75" customHeight="1" x14ac:dyDescent="0.35">
      <c r="G574" s="30"/>
      <c r="H574" s="30"/>
    </row>
    <row r="575" spans="7:8" ht="15.75" customHeight="1" x14ac:dyDescent="0.35">
      <c r="G575" s="30"/>
      <c r="H575" s="30"/>
    </row>
    <row r="576" spans="7:8" ht="15.75" customHeight="1" x14ac:dyDescent="0.35">
      <c r="G576" s="30"/>
      <c r="H576" s="30"/>
    </row>
    <row r="577" spans="7:8" ht="15.75" customHeight="1" x14ac:dyDescent="0.35">
      <c r="G577" s="30"/>
      <c r="H577" s="30"/>
    </row>
    <row r="578" spans="7:8" ht="15.75" customHeight="1" x14ac:dyDescent="0.35">
      <c r="G578" s="30"/>
      <c r="H578" s="30"/>
    </row>
    <row r="579" spans="7:8" ht="15.75" customHeight="1" x14ac:dyDescent="0.35">
      <c r="G579" s="30"/>
      <c r="H579" s="30"/>
    </row>
    <row r="580" spans="7:8" ht="15.75" customHeight="1" x14ac:dyDescent="0.35">
      <c r="G580" s="30"/>
      <c r="H580" s="30"/>
    </row>
    <row r="581" spans="7:8" ht="15.75" customHeight="1" x14ac:dyDescent="0.35">
      <c r="G581" s="30"/>
      <c r="H581" s="30"/>
    </row>
    <row r="582" spans="7:8" ht="15.75" customHeight="1" x14ac:dyDescent="0.35">
      <c r="G582" s="30"/>
      <c r="H582" s="30"/>
    </row>
    <row r="583" spans="7:8" ht="15.75" customHeight="1" x14ac:dyDescent="0.35">
      <c r="G583" s="30"/>
      <c r="H583" s="30"/>
    </row>
    <row r="584" spans="7:8" ht="15.75" customHeight="1" x14ac:dyDescent="0.35">
      <c r="G584" s="30"/>
      <c r="H584" s="30"/>
    </row>
    <row r="585" spans="7:8" ht="15.75" customHeight="1" x14ac:dyDescent="0.35">
      <c r="G585" s="30"/>
      <c r="H585" s="30"/>
    </row>
    <row r="586" spans="7:8" ht="15.75" customHeight="1" x14ac:dyDescent="0.35">
      <c r="G586" s="30"/>
      <c r="H586" s="30"/>
    </row>
    <row r="587" spans="7:8" ht="15.75" customHeight="1" x14ac:dyDescent="0.35">
      <c r="G587" s="30"/>
      <c r="H587" s="30"/>
    </row>
    <row r="588" spans="7:8" ht="15.75" customHeight="1" x14ac:dyDescent="0.35">
      <c r="G588" s="30"/>
      <c r="H588" s="30"/>
    </row>
    <row r="589" spans="7:8" ht="15.75" customHeight="1" x14ac:dyDescent="0.35">
      <c r="G589" s="30"/>
      <c r="H589" s="30"/>
    </row>
    <row r="590" spans="7:8" ht="15.75" customHeight="1" x14ac:dyDescent="0.35">
      <c r="G590" s="30"/>
      <c r="H590" s="30"/>
    </row>
    <row r="591" spans="7:8" ht="15.75" customHeight="1" x14ac:dyDescent="0.35">
      <c r="G591" s="30"/>
      <c r="H591" s="30"/>
    </row>
    <row r="592" spans="7:8" ht="15.75" customHeight="1" x14ac:dyDescent="0.35">
      <c r="G592" s="30"/>
      <c r="H592" s="30"/>
    </row>
    <row r="593" spans="7:8" ht="15.75" customHeight="1" x14ac:dyDescent="0.35">
      <c r="G593" s="30"/>
      <c r="H593" s="30"/>
    </row>
    <row r="594" spans="7:8" ht="15.75" customHeight="1" x14ac:dyDescent="0.35">
      <c r="G594" s="30"/>
      <c r="H594" s="30"/>
    </row>
    <row r="595" spans="7:8" ht="15.75" customHeight="1" x14ac:dyDescent="0.35">
      <c r="G595" s="30"/>
      <c r="H595" s="30"/>
    </row>
    <row r="596" spans="7:8" ht="15.75" customHeight="1" x14ac:dyDescent="0.35">
      <c r="G596" s="30"/>
      <c r="H596" s="30"/>
    </row>
    <row r="597" spans="7:8" ht="15.75" customHeight="1" x14ac:dyDescent="0.35">
      <c r="G597" s="30"/>
      <c r="H597" s="30"/>
    </row>
    <row r="598" spans="7:8" ht="15.75" customHeight="1" x14ac:dyDescent="0.35">
      <c r="G598" s="30"/>
      <c r="H598" s="30"/>
    </row>
    <row r="599" spans="7:8" ht="15.75" customHeight="1" x14ac:dyDescent="0.35">
      <c r="G599" s="30"/>
      <c r="H599" s="30"/>
    </row>
    <row r="600" spans="7:8" ht="15.75" customHeight="1" x14ac:dyDescent="0.35">
      <c r="G600" s="30"/>
      <c r="H600" s="30"/>
    </row>
    <row r="601" spans="7:8" ht="15.75" customHeight="1" x14ac:dyDescent="0.35">
      <c r="G601" s="30"/>
      <c r="H601" s="30"/>
    </row>
    <row r="602" spans="7:8" ht="15.75" customHeight="1" x14ac:dyDescent="0.35">
      <c r="G602" s="30"/>
      <c r="H602" s="30"/>
    </row>
    <row r="603" spans="7:8" ht="15.75" customHeight="1" x14ac:dyDescent="0.35">
      <c r="G603" s="30"/>
      <c r="H603" s="30"/>
    </row>
    <row r="604" spans="7:8" ht="15.75" customHeight="1" x14ac:dyDescent="0.35">
      <c r="G604" s="30"/>
      <c r="H604" s="30"/>
    </row>
    <row r="605" spans="7:8" ht="15.75" customHeight="1" x14ac:dyDescent="0.35">
      <c r="G605" s="30"/>
      <c r="H605" s="30"/>
    </row>
    <row r="606" spans="7:8" ht="15.75" customHeight="1" x14ac:dyDescent="0.35">
      <c r="G606" s="30"/>
      <c r="H606" s="30"/>
    </row>
    <row r="607" spans="7:8" ht="15.75" customHeight="1" x14ac:dyDescent="0.35">
      <c r="G607" s="30"/>
      <c r="H607" s="30"/>
    </row>
    <row r="608" spans="7:8" ht="15.75" customHeight="1" x14ac:dyDescent="0.35">
      <c r="G608" s="30"/>
      <c r="H608" s="30"/>
    </row>
    <row r="609" spans="7:8" ht="15.75" customHeight="1" x14ac:dyDescent="0.35">
      <c r="G609" s="30"/>
      <c r="H609" s="30"/>
    </row>
    <row r="610" spans="7:8" ht="15.75" customHeight="1" x14ac:dyDescent="0.35">
      <c r="G610" s="30"/>
      <c r="H610" s="30"/>
    </row>
    <row r="611" spans="7:8" ht="15.75" customHeight="1" x14ac:dyDescent="0.35">
      <c r="G611" s="30"/>
      <c r="H611" s="30"/>
    </row>
    <row r="612" spans="7:8" ht="15.75" customHeight="1" x14ac:dyDescent="0.35">
      <c r="G612" s="30"/>
      <c r="H612" s="30"/>
    </row>
    <row r="613" spans="7:8" ht="15.75" customHeight="1" x14ac:dyDescent="0.35">
      <c r="G613" s="30"/>
      <c r="H613" s="30"/>
    </row>
    <row r="614" spans="7:8" ht="15.75" customHeight="1" x14ac:dyDescent="0.35">
      <c r="G614" s="30"/>
      <c r="H614" s="30"/>
    </row>
    <row r="615" spans="7:8" ht="15.75" customHeight="1" x14ac:dyDescent="0.35">
      <c r="G615" s="30"/>
      <c r="H615" s="30"/>
    </row>
    <row r="616" spans="7:8" ht="15.75" customHeight="1" x14ac:dyDescent="0.35">
      <c r="G616" s="30"/>
      <c r="H616" s="30"/>
    </row>
    <row r="617" spans="7:8" ht="15.75" customHeight="1" x14ac:dyDescent="0.35">
      <c r="G617" s="30"/>
      <c r="H617" s="30"/>
    </row>
    <row r="618" spans="7:8" ht="15.75" customHeight="1" x14ac:dyDescent="0.35">
      <c r="G618" s="30"/>
      <c r="H618" s="30"/>
    </row>
    <row r="619" spans="7:8" ht="15.75" customHeight="1" x14ac:dyDescent="0.35">
      <c r="G619" s="30"/>
      <c r="H619" s="30"/>
    </row>
    <row r="620" spans="7:8" ht="15.75" customHeight="1" x14ac:dyDescent="0.35">
      <c r="G620" s="30"/>
      <c r="H620" s="30"/>
    </row>
    <row r="621" spans="7:8" ht="15.75" customHeight="1" x14ac:dyDescent="0.35">
      <c r="G621" s="30"/>
      <c r="H621" s="30"/>
    </row>
    <row r="622" spans="7:8" ht="15.75" customHeight="1" x14ac:dyDescent="0.35">
      <c r="G622" s="30"/>
      <c r="H622" s="30"/>
    </row>
    <row r="623" spans="7:8" ht="15.75" customHeight="1" x14ac:dyDescent="0.35">
      <c r="G623" s="30"/>
      <c r="H623" s="30"/>
    </row>
    <row r="624" spans="7:8" ht="15.75" customHeight="1" x14ac:dyDescent="0.35">
      <c r="G624" s="30"/>
      <c r="H624" s="30"/>
    </row>
    <row r="625" spans="7:8" ht="15.75" customHeight="1" x14ac:dyDescent="0.35">
      <c r="G625" s="30"/>
      <c r="H625" s="30"/>
    </row>
    <row r="626" spans="7:8" ht="15.75" customHeight="1" x14ac:dyDescent="0.35">
      <c r="G626" s="30"/>
      <c r="H626" s="30"/>
    </row>
    <row r="627" spans="7:8" ht="15.75" customHeight="1" x14ac:dyDescent="0.35">
      <c r="G627" s="30"/>
      <c r="H627" s="30"/>
    </row>
    <row r="628" spans="7:8" ht="15.75" customHeight="1" x14ac:dyDescent="0.35">
      <c r="G628" s="30"/>
      <c r="H628" s="30"/>
    </row>
    <row r="629" spans="7:8" ht="15.75" customHeight="1" x14ac:dyDescent="0.35">
      <c r="G629" s="30"/>
      <c r="H629" s="30"/>
    </row>
    <row r="630" spans="7:8" ht="15.75" customHeight="1" x14ac:dyDescent="0.35">
      <c r="G630" s="30"/>
      <c r="H630" s="30"/>
    </row>
    <row r="631" spans="7:8" ht="15.75" customHeight="1" x14ac:dyDescent="0.35">
      <c r="G631" s="30"/>
      <c r="H631" s="30"/>
    </row>
    <row r="632" spans="7:8" ht="15.75" customHeight="1" x14ac:dyDescent="0.35">
      <c r="G632" s="30"/>
      <c r="H632" s="30"/>
    </row>
    <row r="633" spans="7:8" ht="15.75" customHeight="1" x14ac:dyDescent="0.35">
      <c r="G633" s="30"/>
      <c r="H633" s="30"/>
    </row>
    <row r="634" spans="7:8" ht="15.75" customHeight="1" x14ac:dyDescent="0.35">
      <c r="G634" s="30"/>
      <c r="H634" s="30"/>
    </row>
    <row r="635" spans="7:8" ht="15.75" customHeight="1" x14ac:dyDescent="0.35">
      <c r="G635" s="30"/>
      <c r="H635" s="30"/>
    </row>
    <row r="636" spans="7:8" ht="15.75" customHeight="1" x14ac:dyDescent="0.35">
      <c r="G636" s="30"/>
      <c r="H636" s="30"/>
    </row>
    <row r="637" spans="7:8" ht="15.75" customHeight="1" x14ac:dyDescent="0.35">
      <c r="G637" s="30"/>
      <c r="H637" s="30"/>
    </row>
    <row r="638" spans="7:8" ht="15.75" customHeight="1" x14ac:dyDescent="0.35">
      <c r="G638" s="30"/>
      <c r="H638" s="30"/>
    </row>
    <row r="639" spans="7:8" ht="15.75" customHeight="1" x14ac:dyDescent="0.35">
      <c r="G639" s="30"/>
      <c r="H639" s="30"/>
    </row>
    <row r="640" spans="7:8" ht="15.75" customHeight="1" x14ac:dyDescent="0.35">
      <c r="G640" s="30"/>
      <c r="H640" s="30"/>
    </row>
    <row r="641" spans="7:8" ht="15.75" customHeight="1" x14ac:dyDescent="0.35">
      <c r="G641" s="30"/>
      <c r="H641" s="30"/>
    </row>
    <row r="642" spans="7:8" ht="15.75" customHeight="1" x14ac:dyDescent="0.35">
      <c r="G642" s="30"/>
      <c r="H642" s="30"/>
    </row>
    <row r="643" spans="7:8" ht="15.75" customHeight="1" x14ac:dyDescent="0.35">
      <c r="G643" s="30"/>
      <c r="H643" s="30"/>
    </row>
    <row r="644" spans="7:8" ht="15.75" customHeight="1" x14ac:dyDescent="0.35">
      <c r="G644" s="30"/>
      <c r="H644" s="30"/>
    </row>
    <row r="645" spans="7:8" ht="15.75" customHeight="1" x14ac:dyDescent="0.35">
      <c r="G645" s="30"/>
      <c r="H645" s="30"/>
    </row>
    <row r="646" spans="7:8" ht="15.75" customHeight="1" x14ac:dyDescent="0.35">
      <c r="G646" s="30"/>
      <c r="H646" s="30"/>
    </row>
    <row r="647" spans="7:8" ht="15.75" customHeight="1" x14ac:dyDescent="0.35">
      <c r="G647" s="30"/>
      <c r="H647" s="30"/>
    </row>
    <row r="648" spans="7:8" ht="15.75" customHeight="1" x14ac:dyDescent="0.35">
      <c r="G648" s="30"/>
      <c r="H648" s="30"/>
    </row>
    <row r="649" spans="7:8" ht="15.75" customHeight="1" x14ac:dyDescent="0.35">
      <c r="G649" s="30"/>
      <c r="H649" s="30"/>
    </row>
    <row r="650" spans="7:8" ht="15.75" customHeight="1" x14ac:dyDescent="0.35">
      <c r="G650" s="30"/>
      <c r="H650" s="30"/>
    </row>
    <row r="651" spans="7:8" ht="15.75" customHeight="1" x14ac:dyDescent="0.35">
      <c r="G651" s="30"/>
      <c r="H651" s="30"/>
    </row>
    <row r="652" spans="7:8" ht="15.75" customHeight="1" x14ac:dyDescent="0.35">
      <c r="G652" s="30"/>
      <c r="H652" s="30"/>
    </row>
    <row r="653" spans="7:8" ht="15.75" customHeight="1" x14ac:dyDescent="0.35">
      <c r="G653" s="30"/>
      <c r="H653" s="30"/>
    </row>
    <row r="654" spans="7:8" ht="15.75" customHeight="1" x14ac:dyDescent="0.35">
      <c r="G654" s="30"/>
      <c r="H654" s="30"/>
    </row>
    <row r="655" spans="7:8" ht="15.75" customHeight="1" x14ac:dyDescent="0.35">
      <c r="G655" s="30"/>
      <c r="H655" s="30"/>
    </row>
    <row r="656" spans="7:8" ht="15.75" customHeight="1" x14ac:dyDescent="0.35">
      <c r="G656" s="30"/>
      <c r="H656" s="30"/>
    </row>
    <row r="657" spans="7:8" ht="15.75" customHeight="1" x14ac:dyDescent="0.35">
      <c r="G657" s="30"/>
      <c r="H657" s="30"/>
    </row>
    <row r="658" spans="7:8" ht="15.75" customHeight="1" x14ac:dyDescent="0.35">
      <c r="G658" s="30"/>
      <c r="H658" s="30"/>
    </row>
    <row r="659" spans="7:8" ht="15.75" customHeight="1" x14ac:dyDescent="0.35">
      <c r="G659" s="30"/>
      <c r="H659" s="30"/>
    </row>
    <row r="660" spans="7:8" ht="15.75" customHeight="1" x14ac:dyDescent="0.35">
      <c r="G660" s="30"/>
      <c r="H660" s="30"/>
    </row>
    <row r="661" spans="7:8" ht="15.75" customHeight="1" x14ac:dyDescent="0.35">
      <c r="G661" s="30"/>
      <c r="H661" s="30"/>
    </row>
    <row r="662" spans="7:8" ht="15.75" customHeight="1" x14ac:dyDescent="0.35">
      <c r="G662" s="30"/>
      <c r="H662" s="30"/>
    </row>
    <row r="663" spans="7:8" ht="15.75" customHeight="1" x14ac:dyDescent="0.35">
      <c r="G663" s="30"/>
      <c r="H663" s="30"/>
    </row>
    <row r="664" spans="7:8" ht="15.75" customHeight="1" x14ac:dyDescent="0.35">
      <c r="G664" s="30"/>
      <c r="H664" s="30"/>
    </row>
    <row r="665" spans="7:8" ht="15.75" customHeight="1" x14ac:dyDescent="0.35">
      <c r="G665" s="30"/>
      <c r="H665" s="30"/>
    </row>
    <row r="666" spans="7:8" ht="15.75" customHeight="1" x14ac:dyDescent="0.35">
      <c r="G666" s="30"/>
      <c r="H666" s="30"/>
    </row>
    <row r="667" spans="7:8" ht="15.75" customHeight="1" x14ac:dyDescent="0.35">
      <c r="G667" s="30"/>
      <c r="H667" s="30"/>
    </row>
    <row r="668" spans="7:8" ht="15.75" customHeight="1" x14ac:dyDescent="0.35">
      <c r="G668" s="30"/>
      <c r="H668" s="30"/>
    </row>
    <row r="669" spans="7:8" ht="15.75" customHeight="1" x14ac:dyDescent="0.35">
      <c r="G669" s="30"/>
      <c r="H669" s="30"/>
    </row>
    <row r="670" spans="7:8" ht="15.75" customHeight="1" x14ac:dyDescent="0.35">
      <c r="G670" s="30"/>
      <c r="H670" s="30"/>
    </row>
    <row r="671" spans="7:8" ht="15.75" customHeight="1" x14ac:dyDescent="0.35">
      <c r="G671" s="30"/>
      <c r="H671" s="30"/>
    </row>
    <row r="672" spans="7:8" ht="15.75" customHeight="1" x14ac:dyDescent="0.35">
      <c r="G672" s="30"/>
      <c r="H672" s="30"/>
    </row>
    <row r="673" spans="7:8" ht="15.75" customHeight="1" x14ac:dyDescent="0.35">
      <c r="G673" s="30"/>
      <c r="H673" s="30"/>
    </row>
    <row r="674" spans="7:8" ht="15.75" customHeight="1" x14ac:dyDescent="0.35">
      <c r="G674" s="30"/>
      <c r="H674" s="30"/>
    </row>
    <row r="675" spans="7:8" ht="15.75" customHeight="1" x14ac:dyDescent="0.35">
      <c r="G675" s="30"/>
      <c r="H675" s="30"/>
    </row>
    <row r="676" spans="7:8" ht="15.75" customHeight="1" x14ac:dyDescent="0.35">
      <c r="G676" s="30"/>
      <c r="H676" s="30"/>
    </row>
    <row r="677" spans="7:8" ht="15.75" customHeight="1" x14ac:dyDescent="0.35">
      <c r="G677" s="30"/>
      <c r="H677" s="30"/>
    </row>
    <row r="678" spans="7:8" ht="15.75" customHeight="1" x14ac:dyDescent="0.35">
      <c r="G678" s="30"/>
      <c r="H678" s="30"/>
    </row>
    <row r="679" spans="7:8" ht="15.75" customHeight="1" x14ac:dyDescent="0.35">
      <c r="G679" s="30"/>
      <c r="H679" s="30"/>
    </row>
    <row r="680" spans="7:8" ht="15.75" customHeight="1" x14ac:dyDescent="0.35">
      <c r="G680" s="30"/>
      <c r="H680" s="30"/>
    </row>
    <row r="681" spans="7:8" ht="15.75" customHeight="1" x14ac:dyDescent="0.35">
      <c r="G681" s="30"/>
      <c r="H681" s="30"/>
    </row>
    <row r="682" spans="7:8" ht="15.75" customHeight="1" x14ac:dyDescent="0.35">
      <c r="G682" s="30"/>
      <c r="H682" s="30"/>
    </row>
    <row r="683" spans="7:8" ht="15.75" customHeight="1" x14ac:dyDescent="0.35">
      <c r="G683" s="30"/>
      <c r="H683" s="30"/>
    </row>
    <row r="684" spans="7:8" ht="15.75" customHeight="1" x14ac:dyDescent="0.35">
      <c r="G684" s="30"/>
      <c r="H684" s="30"/>
    </row>
    <row r="685" spans="7:8" ht="15.75" customHeight="1" x14ac:dyDescent="0.35">
      <c r="G685" s="30"/>
      <c r="H685" s="30"/>
    </row>
    <row r="686" spans="7:8" ht="15.75" customHeight="1" x14ac:dyDescent="0.35">
      <c r="G686" s="30"/>
      <c r="H686" s="30"/>
    </row>
    <row r="687" spans="7:8" ht="15.75" customHeight="1" x14ac:dyDescent="0.35">
      <c r="G687" s="30"/>
      <c r="H687" s="30"/>
    </row>
    <row r="688" spans="7:8" ht="15.75" customHeight="1" x14ac:dyDescent="0.35">
      <c r="G688" s="30"/>
      <c r="H688" s="30"/>
    </row>
    <row r="689" spans="7:8" ht="15.75" customHeight="1" x14ac:dyDescent="0.35">
      <c r="G689" s="30"/>
      <c r="H689" s="30"/>
    </row>
    <row r="690" spans="7:8" ht="15.75" customHeight="1" x14ac:dyDescent="0.35">
      <c r="G690" s="30"/>
      <c r="H690" s="30"/>
    </row>
    <row r="691" spans="7:8" ht="15.75" customHeight="1" x14ac:dyDescent="0.35">
      <c r="G691" s="30"/>
      <c r="H691" s="30"/>
    </row>
    <row r="692" spans="7:8" ht="15.75" customHeight="1" x14ac:dyDescent="0.35">
      <c r="G692" s="30"/>
      <c r="H692" s="30"/>
    </row>
    <row r="693" spans="7:8" ht="15.75" customHeight="1" x14ac:dyDescent="0.35">
      <c r="G693" s="30"/>
      <c r="H693" s="30"/>
    </row>
    <row r="694" spans="7:8" ht="15.75" customHeight="1" x14ac:dyDescent="0.35">
      <c r="G694" s="30"/>
      <c r="H694" s="30"/>
    </row>
    <row r="695" spans="7:8" ht="15.75" customHeight="1" x14ac:dyDescent="0.35">
      <c r="G695" s="30"/>
      <c r="H695" s="30"/>
    </row>
    <row r="696" spans="7:8" ht="15.75" customHeight="1" x14ac:dyDescent="0.35">
      <c r="G696" s="30"/>
      <c r="H696" s="30"/>
    </row>
    <row r="697" spans="7:8" ht="15.75" customHeight="1" x14ac:dyDescent="0.35">
      <c r="G697" s="30"/>
      <c r="H697" s="30"/>
    </row>
    <row r="698" spans="7:8" ht="15.75" customHeight="1" x14ac:dyDescent="0.35">
      <c r="G698" s="30"/>
      <c r="H698" s="30"/>
    </row>
    <row r="699" spans="7:8" ht="15.75" customHeight="1" x14ac:dyDescent="0.35">
      <c r="G699" s="30"/>
      <c r="H699" s="30"/>
    </row>
    <row r="700" spans="7:8" ht="15.75" customHeight="1" x14ac:dyDescent="0.35">
      <c r="G700" s="30"/>
      <c r="H700" s="30"/>
    </row>
    <row r="701" spans="7:8" ht="15.75" customHeight="1" x14ac:dyDescent="0.35">
      <c r="G701" s="30"/>
      <c r="H701" s="30"/>
    </row>
    <row r="702" spans="7:8" ht="15.75" customHeight="1" x14ac:dyDescent="0.35">
      <c r="G702" s="30"/>
      <c r="H702" s="30"/>
    </row>
    <row r="703" spans="7:8" ht="15.75" customHeight="1" x14ac:dyDescent="0.35">
      <c r="G703" s="30"/>
      <c r="H703" s="30"/>
    </row>
    <row r="704" spans="7:8" ht="15.75" customHeight="1" x14ac:dyDescent="0.35">
      <c r="G704" s="30"/>
      <c r="H704" s="30"/>
    </row>
    <row r="705" spans="7:8" ht="15.75" customHeight="1" x14ac:dyDescent="0.35">
      <c r="G705" s="30"/>
      <c r="H705" s="30"/>
    </row>
    <row r="706" spans="7:8" ht="15.75" customHeight="1" x14ac:dyDescent="0.35">
      <c r="G706" s="30"/>
      <c r="H706" s="30"/>
    </row>
    <row r="707" spans="7:8" ht="15.75" customHeight="1" x14ac:dyDescent="0.35">
      <c r="G707" s="30"/>
      <c r="H707" s="30"/>
    </row>
    <row r="708" spans="7:8" ht="15.75" customHeight="1" x14ac:dyDescent="0.35">
      <c r="G708" s="30"/>
      <c r="H708" s="30"/>
    </row>
    <row r="709" spans="7:8" ht="15.75" customHeight="1" x14ac:dyDescent="0.35">
      <c r="G709" s="30"/>
      <c r="H709" s="30"/>
    </row>
    <row r="710" spans="7:8" ht="15.75" customHeight="1" x14ac:dyDescent="0.35">
      <c r="G710" s="30"/>
      <c r="H710" s="30"/>
    </row>
    <row r="711" spans="7:8" ht="15.75" customHeight="1" x14ac:dyDescent="0.35">
      <c r="G711" s="30"/>
      <c r="H711" s="30"/>
    </row>
    <row r="712" spans="7:8" ht="15.75" customHeight="1" x14ac:dyDescent="0.35">
      <c r="G712" s="30"/>
      <c r="H712" s="30"/>
    </row>
    <row r="713" spans="7:8" ht="15.75" customHeight="1" x14ac:dyDescent="0.35">
      <c r="G713" s="30"/>
      <c r="H713" s="30"/>
    </row>
    <row r="714" spans="7:8" ht="15.75" customHeight="1" x14ac:dyDescent="0.35">
      <c r="G714" s="30"/>
      <c r="H714" s="30"/>
    </row>
    <row r="715" spans="7:8" ht="15.75" customHeight="1" x14ac:dyDescent="0.35">
      <c r="G715" s="30"/>
      <c r="H715" s="30"/>
    </row>
    <row r="716" spans="7:8" ht="15.75" customHeight="1" x14ac:dyDescent="0.35">
      <c r="G716" s="30"/>
      <c r="H716" s="30"/>
    </row>
    <row r="717" spans="7:8" ht="15.75" customHeight="1" x14ac:dyDescent="0.35">
      <c r="G717" s="30"/>
      <c r="H717" s="30"/>
    </row>
    <row r="718" spans="7:8" ht="15.75" customHeight="1" x14ac:dyDescent="0.35">
      <c r="G718" s="30"/>
      <c r="H718" s="30"/>
    </row>
    <row r="719" spans="7:8" ht="15.75" customHeight="1" x14ac:dyDescent="0.35">
      <c r="G719" s="30"/>
      <c r="H719" s="30"/>
    </row>
    <row r="720" spans="7:8" ht="15.75" customHeight="1" x14ac:dyDescent="0.35">
      <c r="G720" s="30"/>
      <c r="H720" s="30"/>
    </row>
    <row r="721" spans="7:8" ht="15.75" customHeight="1" x14ac:dyDescent="0.35">
      <c r="G721" s="30"/>
      <c r="H721" s="30"/>
    </row>
    <row r="722" spans="7:8" ht="15.75" customHeight="1" x14ac:dyDescent="0.35">
      <c r="G722" s="30"/>
      <c r="H722" s="30"/>
    </row>
    <row r="723" spans="7:8" ht="15.75" customHeight="1" x14ac:dyDescent="0.35">
      <c r="G723" s="30"/>
      <c r="H723" s="30"/>
    </row>
    <row r="724" spans="7:8" ht="15.75" customHeight="1" x14ac:dyDescent="0.35">
      <c r="G724" s="30"/>
      <c r="H724" s="30"/>
    </row>
    <row r="725" spans="7:8" ht="15.75" customHeight="1" x14ac:dyDescent="0.35">
      <c r="G725" s="30"/>
      <c r="H725" s="30"/>
    </row>
    <row r="726" spans="7:8" ht="15.75" customHeight="1" x14ac:dyDescent="0.35">
      <c r="G726" s="30"/>
      <c r="H726" s="30"/>
    </row>
    <row r="727" spans="7:8" ht="15.75" customHeight="1" x14ac:dyDescent="0.35">
      <c r="G727" s="30"/>
      <c r="H727" s="30"/>
    </row>
    <row r="728" spans="7:8" ht="15.75" customHeight="1" x14ac:dyDescent="0.35">
      <c r="G728" s="30"/>
      <c r="H728" s="30"/>
    </row>
    <row r="729" spans="7:8" ht="15.75" customHeight="1" x14ac:dyDescent="0.35">
      <c r="G729" s="30"/>
      <c r="H729" s="30"/>
    </row>
    <row r="730" spans="7:8" ht="15.75" customHeight="1" x14ac:dyDescent="0.35">
      <c r="G730" s="30"/>
      <c r="H730" s="30"/>
    </row>
    <row r="731" spans="7:8" ht="15.75" customHeight="1" x14ac:dyDescent="0.35">
      <c r="G731" s="30"/>
      <c r="H731" s="30"/>
    </row>
    <row r="732" spans="7:8" ht="15.75" customHeight="1" x14ac:dyDescent="0.35">
      <c r="G732" s="30"/>
      <c r="H732" s="30"/>
    </row>
    <row r="733" spans="7:8" ht="15.75" customHeight="1" x14ac:dyDescent="0.35">
      <c r="G733" s="30"/>
      <c r="H733" s="30"/>
    </row>
    <row r="734" spans="7:8" ht="15.75" customHeight="1" x14ac:dyDescent="0.35">
      <c r="G734" s="30"/>
      <c r="H734" s="30"/>
    </row>
    <row r="735" spans="7:8" ht="15.75" customHeight="1" x14ac:dyDescent="0.35">
      <c r="G735" s="30"/>
      <c r="H735" s="30"/>
    </row>
    <row r="736" spans="7:8" ht="15.75" customHeight="1" x14ac:dyDescent="0.35">
      <c r="G736" s="30"/>
      <c r="H736" s="30"/>
    </row>
    <row r="737" spans="7:8" ht="15.75" customHeight="1" x14ac:dyDescent="0.35">
      <c r="G737" s="30"/>
      <c r="H737" s="30"/>
    </row>
    <row r="738" spans="7:8" ht="15.75" customHeight="1" x14ac:dyDescent="0.35">
      <c r="G738" s="30"/>
      <c r="H738" s="30"/>
    </row>
    <row r="739" spans="7:8" ht="15.75" customHeight="1" x14ac:dyDescent="0.35">
      <c r="G739" s="30"/>
      <c r="H739" s="30"/>
    </row>
    <row r="740" spans="7:8" ht="15.75" customHeight="1" x14ac:dyDescent="0.35">
      <c r="G740" s="30"/>
      <c r="H740" s="30"/>
    </row>
    <row r="741" spans="7:8" ht="15.75" customHeight="1" x14ac:dyDescent="0.35">
      <c r="G741" s="30"/>
      <c r="H741" s="30"/>
    </row>
    <row r="742" spans="7:8" ht="15.75" customHeight="1" x14ac:dyDescent="0.35">
      <c r="G742" s="30"/>
      <c r="H742" s="30"/>
    </row>
    <row r="743" spans="7:8" ht="15.75" customHeight="1" x14ac:dyDescent="0.35">
      <c r="G743" s="30"/>
      <c r="H743" s="30"/>
    </row>
    <row r="744" spans="7:8" ht="15.75" customHeight="1" x14ac:dyDescent="0.35">
      <c r="G744" s="30"/>
      <c r="H744" s="30"/>
    </row>
    <row r="745" spans="7:8" ht="15.75" customHeight="1" x14ac:dyDescent="0.35">
      <c r="G745" s="30"/>
      <c r="H745" s="30"/>
    </row>
    <row r="746" spans="7:8" ht="15.75" customHeight="1" x14ac:dyDescent="0.35">
      <c r="G746" s="30"/>
      <c r="H746" s="30"/>
    </row>
    <row r="747" spans="7:8" ht="15.75" customHeight="1" x14ac:dyDescent="0.35">
      <c r="G747" s="30"/>
      <c r="H747" s="30"/>
    </row>
    <row r="748" spans="7:8" ht="15.75" customHeight="1" x14ac:dyDescent="0.35">
      <c r="G748" s="30"/>
      <c r="H748" s="30"/>
    </row>
    <row r="749" spans="7:8" ht="15.75" customHeight="1" x14ac:dyDescent="0.35">
      <c r="G749" s="30"/>
      <c r="H749" s="30"/>
    </row>
    <row r="750" spans="7:8" ht="15.75" customHeight="1" x14ac:dyDescent="0.35">
      <c r="G750" s="30"/>
      <c r="H750" s="30"/>
    </row>
    <row r="751" spans="7:8" ht="15.75" customHeight="1" x14ac:dyDescent="0.35">
      <c r="G751" s="30"/>
      <c r="H751" s="30"/>
    </row>
    <row r="752" spans="7:8" ht="15.75" customHeight="1" x14ac:dyDescent="0.35">
      <c r="G752" s="30"/>
      <c r="H752" s="30"/>
    </row>
    <row r="753" spans="7:8" ht="15.75" customHeight="1" x14ac:dyDescent="0.35">
      <c r="G753" s="30"/>
      <c r="H753" s="30"/>
    </row>
    <row r="754" spans="7:8" ht="15.75" customHeight="1" x14ac:dyDescent="0.35">
      <c r="G754" s="30"/>
      <c r="H754" s="30"/>
    </row>
    <row r="755" spans="7:8" ht="15.75" customHeight="1" x14ac:dyDescent="0.35">
      <c r="G755" s="30"/>
      <c r="H755" s="30"/>
    </row>
    <row r="756" spans="7:8" ht="15.75" customHeight="1" x14ac:dyDescent="0.35">
      <c r="G756" s="30"/>
      <c r="H756" s="30"/>
    </row>
    <row r="757" spans="7:8" ht="15.75" customHeight="1" x14ac:dyDescent="0.35">
      <c r="G757" s="30"/>
      <c r="H757" s="30"/>
    </row>
    <row r="758" spans="7:8" ht="15.75" customHeight="1" x14ac:dyDescent="0.35">
      <c r="G758" s="30"/>
      <c r="H758" s="30"/>
    </row>
    <row r="759" spans="7:8" ht="15.75" customHeight="1" x14ac:dyDescent="0.35">
      <c r="G759" s="30"/>
      <c r="H759" s="30"/>
    </row>
    <row r="760" spans="7:8" ht="15.75" customHeight="1" x14ac:dyDescent="0.35">
      <c r="G760" s="30"/>
      <c r="H760" s="30"/>
    </row>
    <row r="761" spans="7:8" ht="15.75" customHeight="1" x14ac:dyDescent="0.35">
      <c r="G761" s="30"/>
      <c r="H761" s="30"/>
    </row>
    <row r="762" spans="7:8" ht="15.75" customHeight="1" x14ac:dyDescent="0.35">
      <c r="G762" s="30"/>
      <c r="H762" s="30"/>
    </row>
    <row r="763" spans="7:8" ht="15.75" customHeight="1" x14ac:dyDescent="0.35">
      <c r="G763" s="30"/>
      <c r="H763" s="30"/>
    </row>
    <row r="764" spans="7:8" ht="15.75" customHeight="1" x14ac:dyDescent="0.35">
      <c r="G764" s="30"/>
      <c r="H764" s="30"/>
    </row>
    <row r="765" spans="7:8" ht="15.75" customHeight="1" x14ac:dyDescent="0.35">
      <c r="G765" s="30"/>
      <c r="H765" s="30"/>
    </row>
    <row r="766" spans="7:8" ht="15.75" customHeight="1" x14ac:dyDescent="0.35">
      <c r="G766" s="30"/>
      <c r="H766" s="30"/>
    </row>
    <row r="767" spans="7:8" ht="15.75" customHeight="1" x14ac:dyDescent="0.35">
      <c r="G767" s="30"/>
      <c r="H767" s="30"/>
    </row>
    <row r="768" spans="7:8" ht="15.75" customHeight="1" x14ac:dyDescent="0.35">
      <c r="G768" s="30"/>
      <c r="H768" s="30"/>
    </row>
    <row r="769" spans="7:8" ht="15.75" customHeight="1" x14ac:dyDescent="0.35">
      <c r="G769" s="30"/>
      <c r="H769" s="30"/>
    </row>
    <row r="770" spans="7:8" ht="15.75" customHeight="1" x14ac:dyDescent="0.35">
      <c r="G770" s="30"/>
      <c r="H770" s="30"/>
    </row>
    <row r="771" spans="7:8" ht="15.75" customHeight="1" x14ac:dyDescent="0.35">
      <c r="G771" s="30"/>
      <c r="H771" s="30"/>
    </row>
    <row r="772" spans="7:8" ht="15.75" customHeight="1" x14ac:dyDescent="0.35">
      <c r="G772" s="30"/>
      <c r="H772" s="30"/>
    </row>
    <row r="773" spans="7:8" ht="15.75" customHeight="1" x14ac:dyDescent="0.35">
      <c r="G773" s="30"/>
      <c r="H773" s="30"/>
    </row>
    <row r="774" spans="7:8" ht="15.75" customHeight="1" x14ac:dyDescent="0.35">
      <c r="G774" s="30"/>
      <c r="H774" s="30"/>
    </row>
    <row r="775" spans="7:8" ht="15.75" customHeight="1" x14ac:dyDescent="0.35">
      <c r="G775" s="30"/>
      <c r="H775" s="30"/>
    </row>
    <row r="776" spans="7:8" ht="15.75" customHeight="1" x14ac:dyDescent="0.35">
      <c r="G776" s="30"/>
      <c r="H776" s="30"/>
    </row>
    <row r="777" spans="7:8" ht="15.75" customHeight="1" x14ac:dyDescent="0.35">
      <c r="G777" s="30"/>
      <c r="H777" s="30"/>
    </row>
    <row r="778" spans="7:8" ht="15.75" customHeight="1" x14ac:dyDescent="0.35">
      <c r="G778" s="30"/>
      <c r="H778" s="30"/>
    </row>
    <row r="779" spans="7:8" ht="15.75" customHeight="1" x14ac:dyDescent="0.35">
      <c r="G779" s="30"/>
      <c r="H779" s="30"/>
    </row>
    <row r="780" spans="7:8" ht="15.75" customHeight="1" x14ac:dyDescent="0.35">
      <c r="G780" s="30"/>
      <c r="H780" s="30"/>
    </row>
    <row r="781" spans="7:8" ht="15.75" customHeight="1" x14ac:dyDescent="0.35">
      <c r="G781" s="30"/>
      <c r="H781" s="30"/>
    </row>
    <row r="782" spans="7:8" ht="15.75" customHeight="1" x14ac:dyDescent="0.35">
      <c r="G782" s="30"/>
      <c r="H782" s="30"/>
    </row>
    <row r="783" spans="7:8" ht="15.75" customHeight="1" x14ac:dyDescent="0.35">
      <c r="G783" s="30"/>
      <c r="H783" s="30"/>
    </row>
    <row r="784" spans="7:8" ht="15.75" customHeight="1" x14ac:dyDescent="0.35">
      <c r="G784" s="30"/>
      <c r="H784" s="30"/>
    </row>
    <row r="785" spans="7:8" ht="15.75" customHeight="1" x14ac:dyDescent="0.35">
      <c r="G785" s="30"/>
      <c r="H785" s="30"/>
    </row>
    <row r="786" spans="7:8" ht="15.75" customHeight="1" x14ac:dyDescent="0.35">
      <c r="G786" s="30"/>
      <c r="H786" s="30"/>
    </row>
    <row r="787" spans="7:8" ht="15.75" customHeight="1" x14ac:dyDescent="0.35">
      <c r="G787" s="30"/>
      <c r="H787" s="30"/>
    </row>
    <row r="788" spans="7:8" ht="15.75" customHeight="1" x14ac:dyDescent="0.35">
      <c r="G788" s="30"/>
      <c r="H788" s="30"/>
    </row>
    <row r="789" spans="7:8" ht="15.75" customHeight="1" x14ac:dyDescent="0.35">
      <c r="G789" s="30"/>
      <c r="H789" s="30"/>
    </row>
    <row r="790" spans="7:8" ht="15.75" customHeight="1" x14ac:dyDescent="0.35">
      <c r="G790" s="30"/>
      <c r="H790" s="30"/>
    </row>
    <row r="791" spans="7:8" ht="15.75" customHeight="1" x14ac:dyDescent="0.35">
      <c r="G791" s="30"/>
      <c r="H791" s="30"/>
    </row>
    <row r="792" spans="7:8" ht="15.75" customHeight="1" x14ac:dyDescent="0.35">
      <c r="G792" s="30"/>
      <c r="H792" s="30"/>
    </row>
    <row r="793" spans="7:8" ht="15.75" customHeight="1" x14ac:dyDescent="0.35">
      <c r="G793" s="30"/>
      <c r="H793" s="30"/>
    </row>
    <row r="794" spans="7:8" ht="15.75" customHeight="1" x14ac:dyDescent="0.35">
      <c r="G794" s="30"/>
      <c r="H794" s="30"/>
    </row>
    <row r="795" spans="7:8" ht="15.75" customHeight="1" x14ac:dyDescent="0.35">
      <c r="G795" s="30"/>
      <c r="H795" s="30"/>
    </row>
    <row r="796" spans="7:8" ht="15.75" customHeight="1" x14ac:dyDescent="0.35">
      <c r="G796" s="30"/>
      <c r="H796" s="30"/>
    </row>
    <row r="797" spans="7:8" ht="15.75" customHeight="1" x14ac:dyDescent="0.35">
      <c r="G797" s="30"/>
      <c r="H797" s="30"/>
    </row>
    <row r="798" spans="7:8" ht="15.75" customHeight="1" x14ac:dyDescent="0.35">
      <c r="G798" s="30"/>
      <c r="H798" s="30"/>
    </row>
    <row r="799" spans="7:8" ht="15.75" customHeight="1" x14ac:dyDescent="0.35">
      <c r="G799" s="30"/>
      <c r="H799" s="30"/>
    </row>
    <row r="800" spans="7:8" ht="15.75" customHeight="1" x14ac:dyDescent="0.35">
      <c r="G800" s="30"/>
      <c r="H800" s="30"/>
    </row>
    <row r="801" spans="7:8" ht="15.75" customHeight="1" x14ac:dyDescent="0.35">
      <c r="G801" s="30"/>
      <c r="H801" s="30"/>
    </row>
    <row r="802" spans="7:8" ht="15.75" customHeight="1" x14ac:dyDescent="0.35">
      <c r="G802" s="30"/>
      <c r="H802" s="30"/>
    </row>
    <row r="803" spans="7:8" ht="15.75" customHeight="1" x14ac:dyDescent="0.35">
      <c r="G803" s="30"/>
      <c r="H803" s="30"/>
    </row>
    <row r="804" spans="7:8" ht="15.75" customHeight="1" x14ac:dyDescent="0.35">
      <c r="G804" s="30"/>
      <c r="H804" s="30"/>
    </row>
    <row r="805" spans="7:8" ht="15.75" customHeight="1" x14ac:dyDescent="0.35">
      <c r="G805" s="30"/>
      <c r="H805" s="30"/>
    </row>
    <row r="806" spans="7:8" ht="15.75" customHeight="1" x14ac:dyDescent="0.35">
      <c r="G806" s="30"/>
      <c r="H806" s="30"/>
    </row>
    <row r="807" spans="7:8" ht="15.75" customHeight="1" x14ac:dyDescent="0.35">
      <c r="G807" s="30"/>
      <c r="H807" s="30"/>
    </row>
    <row r="808" spans="7:8" ht="15.75" customHeight="1" x14ac:dyDescent="0.35">
      <c r="G808" s="30"/>
      <c r="H808" s="30"/>
    </row>
    <row r="809" spans="7:8" ht="15.75" customHeight="1" x14ac:dyDescent="0.35">
      <c r="G809" s="30"/>
      <c r="H809" s="30"/>
    </row>
    <row r="810" spans="7:8" ht="15.75" customHeight="1" x14ac:dyDescent="0.35">
      <c r="G810" s="30"/>
      <c r="H810" s="30"/>
    </row>
    <row r="811" spans="7:8" ht="15.75" customHeight="1" x14ac:dyDescent="0.35">
      <c r="G811" s="30"/>
      <c r="H811" s="30"/>
    </row>
    <row r="812" spans="7:8" ht="15.75" customHeight="1" x14ac:dyDescent="0.35">
      <c r="G812" s="30"/>
      <c r="H812" s="30"/>
    </row>
    <row r="813" spans="7:8" ht="15.75" customHeight="1" x14ac:dyDescent="0.35">
      <c r="G813" s="30"/>
      <c r="H813" s="30"/>
    </row>
    <row r="814" spans="7:8" ht="15.75" customHeight="1" x14ac:dyDescent="0.35">
      <c r="G814" s="30"/>
      <c r="H814" s="30"/>
    </row>
    <row r="815" spans="7:8" ht="15.75" customHeight="1" x14ac:dyDescent="0.35">
      <c r="G815" s="30"/>
      <c r="H815" s="30"/>
    </row>
    <row r="816" spans="7:8" ht="15.75" customHeight="1" x14ac:dyDescent="0.35">
      <c r="G816" s="30"/>
      <c r="H816" s="30"/>
    </row>
    <row r="817" spans="7:8" ht="15.75" customHeight="1" x14ac:dyDescent="0.35">
      <c r="G817" s="30"/>
      <c r="H817" s="30"/>
    </row>
    <row r="818" spans="7:8" ht="15.75" customHeight="1" x14ac:dyDescent="0.35">
      <c r="G818" s="30"/>
      <c r="H818" s="30"/>
    </row>
    <row r="819" spans="7:8" ht="15.75" customHeight="1" x14ac:dyDescent="0.35">
      <c r="G819" s="30"/>
      <c r="H819" s="30"/>
    </row>
    <row r="820" spans="7:8" ht="15.75" customHeight="1" x14ac:dyDescent="0.35">
      <c r="G820" s="30"/>
      <c r="H820" s="30"/>
    </row>
    <row r="821" spans="7:8" ht="15.75" customHeight="1" x14ac:dyDescent="0.35">
      <c r="G821" s="30"/>
      <c r="H821" s="30"/>
    </row>
    <row r="822" spans="7:8" ht="15.75" customHeight="1" x14ac:dyDescent="0.35">
      <c r="G822" s="30"/>
      <c r="H822" s="30"/>
    </row>
    <row r="823" spans="7:8" ht="15.75" customHeight="1" x14ac:dyDescent="0.35">
      <c r="G823" s="30"/>
      <c r="H823" s="30"/>
    </row>
    <row r="824" spans="7:8" ht="15.75" customHeight="1" x14ac:dyDescent="0.35">
      <c r="G824" s="30"/>
      <c r="H824" s="30"/>
    </row>
    <row r="825" spans="7:8" ht="15.75" customHeight="1" x14ac:dyDescent="0.35">
      <c r="G825" s="30"/>
      <c r="H825" s="30"/>
    </row>
    <row r="826" spans="7:8" ht="15.75" customHeight="1" x14ac:dyDescent="0.35">
      <c r="G826" s="30"/>
      <c r="H826" s="30"/>
    </row>
    <row r="827" spans="7:8" ht="15.75" customHeight="1" x14ac:dyDescent="0.35">
      <c r="G827" s="30"/>
      <c r="H827" s="30"/>
    </row>
    <row r="828" spans="7:8" ht="15.75" customHeight="1" x14ac:dyDescent="0.35">
      <c r="G828" s="30"/>
      <c r="H828" s="30"/>
    </row>
    <row r="829" spans="7:8" ht="15.75" customHeight="1" x14ac:dyDescent="0.35">
      <c r="G829" s="30"/>
      <c r="H829" s="30"/>
    </row>
    <row r="830" spans="7:8" ht="15.75" customHeight="1" x14ac:dyDescent="0.35">
      <c r="G830" s="30"/>
      <c r="H830" s="30"/>
    </row>
    <row r="831" spans="7:8" ht="15.75" customHeight="1" x14ac:dyDescent="0.35">
      <c r="G831" s="30"/>
      <c r="H831" s="30"/>
    </row>
    <row r="832" spans="7:8" ht="15.75" customHeight="1" x14ac:dyDescent="0.35">
      <c r="G832" s="30"/>
      <c r="H832" s="30"/>
    </row>
    <row r="833" spans="7:8" ht="15.75" customHeight="1" x14ac:dyDescent="0.35">
      <c r="G833" s="30"/>
      <c r="H833" s="30"/>
    </row>
    <row r="834" spans="7:8" ht="15.75" customHeight="1" x14ac:dyDescent="0.35">
      <c r="G834" s="30"/>
      <c r="H834" s="30"/>
    </row>
    <row r="835" spans="7:8" ht="15.75" customHeight="1" x14ac:dyDescent="0.35">
      <c r="G835" s="30"/>
      <c r="H835" s="30"/>
    </row>
    <row r="836" spans="7:8" ht="15.75" customHeight="1" x14ac:dyDescent="0.35">
      <c r="G836" s="30"/>
      <c r="H836" s="30"/>
    </row>
    <row r="837" spans="7:8" ht="15.75" customHeight="1" x14ac:dyDescent="0.35">
      <c r="G837" s="30"/>
      <c r="H837" s="30"/>
    </row>
    <row r="838" spans="7:8" ht="15.75" customHeight="1" x14ac:dyDescent="0.35">
      <c r="G838" s="30"/>
      <c r="H838" s="30"/>
    </row>
    <row r="839" spans="7:8" ht="15.75" customHeight="1" x14ac:dyDescent="0.35">
      <c r="G839" s="30"/>
      <c r="H839" s="30"/>
    </row>
    <row r="840" spans="7:8" ht="15.75" customHeight="1" x14ac:dyDescent="0.35">
      <c r="G840" s="30"/>
      <c r="H840" s="30"/>
    </row>
    <row r="841" spans="7:8" ht="15.75" customHeight="1" x14ac:dyDescent="0.35">
      <c r="G841" s="30"/>
      <c r="H841" s="30"/>
    </row>
    <row r="842" spans="7:8" ht="15.75" customHeight="1" x14ac:dyDescent="0.35">
      <c r="G842" s="30"/>
      <c r="H842" s="30"/>
    </row>
    <row r="843" spans="7:8" ht="15.75" customHeight="1" x14ac:dyDescent="0.35">
      <c r="G843" s="30"/>
      <c r="H843" s="30"/>
    </row>
    <row r="844" spans="7:8" ht="15.75" customHeight="1" x14ac:dyDescent="0.35">
      <c r="G844" s="30"/>
      <c r="H844" s="30"/>
    </row>
    <row r="845" spans="7:8" ht="15.75" customHeight="1" x14ac:dyDescent="0.35">
      <c r="G845" s="30"/>
      <c r="H845" s="30"/>
    </row>
    <row r="846" spans="7:8" ht="15.75" customHeight="1" x14ac:dyDescent="0.35">
      <c r="G846" s="30"/>
      <c r="H846" s="30"/>
    </row>
    <row r="847" spans="7:8" ht="15.75" customHeight="1" x14ac:dyDescent="0.35">
      <c r="G847" s="30"/>
      <c r="H847" s="30"/>
    </row>
    <row r="848" spans="7:8" ht="15.75" customHeight="1" x14ac:dyDescent="0.35">
      <c r="G848" s="30"/>
      <c r="H848" s="30"/>
    </row>
    <row r="849" spans="7:8" ht="15.75" customHeight="1" x14ac:dyDescent="0.35">
      <c r="G849" s="30"/>
      <c r="H849" s="30"/>
    </row>
    <row r="850" spans="7:8" ht="15.75" customHeight="1" x14ac:dyDescent="0.35">
      <c r="G850" s="30"/>
      <c r="H850" s="30"/>
    </row>
    <row r="851" spans="7:8" ht="15.75" customHeight="1" x14ac:dyDescent="0.35">
      <c r="G851" s="30"/>
      <c r="H851" s="30"/>
    </row>
    <row r="852" spans="7:8" ht="15.75" customHeight="1" x14ac:dyDescent="0.35">
      <c r="G852" s="30"/>
      <c r="H852" s="30"/>
    </row>
    <row r="853" spans="7:8" ht="15.75" customHeight="1" x14ac:dyDescent="0.35">
      <c r="G853" s="30"/>
      <c r="H853" s="30"/>
    </row>
    <row r="854" spans="7:8" ht="15.75" customHeight="1" x14ac:dyDescent="0.35">
      <c r="G854" s="30"/>
      <c r="H854" s="30"/>
    </row>
    <row r="855" spans="7:8" ht="15.75" customHeight="1" x14ac:dyDescent="0.35">
      <c r="G855" s="30"/>
      <c r="H855" s="30"/>
    </row>
    <row r="856" spans="7:8" ht="15.75" customHeight="1" x14ac:dyDescent="0.35">
      <c r="G856" s="30"/>
      <c r="H856" s="30"/>
    </row>
    <row r="857" spans="7:8" ht="15.75" customHeight="1" x14ac:dyDescent="0.35">
      <c r="G857" s="30"/>
      <c r="H857" s="30"/>
    </row>
    <row r="858" spans="7:8" ht="15.75" customHeight="1" x14ac:dyDescent="0.35">
      <c r="G858" s="30"/>
      <c r="H858" s="30"/>
    </row>
    <row r="859" spans="7:8" ht="15.75" customHeight="1" x14ac:dyDescent="0.35">
      <c r="G859" s="30"/>
      <c r="H859" s="30"/>
    </row>
    <row r="860" spans="7:8" ht="15.75" customHeight="1" x14ac:dyDescent="0.35">
      <c r="G860" s="30"/>
      <c r="H860" s="30"/>
    </row>
    <row r="861" spans="7:8" ht="15.75" customHeight="1" x14ac:dyDescent="0.35">
      <c r="G861" s="30"/>
      <c r="H861" s="30"/>
    </row>
    <row r="862" spans="7:8" ht="15.75" customHeight="1" x14ac:dyDescent="0.35">
      <c r="G862" s="30"/>
      <c r="H862" s="30"/>
    </row>
    <row r="863" spans="7:8" ht="15.75" customHeight="1" x14ac:dyDescent="0.35">
      <c r="G863" s="30"/>
      <c r="H863" s="30"/>
    </row>
    <row r="864" spans="7:8" ht="15.75" customHeight="1" x14ac:dyDescent="0.35">
      <c r="G864" s="30"/>
      <c r="H864" s="30"/>
    </row>
    <row r="865" spans="7:8" ht="15.75" customHeight="1" x14ac:dyDescent="0.35">
      <c r="G865" s="30"/>
      <c r="H865" s="30"/>
    </row>
    <row r="866" spans="7:8" ht="15.75" customHeight="1" x14ac:dyDescent="0.35">
      <c r="G866" s="30"/>
      <c r="H866" s="30"/>
    </row>
    <row r="867" spans="7:8" ht="15.75" customHeight="1" x14ac:dyDescent="0.35">
      <c r="G867" s="30"/>
      <c r="H867" s="30"/>
    </row>
    <row r="868" spans="7:8" ht="15.75" customHeight="1" x14ac:dyDescent="0.35">
      <c r="G868" s="30"/>
      <c r="H868" s="30"/>
    </row>
    <row r="869" spans="7:8" ht="15.75" customHeight="1" x14ac:dyDescent="0.35">
      <c r="G869" s="30"/>
      <c r="H869" s="30"/>
    </row>
    <row r="870" spans="7:8" ht="15.75" customHeight="1" x14ac:dyDescent="0.35">
      <c r="G870" s="30"/>
      <c r="H870" s="30"/>
    </row>
    <row r="871" spans="7:8" ht="15.75" customHeight="1" x14ac:dyDescent="0.35">
      <c r="G871" s="30"/>
      <c r="H871" s="30"/>
    </row>
    <row r="872" spans="7:8" ht="15.75" customHeight="1" x14ac:dyDescent="0.35">
      <c r="G872" s="30"/>
      <c r="H872" s="30"/>
    </row>
    <row r="873" spans="7:8" ht="15.75" customHeight="1" x14ac:dyDescent="0.35">
      <c r="G873" s="30"/>
      <c r="H873" s="30"/>
    </row>
    <row r="874" spans="7:8" ht="15.75" customHeight="1" x14ac:dyDescent="0.35">
      <c r="G874" s="30"/>
      <c r="H874" s="30"/>
    </row>
    <row r="875" spans="7:8" ht="15.75" customHeight="1" x14ac:dyDescent="0.35">
      <c r="G875" s="30"/>
      <c r="H875" s="30"/>
    </row>
    <row r="876" spans="7:8" ht="15.75" customHeight="1" x14ac:dyDescent="0.35">
      <c r="G876" s="30"/>
      <c r="H876" s="30"/>
    </row>
    <row r="877" spans="7:8" ht="15.75" customHeight="1" x14ac:dyDescent="0.35">
      <c r="G877" s="30"/>
      <c r="H877" s="30"/>
    </row>
    <row r="878" spans="7:8" ht="15.75" customHeight="1" x14ac:dyDescent="0.35">
      <c r="G878" s="30"/>
      <c r="H878" s="30"/>
    </row>
    <row r="879" spans="7:8" ht="15.75" customHeight="1" x14ac:dyDescent="0.35">
      <c r="G879" s="30"/>
      <c r="H879" s="30"/>
    </row>
    <row r="880" spans="7:8" ht="15.75" customHeight="1" x14ac:dyDescent="0.35">
      <c r="G880" s="30"/>
      <c r="H880" s="30"/>
    </row>
    <row r="881" spans="7:8" ht="15.75" customHeight="1" x14ac:dyDescent="0.35">
      <c r="G881" s="30"/>
      <c r="H881" s="30"/>
    </row>
    <row r="882" spans="7:8" ht="15.75" customHeight="1" x14ac:dyDescent="0.35">
      <c r="G882" s="30"/>
      <c r="H882" s="30"/>
    </row>
    <row r="883" spans="7:8" ht="15.75" customHeight="1" x14ac:dyDescent="0.35">
      <c r="G883" s="30"/>
      <c r="H883" s="30"/>
    </row>
    <row r="884" spans="7:8" ht="15.75" customHeight="1" x14ac:dyDescent="0.35">
      <c r="G884" s="30"/>
      <c r="H884" s="30"/>
    </row>
    <row r="885" spans="7:8" ht="15.75" customHeight="1" x14ac:dyDescent="0.35">
      <c r="G885" s="30"/>
      <c r="H885" s="30"/>
    </row>
    <row r="886" spans="7:8" ht="15.75" customHeight="1" x14ac:dyDescent="0.35">
      <c r="G886" s="30"/>
      <c r="H886" s="30"/>
    </row>
    <row r="887" spans="7:8" ht="15.75" customHeight="1" x14ac:dyDescent="0.35">
      <c r="G887" s="30"/>
      <c r="H887" s="30"/>
    </row>
    <row r="888" spans="7:8" ht="15.75" customHeight="1" x14ac:dyDescent="0.35">
      <c r="G888" s="30"/>
      <c r="H888" s="30"/>
    </row>
    <row r="889" spans="7:8" ht="15.75" customHeight="1" x14ac:dyDescent="0.35">
      <c r="G889" s="30"/>
      <c r="H889" s="30"/>
    </row>
    <row r="890" spans="7:8" ht="15.75" customHeight="1" x14ac:dyDescent="0.35">
      <c r="G890" s="30"/>
      <c r="H890" s="30"/>
    </row>
    <row r="891" spans="7:8" ht="15.75" customHeight="1" x14ac:dyDescent="0.35">
      <c r="G891" s="30"/>
      <c r="H891" s="30"/>
    </row>
    <row r="892" spans="7:8" ht="15.75" customHeight="1" x14ac:dyDescent="0.35">
      <c r="G892" s="30"/>
      <c r="H892" s="30"/>
    </row>
    <row r="893" spans="7:8" ht="15.75" customHeight="1" x14ac:dyDescent="0.35">
      <c r="G893" s="30"/>
      <c r="H893" s="30"/>
    </row>
    <row r="894" spans="7:8" ht="15.75" customHeight="1" x14ac:dyDescent="0.35">
      <c r="G894" s="30"/>
      <c r="H894" s="30"/>
    </row>
    <row r="895" spans="7:8" ht="15.75" customHeight="1" x14ac:dyDescent="0.35">
      <c r="G895" s="30"/>
      <c r="H895" s="30"/>
    </row>
    <row r="896" spans="7:8" ht="15.75" customHeight="1" x14ac:dyDescent="0.35">
      <c r="G896" s="30"/>
      <c r="H896" s="30"/>
    </row>
    <row r="897" spans="7:8" ht="15.75" customHeight="1" x14ac:dyDescent="0.35">
      <c r="G897" s="30"/>
      <c r="H897" s="30"/>
    </row>
    <row r="898" spans="7:8" ht="15.75" customHeight="1" x14ac:dyDescent="0.35">
      <c r="G898" s="30"/>
      <c r="H898" s="30"/>
    </row>
    <row r="899" spans="7:8" ht="15.75" customHeight="1" x14ac:dyDescent="0.35">
      <c r="G899" s="30"/>
      <c r="H899" s="30"/>
    </row>
    <row r="900" spans="7:8" ht="15.75" customHeight="1" x14ac:dyDescent="0.35">
      <c r="G900" s="30"/>
      <c r="H900" s="30"/>
    </row>
    <row r="901" spans="7:8" ht="15.75" customHeight="1" x14ac:dyDescent="0.35">
      <c r="G901" s="30"/>
      <c r="H901" s="30"/>
    </row>
    <row r="902" spans="7:8" ht="15.75" customHeight="1" x14ac:dyDescent="0.35">
      <c r="G902" s="30"/>
      <c r="H902" s="30"/>
    </row>
    <row r="903" spans="7:8" ht="15.75" customHeight="1" x14ac:dyDescent="0.35">
      <c r="G903" s="30"/>
      <c r="H903" s="30"/>
    </row>
    <row r="904" spans="7:8" ht="15.75" customHeight="1" x14ac:dyDescent="0.35">
      <c r="G904" s="30"/>
      <c r="H904" s="30"/>
    </row>
    <row r="905" spans="7:8" ht="15.75" customHeight="1" x14ac:dyDescent="0.35">
      <c r="G905" s="30"/>
      <c r="H905" s="30"/>
    </row>
    <row r="906" spans="7:8" ht="15.75" customHeight="1" x14ac:dyDescent="0.35">
      <c r="G906" s="30"/>
      <c r="H906" s="30"/>
    </row>
    <row r="907" spans="7:8" ht="15.75" customHeight="1" x14ac:dyDescent="0.35">
      <c r="G907" s="30"/>
      <c r="H907" s="30"/>
    </row>
    <row r="908" spans="7:8" ht="15.75" customHeight="1" x14ac:dyDescent="0.35">
      <c r="G908" s="30"/>
      <c r="H908" s="30"/>
    </row>
    <row r="909" spans="7:8" ht="15.75" customHeight="1" x14ac:dyDescent="0.35">
      <c r="G909" s="30"/>
      <c r="H909" s="30"/>
    </row>
    <row r="910" spans="7:8" ht="15.75" customHeight="1" x14ac:dyDescent="0.35">
      <c r="G910" s="30"/>
      <c r="H910" s="30"/>
    </row>
    <row r="911" spans="7:8" ht="15.75" customHeight="1" x14ac:dyDescent="0.35">
      <c r="G911" s="30"/>
      <c r="H911" s="30"/>
    </row>
    <row r="912" spans="7:8" ht="15.75" customHeight="1" x14ac:dyDescent="0.35">
      <c r="G912" s="30"/>
      <c r="H912" s="30"/>
    </row>
    <row r="913" spans="7:8" ht="15.75" customHeight="1" x14ac:dyDescent="0.35">
      <c r="G913" s="30"/>
      <c r="H913" s="30"/>
    </row>
    <row r="914" spans="7:8" ht="15.75" customHeight="1" x14ac:dyDescent="0.35">
      <c r="G914" s="30"/>
      <c r="H914" s="30"/>
    </row>
    <row r="915" spans="7:8" ht="15.75" customHeight="1" x14ac:dyDescent="0.35">
      <c r="G915" s="30"/>
      <c r="H915" s="30"/>
    </row>
    <row r="916" spans="7:8" ht="15.75" customHeight="1" x14ac:dyDescent="0.35">
      <c r="G916" s="30"/>
      <c r="H916" s="30"/>
    </row>
    <row r="917" spans="7:8" ht="15.75" customHeight="1" x14ac:dyDescent="0.35">
      <c r="G917" s="30"/>
      <c r="H917" s="30"/>
    </row>
    <row r="918" spans="7:8" ht="15.75" customHeight="1" x14ac:dyDescent="0.35">
      <c r="G918" s="30"/>
      <c r="H918" s="30"/>
    </row>
    <row r="919" spans="7:8" ht="15.75" customHeight="1" x14ac:dyDescent="0.35">
      <c r="G919" s="30"/>
      <c r="H919" s="30"/>
    </row>
    <row r="920" spans="7:8" ht="15.75" customHeight="1" x14ac:dyDescent="0.35">
      <c r="G920" s="30"/>
      <c r="H920" s="30"/>
    </row>
    <row r="921" spans="7:8" ht="15.75" customHeight="1" x14ac:dyDescent="0.35">
      <c r="G921" s="30"/>
      <c r="H921" s="30"/>
    </row>
    <row r="922" spans="7:8" ht="15.75" customHeight="1" x14ac:dyDescent="0.35">
      <c r="G922" s="30"/>
      <c r="H922" s="30"/>
    </row>
    <row r="923" spans="7:8" ht="15.75" customHeight="1" x14ac:dyDescent="0.35">
      <c r="G923" s="30"/>
      <c r="H923" s="30"/>
    </row>
    <row r="924" spans="7:8" ht="15.75" customHeight="1" x14ac:dyDescent="0.35">
      <c r="G924" s="30"/>
      <c r="H924" s="30"/>
    </row>
    <row r="925" spans="7:8" ht="15.75" customHeight="1" x14ac:dyDescent="0.35">
      <c r="G925" s="30"/>
      <c r="H925" s="30"/>
    </row>
    <row r="926" spans="7:8" ht="15.75" customHeight="1" x14ac:dyDescent="0.35">
      <c r="G926" s="30"/>
      <c r="H926" s="30"/>
    </row>
    <row r="927" spans="7:8" ht="15.75" customHeight="1" x14ac:dyDescent="0.35">
      <c r="G927" s="30"/>
      <c r="H927" s="30"/>
    </row>
    <row r="928" spans="7:8" ht="15.75" customHeight="1" x14ac:dyDescent="0.35">
      <c r="G928" s="30"/>
      <c r="H928" s="30"/>
    </row>
    <row r="929" spans="7:8" ht="15.75" customHeight="1" x14ac:dyDescent="0.35">
      <c r="G929" s="30"/>
      <c r="H929" s="30"/>
    </row>
    <row r="930" spans="7:8" ht="15.75" customHeight="1" x14ac:dyDescent="0.35">
      <c r="G930" s="30"/>
      <c r="H930" s="30"/>
    </row>
    <row r="931" spans="7:8" ht="15.75" customHeight="1" x14ac:dyDescent="0.35">
      <c r="G931" s="30"/>
      <c r="H931" s="30"/>
    </row>
    <row r="932" spans="7:8" ht="15.75" customHeight="1" x14ac:dyDescent="0.35">
      <c r="G932" s="30"/>
      <c r="H932" s="30"/>
    </row>
    <row r="933" spans="7:8" ht="15.75" customHeight="1" x14ac:dyDescent="0.35">
      <c r="G933" s="30"/>
      <c r="H933" s="30"/>
    </row>
    <row r="934" spans="7:8" ht="15.75" customHeight="1" x14ac:dyDescent="0.35">
      <c r="G934" s="30"/>
      <c r="H934" s="30"/>
    </row>
    <row r="935" spans="7:8" ht="15.75" customHeight="1" x14ac:dyDescent="0.35">
      <c r="G935" s="30"/>
      <c r="H935" s="30"/>
    </row>
    <row r="936" spans="7:8" ht="15.75" customHeight="1" x14ac:dyDescent="0.35">
      <c r="G936" s="30"/>
      <c r="H936" s="30"/>
    </row>
    <row r="937" spans="7:8" ht="15.75" customHeight="1" x14ac:dyDescent="0.35">
      <c r="G937" s="30"/>
      <c r="H937" s="30"/>
    </row>
    <row r="938" spans="7:8" ht="15.75" customHeight="1" x14ac:dyDescent="0.35">
      <c r="G938" s="30"/>
      <c r="H938" s="30"/>
    </row>
    <row r="939" spans="7:8" ht="15.75" customHeight="1" x14ac:dyDescent="0.35">
      <c r="G939" s="30"/>
      <c r="H939" s="30"/>
    </row>
    <row r="940" spans="7:8" ht="15.75" customHeight="1" x14ac:dyDescent="0.35">
      <c r="G940" s="30"/>
      <c r="H940" s="30"/>
    </row>
    <row r="941" spans="7:8" ht="15.75" customHeight="1" x14ac:dyDescent="0.35">
      <c r="G941" s="30"/>
      <c r="H941" s="30"/>
    </row>
    <row r="942" spans="7:8" ht="15.75" customHeight="1" x14ac:dyDescent="0.35">
      <c r="G942" s="30"/>
      <c r="H942" s="30"/>
    </row>
    <row r="943" spans="7:8" ht="15.75" customHeight="1" x14ac:dyDescent="0.35">
      <c r="G943" s="30"/>
      <c r="H943" s="30"/>
    </row>
    <row r="944" spans="7:8" ht="15.75" customHeight="1" x14ac:dyDescent="0.35">
      <c r="G944" s="30"/>
      <c r="H944" s="30"/>
    </row>
    <row r="945" spans="7:8" ht="15.75" customHeight="1" x14ac:dyDescent="0.35">
      <c r="G945" s="30"/>
      <c r="H945" s="30"/>
    </row>
    <row r="946" spans="7:8" ht="15.75" customHeight="1" x14ac:dyDescent="0.35">
      <c r="G946" s="30"/>
      <c r="H946" s="30"/>
    </row>
    <row r="947" spans="7:8" ht="15.75" customHeight="1" x14ac:dyDescent="0.35">
      <c r="G947" s="30"/>
      <c r="H947" s="30"/>
    </row>
    <row r="948" spans="7:8" ht="15.75" customHeight="1" x14ac:dyDescent="0.35">
      <c r="G948" s="30"/>
      <c r="H948" s="30"/>
    </row>
    <row r="949" spans="7:8" ht="15.75" customHeight="1" x14ac:dyDescent="0.35">
      <c r="G949" s="30"/>
      <c r="H949" s="30"/>
    </row>
    <row r="950" spans="7:8" ht="15.75" customHeight="1" x14ac:dyDescent="0.35">
      <c r="G950" s="30"/>
      <c r="H950" s="30"/>
    </row>
    <row r="951" spans="7:8" ht="15.75" customHeight="1" x14ac:dyDescent="0.35">
      <c r="G951" s="30"/>
      <c r="H951" s="30"/>
    </row>
    <row r="952" spans="7:8" ht="15.75" customHeight="1" x14ac:dyDescent="0.35">
      <c r="G952" s="30"/>
      <c r="H952" s="30"/>
    </row>
    <row r="953" spans="7:8" ht="15.75" customHeight="1" x14ac:dyDescent="0.35">
      <c r="G953" s="30"/>
      <c r="H953" s="30"/>
    </row>
    <row r="954" spans="7:8" ht="15.75" customHeight="1" x14ac:dyDescent="0.35">
      <c r="G954" s="30"/>
      <c r="H954" s="30"/>
    </row>
    <row r="955" spans="7:8" ht="15.75" customHeight="1" x14ac:dyDescent="0.35">
      <c r="G955" s="30"/>
      <c r="H955" s="30"/>
    </row>
    <row r="956" spans="7:8" ht="15.75" customHeight="1" x14ac:dyDescent="0.35">
      <c r="G956" s="30"/>
      <c r="H956" s="30"/>
    </row>
    <row r="957" spans="7:8" ht="15.75" customHeight="1" x14ac:dyDescent="0.35">
      <c r="G957" s="30"/>
      <c r="H957" s="30"/>
    </row>
    <row r="958" spans="7:8" ht="15.75" customHeight="1" x14ac:dyDescent="0.35">
      <c r="G958" s="30"/>
      <c r="H958" s="30"/>
    </row>
    <row r="959" spans="7:8" ht="15.75" customHeight="1" x14ac:dyDescent="0.35">
      <c r="G959" s="30"/>
      <c r="H959" s="30"/>
    </row>
    <row r="960" spans="7:8" ht="15.75" customHeight="1" x14ac:dyDescent="0.35">
      <c r="G960" s="30"/>
      <c r="H960" s="30"/>
    </row>
    <row r="961" spans="7:8" ht="15.75" customHeight="1" x14ac:dyDescent="0.35">
      <c r="G961" s="30"/>
      <c r="H961" s="30"/>
    </row>
    <row r="962" spans="7:8" ht="15.75" customHeight="1" x14ac:dyDescent="0.35">
      <c r="G962" s="30"/>
      <c r="H962" s="30"/>
    </row>
    <row r="963" spans="7:8" ht="15.75" customHeight="1" x14ac:dyDescent="0.35">
      <c r="G963" s="30"/>
      <c r="H963" s="30"/>
    </row>
    <row r="964" spans="7:8" ht="15.75" customHeight="1" x14ac:dyDescent="0.35">
      <c r="G964" s="30"/>
      <c r="H964" s="30"/>
    </row>
    <row r="965" spans="7:8" ht="15.75" customHeight="1" x14ac:dyDescent="0.35">
      <c r="G965" s="30"/>
      <c r="H965" s="30"/>
    </row>
    <row r="966" spans="7:8" ht="15.75" customHeight="1" x14ac:dyDescent="0.35">
      <c r="G966" s="30"/>
      <c r="H966" s="30"/>
    </row>
    <row r="967" spans="7:8" ht="15.75" customHeight="1" x14ac:dyDescent="0.35">
      <c r="G967" s="30"/>
      <c r="H967" s="30"/>
    </row>
    <row r="968" spans="7:8" ht="15.75" customHeight="1" x14ac:dyDescent="0.35">
      <c r="G968" s="30"/>
      <c r="H968" s="30"/>
    </row>
    <row r="969" spans="7:8" ht="15.75" customHeight="1" x14ac:dyDescent="0.35">
      <c r="G969" s="30"/>
      <c r="H969" s="30"/>
    </row>
    <row r="970" spans="7:8" ht="15.75" customHeight="1" x14ac:dyDescent="0.35">
      <c r="G970" s="30"/>
      <c r="H970" s="30"/>
    </row>
    <row r="971" spans="7:8" ht="15.75" customHeight="1" x14ac:dyDescent="0.35">
      <c r="G971" s="30"/>
      <c r="H971" s="30"/>
    </row>
    <row r="972" spans="7:8" ht="15.75" customHeight="1" x14ac:dyDescent="0.35">
      <c r="G972" s="30"/>
      <c r="H972" s="30"/>
    </row>
    <row r="973" spans="7:8" ht="15.75" customHeight="1" x14ac:dyDescent="0.35">
      <c r="G973" s="30"/>
      <c r="H973" s="30"/>
    </row>
    <row r="974" spans="7:8" ht="15.75" customHeight="1" x14ac:dyDescent="0.35">
      <c r="G974" s="30"/>
      <c r="H974" s="30"/>
    </row>
    <row r="975" spans="7:8" ht="15.75" customHeight="1" x14ac:dyDescent="0.35">
      <c r="G975" s="30"/>
      <c r="H975" s="30"/>
    </row>
    <row r="976" spans="7:8" ht="15.75" customHeight="1" x14ac:dyDescent="0.35">
      <c r="G976" s="30"/>
      <c r="H976" s="30"/>
    </row>
    <row r="977" spans="7:8" ht="15.75" customHeight="1" x14ac:dyDescent="0.35">
      <c r="G977" s="30"/>
      <c r="H977" s="30"/>
    </row>
    <row r="978" spans="7:8" ht="15.75" customHeight="1" x14ac:dyDescent="0.35">
      <c r="G978" s="30"/>
      <c r="H978" s="30"/>
    </row>
    <row r="979" spans="7:8" ht="15.75" customHeight="1" x14ac:dyDescent="0.35">
      <c r="G979" s="30"/>
      <c r="H979" s="30"/>
    </row>
    <row r="980" spans="7:8" ht="15.75" customHeight="1" x14ac:dyDescent="0.35">
      <c r="G980" s="30"/>
      <c r="H980" s="30"/>
    </row>
    <row r="981" spans="7:8" ht="15.75" customHeight="1" x14ac:dyDescent="0.35">
      <c r="G981" s="30"/>
      <c r="H981" s="30"/>
    </row>
    <row r="982" spans="7:8" ht="15.75" customHeight="1" x14ac:dyDescent="0.35">
      <c r="G982" s="30"/>
      <c r="H982" s="30"/>
    </row>
    <row r="983" spans="7:8" ht="15.75" customHeight="1" x14ac:dyDescent="0.35">
      <c r="G983" s="30"/>
      <c r="H983" s="30"/>
    </row>
    <row r="984" spans="7:8" ht="15.75" customHeight="1" x14ac:dyDescent="0.35">
      <c r="G984" s="30"/>
      <c r="H984" s="30"/>
    </row>
    <row r="985" spans="7:8" ht="15.75" customHeight="1" x14ac:dyDescent="0.35">
      <c r="G985" s="30"/>
      <c r="H985" s="30"/>
    </row>
    <row r="986" spans="7:8" ht="15.75" customHeight="1" x14ac:dyDescent="0.35">
      <c r="G986" s="30"/>
      <c r="H986" s="30"/>
    </row>
    <row r="987" spans="7:8" ht="15.75" customHeight="1" x14ac:dyDescent="0.35">
      <c r="G987" s="30"/>
      <c r="H987" s="30"/>
    </row>
    <row r="988" spans="7:8" ht="15.75" customHeight="1" x14ac:dyDescent="0.35">
      <c r="G988" s="30"/>
      <c r="H988" s="30"/>
    </row>
    <row r="989" spans="7:8" ht="15.75" customHeight="1" x14ac:dyDescent="0.35">
      <c r="G989" s="30"/>
      <c r="H989" s="30"/>
    </row>
    <row r="990" spans="7:8" ht="15.75" customHeight="1" x14ac:dyDescent="0.35">
      <c r="G990" s="30"/>
      <c r="H990" s="30"/>
    </row>
    <row r="991" spans="7:8" ht="15.75" customHeight="1" x14ac:dyDescent="0.35">
      <c r="G991" s="30"/>
      <c r="H991" s="30"/>
    </row>
    <row r="992" spans="7:8" ht="15.75" customHeight="1" x14ac:dyDescent="0.35">
      <c r="G992" s="30"/>
      <c r="H992" s="30"/>
    </row>
    <row r="993" spans="7:8" ht="15.75" customHeight="1" x14ac:dyDescent="0.35">
      <c r="G993" s="30"/>
      <c r="H993" s="30"/>
    </row>
    <row r="994" spans="7:8" ht="15.75" customHeight="1" x14ac:dyDescent="0.35">
      <c r="G994" s="30"/>
      <c r="H994" s="30"/>
    </row>
    <row r="995" spans="7:8" ht="15.75" customHeight="1" x14ac:dyDescent="0.35">
      <c r="G995" s="30"/>
      <c r="H995" s="30"/>
    </row>
    <row r="996" spans="7:8" ht="15.75" customHeight="1" x14ac:dyDescent="0.35">
      <c r="G996" s="30"/>
      <c r="H996" s="30"/>
    </row>
    <row r="997" spans="7:8" ht="15.75" customHeight="1" x14ac:dyDescent="0.35">
      <c r="G997" s="30"/>
      <c r="H997" s="30"/>
    </row>
    <row r="998" spans="7:8" ht="15.75" customHeight="1" x14ac:dyDescent="0.35">
      <c r="G998" s="30"/>
      <c r="H998" s="30"/>
    </row>
    <row r="999" spans="7:8" ht="15.75" customHeight="1" x14ac:dyDescent="0.35">
      <c r="G999" s="30"/>
      <c r="H999" s="30"/>
    </row>
    <row r="1000" spans="7:8" ht="15.75" customHeight="1" x14ac:dyDescent="0.35">
      <c r="G1000" s="30"/>
      <c r="H1000" s="30"/>
    </row>
    <row r="1001" spans="7:8" ht="15.75" customHeight="1" x14ac:dyDescent="0.35">
      <c r="G1001" s="30"/>
      <c r="H1001" s="30"/>
    </row>
    <row r="1002" spans="7:8" ht="15.75" customHeight="1" x14ac:dyDescent="0.35">
      <c r="G1002" s="30"/>
      <c r="H1002" s="30"/>
    </row>
    <row r="1003" spans="7:8" ht="15.75" customHeight="1" x14ac:dyDescent="0.35">
      <c r="G1003" s="30"/>
      <c r="H1003" s="30"/>
    </row>
    <row r="1004" spans="7:8" ht="15.75" customHeight="1" x14ac:dyDescent="0.35">
      <c r="G1004" s="30"/>
      <c r="H1004" s="30"/>
    </row>
    <row r="1005" spans="7:8" ht="15.75" customHeight="1" x14ac:dyDescent="0.35">
      <c r="G1005" s="30"/>
      <c r="H1005" s="30"/>
    </row>
    <row r="1006" spans="7:8" ht="15.75" customHeight="1" x14ac:dyDescent="0.35">
      <c r="G1006" s="30"/>
      <c r="H1006" s="30"/>
    </row>
    <row r="1007" spans="7:8" ht="15.75" customHeight="1" x14ac:dyDescent="0.35">
      <c r="G1007" s="30"/>
      <c r="H1007" s="30"/>
    </row>
    <row r="1008" spans="7:8" ht="15.75" customHeight="1" x14ac:dyDescent="0.35">
      <c r="G1008" s="30"/>
      <c r="H1008" s="30"/>
    </row>
    <row r="1009" spans="7:8" ht="15.75" customHeight="1" x14ac:dyDescent="0.35">
      <c r="G1009" s="30"/>
      <c r="H1009" s="30"/>
    </row>
    <row r="1010" spans="7:8" ht="15.75" customHeight="1" x14ac:dyDescent="0.35">
      <c r="G1010" s="30"/>
      <c r="H1010" s="30"/>
    </row>
    <row r="1011" spans="7:8" ht="15.75" customHeight="1" x14ac:dyDescent="0.35">
      <c r="G1011" s="30"/>
      <c r="H1011" s="30"/>
    </row>
    <row r="1012" spans="7:8" ht="15.75" customHeight="1" x14ac:dyDescent="0.35">
      <c r="G1012" s="30"/>
      <c r="H1012" s="30"/>
    </row>
    <row r="1013" spans="7:8" ht="15.75" customHeight="1" x14ac:dyDescent="0.35">
      <c r="G1013" s="30"/>
      <c r="H1013" s="30"/>
    </row>
    <row r="1014" spans="7:8" ht="15.75" customHeight="1" x14ac:dyDescent="0.35">
      <c r="G1014" s="30"/>
      <c r="H1014" s="30"/>
    </row>
    <row r="1015" spans="7:8" ht="15.75" customHeight="1" x14ac:dyDescent="0.35">
      <c r="G1015" s="30"/>
      <c r="H1015" s="30"/>
    </row>
    <row r="1016" spans="7:8" ht="15.75" customHeight="1" x14ac:dyDescent="0.35">
      <c r="G1016" s="30"/>
      <c r="H1016" s="30"/>
    </row>
    <row r="1017" spans="7:8" ht="15.75" customHeight="1" x14ac:dyDescent="0.35">
      <c r="G1017" s="30"/>
      <c r="H1017" s="30"/>
    </row>
    <row r="1018" spans="7:8" ht="15.75" customHeight="1" x14ac:dyDescent="0.35">
      <c r="G1018" s="30"/>
      <c r="H1018" s="30"/>
    </row>
    <row r="1019" spans="7:8" ht="15.75" customHeight="1" x14ac:dyDescent="0.35">
      <c r="G1019" s="30"/>
      <c r="H1019" s="30"/>
    </row>
    <row r="1020" spans="7:8" ht="15.75" customHeight="1" x14ac:dyDescent="0.35">
      <c r="G1020" s="30"/>
      <c r="H1020" s="30"/>
    </row>
    <row r="1021" spans="7:8" ht="15.75" customHeight="1" x14ac:dyDescent="0.35">
      <c r="G1021" s="30"/>
      <c r="H1021" s="30"/>
    </row>
    <row r="1022" spans="7:8" ht="15.75" customHeight="1" x14ac:dyDescent="0.35">
      <c r="G1022" s="30"/>
      <c r="H1022" s="30"/>
    </row>
    <row r="1023" spans="7:8" ht="15.75" customHeight="1" x14ac:dyDescent="0.35">
      <c r="G1023" s="30"/>
      <c r="H1023" s="30"/>
    </row>
    <row r="1024" spans="7:8" ht="15.75" customHeight="1" x14ac:dyDescent="0.35">
      <c r="G1024" s="30"/>
      <c r="H1024" s="30"/>
    </row>
    <row r="1025" spans="7:8" ht="15.75" customHeight="1" x14ac:dyDescent="0.35">
      <c r="G1025" s="30"/>
      <c r="H1025" s="30"/>
    </row>
    <row r="1026" spans="7:8" ht="15.75" customHeight="1" x14ac:dyDescent="0.35">
      <c r="G1026" s="30"/>
      <c r="H1026" s="30"/>
    </row>
    <row r="1027" spans="7:8" ht="15.75" customHeight="1" x14ac:dyDescent="0.35">
      <c r="G1027" s="30"/>
      <c r="H1027" s="30"/>
    </row>
    <row r="1028" spans="7:8" ht="15.75" customHeight="1" x14ac:dyDescent="0.35">
      <c r="G1028" s="30"/>
      <c r="H1028" s="30"/>
    </row>
    <row r="1029" spans="7:8" ht="15.75" customHeight="1" x14ac:dyDescent="0.35">
      <c r="G1029" s="30"/>
      <c r="H1029" s="30"/>
    </row>
    <row r="1030" spans="7:8" ht="15.75" customHeight="1" x14ac:dyDescent="0.35">
      <c r="G1030" s="30"/>
      <c r="H1030" s="30"/>
    </row>
    <row r="1031" spans="7:8" ht="15.75" customHeight="1" x14ac:dyDescent="0.35">
      <c r="G1031" s="30"/>
      <c r="H1031" s="30"/>
    </row>
    <row r="1032" spans="7:8" ht="15.75" customHeight="1" x14ac:dyDescent="0.35">
      <c r="G1032" s="30"/>
      <c r="H1032" s="30"/>
    </row>
    <row r="1033" spans="7:8" ht="15.75" customHeight="1" x14ac:dyDescent="0.35">
      <c r="G1033" s="30"/>
      <c r="H1033" s="30"/>
    </row>
    <row r="1034" spans="7:8" ht="15.75" customHeight="1" x14ac:dyDescent="0.35">
      <c r="G1034" s="30"/>
      <c r="H1034" s="30"/>
    </row>
    <row r="1035" spans="7:8" ht="15.75" customHeight="1" x14ac:dyDescent="0.35">
      <c r="G1035" s="30"/>
      <c r="H1035" s="30"/>
    </row>
    <row r="1036" spans="7:8" ht="15.75" customHeight="1" x14ac:dyDescent="0.35">
      <c r="G1036" s="30"/>
      <c r="H1036" s="30"/>
    </row>
    <row r="1037" spans="7:8" ht="15.75" customHeight="1" x14ac:dyDescent="0.35">
      <c r="G1037" s="30"/>
      <c r="H1037" s="30"/>
    </row>
    <row r="1038" spans="7:8" ht="15.75" customHeight="1" x14ac:dyDescent="0.35">
      <c r="G1038" s="30"/>
      <c r="H1038" s="30"/>
    </row>
    <row r="1039" spans="7:8" ht="15.75" customHeight="1" x14ac:dyDescent="0.35">
      <c r="G1039" s="30"/>
      <c r="H1039" s="30"/>
    </row>
    <row r="1040" spans="7:8" ht="15.75" customHeight="1" x14ac:dyDescent="0.35">
      <c r="G1040" s="30"/>
      <c r="H1040" s="30"/>
    </row>
    <row r="1041" spans="7:8" ht="15.75" customHeight="1" x14ac:dyDescent="0.35">
      <c r="G1041" s="30"/>
      <c r="H1041" s="30"/>
    </row>
    <row r="1042" spans="7:8" ht="15.75" customHeight="1" x14ac:dyDescent="0.35">
      <c r="G1042" s="30"/>
      <c r="H1042" s="30"/>
    </row>
    <row r="1043" spans="7:8" ht="15.75" customHeight="1" x14ac:dyDescent="0.35">
      <c r="G1043" s="30"/>
      <c r="H1043" s="30"/>
    </row>
    <row r="1044" spans="7:8" ht="15.75" customHeight="1" x14ac:dyDescent="0.35">
      <c r="G1044" s="30"/>
      <c r="H1044" s="30"/>
    </row>
    <row r="1045" spans="7:8" ht="15.75" customHeight="1" x14ac:dyDescent="0.35">
      <c r="G1045" s="30"/>
      <c r="H1045" s="30"/>
    </row>
    <row r="1046" spans="7:8" ht="15.75" customHeight="1" x14ac:dyDescent="0.35">
      <c r="G1046" s="30"/>
      <c r="H1046" s="30"/>
    </row>
    <row r="1047" spans="7:8" ht="15.75" customHeight="1" x14ac:dyDescent="0.35">
      <c r="G1047" s="30"/>
      <c r="H1047" s="30"/>
    </row>
    <row r="1048" spans="7:8" ht="15.75" customHeight="1" x14ac:dyDescent="0.35">
      <c r="G1048" s="30"/>
      <c r="H1048" s="30"/>
    </row>
    <row r="1049" spans="7:8" ht="15.75" customHeight="1" x14ac:dyDescent="0.35">
      <c r="G1049" s="30"/>
      <c r="H1049" s="30"/>
    </row>
  </sheetData>
  <mergeCells count="83">
    <mergeCell ref="B75:C75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58:C58"/>
    <mergeCell ref="B53:C53"/>
    <mergeCell ref="B54:C54"/>
    <mergeCell ref="B55:C55"/>
    <mergeCell ref="B60:C60"/>
    <mergeCell ref="J30:J31"/>
    <mergeCell ref="B29:C29"/>
    <mergeCell ref="B30:C30"/>
    <mergeCell ref="B31:C31"/>
    <mergeCell ref="B32:C32"/>
    <mergeCell ref="C88:G88"/>
    <mergeCell ref="C89:G89"/>
    <mergeCell ref="B27:C27"/>
    <mergeCell ref="B28:C28"/>
    <mergeCell ref="B34:C34"/>
    <mergeCell ref="B35:C35"/>
    <mergeCell ref="B36:C36"/>
    <mergeCell ref="B76:C76"/>
    <mergeCell ref="B77:C77"/>
    <mergeCell ref="B78:C78"/>
    <mergeCell ref="A80:F80"/>
    <mergeCell ref="B81:C81"/>
    <mergeCell ref="B56:C56"/>
    <mergeCell ref="B48:C48"/>
    <mergeCell ref="B33:C33"/>
    <mergeCell ref="B38:C38"/>
    <mergeCell ref="A25:A26"/>
    <mergeCell ref="B25:C26"/>
    <mergeCell ref="D25:F25"/>
    <mergeCell ref="C82:G82"/>
    <mergeCell ref="C83:G83"/>
    <mergeCell ref="B39:C39"/>
    <mergeCell ref="B40:C40"/>
    <mergeCell ref="B41:C41"/>
    <mergeCell ref="B47:C47"/>
    <mergeCell ref="B61:C61"/>
    <mergeCell ref="B49:C49"/>
    <mergeCell ref="B50:C50"/>
    <mergeCell ref="B51:C51"/>
    <mergeCell ref="B52:C52"/>
    <mergeCell ref="B57:C57"/>
    <mergeCell ref="B59:C59"/>
    <mergeCell ref="B20:E20"/>
    <mergeCell ref="F20:G20"/>
    <mergeCell ref="B22:E22"/>
    <mergeCell ref="F22:G22"/>
    <mergeCell ref="B23:E23"/>
    <mergeCell ref="F23:G23"/>
    <mergeCell ref="A1:E1"/>
    <mergeCell ref="F1:G1"/>
    <mergeCell ref="A2:G2"/>
    <mergeCell ref="B4:G4"/>
    <mergeCell ref="B5:G5"/>
    <mergeCell ref="B37:C37"/>
    <mergeCell ref="B6:G6"/>
    <mergeCell ref="B42:C42"/>
    <mergeCell ref="B43:C43"/>
    <mergeCell ref="B44:C44"/>
    <mergeCell ref="B21:E21"/>
    <mergeCell ref="F21:G21"/>
    <mergeCell ref="B7:G7"/>
    <mergeCell ref="B8:G8"/>
    <mergeCell ref="B9:G9"/>
    <mergeCell ref="B10:G10"/>
    <mergeCell ref="B11:G11"/>
    <mergeCell ref="B12:G12"/>
    <mergeCell ref="A18:G18"/>
    <mergeCell ref="B19:E19"/>
    <mergeCell ref="F19:G19"/>
  </mergeCells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9AB6F-278A-49AF-9223-4AB9C4237F7D}">
  <dimension ref="A1:W1075"/>
  <sheetViews>
    <sheetView topLeftCell="A28" zoomScale="71" zoomScaleNormal="71" workbookViewId="0">
      <selection activeCell="B23" sqref="B23:E23"/>
    </sheetView>
  </sheetViews>
  <sheetFormatPr defaultColWidth="14.453125" defaultRowHeight="15" customHeight="1" x14ac:dyDescent="0.35"/>
  <cols>
    <col min="1" max="1" width="18.453125" bestFit="1" customWidth="1"/>
    <col min="2" max="2" width="18.81640625" customWidth="1"/>
    <col min="3" max="3" width="33.54296875" customWidth="1"/>
    <col min="4" max="4" width="10" customWidth="1"/>
    <col min="5" max="5" width="9.453125" customWidth="1"/>
    <col min="6" max="6" width="13.1796875" customWidth="1"/>
    <col min="7" max="7" width="18" customWidth="1"/>
    <col min="8" max="8" width="8.7265625" customWidth="1"/>
    <col min="9" max="9" width="14.54296875" customWidth="1"/>
    <col min="10" max="10" width="16.54296875" customWidth="1"/>
    <col min="11" max="23" width="8.7265625" customWidth="1"/>
  </cols>
  <sheetData>
    <row r="1" spans="1:7" ht="44.25" customHeight="1" x14ac:dyDescent="0.35">
      <c r="A1" s="138" t="s">
        <v>0</v>
      </c>
      <c r="B1" s="139"/>
      <c r="C1" s="139"/>
      <c r="D1" s="139"/>
      <c r="E1" s="140"/>
      <c r="F1" s="141" t="s">
        <v>1</v>
      </c>
      <c r="G1" s="142"/>
    </row>
    <row r="2" spans="1:7" s="31" customFormat="1" thickBot="1" x14ac:dyDescent="0.4">
      <c r="A2" s="143" t="s">
        <v>47</v>
      </c>
      <c r="B2" s="144"/>
      <c r="C2" s="144"/>
      <c r="D2" s="144"/>
      <c r="E2" s="144"/>
      <c r="F2" s="144"/>
      <c r="G2" s="145"/>
    </row>
    <row r="3" spans="1:7" ht="14.5" x14ac:dyDescent="0.35">
      <c r="A3" s="1"/>
      <c r="B3" s="1"/>
      <c r="C3" s="1"/>
      <c r="D3" s="1"/>
      <c r="E3" s="1"/>
      <c r="F3" s="1"/>
      <c r="G3" s="1"/>
    </row>
    <row r="4" spans="1:7" ht="14.25" customHeight="1" x14ac:dyDescent="0.35">
      <c r="A4" s="2" t="s">
        <v>2</v>
      </c>
      <c r="B4" s="146" t="s">
        <v>3</v>
      </c>
      <c r="C4" s="133"/>
      <c r="D4" s="133"/>
      <c r="E4" s="133"/>
      <c r="F4" s="133"/>
      <c r="G4" s="133"/>
    </row>
    <row r="5" spans="1:7" ht="14.25" customHeight="1" x14ac:dyDescent="0.35">
      <c r="A5" s="2" t="s">
        <v>4</v>
      </c>
      <c r="B5" s="146" t="s">
        <v>5</v>
      </c>
      <c r="C5" s="133"/>
      <c r="D5" s="133"/>
      <c r="E5" s="133"/>
      <c r="F5" s="133"/>
      <c r="G5" s="133"/>
    </row>
    <row r="6" spans="1:7" ht="14.25" customHeight="1" x14ac:dyDescent="0.35">
      <c r="A6" s="2" t="s">
        <v>6</v>
      </c>
      <c r="B6" s="132" t="s">
        <v>110</v>
      </c>
      <c r="C6" s="133"/>
      <c r="D6" s="133"/>
      <c r="E6" s="133"/>
      <c r="F6" s="133"/>
      <c r="G6" s="133"/>
    </row>
    <row r="7" spans="1:7" ht="14.25" customHeight="1" x14ac:dyDescent="0.35">
      <c r="A7" s="2" t="s">
        <v>7</v>
      </c>
      <c r="B7" s="132" t="s">
        <v>111</v>
      </c>
      <c r="C7" s="133"/>
      <c r="D7" s="133"/>
      <c r="E7" s="133"/>
      <c r="F7" s="133"/>
      <c r="G7" s="133"/>
    </row>
    <row r="8" spans="1:7" ht="30.65" customHeight="1" x14ac:dyDescent="0.35">
      <c r="A8" s="81" t="s">
        <v>8</v>
      </c>
      <c r="B8" s="241" t="s">
        <v>112</v>
      </c>
      <c r="C8" s="242"/>
      <c r="D8" s="242"/>
      <c r="E8" s="242"/>
      <c r="F8" s="242"/>
      <c r="G8" s="242"/>
    </row>
    <row r="9" spans="1:7" ht="14.25" customHeight="1" x14ac:dyDescent="0.35">
      <c r="A9" s="2" t="s">
        <v>9</v>
      </c>
      <c r="B9" s="154" t="s">
        <v>120</v>
      </c>
      <c r="C9" s="153"/>
      <c r="D9" s="153"/>
      <c r="E9" s="153"/>
      <c r="F9" s="153"/>
      <c r="G9" s="153"/>
    </row>
    <row r="10" spans="1:7" ht="14.25" customHeight="1" x14ac:dyDescent="0.35">
      <c r="A10" s="2" t="s">
        <v>10</v>
      </c>
      <c r="B10" s="132" t="s">
        <v>114</v>
      </c>
      <c r="C10" s="133"/>
      <c r="D10" s="133"/>
      <c r="E10" s="133"/>
      <c r="F10" s="133"/>
      <c r="G10" s="133"/>
    </row>
    <row r="11" spans="1:7" ht="14.25" customHeight="1" x14ac:dyDescent="0.35">
      <c r="A11" s="2" t="s">
        <v>11</v>
      </c>
      <c r="B11" s="132" t="s">
        <v>115</v>
      </c>
      <c r="C11" s="133"/>
      <c r="D11" s="133"/>
      <c r="E11" s="133"/>
      <c r="F11" s="133"/>
      <c r="G11" s="133"/>
    </row>
    <row r="12" spans="1:7" ht="14.25" customHeight="1" x14ac:dyDescent="0.35">
      <c r="A12" s="2" t="s">
        <v>12</v>
      </c>
      <c r="B12" s="146" t="s">
        <v>13</v>
      </c>
      <c r="C12" s="133"/>
      <c r="D12" s="133"/>
      <c r="E12" s="133"/>
      <c r="F12" s="133"/>
      <c r="G12" s="133"/>
    </row>
    <row r="13" spans="1:7" ht="14.25" customHeight="1" x14ac:dyDescent="0.35">
      <c r="A13" s="2" t="s">
        <v>14</v>
      </c>
      <c r="B13" s="82" t="s">
        <v>116</v>
      </c>
    </row>
    <row r="14" spans="1:7" ht="14.25" customHeight="1" x14ac:dyDescent="0.35">
      <c r="A14" t="s">
        <v>46</v>
      </c>
      <c r="B14" s="82" t="s">
        <v>122</v>
      </c>
    </row>
    <row r="15" spans="1:7" ht="14.25" customHeight="1" x14ac:dyDescent="0.35">
      <c r="A15" t="s">
        <v>48</v>
      </c>
      <c r="B15" s="82" t="s">
        <v>119</v>
      </c>
    </row>
    <row r="16" spans="1:7" ht="14.25" customHeight="1" x14ac:dyDescent="0.35">
      <c r="A16" t="s">
        <v>49</v>
      </c>
      <c r="B16" t="s">
        <v>15</v>
      </c>
    </row>
    <row r="17" spans="1:10" thickBot="1" x14ac:dyDescent="0.4">
      <c r="C17" s="4"/>
      <c r="D17" s="4"/>
      <c r="E17" s="4"/>
      <c r="F17" s="4"/>
      <c r="G17" s="4"/>
    </row>
    <row r="18" spans="1:10" ht="14.5" x14ac:dyDescent="0.35">
      <c r="A18" s="155" t="s">
        <v>17</v>
      </c>
      <c r="B18" s="139"/>
      <c r="C18" s="139"/>
      <c r="D18" s="139"/>
      <c r="E18" s="139"/>
      <c r="F18" s="139"/>
      <c r="G18" s="142"/>
    </row>
    <row r="19" spans="1:10" ht="14.25" customHeight="1" x14ac:dyDescent="0.35">
      <c r="A19" s="5" t="s">
        <v>18</v>
      </c>
      <c r="B19" s="156" t="s">
        <v>19</v>
      </c>
      <c r="C19" s="157"/>
      <c r="D19" s="157"/>
      <c r="E19" s="158"/>
      <c r="F19" s="156" t="s">
        <v>20</v>
      </c>
      <c r="G19" s="159"/>
    </row>
    <row r="20" spans="1:10" ht="30.65" customHeight="1" x14ac:dyDescent="0.35">
      <c r="A20" s="15" t="s">
        <v>21</v>
      </c>
      <c r="B20" s="164" t="s">
        <v>127</v>
      </c>
      <c r="C20" s="165"/>
      <c r="D20" s="165"/>
      <c r="E20" s="166"/>
      <c r="F20" s="163">
        <v>0.65</v>
      </c>
      <c r="G20" s="151"/>
    </row>
    <row r="21" spans="1:10" ht="14.25" customHeight="1" x14ac:dyDescent="0.35">
      <c r="A21" s="6" t="s">
        <v>22</v>
      </c>
      <c r="B21" s="239" t="s">
        <v>128</v>
      </c>
      <c r="C21" s="157"/>
      <c r="D21" s="157"/>
      <c r="E21" s="158"/>
      <c r="F21" s="240">
        <v>191384000</v>
      </c>
      <c r="G21" s="159"/>
    </row>
    <row r="22" spans="1:10" ht="29.25" customHeight="1" x14ac:dyDescent="0.35">
      <c r="A22" s="15" t="s">
        <v>23</v>
      </c>
      <c r="B22" s="164" t="s">
        <v>129</v>
      </c>
      <c r="C22" s="165"/>
      <c r="D22" s="165"/>
      <c r="E22" s="166"/>
      <c r="F22" s="167" t="s">
        <v>130</v>
      </c>
      <c r="G22" s="243"/>
    </row>
    <row r="23" spans="1:10" ht="33" customHeight="1" thickBot="1" x14ac:dyDescent="0.4">
      <c r="A23" s="83" t="s">
        <v>24</v>
      </c>
      <c r="B23" s="244" t="s">
        <v>126</v>
      </c>
      <c r="C23" s="245"/>
      <c r="D23" s="245"/>
      <c r="E23" s="246"/>
      <c r="F23" s="171">
        <v>0.77</v>
      </c>
      <c r="G23" s="247"/>
    </row>
    <row r="24" spans="1:10" ht="6" customHeight="1" thickBot="1" x14ac:dyDescent="0.4">
      <c r="B24" s="4"/>
      <c r="C24" s="4"/>
      <c r="D24" s="4"/>
      <c r="E24" s="4"/>
      <c r="F24" s="4"/>
      <c r="G24" s="4"/>
    </row>
    <row r="25" spans="1:10" ht="14.25" customHeight="1" x14ac:dyDescent="0.35">
      <c r="A25" s="173" t="s">
        <v>25</v>
      </c>
      <c r="B25" s="175" t="s">
        <v>26</v>
      </c>
      <c r="C25" s="176"/>
      <c r="D25" s="179" t="s">
        <v>27</v>
      </c>
      <c r="E25" s="139"/>
      <c r="F25" s="140"/>
      <c r="G25" s="8" t="s">
        <v>28</v>
      </c>
    </row>
    <row r="26" spans="1:10" ht="15.75" customHeight="1" x14ac:dyDescent="0.35">
      <c r="A26" s="174"/>
      <c r="B26" s="177"/>
      <c r="C26" s="178"/>
      <c r="D26" s="42" t="s">
        <v>29</v>
      </c>
      <c r="E26" s="42" t="s">
        <v>30</v>
      </c>
      <c r="F26" s="42" t="s">
        <v>31</v>
      </c>
      <c r="G26" s="43" t="s">
        <v>32</v>
      </c>
    </row>
    <row r="27" spans="1:10" s="32" customFormat="1" ht="24" customHeight="1" x14ac:dyDescent="0.3">
      <c r="A27" s="44">
        <v>5</v>
      </c>
      <c r="B27" s="183" t="s">
        <v>52</v>
      </c>
      <c r="C27" s="183"/>
      <c r="D27" s="45"/>
      <c r="E27" s="46"/>
      <c r="F27" s="46"/>
      <c r="G27" s="89">
        <f>G28</f>
        <v>191384000</v>
      </c>
      <c r="J27" s="33"/>
    </row>
    <row r="28" spans="1:10" s="32" customFormat="1" ht="17.5" customHeight="1" x14ac:dyDescent="0.3">
      <c r="A28" s="44">
        <v>5.0999999999999996</v>
      </c>
      <c r="B28" s="183" t="s">
        <v>53</v>
      </c>
      <c r="C28" s="183"/>
      <c r="D28" s="45"/>
      <c r="E28" s="46"/>
      <c r="F28" s="46"/>
      <c r="G28" s="89">
        <f>G29</f>
        <v>191384000</v>
      </c>
      <c r="J28" s="33"/>
    </row>
    <row r="29" spans="1:10" s="32" customFormat="1" ht="14" x14ac:dyDescent="0.3">
      <c r="A29" s="47" t="s">
        <v>54</v>
      </c>
      <c r="B29" s="183" t="s">
        <v>55</v>
      </c>
      <c r="C29" s="183"/>
      <c r="D29" s="48"/>
      <c r="E29" s="49"/>
      <c r="F29" s="49"/>
      <c r="G29" s="89">
        <f>G30+G58+G73</f>
        <v>191384000</v>
      </c>
    </row>
    <row r="30" spans="1:10" s="32" customFormat="1" ht="14" x14ac:dyDescent="0.3">
      <c r="A30" s="47" t="s">
        <v>56</v>
      </c>
      <c r="B30" s="183" t="s">
        <v>57</v>
      </c>
      <c r="C30" s="183"/>
      <c r="D30" s="48"/>
      <c r="E30" s="49"/>
      <c r="F30" s="49"/>
      <c r="G30" s="89">
        <f>G31</f>
        <v>38736748</v>
      </c>
    </row>
    <row r="31" spans="1:10" s="32" customFormat="1" ht="18.75" customHeight="1" x14ac:dyDescent="0.3">
      <c r="A31" s="47" t="s">
        <v>131</v>
      </c>
      <c r="B31" s="183" t="s">
        <v>58</v>
      </c>
      <c r="C31" s="183"/>
      <c r="D31" s="48"/>
      <c r="E31" s="49"/>
      <c r="F31" s="49"/>
      <c r="G31" s="89">
        <f>G32+G44+G47+G50+G52+G55</f>
        <v>38736748</v>
      </c>
    </row>
    <row r="32" spans="1:10" s="32" customFormat="1" ht="38.5" customHeight="1" x14ac:dyDescent="0.3">
      <c r="A32" s="47" t="s">
        <v>132</v>
      </c>
      <c r="B32" s="183" t="s">
        <v>91</v>
      </c>
      <c r="C32" s="183"/>
      <c r="D32" s="48"/>
      <c r="E32" s="49"/>
      <c r="F32" s="49"/>
      <c r="G32" s="88">
        <f>SUM(G33:G43)</f>
        <v>8808625</v>
      </c>
    </row>
    <row r="33" spans="1:8" s="32" customFormat="1" ht="14.5" x14ac:dyDescent="0.3">
      <c r="A33" s="50"/>
      <c r="B33" s="184" t="s">
        <v>182</v>
      </c>
      <c r="C33" s="184"/>
      <c r="D33" s="51">
        <v>5</v>
      </c>
      <c r="E33" s="50" t="s">
        <v>59</v>
      </c>
      <c r="F33" s="52">
        <v>48025</v>
      </c>
      <c r="G33" s="71">
        <f>D33*F33</f>
        <v>240125</v>
      </c>
    </row>
    <row r="34" spans="1:8" s="32" customFormat="1" ht="14.5" x14ac:dyDescent="0.3">
      <c r="A34" s="50"/>
      <c r="B34" s="130" t="s">
        <v>183</v>
      </c>
      <c r="C34" s="131"/>
      <c r="D34" s="51">
        <v>5</v>
      </c>
      <c r="E34" s="50" t="s">
        <v>100</v>
      </c>
      <c r="F34" s="52">
        <v>17950</v>
      </c>
      <c r="G34" s="71">
        <f>D34*F34</f>
        <v>89750</v>
      </c>
    </row>
    <row r="35" spans="1:8" s="32" customFormat="1" ht="14.5" x14ac:dyDescent="0.3">
      <c r="A35" s="50"/>
      <c r="B35" s="184" t="s">
        <v>181</v>
      </c>
      <c r="C35" s="184"/>
      <c r="D35" s="53">
        <v>30</v>
      </c>
      <c r="E35" s="54" t="s">
        <v>95</v>
      </c>
      <c r="F35" s="55">
        <v>64675</v>
      </c>
      <c r="G35" s="71">
        <f t="shared" ref="G35:G43" si="0">D35*F35</f>
        <v>1940250</v>
      </c>
    </row>
    <row r="36" spans="1:8" s="32" customFormat="1" ht="21" customHeight="1" x14ac:dyDescent="0.3">
      <c r="A36" s="50"/>
      <c r="B36" s="184" t="s">
        <v>96</v>
      </c>
      <c r="C36" s="184"/>
      <c r="D36" s="53">
        <v>15</v>
      </c>
      <c r="E36" s="54" t="s">
        <v>97</v>
      </c>
      <c r="F36" s="55">
        <v>138775</v>
      </c>
      <c r="G36" s="71">
        <f t="shared" si="0"/>
        <v>2081625</v>
      </c>
    </row>
    <row r="37" spans="1:8" s="32" customFormat="1" ht="28.5" customHeight="1" x14ac:dyDescent="0.3">
      <c r="A37" s="50"/>
      <c r="B37" s="184" t="s">
        <v>98</v>
      </c>
      <c r="C37" s="184"/>
      <c r="D37" s="53">
        <v>5</v>
      </c>
      <c r="E37" s="54" t="s">
        <v>99</v>
      </c>
      <c r="F37" s="55">
        <v>61425</v>
      </c>
      <c r="G37" s="87">
        <f t="shared" si="0"/>
        <v>307125</v>
      </c>
    </row>
    <row r="38" spans="1:8" s="32" customFormat="1" ht="22" customHeight="1" x14ac:dyDescent="0.3">
      <c r="A38" s="50"/>
      <c r="B38" s="184" t="s">
        <v>184</v>
      </c>
      <c r="C38" s="184"/>
      <c r="D38" s="53">
        <v>30</v>
      </c>
      <c r="E38" s="54" t="s">
        <v>100</v>
      </c>
      <c r="F38" s="55">
        <v>72075</v>
      </c>
      <c r="G38" s="87">
        <f t="shared" si="0"/>
        <v>2162250</v>
      </c>
    </row>
    <row r="39" spans="1:8" s="32" customFormat="1" ht="22" customHeight="1" x14ac:dyDescent="0.3">
      <c r="A39" s="50"/>
      <c r="B39" s="130" t="s">
        <v>185</v>
      </c>
      <c r="C39" s="131"/>
      <c r="D39" s="53">
        <v>5</v>
      </c>
      <c r="E39" s="54" t="s">
        <v>186</v>
      </c>
      <c r="F39" s="55">
        <v>122300</v>
      </c>
      <c r="G39" s="87">
        <f t="shared" si="0"/>
        <v>611500</v>
      </c>
    </row>
    <row r="40" spans="1:8" s="32" customFormat="1" ht="22" customHeight="1" x14ac:dyDescent="0.3">
      <c r="A40" s="50"/>
      <c r="B40" s="130" t="s">
        <v>187</v>
      </c>
      <c r="C40" s="131"/>
      <c r="D40" s="53">
        <v>4</v>
      </c>
      <c r="E40" s="54" t="s">
        <v>188</v>
      </c>
      <c r="F40" s="55">
        <v>59200</v>
      </c>
      <c r="G40" s="87">
        <f t="shared" si="0"/>
        <v>236800</v>
      </c>
    </row>
    <row r="41" spans="1:8" s="32" customFormat="1" ht="22" customHeight="1" x14ac:dyDescent="0.3">
      <c r="A41" s="50"/>
      <c r="B41" s="130" t="s">
        <v>189</v>
      </c>
      <c r="C41" s="131"/>
      <c r="D41" s="53">
        <v>7</v>
      </c>
      <c r="E41" s="54" t="s">
        <v>97</v>
      </c>
      <c r="F41" s="55">
        <v>66600</v>
      </c>
      <c r="G41" s="87">
        <f t="shared" si="0"/>
        <v>466200</v>
      </c>
    </row>
    <row r="42" spans="1:8" s="32" customFormat="1" ht="27" customHeight="1" x14ac:dyDescent="0.3">
      <c r="A42" s="50"/>
      <c r="B42" s="234" t="s">
        <v>190</v>
      </c>
      <c r="C42" s="235"/>
      <c r="D42" s="53">
        <v>3</v>
      </c>
      <c r="E42" s="54" t="s">
        <v>191</v>
      </c>
      <c r="F42" s="55">
        <v>163750</v>
      </c>
      <c r="G42" s="87">
        <f>D42*F42</f>
        <v>491250</v>
      </c>
    </row>
    <row r="43" spans="1:8" s="32" customFormat="1" ht="29.15" customHeight="1" x14ac:dyDescent="0.3">
      <c r="A43" s="50"/>
      <c r="B43" s="232" t="s">
        <v>192</v>
      </c>
      <c r="C43" s="233"/>
      <c r="D43" s="51">
        <v>5</v>
      </c>
      <c r="E43" s="50" t="s">
        <v>137</v>
      </c>
      <c r="F43" s="73">
        <v>36350</v>
      </c>
      <c r="G43" s="87">
        <f t="shared" si="0"/>
        <v>181750</v>
      </c>
    </row>
    <row r="44" spans="1:8" s="32" customFormat="1" ht="30.75" customHeight="1" x14ac:dyDescent="0.3">
      <c r="A44" s="47" t="s">
        <v>133</v>
      </c>
      <c r="B44" s="183" t="s">
        <v>101</v>
      </c>
      <c r="C44" s="183"/>
      <c r="D44" s="53"/>
      <c r="E44" s="54"/>
      <c r="F44" s="55"/>
      <c r="G44" s="88">
        <f>SUM(G45:G46)</f>
        <v>3738000</v>
      </c>
      <c r="H44" s="100"/>
    </row>
    <row r="45" spans="1:8" s="32" customFormat="1" ht="15.65" customHeight="1" x14ac:dyDescent="0.3">
      <c r="A45" s="50"/>
      <c r="B45" s="196" t="s">
        <v>138</v>
      </c>
      <c r="C45" s="196"/>
      <c r="D45" s="51">
        <v>30</v>
      </c>
      <c r="E45" s="50" t="s">
        <v>102</v>
      </c>
      <c r="F45" s="52">
        <v>87875</v>
      </c>
      <c r="G45" s="87">
        <f>D45*F45</f>
        <v>2636250</v>
      </c>
      <c r="H45" s="99"/>
    </row>
    <row r="46" spans="1:8" s="32" customFormat="1" ht="15.65" customHeight="1" x14ac:dyDescent="0.3">
      <c r="A46" s="50"/>
      <c r="B46" s="196" t="s">
        <v>103</v>
      </c>
      <c r="C46" s="196"/>
      <c r="D46" s="51">
        <v>15</v>
      </c>
      <c r="E46" s="50" t="s">
        <v>102</v>
      </c>
      <c r="F46" s="52">
        <v>73450</v>
      </c>
      <c r="G46" s="87">
        <f>D46*F46</f>
        <v>1101750</v>
      </c>
      <c r="H46" s="99"/>
    </row>
    <row r="47" spans="1:8" s="32" customFormat="1" ht="36.75" customHeight="1" x14ac:dyDescent="0.3">
      <c r="A47" s="47" t="s">
        <v>193</v>
      </c>
      <c r="B47" s="134" t="s">
        <v>194</v>
      </c>
      <c r="C47" s="135"/>
      <c r="D47" s="51"/>
      <c r="E47" s="50"/>
      <c r="F47" s="52"/>
      <c r="G47" s="88">
        <f>G48+G49</f>
        <v>1646923</v>
      </c>
      <c r="H47" s="99"/>
    </row>
    <row r="48" spans="1:8" s="32" customFormat="1" ht="29.15" customHeight="1" x14ac:dyDescent="0.3">
      <c r="A48" s="50"/>
      <c r="B48" s="116" t="s">
        <v>195</v>
      </c>
      <c r="C48" s="117"/>
      <c r="D48" s="51">
        <v>4705</v>
      </c>
      <c r="E48" s="50" t="s">
        <v>196</v>
      </c>
      <c r="F48" s="73">
        <v>350</v>
      </c>
      <c r="G48" s="87">
        <f t="shared" ref="G48:G49" si="1">D48*F48</f>
        <v>1646750</v>
      </c>
    </row>
    <row r="49" spans="1:8" s="32" customFormat="1" ht="29.15" customHeight="1" x14ac:dyDescent="0.3">
      <c r="A49" s="50"/>
      <c r="B49" s="116" t="s">
        <v>237</v>
      </c>
      <c r="C49" s="117"/>
      <c r="D49" s="51">
        <v>0.49428571428571427</v>
      </c>
      <c r="E49" s="50" t="s">
        <v>196</v>
      </c>
      <c r="F49" s="73">
        <v>350</v>
      </c>
      <c r="G49" s="87">
        <f t="shared" si="1"/>
        <v>173</v>
      </c>
    </row>
    <row r="50" spans="1:8" s="32" customFormat="1" ht="28.5" customHeight="1" x14ac:dyDescent="0.3">
      <c r="A50" s="47" t="s">
        <v>134</v>
      </c>
      <c r="B50" s="134" t="s">
        <v>135</v>
      </c>
      <c r="C50" s="135"/>
      <c r="D50" s="51"/>
      <c r="E50" s="50"/>
      <c r="F50" s="52"/>
      <c r="G50" s="88">
        <f>G51</f>
        <v>1000000</v>
      </c>
      <c r="H50" s="100"/>
    </row>
    <row r="51" spans="1:8" s="32" customFormat="1" ht="15.65" customHeight="1" x14ac:dyDescent="0.3">
      <c r="A51" s="50"/>
      <c r="B51" s="136" t="s">
        <v>136</v>
      </c>
      <c r="C51" s="137"/>
      <c r="D51" s="51">
        <v>100</v>
      </c>
      <c r="E51" s="50" t="s">
        <v>137</v>
      </c>
      <c r="F51" s="52">
        <v>10000</v>
      </c>
      <c r="G51" s="87">
        <f>D51*F51</f>
        <v>1000000</v>
      </c>
      <c r="H51" s="99"/>
    </row>
    <row r="52" spans="1:8" s="32" customFormat="1" ht="40.5" customHeight="1" x14ac:dyDescent="0.3">
      <c r="A52" s="47" t="s">
        <v>197</v>
      </c>
      <c r="B52" s="236" t="s">
        <v>198</v>
      </c>
      <c r="C52" s="237"/>
      <c r="D52" s="51"/>
      <c r="E52" s="50"/>
      <c r="F52" s="73"/>
      <c r="G52" s="88">
        <f>SUM(G53:G54)</f>
        <v>3743200</v>
      </c>
    </row>
    <row r="53" spans="1:8" s="32" customFormat="1" ht="40.5" customHeight="1" x14ac:dyDescent="0.3">
      <c r="A53" s="47"/>
      <c r="B53" s="232" t="s">
        <v>199</v>
      </c>
      <c r="C53" s="238"/>
      <c r="D53" s="51">
        <v>14</v>
      </c>
      <c r="E53" s="50" t="s">
        <v>191</v>
      </c>
      <c r="F53" s="73">
        <v>108800</v>
      </c>
      <c r="G53" s="87">
        <f t="shared" ref="G53:G57" si="2">D53*F53</f>
        <v>1523200</v>
      </c>
    </row>
    <row r="54" spans="1:8" s="32" customFormat="1" ht="40.5" customHeight="1" x14ac:dyDescent="0.3">
      <c r="A54" s="47"/>
      <c r="B54" s="232" t="s">
        <v>200</v>
      </c>
      <c r="C54" s="238"/>
      <c r="D54" s="51">
        <v>24</v>
      </c>
      <c r="E54" s="50" t="s">
        <v>186</v>
      </c>
      <c r="F54" s="73">
        <v>92500</v>
      </c>
      <c r="G54" s="87">
        <f t="shared" si="2"/>
        <v>2220000</v>
      </c>
    </row>
    <row r="55" spans="1:8" s="32" customFormat="1" ht="29.15" customHeight="1" x14ac:dyDescent="0.3">
      <c r="A55" s="47" t="s">
        <v>139</v>
      </c>
      <c r="B55" s="222" t="s">
        <v>60</v>
      </c>
      <c r="C55" s="223"/>
      <c r="D55" s="48"/>
      <c r="E55" s="49"/>
      <c r="F55" s="49"/>
      <c r="G55" s="89">
        <f>SUM(G56:G57)</f>
        <v>19800000</v>
      </c>
    </row>
    <row r="56" spans="1:8" s="32" customFormat="1" ht="50.25" customHeight="1" x14ac:dyDescent="0.3">
      <c r="A56" s="50"/>
      <c r="B56" s="255" t="s">
        <v>61</v>
      </c>
      <c r="C56" s="256"/>
      <c r="D56" s="60">
        <v>400</v>
      </c>
      <c r="E56" s="49" t="s">
        <v>62</v>
      </c>
      <c r="F56" s="56">
        <v>33000</v>
      </c>
      <c r="G56" s="87">
        <f t="shared" si="2"/>
        <v>13200000</v>
      </c>
    </row>
    <row r="57" spans="1:8" s="32" customFormat="1" ht="30.75" customHeight="1" x14ac:dyDescent="0.3">
      <c r="A57" s="50"/>
      <c r="B57" s="255" t="s">
        <v>63</v>
      </c>
      <c r="C57" s="256"/>
      <c r="D57" s="60">
        <v>400</v>
      </c>
      <c r="E57" s="49" t="s">
        <v>62</v>
      </c>
      <c r="F57" s="56">
        <v>16500</v>
      </c>
      <c r="G57" s="87">
        <f t="shared" si="2"/>
        <v>6600000</v>
      </c>
    </row>
    <row r="58" spans="1:8" s="32" customFormat="1" ht="19.5" customHeight="1" x14ac:dyDescent="0.3">
      <c r="A58" s="47" t="s">
        <v>64</v>
      </c>
      <c r="B58" s="222" t="s">
        <v>65</v>
      </c>
      <c r="C58" s="223"/>
      <c r="D58" s="48"/>
      <c r="E58" s="49"/>
      <c r="F58" s="56"/>
      <c r="G58" s="89">
        <f>G59+G69</f>
        <v>48807252</v>
      </c>
    </row>
    <row r="59" spans="1:8" s="32" customFormat="1" ht="16.5" customHeight="1" x14ac:dyDescent="0.3">
      <c r="A59" s="47" t="s">
        <v>143</v>
      </c>
      <c r="B59" s="222" t="s">
        <v>66</v>
      </c>
      <c r="C59" s="223"/>
      <c r="D59" s="48"/>
      <c r="E59" s="49"/>
      <c r="F59" s="56"/>
      <c r="G59" s="89">
        <f>G60+G67</f>
        <v>46200000</v>
      </c>
    </row>
    <row r="60" spans="1:8" s="32" customFormat="1" ht="28.5" customHeight="1" x14ac:dyDescent="0.3">
      <c r="A60" s="47" t="s">
        <v>236</v>
      </c>
      <c r="B60" s="222" t="s">
        <v>67</v>
      </c>
      <c r="C60" s="223"/>
      <c r="D60" s="48"/>
      <c r="E60" s="49"/>
      <c r="F60" s="56"/>
      <c r="G60" s="88">
        <f>G61</f>
        <v>16200000</v>
      </c>
    </row>
    <row r="61" spans="1:8" s="32" customFormat="1" ht="45" customHeight="1" x14ac:dyDescent="0.3">
      <c r="A61" s="47"/>
      <c r="B61" s="220" t="s">
        <v>68</v>
      </c>
      <c r="C61" s="221"/>
      <c r="D61" s="48">
        <v>6</v>
      </c>
      <c r="E61" s="49" t="s">
        <v>69</v>
      </c>
      <c r="F61" s="56">
        <v>900000</v>
      </c>
      <c r="G61" s="87">
        <f>D61*F61*3</f>
        <v>16200000</v>
      </c>
    </row>
    <row r="62" spans="1:8" s="32" customFormat="1" ht="27.75" customHeight="1" x14ac:dyDescent="0.3">
      <c r="A62" s="47"/>
      <c r="B62" s="226" t="s">
        <v>201</v>
      </c>
      <c r="C62" s="227"/>
      <c r="D62" s="48"/>
      <c r="E62" s="49"/>
      <c r="F62" s="56"/>
      <c r="G62" s="38"/>
    </row>
    <row r="63" spans="1:8" s="32" customFormat="1" ht="19" customHeight="1" x14ac:dyDescent="0.3">
      <c r="A63" s="47"/>
      <c r="B63" s="34" t="s">
        <v>70</v>
      </c>
      <c r="C63" s="74"/>
      <c r="D63" s="48"/>
      <c r="E63" s="49"/>
      <c r="F63" s="56"/>
      <c r="G63" s="38"/>
    </row>
    <row r="64" spans="1:8" s="32" customFormat="1" ht="16.5" customHeight="1" x14ac:dyDescent="0.3">
      <c r="A64" s="47"/>
      <c r="B64" s="34" t="s">
        <v>71</v>
      </c>
      <c r="C64" s="74"/>
      <c r="D64" s="48"/>
      <c r="E64" s="49"/>
      <c r="F64" s="56"/>
      <c r="G64" s="38"/>
    </row>
    <row r="65" spans="1:7" s="32" customFormat="1" ht="16" customHeight="1" x14ac:dyDescent="0.3">
      <c r="A65" s="47"/>
      <c r="B65" s="34" t="s">
        <v>72</v>
      </c>
      <c r="C65" s="74"/>
      <c r="D65" s="48"/>
      <c r="E65" s="49"/>
      <c r="F65" s="56"/>
      <c r="G65" s="38"/>
    </row>
    <row r="66" spans="1:7" s="32" customFormat="1" ht="20.149999999999999" customHeight="1" x14ac:dyDescent="0.3">
      <c r="A66" s="47"/>
      <c r="B66" s="34" t="s">
        <v>73</v>
      </c>
      <c r="C66" s="74"/>
      <c r="D66" s="48"/>
      <c r="E66" s="49"/>
      <c r="F66" s="56"/>
      <c r="G66" s="38"/>
    </row>
    <row r="67" spans="1:7" s="32" customFormat="1" ht="34.5" customHeight="1" x14ac:dyDescent="0.3">
      <c r="A67" s="44" t="s">
        <v>203</v>
      </c>
      <c r="B67" s="226" t="s">
        <v>202</v>
      </c>
      <c r="C67" s="227"/>
      <c r="D67" s="48"/>
      <c r="E67" s="49"/>
      <c r="F67" s="56"/>
      <c r="G67" s="88">
        <f>G68</f>
        <v>30000000</v>
      </c>
    </row>
    <row r="68" spans="1:7" s="32" customFormat="1" ht="41.25" customHeight="1" x14ac:dyDescent="0.3">
      <c r="A68" s="44"/>
      <c r="B68" s="226" t="s">
        <v>204</v>
      </c>
      <c r="C68" s="227"/>
      <c r="D68" s="48">
        <v>1</v>
      </c>
      <c r="E68" s="49" t="s">
        <v>147</v>
      </c>
      <c r="F68" s="56">
        <v>2500000</v>
      </c>
      <c r="G68" s="87">
        <f>D68*F68*12</f>
        <v>30000000</v>
      </c>
    </row>
    <row r="69" spans="1:7" s="32" customFormat="1" ht="29.25" customHeight="1" x14ac:dyDescent="0.3">
      <c r="A69" s="44" t="s">
        <v>148</v>
      </c>
      <c r="B69" s="228" t="s">
        <v>107</v>
      </c>
      <c r="C69" s="229"/>
      <c r="D69" s="48"/>
      <c r="E69" s="49"/>
      <c r="F69" s="56"/>
      <c r="G69" s="88">
        <f>SUM(G70:G72)</f>
        <v>2607252</v>
      </c>
    </row>
    <row r="70" spans="1:7" s="32" customFormat="1" ht="24" customHeight="1" x14ac:dyDescent="0.3">
      <c r="A70" s="47" t="s">
        <v>206</v>
      </c>
      <c r="B70" s="119" t="s">
        <v>207</v>
      </c>
      <c r="C70" s="120"/>
      <c r="D70" s="48">
        <v>1</v>
      </c>
      <c r="E70" s="49" t="s">
        <v>147</v>
      </c>
      <c r="F70" s="56">
        <v>206471</v>
      </c>
      <c r="G70" s="87">
        <f t="shared" ref="G70:G72" si="3">D70*F70*12</f>
        <v>2477652</v>
      </c>
    </row>
    <row r="71" spans="1:7" s="32" customFormat="1" ht="24" customHeight="1" x14ac:dyDescent="0.3">
      <c r="A71" s="47" t="s">
        <v>208</v>
      </c>
      <c r="B71" s="119" t="s">
        <v>209</v>
      </c>
      <c r="C71" s="120"/>
      <c r="D71" s="48">
        <v>1</v>
      </c>
      <c r="E71" s="49" t="s">
        <v>147</v>
      </c>
      <c r="F71" s="56">
        <v>4800</v>
      </c>
      <c r="G71" s="87">
        <f t="shared" si="3"/>
        <v>57600</v>
      </c>
    </row>
    <row r="72" spans="1:7" s="32" customFormat="1" ht="32.25" customHeight="1" x14ac:dyDescent="0.3">
      <c r="A72" s="47" t="s">
        <v>210</v>
      </c>
      <c r="B72" s="119" t="s">
        <v>211</v>
      </c>
      <c r="C72" s="120"/>
      <c r="D72" s="48">
        <v>1</v>
      </c>
      <c r="E72" s="49" t="s">
        <v>147</v>
      </c>
      <c r="F72" s="56">
        <v>6000</v>
      </c>
      <c r="G72" s="87">
        <f t="shared" si="3"/>
        <v>72000</v>
      </c>
    </row>
    <row r="73" spans="1:7" s="32" customFormat="1" ht="25.5" customHeight="1" x14ac:dyDescent="0.3">
      <c r="A73" s="47" t="s">
        <v>74</v>
      </c>
      <c r="B73" s="222" t="s">
        <v>75</v>
      </c>
      <c r="C73" s="223"/>
      <c r="D73" s="48"/>
      <c r="E73" s="49"/>
      <c r="F73" s="49"/>
      <c r="G73" s="88">
        <f>G74</f>
        <v>103840000</v>
      </c>
    </row>
    <row r="74" spans="1:7" s="32" customFormat="1" ht="21" customHeight="1" x14ac:dyDescent="0.3">
      <c r="A74" s="47" t="s">
        <v>159</v>
      </c>
      <c r="B74" s="222" t="s">
        <v>76</v>
      </c>
      <c r="C74" s="223"/>
      <c r="D74" s="48"/>
      <c r="E74" s="49"/>
      <c r="F74" s="49"/>
      <c r="G74" s="89">
        <f>G80+G98+G75</f>
        <v>103840000</v>
      </c>
    </row>
    <row r="75" spans="1:7" s="32" customFormat="1" ht="26.25" customHeight="1" x14ac:dyDescent="0.3">
      <c r="A75" s="47" t="s">
        <v>212</v>
      </c>
      <c r="B75" s="222" t="s">
        <v>205</v>
      </c>
      <c r="C75" s="223"/>
      <c r="D75" s="48"/>
      <c r="E75" s="49"/>
      <c r="F75" s="49"/>
      <c r="G75" s="88">
        <f>SUM(G76:G79)</f>
        <v>5880000</v>
      </c>
    </row>
    <row r="76" spans="1:7" s="32" customFormat="1" ht="27" customHeight="1" x14ac:dyDescent="0.3">
      <c r="A76" s="47"/>
      <c r="B76" s="230" t="s">
        <v>214</v>
      </c>
      <c r="C76" s="231"/>
      <c r="D76" s="48">
        <v>2</v>
      </c>
      <c r="E76" s="49" t="s">
        <v>218</v>
      </c>
      <c r="F76" s="121">
        <v>300000</v>
      </c>
      <c r="G76" s="87">
        <f>D76*F76</f>
        <v>600000</v>
      </c>
    </row>
    <row r="77" spans="1:7" s="32" customFormat="1" ht="29.25" customHeight="1" x14ac:dyDescent="0.3">
      <c r="A77" s="47"/>
      <c r="B77" s="230" t="s">
        <v>215</v>
      </c>
      <c r="C77" s="231"/>
      <c r="D77" s="48">
        <v>3</v>
      </c>
      <c r="E77" s="49" t="s">
        <v>219</v>
      </c>
      <c r="F77" s="121">
        <v>185000</v>
      </c>
      <c r="G77" s="87">
        <f>D77*F77*2</f>
        <v>1110000</v>
      </c>
    </row>
    <row r="78" spans="1:7" s="32" customFormat="1" ht="28.5" customHeight="1" x14ac:dyDescent="0.3">
      <c r="A78" s="47"/>
      <c r="B78" s="230" t="s">
        <v>216</v>
      </c>
      <c r="C78" s="231"/>
      <c r="D78" s="48">
        <v>3</v>
      </c>
      <c r="E78" s="49" t="s">
        <v>220</v>
      </c>
      <c r="F78" s="121">
        <v>530000</v>
      </c>
      <c r="G78" s="87">
        <f t="shared" ref="G78:G97" si="4">D78*F78</f>
        <v>1590000</v>
      </c>
    </row>
    <row r="79" spans="1:7" s="32" customFormat="1" ht="27" customHeight="1" x14ac:dyDescent="0.3">
      <c r="A79" s="47"/>
      <c r="B79" s="230" t="s">
        <v>217</v>
      </c>
      <c r="C79" s="231"/>
      <c r="D79" s="48">
        <v>6</v>
      </c>
      <c r="E79" s="49" t="s">
        <v>218</v>
      </c>
      <c r="F79" s="121">
        <v>430000</v>
      </c>
      <c r="G79" s="87">
        <f t="shared" si="4"/>
        <v>2580000</v>
      </c>
    </row>
    <row r="80" spans="1:7" s="32" customFormat="1" ht="24" customHeight="1" x14ac:dyDescent="0.3">
      <c r="A80" s="47" t="s">
        <v>213</v>
      </c>
      <c r="B80" s="222" t="s">
        <v>77</v>
      </c>
      <c r="C80" s="223"/>
      <c r="D80" s="48"/>
      <c r="E80" s="49"/>
      <c r="F80" s="49"/>
      <c r="G80" s="88">
        <f>SUM(G81:G97)</f>
        <v>23110000</v>
      </c>
    </row>
    <row r="81" spans="1:7" s="32" customFormat="1" ht="28" customHeight="1" x14ac:dyDescent="0.3">
      <c r="A81" s="50"/>
      <c r="B81" s="224" t="s">
        <v>78</v>
      </c>
      <c r="C81" s="225"/>
      <c r="D81" s="48">
        <v>100</v>
      </c>
      <c r="E81" s="49" t="s">
        <v>79</v>
      </c>
      <c r="F81" s="62">
        <v>170000</v>
      </c>
      <c r="G81" s="87">
        <f t="shared" si="4"/>
        <v>17000000</v>
      </c>
    </row>
    <row r="82" spans="1:7" s="32" customFormat="1" ht="18" customHeight="1" x14ac:dyDescent="0.3">
      <c r="A82" s="50"/>
      <c r="B82" s="63" t="s">
        <v>80</v>
      </c>
      <c r="C82" s="63"/>
      <c r="D82" s="48">
        <v>10</v>
      </c>
      <c r="E82" s="49" t="s">
        <v>79</v>
      </c>
      <c r="F82" s="62">
        <v>100000</v>
      </c>
      <c r="G82" s="87">
        <f t="shared" si="4"/>
        <v>1000000</v>
      </c>
    </row>
    <row r="83" spans="1:7" s="32" customFormat="1" ht="18" customHeight="1" x14ac:dyDescent="0.3">
      <c r="A83" s="50"/>
      <c r="B83" s="215" t="s">
        <v>81</v>
      </c>
      <c r="C83" s="216"/>
      <c r="D83" s="67"/>
      <c r="E83" s="49"/>
      <c r="F83" s="62"/>
      <c r="G83" s="87">
        <f t="shared" si="4"/>
        <v>0</v>
      </c>
    </row>
    <row r="84" spans="1:7" s="32" customFormat="1" ht="18" customHeight="1" x14ac:dyDescent="0.3">
      <c r="A84" s="50"/>
      <c r="B84" s="66" t="s">
        <v>221</v>
      </c>
      <c r="C84" s="122"/>
      <c r="D84" s="67">
        <v>1</v>
      </c>
      <c r="E84" s="49" t="s">
        <v>79</v>
      </c>
      <c r="F84" s="62">
        <v>135000</v>
      </c>
      <c r="G84" s="87">
        <f t="shared" si="4"/>
        <v>135000</v>
      </c>
    </row>
    <row r="85" spans="1:7" s="32" customFormat="1" ht="18" customHeight="1" x14ac:dyDescent="0.3">
      <c r="A85" s="50"/>
      <c r="B85" s="66" t="s">
        <v>172</v>
      </c>
      <c r="C85" s="122"/>
      <c r="D85" s="67">
        <v>2</v>
      </c>
      <c r="E85" s="49" t="s">
        <v>79</v>
      </c>
      <c r="F85" s="62">
        <v>90000</v>
      </c>
      <c r="G85" s="87">
        <f t="shared" si="4"/>
        <v>180000</v>
      </c>
    </row>
    <row r="86" spans="1:7" s="32" customFormat="1" ht="18" customHeight="1" x14ac:dyDescent="0.3">
      <c r="A86" s="50"/>
      <c r="B86" s="123" t="s">
        <v>222</v>
      </c>
      <c r="C86" s="68"/>
      <c r="D86" s="67">
        <v>1</v>
      </c>
      <c r="E86" s="49" t="s">
        <v>79</v>
      </c>
      <c r="F86" s="62">
        <v>180000</v>
      </c>
      <c r="G86" s="87">
        <f t="shared" si="4"/>
        <v>180000</v>
      </c>
    </row>
    <row r="87" spans="1:7" s="32" customFormat="1" ht="18" customHeight="1" x14ac:dyDescent="0.3">
      <c r="A87" s="50"/>
      <c r="B87" s="90" t="s">
        <v>169</v>
      </c>
      <c r="C87" s="35"/>
      <c r="D87" s="64">
        <v>11</v>
      </c>
      <c r="E87" s="49" t="s">
        <v>79</v>
      </c>
      <c r="F87" s="65">
        <v>140000</v>
      </c>
      <c r="G87" s="87">
        <f t="shared" si="4"/>
        <v>1540000</v>
      </c>
    </row>
    <row r="88" spans="1:7" s="32" customFormat="1" ht="20.149999999999999" customHeight="1" x14ac:dyDescent="0.3">
      <c r="A88" s="47"/>
      <c r="B88" s="34" t="s">
        <v>223</v>
      </c>
      <c r="C88" s="74"/>
      <c r="D88" s="67">
        <v>1</v>
      </c>
      <c r="E88" s="49" t="s">
        <v>79</v>
      </c>
      <c r="F88" s="56">
        <v>185000</v>
      </c>
      <c r="G88" s="87">
        <f t="shared" si="4"/>
        <v>185000</v>
      </c>
    </row>
    <row r="89" spans="1:7" s="32" customFormat="1" ht="18" customHeight="1" x14ac:dyDescent="0.3">
      <c r="A89" s="50"/>
      <c r="B89" s="123" t="s">
        <v>224</v>
      </c>
      <c r="C89" s="68"/>
      <c r="D89" s="67">
        <v>2</v>
      </c>
      <c r="E89" s="49" t="s">
        <v>79</v>
      </c>
      <c r="F89" s="62">
        <v>95000</v>
      </c>
      <c r="G89" s="87">
        <f t="shared" si="4"/>
        <v>190000</v>
      </c>
    </row>
    <row r="90" spans="1:7" s="32" customFormat="1" ht="18" customHeight="1" x14ac:dyDescent="0.3">
      <c r="A90" s="50"/>
      <c r="B90" s="90" t="s">
        <v>225</v>
      </c>
      <c r="C90" s="35"/>
      <c r="D90" s="69">
        <v>1</v>
      </c>
      <c r="E90" s="49" t="s">
        <v>79</v>
      </c>
      <c r="F90" s="70">
        <v>140000</v>
      </c>
      <c r="G90" s="87">
        <f t="shared" si="4"/>
        <v>140000</v>
      </c>
    </row>
    <row r="91" spans="1:7" s="32" customFormat="1" ht="18" customHeight="1" x14ac:dyDescent="0.3">
      <c r="A91" s="50"/>
      <c r="B91" s="90" t="s">
        <v>226</v>
      </c>
      <c r="C91" s="35"/>
      <c r="D91" s="69">
        <v>10</v>
      </c>
      <c r="E91" s="49" t="s">
        <v>79</v>
      </c>
      <c r="F91" s="70">
        <v>135000</v>
      </c>
      <c r="G91" s="87">
        <f t="shared" si="4"/>
        <v>1350000</v>
      </c>
    </row>
    <row r="92" spans="1:7" s="32" customFormat="1" ht="18" customHeight="1" x14ac:dyDescent="0.3">
      <c r="A92" s="50"/>
      <c r="B92" s="90" t="s">
        <v>227</v>
      </c>
      <c r="C92" s="35"/>
      <c r="D92" s="69">
        <v>1</v>
      </c>
      <c r="E92" s="49" t="s">
        <v>79</v>
      </c>
      <c r="F92" s="70">
        <v>145000</v>
      </c>
      <c r="G92" s="87">
        <f t="shared" si="4"/>
        <v>145000</v>
      </c>
    </row>
    <row r="93" spans="1:7" s="32" customFormat="1" ht="18" customHeight="1" x14ac:dyDescent="0.3">
      <c r="A93" s="50"/>
      <c r="B93" s="90" t="s">
        <v>165</v>
      </c>
      <c r="C93" s="35"/>
      <c r="D93" s="69">
        <v>1</v>
      </c>
      <c r="E93" s="49" t="s">
        <v>79</v>
      </c>
      <c r="F93" s="70">
        <v>165000</v>
      </c>
      <c r="G93" s="87">
        <f t="shared" si="4"/>
        <v>165000</v>
      </c>
    </row>
    <row r="94" spans="1:7" s="32" customFormat="1" ht="18" customHeight="1" x14ac:dyDescent="0.3">
      <c r="A94" s="50"/>
      <c r="B94" s="90" t="s">
        <v>228</v>
      </c>
      <c r="C94" s="35"/>
      <c r="D94" s="69">
        <v>2</v>
      </c>
      <c r="E94" s="49" t="s">
        <v>79</v>
      </c>
      <c r="F94" s="70">
        <v>115000</v>
      </c>
      <c r="G94" s="87">
        <f t="shared" si="4"/>
        <v>230000</v>
      </c>
    </row>
    <row r="95" spans="1:7" s="32" customFormat="1" ht="18" customHeight="1" x14ac:dyDescent="0.3">
      <c r="A95" s="50"/>
      <c r="B95" s="90" t="s">
        <v>164</v>
      </c>
      <c r="C95" s="35"/>
      <c r="D95" s="69">
        <v>2</v>
      </c>
      <c r="E95" s="49" t="s">
        <v>79</v>
      </c>
      <c r="F95" s="70">
        <v>210000</v>
      </c>
      <c r="G95" s="87">
        <f t="shared" si="4"/>
        <v>420000</v>
      </c>
    </row>
    <row r="96" spans="1:7" s="32" customFormat="1" ht="18" customHeight="1" x14ac:dyDescent="0.3">
      <c r="A96" s="50"/>
      <c r="B96" s="90" t="s">
        <v>229</v>
      </c>
      <c r="C96" s="35"/>
      <c r="D96" s="69">
        <v>1</v>
      </c>
      <c r="E96" s="49" t="s">
        <v>79</v>
      </c>
      <c r="F96" s="70">
        <v>130000</v>
      </c>
      <c r="G96" s="87">
        <f t="shared" si="4"/>
        <v>130000</v>
      </c>
    </row>
    <row r="97" spans="1:23" s="32" customFormat="1" ht="18" customHeight="1" x14ac:dyDescent="0.3">
      <c r="A97" s="50"/>
      <c r="B97" s="90" t="s">
        <v>230</v>
      </c>
      <c r="C97" s="35"/>
      <c r="D97" s="69">
        <v>1</v>
      </c>
      <c r="E97" s="49" t="s">
        <v>79</v>
      </c>
      <c r="F97" s="70">
        <v>120000</v>
      </c>
      <c r="G97" s="87">
        <f t="shared" si="4"/>
        <v>120000</v>
      </c>
    </row>
    <row r="98" spans="1:23" s="32" customFormat="1" ht="33.75" customHeight="1" x14ac:dyDescent="0.35">
      <c r="A98" s="91" t="s">
        <v>173</v>
      </c>
      <c r="B98" s="217" t="s">
        <v>174</v>
      </c>
      <c r="C98" s="166"/>
      <c r="D98" s="12"/>
      <c r="E98" s="12"/>
      <c r="F98" s="12"/>
      <c r="G98" s="13">
        <f>G100+G102+G104</f>
        <v>74850000</v>
      </c>
    </row>
    <row r="99" spans="1:23" s="32" customFormat="1" ht="25.5" customHeight="1" x14ac:dyDescent="0.3">
      <c r="A99" s="11"/>
      <c r="B99" s="218" t="s">
        <v>231</v>
      </c>
      <c r="C99" s="219"/>
      <c r="D99" s="14"/>
      <c r="E99" s="12"/>
      <c r="F99" s="12"/>
      <c r="G99" s="13"/>
    </row>
    <row r="100" spans="1:23" s="32" customFormat="1" ht="36.75" customHeight="1" x14ac:dyDescent="0.35">
      <c r="A100" s="115"/>
      <c r="B100" s="187" t="s">
        <v>232</v>
      </c>
      <c r="C100" s="188"/>
      <c r="D100" s="110">
        <v>75</v>
      </c>
      <c r="E100" s="111" t="s">
        <v>177</v>
      </c>
      <c r="F100" s="128">
        <v>300000</v>
      </c>
      <c r="G100" s="129">
        <f>D100*F100</f>
        <v>22500000</v>
      </c>
    </row>
    <row r="101" spans="1:23" s="32" customFormat="1" ht="30" customHeight="1" x14ac:dyDescent="0.3">
      <c r="A101" s="47"/>
      <c r="B101" s="222" t="s">
        <v>233</v>
      </c>
      <c r="C101" s="223"/>
      <c r="D101" s="44"/>
      <c r="E101" s="49"/>
      <c r="F101" s="61"/>
      <c r="G101" s="38"/>
      <c r="J101" s="36"/>
    </row>
    <row r="102" spans="1:23" s="32" customFormat="1" ht="38.25" customHeight="1" x14ac:dyDescent="0.3">
      <c r="A102" s="47"/>
      <c r="B102" s="220" t="s">
        <v>234</v>
      </c>
      <c r="C102" s="221"/>
      <c r="D102" s="118">
        <v>75</v>
      </c>
      <c r="E102" s="49" t="s">
        <v>82</v>
      </c>
      <c r="F102" s="75">
        <v>398000</v>
      </c>
      <c r="G102" s="129">
        <f>D102*F102</f>
        <v>29850000</v>
      </c>
      <c r="J102" s="37"/>
    </row>
    <row r="103" spans="1:23" s="32" customFormat="1" ht="18.649999999999999" customHeight="1" x14ac:dyDescent="0.3">
      <c r="A103" s="47"/>
      <c r="B103" s="124" t="s">
        <v>235</v>
      </c>
      <c r="C103" s="76"/>
      <c r="D103" s="48"/>
      <c r="E103" s="49"/>
      <c r="F103" s="75"/>
      <c r="G103" s="38"/>
    </row>
    <row r="104" spans="1:23" s="32" customFormat="1" ht="27" customHeight="1" x14ac:dyDescent="0.3">
      <c r="A104" s="47"/>
      <c r="B104" s="248" t="s">
        <v>234</v>
      </c>
      <c r="C104" s="249"/>
      <c r="D104" s="110">
        <v>75</v>
      </c>
      <c r="E104" s="111" t="s">
        <v>177</v>
      </c>
      <c r="F104" s="92">
        <v>300000</v>
      </c>
      <c r="G104" s="18">
        <f>D104*F104</f>
        <v>22500000</v>
      </c>
    </row>
    <row r="105" spans="1:23" ht="22.5" customHeight="1" x14ac:dyDescent="0.35">
      <c r="A105" s="77"/>
      <c r="B105" s="250"/>
      <c r="C105" s="251"/>
      <c r="D105" s="78"/>
      <c r="E105" s="77"/>
      <c r="F105" s="77"/>
      <c r="G105" s="79"/>
    </row>
    <row r="106" spans="1:23" ht="15.75" customHeight="1" thickBot="1" x14ac:dyDescent="0.4">
      <c r="A106" s="252" t="s">
        <v>33</v>
      </c>
      <c r="B106" s="253"/>
      <c r="C106" s="253"/>
      <c r="D106" s="253"/>
      <c r="E106" s="253"/>
      <c r="F106" s="254"/>
      <c r="G106" s="72">
        <f>G98+G80+G75+G69+G67+G60+G55+G52+G50+G47+G44+G32</f>
        <v>191384000</v>
      </c>
      <c r="H106" s="20"/>
      <c r="I106" s="125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</row>
    <row r="107" spans="1:23" ht="15.75" customHeight="1" x14ac:dyDescent="0.35">
      <c r="A107" s="15"/>
      <c r="B107" s="192"/>
      <c r="C107" s="158"/>
      <c r="D107" s="21"/>
      <c r="E107" s="17"/>
      <c r="F107" s="17"/>
      <c r="G107" s="18">
        <f>D107*F107</f>
        <v>0</v>
      </c>
    </row>
    <row r="108" spans="1:23" ht="15.75" customHeight="1" x14ac:dyDescent="0.35">
      <c r="A108" s="6" t="s">
        <v>34</v>
      </c>
      <c r="B108" s="22"/>
      <c r="C108" s="180" t="s">
        <v>50</v>
      </c>
      <c r="D108" s="133"/>
      <c r="E108" s="133"/>
      <c r="F108" s="133"/>
      <c r="G108" s="181"/>
      <c r="J108" s="127"/>
    </row>
    <row r="109" spans="1:23" ht="15.75" customHeight="1" x14ac:dyDescent="0.35">
      <c r="A109" s="6" t="s">
        <v>35</v>
      </c>
      <c r="B109" s="22"/>
      <c r="C109" s="180" t="s">
        <v>51</v>
      </c>
      <c r="D109" s="133"/>
      <c r="E109" s="133"/>
      <c r="F109" s="133"/>
      <c r="G109" s="181"/>
    </row>
    <row r="110" spans="1:23" ht="15.75" customHeight="1" x14ac:dyDescent="0.35">
      <c r="A110" s="6" t="s">
        <v>36</v>
      </c>
      <c r="B110" s="22"/>
      <c r="C110" s="23"/>
      <c r="G110" s="24"/>
    </row>
    <row r="111" spans="1:23" ht="15.75" customHeight="1" x14ac:dyDescent="0.35">
      <c r="A111" s="6" t="s">
        <v>37</v>
      </c>
      <c r="B111" s="22"/>
      <c r="C111" s="23"/>
      <c r="G111" s="24"/>
      <c r="I111" s="126"/>
    </row>
    <row r="112" spans="1:23" ht="15.75" customHeight="1" x14ac:dyDescent="0.35">
      <c r="A112" s="6" t="s">
        <v>38</v>
      </c>
      <c r="B112" s="22"/>
      <c r="C112" s="23"/>
      <c r="G112" s="24"/>
    </row>
    <row r="113" spans="1:7" ht="15.75" customHeight="1" x14ac:dyDescent="0.35">
      <c r="A113" s="6" t="s">
        <v>39</v>
      </c>
      <c r="B113" s="22"/>
      <c r="C113" s="23"/>
      <c r="G113" s="24"/>
    </row>
    <row r="114" spans="1:7" ht="15.75" customHeight="1" x14ac:dyDescent="0.35">
      <c r="A114" s="6" t="s">
        <v>40</v>
      </c>
      <c r="B114" s="22"/>
      <c r="C114" s="182"/>
      <c r="D114" s="133"/>
      <c r="E114" s="133"/>
      <c r="F114" s="133"/>
      <c r="G114" s="181"/>
    </row>
    <row r="115" spans="1:7" ht="15.75" customHeight="1" x14ac:dyDescent="0.35">
      <c r="A115" s="6" t="s">
        <v>41</v>
      </c>
      <c r="B115" s="22"/>
      <c r="C115" s="180"/>
      <c r="D115" s="133"/>
      <c r="E115" s="133"/>
      <c r="F115" s="133"/>
      <c r="G115" s="181"/>
    </row>
    <row r="116" spans="1:7" ht="15.75" customHeight="1" x14ac:dyDescent="0.35">
      <c r="A116" s="6" t="s">
        <v>42</v>
      </c>
      <c r="B116" s="22"/>
      <c r="C116" s="23"/>
      <c r="G116" s="24"/>
    </row>
    <row r="117" spans="1:7" ht="15.75" customHeight="1" x14ac:dyDescent="0.35">
      <c r="A117" s="6" t="s">
        <v>43</v>
      </c>
      <c r="B117" s="22"/>
      <c r="C117" s="23"/>
      <c r="G117" s="24"/>
    </row>
    <row r="118" spans="1:7" ht="15.75" customHeight="1" x14ac:dyDescent="0.35">
      <c r="A118" s="6" t="s">
        <v>44</v>
      </c>
      <c r="B118" s="22"/>
      <c r="C118" s="23"/>
      <c r="G118" s="24"/>
    </row>
    <row r="119" spans="1:7" ht="15.75" customHeight="1" x14ac:dyDescent="0.35">
      <c r="A119" s="6" t="s">
        <v>45</v>
      </c>
      <c r="B119" s="22"/>
      <c r="C119" s="23"/>
      <c r="G119" s="24"/>
    </row>
    <row r="120" spans="1:7" ht="15.75" customHeight="1" thickBot="1" x14ac:dyDescent="0.4">
      <c r="A120" s="25" t="s">
        <v>28</v>
      </c>
      <c r="B120" s="26">
        <f>SUM(B108:B119)</f>
        <v>0</v>
      </c>
      <c r="C120" s="27"/>
      <c r="D120" s="28"/>
      <c r="E120" s="28"/>
      <c r="F120" s="28"/>
      <c r="G120" s="29"/>
    </row>
    <row r="121" spans="1:7" ht="15.75" customHeight="1" x14ac:dyDescent="0.35">
      <c r="G121" s="30"/>
    </row>
    <row r="122" spans="1:7" ht="15.75" customHeight="1" x14ac:dyDescent="0.35">
      <c r="G122" s="30"/>
    </row>
    <row r="123" spans="1:7" ht="15.75" customHeight="1" x14ac:dyDescent="0.35">
      <c r="G123" s="30"/>
    </row>
    <row r="124" spans="1:7" ht="15.75" customHeight="1" x14ac:dyDescent="0.35">
      <c r="G124" s="30"/>
    </row>
    <row r="125" spans="1:7" ht="15.75" customHeight="1" x14ac:dyDescent="0.35">
      <c r="G125" s="30"/>
    </row>
    <row r="126" spans="1:7" ht="15.75" customHeight="1" x14ac:dyDescent="0.35">
      <c r="G126" s="30"/>
    </row>
    <row r="127" spans="1:7" ht="15.75" customHeight="1" x14ac:dyDescent="0.35">
      <c r="G127" s="30"/>
    </row>
    <row r="128" spans="1:7" ht="15.75" customHeight="1" x14ac:dyDescent="0.35">
      <c r="G128" s="30"/>
    </row>
    <row r="129" spans="7:7" ht="15.75" customHeight="1" x14ac:dyDescent="0.35">
      <c r="G129" s="30"/>
    </row>
    <row r="130" spans="7:7" ht="15.75" customHeight="1" x14ac:dyDescent="0.35">
      <c r="G130" s="30"/>
    </row>
    <row r="131" spans="7:7" ht="15.75" customHeight="1" x14ac:dyDescent="0.35">
      <c r="G131" s="30"/>
    </row>
    <row r="132" spans="7:7" ht="15.75" customHeight="1" x14ac:dyDescent="0.35">
      <c r="G132" s="30"/>
    </row>
    <row r="133" spans="7:7" ht="15.75" customHeight="1" x14ac:dyDescent="0.35">
      <c r="G133" s="30"/>
    </row>
    <row r="134" spans="7:7" ht="15.75" customHeight="1" x14ac:dyDescent="0.35">
      <c r="G134" s="30"/>
    </row>
    <row r="135" spans="7:7" ht="15.75" customHeight="1" x14ac:dyDescent="0.35">
      <c r="G135" s="30"/>
    </row>
    <row r="136" spans="7:7" ht="15.75" customHeight="1" x14ac:dyDescent="0.35">
      <c r="G136" s="30"/>
    </row>
    <row r="137" spans="7:7" ht="15.75" customHeight="1" x14ac:dyDescent="0.35">
      <c r="G137" s="30"/>
    </row>
    <row r="138" spans="7:7" ht="15.75" customHeight="1" x14ac:dyDescent="0.35">
      <c r="G138" s="30"/>
    </row>
    <row r="139" spans="7:7" ht="15.75" customHeight="1" x14ac:dyDescent="0.35">
      <c r="G139" s="30"/>
    </row>
    <row r="140" spans="7:7" ht="15.75" customHeight="1" x14ac:dyDescent="0.35">
      <c r="G140" s="30"/>
    </row>
    <row r="141" spans="7:7" ht="15.75" customHeight="1" x14ac:dyDescent="0.35">
      <c r="G141" s="30"/>
    </row>
    <row r="142" spans="7:7" ht="15.75" customHeight="1" x14ac:dyDescent="0.35">
      <c r="G142" s="30"/>
    </row>
    <row r="143" spans="7:7" ht="15.75" customHeight="1" x14ac:dyDescent="0.35">
      <c r="G143" s="30"/>
    </row>
    <row r="144" spans="7:7" ht="15.75" customHeight="1" x14ac:dyDescent="0.35">
      <c r="G144" s="30"/>
    </row>
    <row r="145" spans="7:7" ht="15.75" customHeight="1" x14ac:dyDescent="0.35">
      <c r="G145" s="30"/>
    </row>
    <row r="146" spans="7:7" ht="15.75" customHeight="1" x14ac:dyDescent="0.35">
      <c r="G146" s="30"/>
    </row>
    <row r="147" spans="7:7" ht="15.75" customHeight="1" x14ac:dyDescent="0.35">
      <c r="G147" s="30"/>
    </row>
    <row r="148" spans="7:7" ht="15.75" customHeight="1" x14ac:dyDescent="0.35">
      <c r="G148" s="30"/>
    </row>
    <row r="149" spans="7:7" ht="15.75" customHeight="1" x14ac:dyDescent="0.35">
      <c r="G149" s="30"/>
    </row>
    <row r="150" spans="7:7" ht="15.75" customHeight="1" x14ac:dyDescent="0.35">
      <c r="G150" s="30"/>
    </row>
    <row r="151" spans="7:7" ht="15.75" customHeight="1" x14ac:dyDescent="0.35">
      <c r="G151" s="30"/>
    </row>
    <row r="152" spans="7:7" ht="15.75" customHeight="1" x14ac:dyDescent="0.35">
      <c r="G152" s="30"/>
    </row>
    <row r="153" spans="7:7" ht="15.75" customHeight="1" x14ac:dyDescent="0.35">
      <c r="G153" s="30"/>
    </row>
    <row r="154" spans="7:7" ht="15.75" customHeight="1" x14ac:dyDescent="0.35">
      <c r="G154" s="30"/>
    </row>
    <row r="155" spans="7:7" ht="15.75" customHeight="1" x14ac:dyDescent="0.35">
      <c r="G155" s="30"/>
    </row>
    <row r="156" spans="7:7" ht="15.75" customHeight="1" x14ac:dyDescent="0.35">
      <c r="G156" s="30"/>
    </row>
    <row r="157" spans="7:7" ht="15.75" customHeight="1" x14ac:dyDescent="0.35">
      <c r="G157" s="30"/>
    </row>
    <row r="158" spans="7:7" ht="15.75" customHeight="1" x14ac:dyDescent="0.35">
      <c r="G158" s="30"/>
    </row>
    <row r="159" spans="7:7" ht="15.75" customHeight="1" x14ac:dyDescent="0.35">
      <c r="G159" s="30"/>
    </row>
    <row r="160" spans="7:7" ht="15.75" customHeight="1" x14ac:dyDescent="0.35">
      <c r="G160" s="30"/>
    </row>
    <row r="161" spans="7:7" ht="15.75" customHeight="1" x14ac:dyDescent="0.35">
      <c r="G161" s="30"/>
    </row>
    <row r="162" spans="7:7" ht="15.75" customHeight="1" x14ac:dyDescent="0.35">
      <c r="G162" s="30"/>
    </row>
    <row r="163" spans="7:7" ht="15.75" customHeight="1" x14ac:dyDescent="0.35">
      <c r="G163" s="30"/>
    </row>
    <row r="164" spans="7:7" ht="15.75" customHeight="1" x14ac:dyDescent="0.35">
      <c r="G164" s="30"/>
    </row>
    <row r="165" spans="7:7" ht="15.75" customHeight="1" x14ac:dyDescent="0.35">
      <c r="G165" s="30"/>
    </row>
    <row r="166" spans="7:7" ht="15.75" customHeight="1" x14ac:dyDescent="0.35">
      <c r="G166" s="30"/>
    </row>
    <row r="167" spans="7:7" ht="15.75" customHeight="1" x14ac:dyDescent="0.35">
      <c r="G167" s="30"/>
    </row>
    <row r="168" spans="7:7" ht="15.75" customHeight="1" x14ac:dyDescent="0.35">
      <c r="G168" s="30"/>
    </row>
    <row r="169" spans="7:7" ht="15.75" customHeight="1" x14ac:dyDescent="0.35">
      <c r="G169" s="30"/>
    </row>
    <row r="170" spans="7:7" ht="15.75" customHeight="1" x14ac:dyDescent="0.35">
      <c r="G170" s="30"/>
    </row>
    <row r="171" spans="7:7" ht="15.75" customHeight="1" x14ac:dyDescent="0.35">
      <c r="G171" s="30"/>
    </row>
    <row r="172" spans="7:7" ht="15.75" customHeight="1" x14ac:dyDescent="0.35">
      <c r="G172" s="30"/>
    </row>
    <row r="173" spans="7:7" ht="15.75" customHeight="1" x14ac:dyDescent="0.35">
      <c r="G173" s="30"/>
    </row>
    <row r="174" spans="7:7" ht="15.75" customHeight="1" x14ac:dyDescent="0.35">
      <c r="G174" s="30"/>
    </row>
    <row r="175" spans="7:7" ht="15.75" customHeight="1" x14ac:dyDescent="0.35">
      <c r="G175" s="30"/>
    </row>
    <row r="176" spans="7:7" ht="15.75" customHeight="1" x14ac:dyDescent="0.35">
      <c r="G176" s="30"/>
    </row>
    <row r="177" spans="7:7" ht="15.75" customHeight="1" x14ac:dyDescent="0.35">
      <c r="G177" s="30"/>
    </row>
    <row r="178" spans="7:7" ht="15.75" customHeight="1" x14ac:dyDescent="0.35">
      <c r="G178" s="30"/>
    </row>
    <row r="179" spans="7:7" ht="15.75" customHeight="1" x14ac:dyDescent="0.35">
      <c r="G179" s="30"/>
    </row>
    <row r="180" spans="7:7" ht="15.75" customHeight="1" x14ac:dyDescent="0.35">
      <c r="G180" s="30"/>
    </row>
    <row r="181" spans="7:7" ht="15.75" customHeight="1" x14ac:dyDescent="0.35">
      <c r="G181" s="30"/>
    </row>
    <row r="182" spans="7:7" ht="15.75" customHeight="1" x14ac:dyDescent="0.35">
      <c r="G182" s="30"/>
    </row>
    <row r="183" spans="7:7" ht="15.75" customHeight="1" x14ac:dyDescent="0.35">
      <c r="G183" s="30"/>
    </row>
    <row r="184" spans="7:7" ht="15.75" customHeight="1" x14ac:dyDescent="0.35">
      <c r="G184" s="30"/>
    </row>
    <row r="185" spans="7:7" ht="15.75" customHeight="1" x14ac:dyDescent="0.35">
      <c r="G185" s="30"/>
    </row>
    <row r="186" spans="7:7" ht="15.75" customHeight="1" x14ac:dyDescent="0.35">
      <c r="G186" s="30"/>
    </row>
    <row r="187" spans="7:7" ht="15.75" customHeight="1" x14ac:dyDescent="0.35">
      <c r="G187" s="30"/>
    </row>
    <row r="188" spans="7:7" ht="15.75" customHeight="1" x14ac:dyDescent="0.35">
      <c r="G188" s="30"/>
    </row>
    <row r="189" spans="7:7" ht="15.75" customHeight="1" x14ac:dyDescent="0.35">
      <c r="G189" s="30"/>
    </row>
    <row r="190" spans="7:7" ht="15.75" customHeight="1" x14ac:dyDescent="0.35">
      <c r="G190" s="30"/>
    </row>
    <row r="191" spans="7:7" ht="15.75" customHeight="1" x14ac:dyDescent="0.35">
      <c r="G191" s="30"/>
    </row>
    <row r="192" spans="7:7" ht="15.75" customHeight="1" x14ac:dyDescent="0.35">
      <c r="G192" s="30"/>
    </row>
    <row r="193" spans="7:7" ht="15.75" customHeight="1" x14ac:dyDescent="0.35">
      <c r="G193" s="30"/>
    </row>
    <row r="194" spans="7:7" ht="15.75" customHeight="1" x14ac:dyDescent="0.35">
      <c r="G194" s="30"/>
    </row>
    <row r="195" spans="7:7" ht="15.75" customHeight="1" x14ac:dyDescent="0.35">
      <c r="G195" s="30"/>
    </row>
    <row r="196" spans="7:7" ht="15.75" customHeight="1" x14ac:dyDescent="0.35">
      <c r="G196" s="30"/>
    </row>
    <row r="197" spans="7:7" ht="15.75" customHeight="1" x14ac:dyDescent="0.35">
      <c r="G197" s="30"/>
    </row>
    <row r="198" spans="7:7" ht="15.75" customHeight="1" x14ac:dyDescent="0.35">
      <c r="G198" s="30"/>
    </row>
    <row r="199" spans="7:7" ht="15.75" customHeight="1" x14ac:dyDescent="0.35">
      <c r="G199" s="30"/>
    </row>
    <row r="200" spans="7:7" ht="15.75" customHeight="1" x14ac:dyDescent="0.35">
      <c r="G200" s="30"/>
    </row>
    <row r="201" spans="7:7" ht="15.75" customHeight="1" x14ac:dyDescent="0.35">
      <c r="G201" s="30"/>
    </row>
    <row r="202" spans="7:7" ht="15.75" customHeight="1" x14ac:dyDescent="0.35">
      <c r="G202" s="30"/>
    </row>
    <row r="203" spans="7:7" ht="15.75" customHeight="1" x14ac:dyDescent="0.35">
      <c r="G203" s="30"/>
    </row>
    <row r="204" spans="7:7" ht="15.75" customHeight="1" x14ac:dyDescent="0.35">
      <c r="G204" s="30"/>
    </row>
    <row r="205" spans="7:7" ht="15.75" customHeight="1" x14ac:dyDescent="0.35">
      <c r="G205" s="30"/>
    </row>
    <row r="206" spans="7:7" ht="15.75" customHeight="1" x14ac:dyDescent="0.35">
      <c r="G206" s="30"/>
    </row>
    <row r="207" spans="7:7" ht="15.75" customHeight="1" x14ac:dyDescent="0.35">
      <c r="G207" s="30"/>
    </row>
    <row r="208" spans="7:7" ht="15.75" customHeight="1" x14ac:dyDescent="0.35">
      <c r="G208" s="30"/>
    </row>
    <row r="209" spans="7:7" ht="15.75" customHeight="1" x14ac:dyDescent="0.35">
      <c r="G209" s="30"/>
    </row>
    <row r="210" spans="7:7" ht="15.75" customHeight="1" x14ac:dyDescent="0.35">
      <c r="G210" s="30"/>
    </row>
    <row r="211" spans="7:7" ht="15.75" customHeight="1" x14ac:dyDescent="0.35">
      <c r="G211" s="30"/>
    </row>
    <row r="212" spans="7:7" ht="15.75" customHeight="1" x14ac:dyDescent="0.35">
      <c r="G212" s="30"/>
    </row>
    <row r="213" spans="7:7" ht="15.75" customHeight="1" x14ac:dyDescent="0.35">
      <c r="G213" s="30"/>
    </row>
    <row r="214" spans="7:7" ht="15.75" customHeight="1" x14ac:dyDescent="0.35">
      <c r="G214" s="30"/>
    </row>
    <row r="215" spans="7:7" ht="15.75" customHeight="1" x14ac:dyDescent="0.35">
      <c r="G215" s="30"/>
    </row>
    <row r="216" spans="7:7" ht="15.75" customHeight="1" x14ac:dyDescent="0.35">
      <c r="G216" s="30"/>
    </row>
    <row r="217" spans="7:7" ht="15.75" customHeight="1" x14ac:dyDescent="0.35">
      <c r="G217" s="30"/>
    </row>
    <row r="218" spans="7:7" ht="15.75" customHeight="1" x14ac:dyDescent="0.35">
      <c r="G218" s="30"/>
    </row>
    <row r="219" spans="7:7" ht="15.75" customHeight="1" x14ac:dyDescent="0.35">
      <c r="G219" s="30"/>
    </row>
    <row r="220" spans="7:7" ht="15.75" customHeight="1" x14ac:dyDescent="0.35">
      <c r="G220" s="30"/>
    </row>
    <row r="221" spans="7:7" ht="15.75" customHeight="1" x14ac:dyDescent="0.35">
      <c r="G221" s="30"/>
    </row>
    <row r="222" spans="7:7" ht="15.75" customHeight="1" x14ac:dyDescent="0.35">
      <c r="G222" s="30"/>
    </row>
    <row r="223" spans="7:7" ht="15.75" customHeight="1" x14ac:dyDescent="0.35">
      <c r="G223" s="30"/>
    </row>
    <row r="224" spans="7:7" ht="15.75" customHeight="1" x14ac:dyDescent="0.35">
      <c r="G224" s="30"/>
    </row>
    <row r="225" spans="7:7" ht="15.75" customHeight="1" x14ac:dyDescent="0.35">
      <c r="G225" s="30"/>
    </row>
    <row r="226" spans="7:7" ht="15.75" customHeight="1" x14ac:dyDescent="0.35">
      <c r="G226" s="30"/>
    </row>
    <row r="227" spans="7:7" ht="15.75" customHeight="1" x14ac:dyDescent="0.35">
      <c r="G227" s="30"/>
    </row>
    <row r="228" spans="7:7" ht="15.75" customHeight="1" x14ac:dyDescent="0.35">
      <c r="G228" s="30"/>
    </row>
    <row r="229" spans="7:7" ht="15.75" customHeight="1" x14ac:dyDescent="0.35">
      <c r="G229" s="30"/>
    </row>
    <row r="230" spans="7:7" ht="15.75" customHeight="1" x14ac:dyDescent="0.35">
      <c r="G230" s="30"/>
    </row>
    <row r="231" spans="7:7" ht="15.75" customHeight="1" x14ac:dyDescent="0.35">
      <c r="G231" s="30"/>
    </row>
    <row r="232" spans="7:7" ht="15.75" customHeight="1" x14ac:dyDescent="0.35">
      <c r="G232" s="30"/>
    </row>
    <row r="233" spans="7:7" ht="15.75" customHeight="1" x14ac:dyDescent="0.35">
      <c r="G233" s="30"/>
    </row>
    <row r="234" spans="7:7" ht="15.75" customHeight="1" x14ac:dyDescent="0.35">
      <c r="G234" s="30"/>
    </row>
    <row r="235" spans="7:7" ht="15.75" customHeight="1" x14ac:dyDescent="0.35">
      <c r="G235" s="30"/>
    </row>
    <row r="236" spans="7:7" ht="15.75" customHeight="1" x14ac:dyDescent="0.35">
      <c r="G236" s="30"/>
    </row>
    <row r="237" spans="7:7" ht="15.75" customHeight="1" x14ac:dyDescent="0.35">
      <c r="G237" s="30"/>
    </row>
    <row r="238" spans="7:7" ht="15.75" customHeight="1" x14ac:dyDescent="0.35">
      <c r="G238" s="30"/>
    </row>
    <row r="239" spans="7:7" ht="15.75" customHeight="1" x14ac:dyDescent="0.35">
      <c r="G239" s="30"/>
    </row>
    <row r="240" spans="7:7" ht="15.75" customHeight="1" x14ac:dyDescent="0.35">
      <c r="G240" s="30"/>
    </row>
    <row r="241" spans="7:7" ht="15.75" customHeight="1" x14ac:dyDescent="0.35">
      <c r="G241" s="30"/>
    </row>
    <row r="242" spans="7:7" ht="15.75" customHeight="1" x14ac:dyDescent="0.35">
      <c r="G242" s="30"/>
    </row>
    <row r="243" spans="7:7" ht="15.75" customHeight="1" x14ac:dyDescent="0.35">
      <c r="G243" s="30"/>
    </row>
    <row r="244" spans="7:7" ht="15.75" customHeight="1" x14ac:dyDescent="0.35">
      <c r="G244" s="30"/>
    </row>
    <row r="245" spans="7:7" ht="15.75" customHeight="1" x14ac:dyDescent="0.35">
      <c r="G245" s="30"/>
    </row>
    <row r="246" spans="7:7" ht="15.75" customHeight="1" x14ac:dyDescent="0.35">
      <c r="G246" s="30"/>
    </row>
    <row r="247" spans="7:7" ht="15.75" customHeight="1" x14ac:dyDescent="0.35">
      <c r="G247" s="30"/>
    </row>
    <row r="248" spans="7:7" ht="15.75" customHeight="1" x14ac:dyDescent="0.35">
      <c r="G248" s="30"/>
    </row>
    <row r="249" spans="7:7" ht="15.75" customHeight="1" x14ac:dyDescent="0.35">
      <c r="G249" s="30"/>
    </row>
    <row r="250" spans="7:7" ht="15.75" customHeight="1" x14ac:dyDescent="0.35">
      <c r="G250" s="30"/>
    </row>
    <row r="251" spans="7:7" ht="15.75" customHeight="1" x14ac:dyDescent="0.35">
      <c r="G251" s="30"/>
    </row>
    <row r="252" spans="7:7" ht="15.75" customHeight="1" x14ac:dyDescent="0.35">
      <c r="G252" s="30"/>
    </row>
    <row r="253" spans="7:7" ht="15.75" customHeight="1" x14ac:dyDescent="0.35">
      <c r="G253" s="30"/>
    </row>
    <row r="254" spans="7:7" ht="15.75" customHeight="1" x14ac:dyDescent="0.35">
      <c r="G254" s="30"/>
    </row>
    <row r="255" spans="7:7" ht="15.75" customHeight="1" x14ac:dyDescent="0.35">
      <c r="G255" s="30"/>
    </row>
    <row r="256" spans="7:7" ht="15.75" customHeight="1" x14ac:dyDescent="0.35">
      <c r="G256" s="30"/>
    </row>
    <row r="257" spans="7:7" ht="15.75" customHeight="1" x14ac:dyDescent="0.35">
      <c r="G257" s="30"/>
    </row>
    <row r="258" spans="7:7" ht="15.75" customHeight="1" x14ac:dyDescent="0.35">
      <c r="G258" s="30"/>
    </row>
    <row r="259" spans="7:7" ht="15.75" customHeight="1" x14ac:dyDescent="0.35">
      <c r="G259" s="30"/>
    </row>
    <row r="260" spans="7:7" ht="15.75" customHeight="1" x14ac:dyDescent="0.35">
      <c r="G260" s="30"/>
    </row>
    <row r="261" spans="7:7" ht="15.75" customHeight="1" x14ac:dyDescent="0.35">
      <c r="G261" s="30"/>
    </row>
    <row r="262" spans="7:7" ht="15.75" customHeight="1" x14ac:dyDescent="0.35">
      <c r="G262" s="30"/>
    </row>
    <row r="263" spans="7:7" ht="15.75" customHeight="1" x14ac:dyDescent="0.35">
      <c r="G263" s="30"/>
    </row>
    <row r="264" spans="7:7" ht="15.75" customHeight="1" x14ac:dyDescent="0.35">
      <c r="G264" s="30"/>
    </row>
    <row r="265" spans="7:7" ht="15.75" customHeight="1" x14ac:dyDescent="0.35">
      <c r="G265" s="30"/>
    </row>
    <row r="266" spans="7:7" ht="15.75" customHeight="1" x14ac:dyDescent="0.35">
      <c r="G266" s="30"/>
    </row>
    <row r="267" spans="7:7" ht="15.75" customHeight="1" x14ac:dyDescent="0.35">
      <c r="G267" s="30"/>
    </row>
    <row r="268" spans="7:7" ht="15.75" customHeight="1" x14ac:dyDescent="0.35">
      <c r="G268" s="30"/>
    </row>
    <row r="269" spans="7:7" ht="15.75" customHeight="1" x14ac:dyDescent="0.35">
      <c r="G269" s="30"/>
    </row>
    <row r="270" spans="7:7" ht="15.75" customHeight="1" x14ac:dyDescent="0.35">
      <c r="G270" s="30"/>
    </row>
    <row r="271" spans="7:7" ht="15.75" customHeight="1" x14ac:dyDescent="0.35">
      <c r="G271" s="30"/>
    </row>
    <row r="272" spans="7:7" ht="15.75" customHeight="1" x14ac:dyDescent="0.35">
      <c r="G272" s="30"/>
    </row>
    <row r="273" spans="7:7" ht="15.75" customHeight="1" x14ac:dyDescent="0.35">
      <c r="G273" s="30"/>
    </row>
    <row r="274" spans="7:7" ht="15.75" customHeight="1" x14ac:dyDescent="0.35">
      <c r="G274" s="30"/>
    </row>
    <row r="275" spans="7:7" ht="15.75" customHeight="1" x14ac:dyDescent="0.35">
      <c r="G275" s="30"/>
    </row>
    <row r="276" spans="7:7" ht="15.75" customHeight="1" x14ac:dyDescent="0.35">
      <c r="G276" s="30"/>
    </row>
    <row r="277" spans="7:7" ht="15.75" customHeight="1" x14ac:dyDescent="0.35">
      <c r="G277" s="30"/>
    </row>
    <row r="278" spans="7:7" ht="15.75" customHeight="1" x14ac:dyDescent="0.35">
      <c r="G278" s="30"/>
    </row>
    <row r="279" spans="7:7" ht="15.75" customHeight="1" x14ac:dyDescent="0.35">
      <c r="G279" s="30"/>
    </row>
    <row r="280" spans="7:7" ht="15.75" customHeight="1" x14ac:dyDescent="0.35">
      <c r="G280" s="30"/>
    </row>
    <row r="281" spans="7:7" ht="15.75" customHeight="1" x14ac:dyDescent="0.35">
      <c r="G281" s="30"/>
    </row>
    <row r="282" spans="7:7" ht="15.75" customHeight="1" x14ac:dyDescent="0.35">
      <c r="G282" s="30"/>
    </row>
    <row r="283" spans="7:7" ht="15.75" customHeight="1" x14ac:dyDescent="0.35">
      <c r="G283" s="30"/>
    </row>
    <row r="284" spans="7:7" ht="15.75" customHeight="1" x14ac:dyDescent="0.35">
      <c r="G284" s="30"/>
    </row>
    <row r="285" spans="7:7" ht="15.75" customHeight="1" x14ac:dyDescent="0.35">
      <c r="G285" s="30"/>
    </row>
    <row r="286" spans="7:7" ht="15.75" customHeight="1" x14ac:dyDescent="0.35">
      <c r="G286" s="30"/>
    </row>
    <row r="287" spans="7:7" ht="15.75" customHeight="1" x14ac:dyDescent="0.35">
      <c r="G287" s="30"/>
    </row>
    <row r="288" spans="7:7" ht="15.75" customHeight="1" x14ac:dyDescent="0.35">
      <c r="G288" s="30"/>
    </row>
    <row r="289" spans="7:7" ht="15.75" customHeight="1" x14ac:dyDescent="0.35">
      <c r="G289" s="30"/>
    </row>
    <row r="290" spans="7:7" ht="15.75" customHeight="1" x14ac:dyDescent="0.35">
      <c r="G290" s="30"/>
    </row>
    <row r="291" spans="7:7" ht="15.75" customHeight="1" x14ac:dyDescent="0.35">
      <c r="G291" s="30"/>
    </row>
    <row r="292" spans="7:7" ht="15.75" customHeight="1" x14ac:dyDescent="0.35">
      <c r="G292" s="30"/>
    </row>
    <row r="293" spans="7:7" ht="15.75" customHeight="1" x14ac:dyDescent="0.35">
      <c r="G293" s="30"/>
    </row>
    <row r="294" spans="7:7" ht="15.75" customHeight="1" x14ac:dyDescent="0.35">
      <c r="G294" s="30"/>
    </row>
    <row r="295" spans="7:7" ht="15.75" customHeight="1" x14ac:dyDescent="0.35">
      <c r="G295" s="30"/>
    </row>
    <row r="296" spans="7:7" ht="15.75" customHeight="1" x14ac:dyDescent="0.35">
      <c r="G296" s="30"/>
    </row>
    <row r="297" spans="7:7" ht="15.75" customHeight="1" x14ac:dyDescent="0.35">
      <c r="G297" s="30"/>
    </row>
    <row r="298" spans="7:7" ht="15.75" customHeight="1" x14ac:dyDescent="0.35">
      <c r="G298" s="30"/>
    </row>
    <row r="299" spans="7:7" ht="15.75" customHeight="1" x14ac:dyDescent="0.35">
      <c r="G299" s="30"/>
    </row>
    <row r="300" spans="7:7" ht="15.75" customHeight="1" x14ac:dyDescent="0.35">
      <c r="G300" s="30"/>
    </row>
    <row r="301" spans="7:7" ht="15.75" customHeight="1" x14ac:dyDescent="0.35">
      <c r="G301" s="30"/>
    </row>
    <row r="302" spans="7:7" ht="15.75" customHeight="1" x14ac:dyDescent="0.35">
      <c r="G302" s="30"/>
    </row>
    <row r="303" spans="7:7" ht="15.75" customHeight="1" x14ac:dyDescent="0.35">
      <c r="G303" s="30"/>
    </row>
    <row r="304" spans="7:7" ht="15.75" customHeight="1" x14ac:dyDescent="0.35">
      <c r="G304" s="30"/>
    </row>
    <row r="305" spans="7:7" ht="15.75" customHeight="1" x14ac:dyDescent="0.35">
      <c r="G305" s="30"/>
    </row>
    <row r="306" spans="7:7" ht="15.75" customHeight="1" x14ac:dyDescent="0.35">
      <c r="G306" s="30"/>
    </row>
    <row r="307" spans="7:7" ht="15.75" customHeight="1" x14ac:dyDescent="0.35">
      <c r="G307" s="30"/>
    </row>
    <row r="308" spans="7:7" ht="15.75" customHeight="1" x14ac:dyDescent="0.35">
      <c r="G308" s="30"/>
    </row>
    <row r="309" spans="7:7" ht="15.75" customHeight="1" x14ac:dyDescent="0.35">
      <c r="G309" s="30"/>
    </row>
    <row r="310" spans="7:7" ht="15.75" customHeight="1" x14ac:dyDescent="0.35">
      <c r="G310" s="30"/>
    </row>
    <row r="311" spans="7:7" ht="15.75" customHeight="1" x14ac:dyDescent="0.35">
      <c r="G311" s="30"/>
    </row>
    <row r="312" spans="7:7" ht="15.75" customHeight="1" x14ac:dyDescent="0.35">
      <c r="G312" s="30"/>
    </row>
    <row r="313" spans="7:7" ht="15.75" customHeight="1" x14ac:dyDescent="0.35">
      <c r="G313" s="30"/>
    </row>
    <row r="314" spans="7:7" ht="15.75" customHeight="1" x14ac:dyDescent="0.35">
      <c r="G314" s="30"/>
    </row>
    <row r="315" spans="7:7" ht="15.75" customHeight="1" x14ac:dyDescent="0.35">
      <c r="G315" s="30"/>
    </row>
    <row r="316" spans="7:7" ht="15.75" customHeight="1" x14ac:dyDescent="0.35">
      <c r="G316" s="30"/>
    </row>
    <row r="317" spans="7:7" ht="15.75" customHeight="1" x14ac:dyDescent="0.35">
      <c r="G317" s="30"/>
    </row>
    <row r="318" spans="7:7" ht="15.75" customHeight="1" x14ac:dyDescent="0.35">
      <c r="G318" s="30"/>
    </row>
    <row r="319" spans="7:7" ht="15.75" customHeight="1" x14ac:dyDescent="0.35">
      <c r="G319" s="30"/>
    </row>
    <row r="320" spans="7:7" ht="15.75" customHeight="1" x14ac:dyDescent="0.35">
      <c r="G320" s="30"/>
    </row>
    <row r="321" spans="7:7" ht="15.75" customHeight="1" x14ac:dyDescent="0.35">
      <c r="G321" s="30"/>
    </row>
    <row r="322" spans="7:7" ht="15.75" customHeight="1" x14ac:dyDescent="0.35">
      <c r="G322" s="30"/>
    </row>
    <row r="323" spans="7:7" ht="15.75" customHeight="1" x14ac:dyDescent="0.35">
      <c r="G323" s="30"/>
    </row>
    <row r="324" spans="7:7" ht="15.75" customHeight="1" x14ac:dyDescent="0.35">
      <c r="G324" s="30"/>
    </row>
    <row r="325" spans="7:7" ht="15.75" customHeight="1" x14ac:dyDescent="0.35">
      <c r="G325" s="30"/>
    </row>
    <row r="326" spans="7:7" ht="15.75" customHeight="1" x14ac:dyDescent="0.35">
      <c r="G326" s="30"/>
    </row>
    <row r="327" spans="7:7" ht="15.75" customHeight="1" x14ac:dyDescent="0.35">
      <c r="G327" s="30"/>
    </row>
    <row r="328" spans="7:7" ht="15.75" customHeight="1" x14ac:dyDescent="0.35">
      <c r="G328" s="30"/>
    </row>
    <row r="329" spans="7:7" ht="15.75" customHeight="1" x14ac:dyDescent="0.35">
      <c r="G329" s="30"/>
    </row>
    <row r="330" spans="7:7" ht="15.75" customHeight="1" x14ac:dyDescent="0.35">
      <c r="G330" s="30"/>
    </row>
    <row r="331" spans="7:7" ht="15.75" customHeight="1" x14ac:dyDescent="0.35">
      <c r="G331" s="30"/>
    </row>
    <row r="332" spans="7:7" ht="15.75" customHeight="1" x14ac:dyDescent="0.35">
      <c r="G332" s="30"/>
    </row>
    <row r="333" spans="7:7" ht="15.75" customHeight="1" x14ac:dyDescent="0.35">
      <c r="G333" s="30"/>
    </row>
    <row r="334" spans="7:7" ht="15.75" customHeight="1" x14ac:dyDescent="0.35">
      <c r="G334" s="30"/>
    </row>
    <row r="335" spans="7:7" ht="15.75" customHeight="1" x14ac:dyDescent="0.35">
      <c r="G335" s="30"/>
    </row>
    <row r="336" spans="7:7" ht="15.75" customHeight="1" x14ac:dyDescent="0.35">
      <c r="G336" s="30"/>
    </row>
    <row r="337" spans="7:7" ht="15.75" customHeight="1" x14ac:dyDescent="0.35">
      <c r="G337" s="30"/>
    </row>
    <row r="338" spans="7:7" ht="15.75" customHeight="1" x14ac:dyDescent="0.35">
      <c r="G338" s="30"/>
    </row>
    <row r="339" spans="7:7" ht="15.75" customHeight="1" x14ac:dyDescent="0.35">
      <c r="G339" s="30"/>
    </row>
    <row r="340" spans="7:7" ht="15.75" customHeight="1" x14ac:dyDescent="0.35">
      <c r="G340" s="30"/>
    </row>
    <row r="341" spans="7:7" ht="15.75" customHeight="1" x14ac:dyDescent="0.35">
      <c r="G341" s="30"/>
    </row>
    <row r="342" spans="7:7" ht="15.75" customHeight="1" x14ac:dyDescent="0.35">
      <c r="G342" s="30"/>
    </row>
    <row r="343" spans="7:7" ht="15.75" customHeight="1" x14ac:dyDescent="0.35">
      <c r="G343" s="30"/>
    </row>
    <row r="344" spans="7:7" ht="15.75" customHeight="1" x14ac:dyDescent="0.35">
      <c r="G344" s="30"/>
    </row>
    <row r="345" spans="7:7" ht="15.75" customHeight="1" x14ac:dyDescent="0.35">
      <c r="G345" s="30"/>
    </row>
    <row r="346" spans="7:7" ht="15.75" customHeight="1" x14ac:dyDescent="0.35">
      <c r="G346" s="30"/>
    </row>
    <row r="347" spans="7:7" ht="15.75" customHeight="1" x14ac:dyDescent="0.35">
      <c r="G347" s="30"/>
    </row>
    <row r="348" spans="7:7" ht="15.75" customHeight="1" x14ac:dyDescent="0.35">
      <c r="G348" s="30"/>
    </row>
    <row r="349" spans="7:7" ht="15.75" customHeight="1" x14ac:dyDescent="0.35">
      <c r="G349" s="30"/>
    </row>
    <row r="350" spans="7:7" ht="15.75" customHeight="1" x14ac:dyDescent="0.35">
      <c r="G350" s="30"/>
    </row>
    <row r="351" spans="7:7" ht="15.75" customHeight="1" x14ac:dyDescent="0.35">
      <c r="G351" s="30"/>
    </row>
    <row r="352" spans="7:7" ht="15.75" customHeight="1" x14ac:dyDescent="0.35">
      <c r="G352" s="30"/>
    </row>
    <row r="353" spans="7:7" ht="15.75" customHeight="1" x14ac:dyDescent="0.35">
      <c r="G353" s="30"/>
    </row>
    <row r="354" spans="7:7" ht="15.75" customHeight="1" x14ac:dyDescent="0.35">
      <c r="G354" s="30"/>
    </row>
    <row r="355" spans="7:7" ht="15.75" customHeight="1" x14ac:dyDescent="0.35">
      <c r="G355" s="30"/>
    </row>
    <row r="356" spans="7:7" ht="15.75" customHeight="1" x14ac:dyDescent="0.35">
      <c r="G356" s="30"/>
    </row>
    <row r="357" spans="7:7" ht="15.75" customHeight="1" x14ac:dyDescent="0.35">
      <c r="G357" s="30"/>
    </row>
    <row r="358" spans="7:7" ht="15.75" customHeight="1" x14ac:dyDescent="0.35">
      <c r="G358" s="30"/>
    </row>
    <row r="359" spans="7:7" ht="15.75" customHeight="1" x14ac:dyDescent="0.35">
      <c r="G359" s="30"/>
    </row>
    <row r="360" spans="7:7" ht="15.75" customHeight="1" x14ac:dyDescent="0.35">
      <c r="G360" s="30"/>
    </row>
    <row r="361" spans="7:7" ht="15.75" customHeight="1" x14ac:dyDescent="0.35">
      <c r="G361" s="30"/>
    </row>
    <row r="362" spans="7:7" ht="15.75" customHeight="1" x14ac:dyDescent="0.35">
      <c r="G362" s="30"/>
    </row>
    <row r="363" spans="7:7" ht="15.75" customHeight="1" x14ac:dyDescent="0.35">
      <c r="G363" s="30"/>
    </row>
    <row r="364" spans="7:7" ht="15.75" customHeight="1" x14ac:dyDescent="0.35">
      <c r="G364" s="30"/>
    </row>
    <row r="365" spans="7:7" ht="15.75" customHeight="1" x14ac:dyDescent="0.35">
      <c r="G365" s="30"/>
    </row>
    <row r="366" spans="7:7" ht="15.75" customHeight="1" x14ac:dyDescent="0.35">
      <c r="G366" s="30"/>
    </row>
    <row r="367" spans="7:7" ht="15.75" customHeight="1" x14ac:dyDescent="0.35">
      <c r="G367" s="30"/>
    </row>
    <row r="368" spans="7:7" ht="15.75" customHeight="1" x14ac:dyDescent="0.35">
      <c r="G368" s="30"/>
    </row>
    <row r="369" spans="7:7" ht="15.75" customHeight="1" x14ac:dyDescent="0.35">
      <c r="G369" s="30"/>
    </row>
    <row r="370" spans="7:7" ht="15.75" customHeight="1" x14ac:dyDescent="0.35">
      <c r="G370" s="30"/>
    </row>
    <row r="371" spans="7:7" ht="15.75" customHeight="1" x14ac:dyDescent="0.35">
      <c r="G371" s="30"/>
    </row>
    <row r="372" spans="7:7" ht="15.75" customHeight="1" x14ac:dyDescent="0.35">
      <c r="G372" s="30"/>
    </row>
    <row r="373" spans="7:7" ht="15.75" customHeight="1" x14ac:dyDescent="0.35">
      <c r="G373" s="30"/>
    </row>
    <row r="374" spans="7:7" ht="15.75" customHeight="1" x14ac:dyDescent="0.35">
      <c r="G374" s="30"/>
    </row>
    <row r="375" spans="7:7" ht="15.75" customHeight="1" x14ac:dyDescent="0.35">
      <c r="G375" s="30"/>
    </row>
    <row r="376" spans="7:7" ht="15.75" customHeight="1" x14ac:dyDescent="0.35">
      <c r="G376" s="30"/>
    </row>
    <row r="377" spans="7:7" ht="15.75" customHeight="1" x14ac:dyDescent="0.35">
      <c r="G377" s="30"/>
    </row>
    <row r="378" spans="7:7" ht="15.75" customHeight="1" x14ac:dyDescent="0.35">
      <c r="G378" s="30"/>
    </row>
    <row r="379" spans="7:7" ht="15.75" customHeight="1" x14ac:dyDescent="0.35">
      <c r="G379" s="30"/>
    </row>
    <row r="380" spans="7:7" ht="15.75" customHeight="1" x14ac:dyDescent="0.35">
      <c r="G380" s="30"/>
    </row>
    <row r="381" spans="7:7" ht="15.75" customHeight="1" x14ac:dyDescent="0.35">
      <c r="G381" s="30"/>
    </row>
    <row r="382" spans="7:7" ht="15.75" customHeight="1" x14ac:dyDescent="0.35">
      <c r="G382" s="30"/>
    </row>
    <row r="383" spans="7:7" ht="15.75" customHeight="1" x14ac:dyDescent="0.35">
      <c r="G383" s="30"/>
    </row>
    <row r="384" spans="7:7" ht="15.75" customHeight="1" x14ac:dyDescent="0.35">
      <c r="G384" s="30"/>
    </row>
    <row r="385" spans="7:7" ht="15.75" customHeight="1" x14ac:dyDescent="0.35">
      <c r="G385" s="30"/>
    </row>
    <row r="386" spans="7:7" ht="15.75" customHeight="1" x14ac:dyDescent="0.35">
      <c r="G386" s="30"/>
    </row>
    <row r="387" spans="7:7" ht="15.75" customHeight="1" x14ac:dyDescent="0.35">
      <c r="G387" s="30"/>
    </row>
    <row r="388" spans="7:7" ht="15.75" customHeight="1" x14ac:dyDescent="0.35">
      <c r="G388" s="30"/>
    </row>
    <row r="389" spans="7:7" ht="15.75" customHeight="1" x14ac:dyDescent="0.35">
      <c r="G389" s="30"/>
    </row>
    <row r="390" spans="7:7" ht="15.75" customHeight="1" x14ac:dyDescent="0.35">
      <c r="G390" s="30"/>
    </row>
    <row r="391" spans="7:7" ht="15.75" customHeight="1" x14ac:dyDescent="0.35">
      <c r="G391" s="30"/>
    </row>
    <row r="392" spans="7:7" ht="15.75" customHeight="1" x14ac:dyDescent="0.35">
      <c r="G392" s="30"/>
    </row>
    <row r="393" spans="7:7" ht="15.75" customHeight="1" x14ac:dyDescent="0.35">
      <c r="G393" s="30"/>
    </row>
    <row r="394" spans="7:7" ht="15.75" customHeight="1" x14ac:dyDescent="0.35">
      <c r="G394" s="30"/>
    </row>
    <row r="395" spans="7:7" ht="15.75" customHeight="1" x14ac:dyDescent="0.35">
      <c r="G395" s="30"/>
    </row>
    <row r="396" spans="7:7" ht="15.75" customHeight="1" x14ac:dyDescent="0.35">
      <c r="G396" s="30"/>
    </row>
    <row r="397" spans="7:7" ht="15.75" customHeight="1" x14ac:dyDescent="0.35">
      <c r="G397" s="30"/>
    </row>
    <row r="398" spans="7:7" ht="15.75" customHeight="1" x14ac:dyDescent="0.35">
      <c r="G398" s="30"/>
    </row>
    <row r="399" spans="7:7" ht="15.75" customHeight="1" x14ac:dyDescent="0.35">
      <c r="G399" s="30"/>
    </row>
    <row r="400" spans="7:7" ht="15.75" customHeight="1" x14ac:dyDescent="0.35">
      <c r="G400" s="30"/>
    </row>
    <row r="401" spans="7:7" ht="15.75" customHeight="1" x14ac:dyDescent="0.35">
      <c r="G401" s="30"/>
    </row>
    <row r="402" spans="7:7" ht="15.75" customHeight="1" x14ac:dyDescent="0.35">
      <c r="G402" s="30"/>
    </row>
    <row r="403" spans="7:7" ht="15.75" customHeight="1" x14ac:dyDescent="0.35">
      <c r="G403" s="30"/>
    </row>
    <row r="404" spans="7:7" ht="15.75" customHeight="1" x14ac:dyDescent="0.35">
      <c r="G404" s="30"/>
    </row>
    <row r="405" spans="7:7" ht="15.75" customHeight="1" x14ac:dyDescent="0.35">
      <c r="G405" s="30"/>
    </row>
    <row r="406" spans="7:7" ht="15.75" customHeight="1" x14ac:dyDescent="0.35">
      <c r="G406" s="30"/>
    </row>
    <row r="407" spans="7:7" ht="15.75" customHeight="1" x14ac:dyDescent="0.35">
      <c r="G407" s="30"/>
    </row>
    <row r="408" spans="7:7" ht="15.75" customHeight="1" x14ac:dyDescent="0.35">
      <c r="G408" s="30"/>
    </row>
    <row r="409" spans="7:7" ht="15.75" customHeight="1" x14ac:dyDescent="0.35">
      <c r="G409" s="30"/>
    </row>
    <row r="410" spans="7:7" ht="15.75" customHeight="1" x14ac:dyDescent="0.35">
      <c r="G410" s="30"/>
    </row>
    <row r="411" spans="7:7" ht="15.75" customHeight="1" x14ac:dyDescent="0.35">
      <c r="G411" s="30"/>
    </row>
    <row r="412" spans="7:7" ht="15.75" customHeight="1" x14ac:dyDescent="0.35">
      <c r="G412" s="30"/>
    </row>
    <row r="413" spans="7:7" ht="15.75" customHeight="1" x14ac:dyDescent="0.35">
      <c r="G413" s="30"/>
    </row>
    <row r="414" spans="7:7" ht="15.75" customHeight="1" x14ac:dyDescent="0.35">
      <c r="G414" s="30"/>
    </row>
    <row r="415" spans="7:7" ht="15.75" customHeight="1" x14ac:dyDescent="0.35">
      <c r="G415" s="30"/>
    </row>
    <row r="416" spans="7:7" ht="15.75" customHeight="1" x14ac:dyDescent="0.35">
      <c r="G416" s="30"/>
    </row>
    <row r="417" spans="7:7" ht="15.75" customHeight="1" x14ac:dyDescent="0.35">
      <c r="G417" s="30"/>
    </row>
    <row r="418" spans="7:7" ht="15.75" customHeight="1" x14ac:dyDescent="0.35">
      <c r="G418" s="30"/>
    </row>
    <row r="419" spans="7:7" ht="15.75" customHeight="1" x14ac:dyDescent="0.35">
      <c r="G419" s="30"/>
    </row>
    <row r="420" spans="7:7" ht="15.75" customHeight="1" x14ac:dyDescent="0.35">
      <c r="G420" s="30"/>
    </row>
    <row r="421" spans="7:7" ht="15.75" customHeight="1" x14ac:dyDescent="0.35">
      <c r="G421" s="30"/>
    </row>
    <row r="422" spans="7:7" ht="15.75" customHeight="1" x14ac:dyDescent="0.35">
      <c r="G422" s="30"/>
    </row>
    <row r="423" spans="7:7" ht="15.75" customHeight="1" x14ac:dyDescent="0.35">
      <c r="G423" s="30"/>
    </row>
    <row r="424" spans="7:7" ht="15.75" customHeight="1" x14ac:dyDescent="0.35">
      <c r="G424" s="30"/>
    </row>
    <row r="425" spans="7:7" ht="15.75" customHeight="1" x14ac:dyDescent="0.35">
      <c r="G425" s="30"/>
    </row>
    <row r="426" spans="7:7" ht="15.75" customHeight="1" x14ac:dyDescent="0.35">
      <c r="G426" s="30"/>
    </row>
    <row r="427" spans="7:7" ht="15.75" customHeight="1" x14ac:dyDescent="0.35">
      <c r="G427" s="30"/>
    </row>
    <row r="428" spans="7:7" ht="15.75" customHeight="1" x14ac:dyDescent="0.35">
      <c r="G428" s="30"/>
    </row>
    <row r="429" spans="7:7" ht="15.75" customHeight="1" x14ac:dyDescent="0.35">
      <c r="G429" s="30"/>
    </row>
    <row r="430" spans="7:7" ht="15.75" customHeight="1" x14ac:dyDescent="0.35">
      <c r="G430" s="30"/>
    </row>
    <row r="431" spans="7:7" ht="15.75" customHeight="1" x14ac:dyDescent="0.35">
      <c r="G431" s="30"/>
    </row>
    <row r="432" spans="7:7" ht="15.75" customHeight="1" x14ac:dyDescent="0.35">
      <c r="G432" s="30"/>
    </row>
    <row r="433" spans="7:7" ht="15.75" customHeight="1" x14ac:dyDescent="0.35">
      <c r="G433" s="30"/>
    </row>
    <row r="434" spans="7:7" ht="15.75" customHeight="1" x14ac:dyDescent="0.35">
      <c r="G434" s="30"/>
    </row>
    <row r="435" spans="7:7" ht="15.75" customHeight="1" x14ac:dyDescent="0.35">
      <c r="G435" s="30"/>
    </row>
    <row r="436" spans="7:7" ht="15.75" customHeight="1" x14ac:dyDescent="0.35">
      <c r="G436" s="30"/>
    </row>
    <row r="437" spans="7:7" ht="15.75" customHeight="1" x14ac:dyDescent="0.35">
      <c r="G437" s="30"/>
    </row>
    <row r="438" spans="7:7" ht="15.75" customHeight="1" x14ac:dyDescent="0.35">
      <c r="G438" s="30"/>
    </row>
    <row r="439" spans="7:7" ht="15.75" customHeight="1" x14ac:dyDescent="0.35">
      <c r="G439" s="30"/>
    </row>
    <row r="440" spans="7:7" ht="15.75" customHeight="1" x14ac:dyDescent="0.35">
      <c r="G440" s="30"/>
    </row>
    <row r="441" spans="7:7" ht="15.75" customHeight="1" x14ac:dyDescent="0.35">
      <c r="G441" s="30"/>
    </row>
    <row r="442" spans="7:7" ht="15.75" customHeight="1" x14ac:dyDescent="0.35">
      <c r="G442" s="30"/>
    </row>
    <row r="443" spans="7:7" ht="15.75" customHeight="1" x14ac:dyDescent="0.35">
      <c r="G443" s="30"/>
    </row>
    <row r="444" spans="7:7" ht="15.75" customHeight="1" x14ac:dyDescent="0.35">
      <c r="G444" s="30"/>
    </row>
    <row r="445" spans="7:7" ht="15.75" customHeight="1" x14ac:dyDescent="0.35">
      <c r="G445" s="30"/>
    </row>
    <row r="446" spans="7:7" ht="15.75" customHeight="1" x14ac:dyDescent="0.35">
      <c r="G446" s="30"/>
    </row>
    <row r="447" spans="7:7" ht="15.75" customHeight="1" x14ac:dyDescent="0.35">
      <c r="G447" s="30"/>
    </row>
    <row r="448" spans="7:7" ht="15.75" customHeight="1" x14ac:dyDescent="0.35">
      <c r="G448" s="30"/>
    </row>
    <row r="449" spans="7:7" ht="15.75" customHeight="1" x14ac:dyDescent="0.35">
      <c r="G449" s="30"/>
    </row>
    <row r="450" spans="7:7" ht="15.75" customHeight="1" x14ac:dyDescent="0.35">
      <c r="G450" s="30"/>
    </row>
    <row r="451" spans="7:7" ht="15.75" customHeight="1" x14ac:dyDescent="0.35">
      <c r="G451" s="30"/>
    </row>
    <row r="452" spans="7:7" ht="15.75" customHeight="1" x14ac:dyDescent="0.35">
      <c r="G452" s="30"/>
    </row>
    <row r="453" spans="7:7" ht="15.75" customHeight="1" x14ac:dyDescent="0.35">
      <c r="G453" s="30"/>
    </row>
    <row r="454" spans="7:7" ht="15.75" customHeight="1" x14ac:dyDescent="0.35">
      <c r="G454" s="30"/>
    </row>
    <row r="455" spans="7:7" ht="15.75" customHeight="1" x14ac:dyDescent="0.35">
      <c r="G455" s="30"/>
    </row>
    <row r="456" spans="7:7" ht="15.75" customHeight="1" x14ac:dyDescent="0.35">
      <c r="G456" s="30"/>
    </row>
    <row r="457" spans="7:7" ht="15.75" customHeight="1" x14ac:dyDescent="0.35">
      <c r="G457" s="30"/>
    </row>
    <row r="458" spans="7:7" ht="15.75" customHeight="1" x14ac:dyDescent="0.35">
      <c r="G458" s="30"/>
    </row>
    <row r="459" spans="7:7" ht="15.75" customHeight="1" x14ac:dyDescent="0.35">
      <c r="G459" s="30"/>
    </row>
    <row r="460" spans="7:7" ht="15.75" customHeight="1" x14ac:dyDescent="0.35">
      <c r="G460" s="30"/>
    </row>
    <row r="461" spans="7:7" ht="15.75" customHeight="1" x14ac:dyDescent="0.35">
      <c r="G461" s="30"/>
    </row>
    <row r="462" spans="7:7" ht="15.75" customHeight="1" x14ac:dyDescent="0.35">
      <c r="G462" s="30"/>
    </row>
    <row r="463" spans="7:7" ht="15.75" customHeight="1" x14ac:dyDescent="0.35">
      <c r="G463" s="30"/>
    </row>
    <row r="464" spans="7:7" ht="15.75" customHeight="1" x14ac:dyDescent="0.35">
      <c r="G464" s="30"/>
    </row>
    <row r="465" spans="7:7" ht="15.75" customHeight="1" x14ac:dyDescent="0.35">
      <c r="G465" s="30"/>
    </row>
    <row r="466" spans="7:7" ht="15.75" customHeight="1" x14ac:dyDescent="0.35">
      <c r="G466" s="30"/>
    </row>
    <row r="467" spans="7:7" ht="15.75" customHeight="1" x14ac:dyDescent="0.35">
      <c r="G467" s="30"/>
    </row>
    <row r="468" spans="7:7" ht="15.75" customHeight="1" x14ac:dyDescent="0.35">
      <c r="G468" s="30"/>
    </row>
    <row r="469" spans="7:7" ht="15.75" customHeight="1" x14ac:dyDescent="0.35">
      <c r="G469" s="30"/>
    </row>
    <row r="470" spans="7:7" ht="15.75" customHeight="1" x14ac:dyDescent="0.35">
      <c r="G470" s="30"/>
    </row>
    <row r="471" spans="7:7" ht="15.75" customHeight="1" x14ac:dyDescent="0.35">
      <c r="G471" s="30"/>
    </row>
    <row r="472" spans="7:7" ht="15.75" customHeight="1" x14ac:dyDescent="0.35">
      <c r="G472" s="30"/>
    </row>
    <row r="473" spans="7:7" ht="15.75" customHeight="1" x14ac:dyDescent="0.35">
      <c r="G473" s="30"/>
    </row>
    <row r="474" spans="7:7" ht="15.75" customHeight="1" x14ac:dyDescent="0.35">
      <c r="G474" s="30"/>
    </row>
    <row r="475" spans="7:7" ht="15.75" customHeight="1" x14ac:dyDescent="0.35">
      <c r="G475" s="30"/>
    </row>
    <row r="476" spans="7:7" ht="15.75" customHeight="1" x14ac:dyDescent="0.35">
      <c r="G476" s="30"/>
    </row>
    <row r="477" spans="7:7" ht="15.75" customHeight="1" x14ac:dyDescent="0.35">
      <c r="G477" s="30"/>
    </row>
    <row r="478" spans="7:7" ht="15.75" customHeight="1" x14ac:dyDescent="0.35">
      <c r="G478" s="30"/>
    </row>
    <row r="479" spans="7:7" ht="15.75" customHeight="1" x14ac:dyDescent="0.35">
      <c r="G479" s="30"/>
    </row>
    <row r="480" spans="7:7" ht="15.75" customHeight="1" x14ac:dyDescent="0.35">
      <c r="G480" s="30"/>
    </row>
    <row r="481" spans="7:7" ht="15.75" customHeight="1" x14ac:dyDescent="0.35">
      <c r="G481" s="30"/>
    </row>
    <row r="482" spans="7:7" ht="15.75" customHeight="1" x14ac:dyDescent="0.35">
      <c r="G482" s="30"/>
    </row>
    <row r="483" spans="7:7" ht="15.75" customHeight="1" x14ac:dyDescent="0.35">
      <c r="G483" s="30"/>
    </row>
    <row r="484" spans="7:7" ht="15.75" customHeight="1" x14ac:dyDescent="0.35">
      <c r="G484" s="30"/>
    </row>
    <row r="485" spans="7:7" ht="15.75" customHeight="1" x14ac:dyDescent="0.35">
      <c r="G485" s="30"/>
    </row>
    <row r="486" spans="7:7" ht="15.75" customHeight="1" x14ac:dyDescent="0.35">
      <c r="G486" s="30"/>
    </row>
    <row r="487" spans="7:7" ht="15.75" customHeight="1" x14ac:dyDescent="0.35">
      <c r="G487" s="30"/>
    </row>
    <row r="488" spans="7:7" ht="15.75" customHeight="1" x14ac:dyDescent="0.35">
      <c r="G488" s="30"/>
    </row>
    <row r="489" spans="7:7" ht="15.75" customHeight="1" x14ac:dyDescent="0.35">
      <c r="G489" s="30"/>
    </row>
    <row r="490" spans="7:7" ht="15.75" customHeight="1" x14ac:dyDescent="0.35">
      <c r="G490" s="30"/>
    </row>
    <row r="491" spans="7:7" ht="15.75" customHeight="1" x14ac:dyDescent="0.35">
      <c r="G491" s="30"/>
    </row>
    <row r="492" spans="7:7" ht="15.75" customHeight="1" x14ac:dyDescent="0.35">
      <c r="G492" s="30"/>
    </row>
    <row r="493" spans="7:7" ht="15.75" customHeight="1" x14ac:dyDescent="0.35">
      <c r="G493" s="30"/>
    </row>
    <row r="494" spans="7:7" ht="15.75" customHeight="1" x14ac:dyDescent="0.35">
      <c r="G494" s="30"/>
    </row>
    <row r="495" spans="7:7" ht="15.75" customHeight="1" x14ac:dyDescent="0.35">
      <c r="G495" s="30"/>
    </row>
    <row r="496" spans="7:7" ht="15.75" customHeight="1" x14ac:dyDescent="0.35">
      <c r="G496" s="30"/>
    </row>
    <row r="497" spans="7:7" ht="15.75" customHeight="1" x14ac:dyDescent="0.35">
      <c r="G497" s="30"/>
    </row>
    <row r="498" spans="7:7" ht="15.75" customHeight="1" x14ac:dyDescent="0.35">
      <c r="G498" s="30"/>
    </row>
    <row r="499" spans="7:7" ht="15.75" customHeight="1" x14ac:dyDescent="0.35">
      <c r="G499" s="30"/>
    </row>
    <row r="500" spans="7:7" ht="15.75" customHeight="1" x14ac:dyDescent="0.35">
      <c r="G500" s="30"/>
    </row>
    <row r="501" spans="7:7" ht="15.75" customHeight="1" x14ac:dyDescent="0.35">
      <c r="G501" s="30"/>
    </row>
    <row r="502" spans="7:7" ht="15.75" customHeight="1" x14ac:dyDescent="0.35">
      <c r="G502" s="30"/>
    </row>
    <row r="503" spans="7:7" ht="15.75" customHeight="1" x14ac:dyDescent="0.35">
      <c r="G503" s="30"/>
    </row>
    <row r="504" spans="7:7" ht="15.75" customHeight="1" x14ac:dyDescent="0.35">
      <c r="G504" s="30"/>
    </row>
    <row r="505" spans="7:7" ht="15.75" customHeight="1" x14ac:dyDescent="0.35">
      <c r="G505" s="30"/>
    </row>
    <row r="506" spans="7:7" ht="15.75" customHeight="1" x14ac:dyDescent="0.35">
      <c r="G506" s="30"/>
    </row>
    <row r="507" spans="7:7" ht="15.75" customHeight="1" x14ac:dyDescent="0.35">
      <c r="G507" s="30"/>
    </row>
    <row r="508" spans="7:7" ht="15.75" customHeight="1" x14ac:dyDescent="0.35">
      <c r="G508" s="30"/>
    </row>
    <row r="509" spans="7:7" ht="15.75" customHeight="1" x14ac:dyDescent="0.35">
      <c r="G509" s="30"/>
    </row>
    <row r="510" spans="7:7" ht="15.75" customHeight="1" x14ac:dyDescent="0.35">
      <c r="G510" s="30"/>
    </row>
    <row r="511" spans="7:7" ht="15.75" customHeight="1" x14ac:dyDescent="0.35">
      <c r="G511" s="30"/>
    </row>
    <row r="512" spans="7:7" ht="15.75" customHeight="1" x14ac:dyDescent="0.35">
      <c r="G512" s="30"/>
    </row>
    <row r="513" spans="7:7" ht="15.75" customHeight="1" x14ac:dyDescent="0.35">
      <c r="G513" s="30"/>
    </row>
    <row r="514" spans="7:7" ht="15.75" customHeight="1" x14ac:dyDescent="0.35">
      <c r="G514" s="30"/>
    </row>
    <row r="515" spans="7:7" ht="15.75" customHeight="1" x14ac:dyDescent="0.35">
      <c r="G515" s="30"/>
    </row>
    <row r="516" spans="7:7" ht="15.75" customHeight="1" x14ac:dyDescent="0.35">
      <c r="G516" s="30"/>
    </row>
    <row r="517" spans="7:7" ht="15.75" customHeight="1" x14ac:dyDescent="0.35">
      <c r="G517" s="30"/>
    </row>
    <row r="518" spans="7:7" ht="15.75" customHeight="1" x14ac:dyDescent="0.35">
      <c r="G518" s="30"/>
    </row>
    <row r="519" spans="7:7" ht="15.75" customHeight="1" x14ac:dyDescent="0.35">
      <c r="G519" s="30"/>
    </row>
    <row r="520" spans="7:7" ht="15.75" customHeight="1" x14ac:dyDescent="0.35">
      <c r="G520" s="30"/>
    </row>
    <row r="521" spans="7:7" ht="15.75" customHeight="1" x14ac:dyDescent="0.35">
      <c r="G521" s="30"/>
    </row>
    <row r="522" spans="7:7" ht="15.75" customHeight="1" x14ac:dyDescent="0.35">
      <c r="G522" s="30"/>
    </row>
    <row r="523" spans="7:7" ht="15.75" customHeight="1" x14ac:dyDescent="0.35">
      <c r="G523" s="30"/>
    </row>
    <row r="524" spans="7:7" ht="15.75" customHeight="1" x14ac:dyDescent="0.35">
      <c r="G524" s="30"/>
    </row>
    <row r="525" spans="7:7" ht="15.75" customHeight="1" x14ac:dyDescent="0.35">
      <c r="G525" s="30"/>
    </row>
    <row r="526" spans="7:7" ht="15.75" customHeight="1" x14ac:dyDescent="0.35">
      <c r="G526" s="30"/>
    </row>
    <row r="527" spans="7:7" ht="15.75" customHeight="1" x14ac:dyDescent="0.35">
      <c r="G527" s="30"/>
    </row>
    <row r="528" spans="7:7" ht="15.75" customHeight="1" x14ac:dyDescent="0.35">
      <c r="G528" s="30"/>
    </row>
    <row r="529" spans="7:7" ht="15.75" customHeight="1" x14ac:dyDescent="0.35">
      <c r="G529" s="30"/>
    </row>
    <row r="530" spans="7:7" ht="15.75" customHeight="1" x14ac:dyDescent="0.35">
      <c r="G530" s="30"/>
    </row>
    <row r="531" spans="7:7" ht="15.75" customHeight="1" x14ac:dyDescent="0.35">
      <c r="G531" s="30"/>
    </row>
    <row r="532" spans="7:7" ht="15.75" customHeight="1" x14ac:dyDescent="0.35">
      <c r="G532" s="30"/>
    </row>
    <row r="533" spans="7:7" ht="15.75" customHeight="1" x14ac:dyDescent="0.35">
      <c r="G533" s="30"/>
    </row>
    <row r="534" spans="7:7" ht="15.75" customHeight="1" x14ac:dyDescent="0.35">
      <c r="G534" s="30"/>
    </row>
    <row r="535" spans="7:7" ht="15.75" customHeight="1" x14ac:dyDescent="0.35">
      <c r="G535" s="30"/>
    </row>
    <row r="536" spans="7:7" ht="15.75" customHeight="1" x14ac:dyDescent="0.35">
      <c r="G536" s="30"/>
    </row>
    <row r="537" spans="7:7" ht="15.75" customHeight="1" x14ac:dyDescent="0.35">
      <c r="G537" s="30"/>
    </row>
    <row r="538" spans="7:7" ht="15.75" customHeight="1" x14ac:dyDescent="0.35">
      <c r="G538" s="30"/>
    </row>
    <row r="539" spans="7:7" ht="15.75" customHeight="1" x14ac:dyDescent="0.35">
      <c r="G539" s="30"/>
    </row>
    <row r="540" spans="7:7" ht="15.75" customHeight="1" x14ac:dyDescent="0.35">
      <c r="G540" s="30"/>
    </row>
    <row r="541" spans="7:7" ht="15.75" customHeight="1" x14ac:dyDescent="0.35">
      <c r="G541" s="30"/>
    </row>
    <row r="542" spans="7:7" ht="15.75" customHeight="1" x14ac:dyDescent="0.35">
      <c r="G542" s="30"/>
    </row>
    <row r="543" spans="7:7" ht="15.75" customHeight="1" x14ac:dyDescent="0.35">
      <c r="G543" s="30"/>
    </row>
    <row r="544" spans="7:7" ht="15.75" customHeight="1" x14ac:dyDescent="0.35">
      <c r="G544" s="30"/>
    </row>
    <row r="545" spans="7:7" ht="15.75" customHeight="1" x14ac:dyDescent="0.35">
      <c r="G545" s="30"/>
    </row>
    <row r="546" spans="7:7" ht="15.75" customHeight="1" x14ac:dyDescent="0.35">
      <c r="G546" s="30"/>
    </row>
    <row r="547" spans="7:7" ht="15.75" customHeight="1" x14ac:dyDescent="0.35">
      <c r="G547" s="30"/>
    </row>
    <row r="548" spans="7:7" ht="15.75" customHeight="1" x14ac:dyDescent="0.35">
      <c r="G548" s="30"/>
    </row>
    <row r="549" spans="7:7" ht="15.75" customHeight="1" x14ac:dyDescent="0.35">
      <c r="G549" s="30"/>
    </row>
    <row r="550" spans="7:7" ht="15.75" customHeight="1" x14ac:dyDescent="0.35">
      <c r="G550" s="30"/>
    </row>
    <row r="551" spans="7:7" ht="15.75" customHeight="1" x14ac:dyDescent="0.35">
      <c r="G551" s="30"/>
    </row>
    <row r="552" spans="7:7" ht="15.75" customHeight="1" x14ac:dyDescent="0.35">
      <c r="G552" s="30"/>
    </row>
    <row r="553" spans="7:7" ht="15.75" customHeight="1" x14ac:dyDescent="0.35">
      <c r="G553" s="30"/>
    </row>
    <row r="554" spans="7:7" ht="15.75" customHeight="1" x14ac:dyDescent="0.35">
      <c r="G554" s="30"/>
    </row>
    <row r="555" spans="7:7" ht="15.75" customHeight="1" x14ac:dyDescent="0.35">
      <c r="G555" s="30"/>
    </row>
    <row r="556" spans="7:7" ht="15.75" customHeight="1" x14ac:dyDescent="0.35">
      <c r="G556" s="30"/>
    </row>
    <row r="557" spans="7:7" ht="15.75" customHeight="1" x14ac:dyDescent="0.35">
      <c r="G557" s="30"/>
    </row>
    <row r="558" spans="7:7" ht="15.75" customHeight="1" x14ac:dyDescent="0.35">
      <c r="G558" s="30"/>
    </row>
    <row r="559" spans="7:7" ht="15.75" customHeight="1" x14ac:dyDescent="0.35">
      <c r="G559" s="30"/>
    </row>
    <row r="560" spans="7:7" ht="15.75" customHeight="1" x14ac:dyDescent="0.35">
      <c r="G560" s="30"/>
    </row>
    <row r="561" spans="7:7" ht="15.75" customHeight="1" x14ac:dyDescent="0.35">
      <c r="G561" s="30"/>
    </row>
    <row r="562" spans="7:7" ht="15.75" customHeight="1" x14ac:dyDescent="0.35">
      <c r="G562" s="30"/>
    </row>
    <row r="563" spans="7:7" ht="15.75" customHeight="1" x14ac:dyDescent="0.35">
      <c r="G563" s="30"/>
    </row>
    <row r="564" spans="7:7" ht="15.75" customHeight="1" x14ac:dyDescent="0.35">
      <c r="G564" s="30"/>
    </row>
    <row r="565" spans="7:7" ht="15.75" customHeight="1" x14ac:dyDescent="0.35">
      <c r="G565" s="30"/>
    </row>
    <row r="566" spans="7:7" ht="15.75" customHeight="1" x14ac:dyDescent="0.35">
      <c r="G566" s="30"/>
    </row>
    <row r="567" spans="7:7" ht="15.75" customHeight="1" x14ac:dyDescent="0.35">
      <c r="G567" s="30"/>
    </row>
    <row r="568" spans="7:7" ht="15.75" customHeight="1" x14ac:dyDescent="0.35">
      <c r="G568" s="30"/>
    </row>
    <row r="569" spans="7:7" ht="15.75" customHeight="1" x14ac:dyDescent="0.35">
      <c r="G569" s="30"/>
    </row>
    <row r="570" spans="7:7" ht="15.75" customHeight="1" x14ac:dyDescent="0.35">
      <c r="G570" s="30"/>
    </row>
    <row r="571" spans="7:7" ht="15.75" customHeight="1" x14ac:dyDescent="0.35">
      <c r="G571" s="30"/>
    </row>
    <row r="572" spans="7:7" ht="15.75" customHeight="1" x14ac:dyDescent="0.35">
      <c r="G572" s="30"/>
    </row>
    <row r="573" spans="7:7" ht="15.75" customHeight="1" x14ac:dyDescent="0.35">
      <c r="G573" s="30"/>
    </row>
    <row r="574" spans="7:7" ht="15.75" customHeight="1" x14ac:dyDescent="0.35">
      <c r="G574" s="30"/>
    </row>
    <row r="575" spans="7:7" ht="15.75" customHeight="1" x14ac:dyDescent="0.35">
      <c r="G575" s="30"/>
    </row>
    <row r="576" spans="7:7" ht="15.75" customHeight="1" x14ac:dyDescent="0.35">
      <c r="G576" s="30"/>
    </row>
    <row r="577" spans="7:7" ht="15.75" customHeight="1" x14ac:dyDescent="0.35">
      <c r="G577" s="30"/>
    </row>
    <row r="578" spans="7:7" ht="15.75" customHeight="1" x14ac:dyDescent="0.35">
      <c r="G578" s="30"/>
    </row>
    <row r="579" spans="7:7" ht="15.75" customHeight="1" x14ac:dyDescent="0.35">
      <c r="G579" s="30"/>
    </row>
    <row r="580" spans="7:7" ht="15.75" customHeight="1" x14ac:dyDescent="0.35">
      <c r="G580" s="30"/>
    </row>
    <row r="581" spans="7:7" ht="15.75" customHeight="1" x14ac:dyDescent="0.35">
      <c r="G581" s="30"/>
    </row>
    <row r="582" spans="7:7" ht="15.75" customHeight="1" x14ac:dyDescent="0.35">
      <c r="G582" s="30"/>
    </row>
    <row r="583" spans="7:7" ht="15.75" customHeight="1" x14ac:dyDescent="0.35">
      <c r="G583" s="30"/>
    </row>
    <row r="584" spans="7:7" ht="15.75" customHeight="1" x14ac:dyDescent="0.35">
      <c r="G584" s="30"/>
    </row>
    <row r="585" spans="7:7" ht="15.75" customHeight="1" x14ac:dyDescent="0.35">
      <c r="G585" s="30"/>
    </row>
    <row r="586" spans="7:7" ht="15.75" customHeight="1" x14ac:dyDescent="0.35">
      <c r="G586" s="30"/>
    </row>
    <row r="587" spans="7:7" ht="15.75" customHeight="1" x14ac:dyDescent="0.35">
      <c r="G587" s="30"/>
    </row>
    <row r="588" spans="7:7" ht="15.75" customHeight="1" x14ac:dyDescent="0.35">
      <c r="G588" s="30"/>
    </row>
    <row r="589" spans="7:7" ht="15.75" customHeight="1" x14ac:dyDescent="0.35">
      <c r="G589" s="30"/>
    </row>
    <row r="590" spans="7:7" ht="15.75" customHeight="1" x14ac:dyDescent="0.35">
      <c r="G590" s="30"/>
    </row>
    <row r="591" spans="7:7" ht="15.75" customHeight="1" x14ac:dyDescent="0.35">
      <c r="G591" s="30"/>
    </row>
    <row r="592" spans="7:7" ht="15.75" customHeight="1" x14ac:dyDescent="0.35">
      <c r="G592" s="30"/>
    </row>
    <row r="593" spans="7:7" ht="15.75" customHeight="1" x14ac:dyDescent="0.35">
      <c r="G593" s="30"/>
    </row>
    <row r="594" spans="7:7" ht="15.75" customHeight="1" x14ac:dyDescent="0.35">
      <c r="G594" s="30"/>
    </row>
    <row r="595" spans="7:7" ht="15.75" customHeight="1" x14ac:dyDescent="0.35">
      <c r="G595" s="30"/>
    </row>
    <row r="596" spans="7:7" ht="15.75" customHeight="1" x14ac:dyDescent="0.35">
      <c r="G596" s="30"/>
    </row>
    <row r="597" spans="7:7" ht="15.75" customHeight="1" x14ac:dyDescent="0.35">
      <c r="G597" s="30"/>
    </row>
    <row r="598" spans="7:7" ht="15.75" customHeight="1" x14ac:dyDescent="0.35">
      <c r="G598" s="30"/>
    </row>
    <row r="599" spans="7:7" ht="15.75" customHeight="1" x14ac:dyDescent="0.35">
      <c r="G599" s="30"/>
    </row>
    <row r="600" spans="7:7" ht="15.75" customHeight="1" x14ac:dyDescent="0.35">
      <c r="G600" s="30"/>
    </row>
    <row r="601" spans="7:7" ht="15.75" customHeight="1" x14ac:dyDescent="0.35">
      <c r="G601" s="30"/>
    </row>
    <row r="602" spans="7:7" ht="15.75" customHeight="1" x14ac:dyDescent="0.35">
      <c r="G602" s="30"/>
    </row>
    <row r="603" spans="7:7" ht="15.75" customHeight="1" x14ac:dyDescent="0.35">
      <c r="G603" s="30"/>
    </row>
    <row r="604" spans="7:7" ht="15.75" customHeight="1" x14ac:dyDescent="0.35">
      <c r="G604" s="30"/>
    </row>
    <row r="605" spans="7:7" ht="15.75" customHeight="1" x14ac:dyDescent="0.35">
      <c r="G605" s="30"/>
    </row>
    <row r="606" spans="7:7" ht="15.75" customHeight="1" x14ac:dyDescent="0.35">
      <c r="G606" s="30"/>
    </row>
    <row r="607" spans="7:7" ht="15.75" customHeight="1" x14ac:dyDescent="0.35">
      <c r="G607" s="30"/>
    </row>
    <row r="608" spans="7:7" ht="15.75" customHeight="1" x14ac:dyDescent="0.35">
      <c r="G608" s="30"/>
    </row>
    <row r="609" spans="7:7" ht="15.75" customHeight="1" x14ac:dyDescent="0.35">
      <c r="G609" s="30"/>
    </row>
    <row r="610" spans="7:7" ht="15.75" customHeight="1" x14ac:dyDescent="0.35">
      <c r="G610" s="30"/>
    </row>
    <row r="611" spans="7:7" ht="15.75" customHeight="1" x14ac:dyDescent="0.35">
      <c r="G611" s="30"/>
    </row>
    <row r="612" spans="7:7" ht="15.75" customHeight="1" x14ac:dyDescent="0.35">
      <c r="G612" s="30"/>
    </row>
    <row r="613" spans="7:7" ht="15.75" customHeight="1" x14ac:dyDescent="0.35">
      <c r="G613" s="30"/>
    </row>
    <row r="614" spans="7:7" ht="15.75" customHeight="1" x14ac:dyDescent="0.35">
      <c r="G614" s="30"/>
    </row>
    <row r="615" spans="7:7" ht="15.75" customHeight="1" x14ac:dyDescent="0.35">
      <c r="G615" s="30"/>
    </row>
    <row r="616" spans="7:7" ht="15.75" customHeight="1" x14ac:dyDescent="0.35">
      <c r="G616" s="30"/>
    </row>
    <row r="617" spans="7:7" ht="15.75" customHeight="1" x14ac:dyDescent="0.35">
      <c r="G617" s="30"/>
    </row>
    <row r="618" spans="7:7" ht="15.75" customHeight="1" x14ac:dyDescent="0.35">
      <c r="G618" s="30"/>
    </row>
    <row r="619" spans="7:7" ht="15.75" customHeight="1" x14ac:dyDescent="0.35">
      <c r="G619" s="30"/>
    </row>
    <row r="620" spans="7:7" ht="15.75" customHeight="1" x14ac:dyDescent="0.35">
      <c r="G620" s="30"/>
    </row>
    <row r="621" spans="7:7" ht="15.75" customHeight="1" x14ac:dyDescent="0.35">
      <c r="G621" s="30"/>
    </row>
    <row r="622" spans="7:7" ht="15.75" customHeight="1" x14ac:dyDescent="0.35">
      <c r="G622" s="30"/>
    </row>
    <row r="623" spans="7:7" ht="15.75" customHeight="1" x14ac:dyDescent="0.35">
      <c r="G623" s="30"/>
    </row>
    <row r="624" spans="7:7" ht="15.75" customHeight="1" x14ac:dyDescent="0.35">
      <c r="G624" s="30"/>
    </row>
    <row r="625" spans="7:7" ht="15.75" customHeight="1" x14ac:dyDescent="0.35">
      <c r="G625" s="30"/>
    </row>
    <row r="626" spans="7:7" ht="15.75" customHeight="1" x14ac:dyDescent="0.35">
      <c r="G626" s="30"/>
    </row>
    <row r="627" spans="7:7" ht="15.75" customHeight="1" x14ac:dyDescent="0.35">
      <c r="G627" s="30"/>
    </row>
    <row r="628" spans="7:7" ht="15.75" customHeight="1" x14ac:dyDescent="0.35">
      <c r="G628" s="30"/>
    </row>
    <row r="629" spans="7:7" ht="15.75" customHeight="1" x14ac:dyDescent="0.35">
      <c r="G629" s="30"/>
    </row>
    <row r="630" spans="7:7" ht="15.75" customHeight="1" x14ac:dyDescent="0.35">
      <c r="G630" s="30"/>
    </row>
    <row r="631" spans="7:7" ht="15.75" customHeight="1" x14ac:dyDescent="0.35">
      <c r="G631" s="30"/>
    </row>
    <row r="632" spans="7:7" ht="15.75" customHeight="1" x14ac:dyDescent="0.35">
      <c r="G632" s="30"/>
    </row>
    <row r="633" spans="7:7" ht="15.75" customHeight="1" x14ac:dyDescent="0.35">
      <c r="G633" s="30"/>
    </row>
    <row r="634" spans="7:7" ht="15.75" customHeight="1" x14ac:dyDescent="0.35">
      <c r="G634" s="30"/>
    </row>
    <row r="635" spans="7:7" ht="15.75" customHeight="1" x14ac:dyDescent="0.35">
      <c r="G635" s="30"/>
    </row>
    <row r="636" spans="7:7" ht="15.75" customHeight="1" x14ac:dyDescent="0.35">
      <c r="G636" s="30"/>
    </row>
    <row r="637" spans="7:7" ht="15.75" customHeight="1" x14ac:dyDescent="0.35">
      <c r="G637" s="30"/>
    </row>
    <row r="638" spans="7:7" ht="15.75" customHeight="1" x14ac:dyDescent="0.35">
      <c r="G638" s="30"/>
    </row>
    <row r="639" spans="7:7" ht="15.75" customHeight="1" x14ac:dyDescent="0.35">
      <c r="G639" s="30"/>
    </row>
    <row r="640" spans="7:7" ht="15.75" customHeight="1" x14ac:dyDescent="0.35">
      <c r="G640" s="30"/>
    </row>
    <row r="641" spans="7:7" ht="15.75" customHeight="1" x14ac:dyDescent="0.35">
      <c r="G641" s="30"/>
    </row>
    <row r="642" spans="7:7" ht="15.75" customHeight="1" x14ac:dyDescent="0.35">
      <c r="G642" s="30"/>
    </row>
    <row r="643" spans="7:7" ht="15.75" customHeight="1" x14ac:dyDescent="0.35">
      <c r="G643" s="30"/>
    </row>
    <row r="644" spans="7:7" ht="15.75" customHeight="1" x14ac:dyDescent="0.35">
      <c r="G644" s="30"/>
    </row>
    <row r="645" spans="7:7" ht="15.75" customHeight="1" x14ac:dyDescent="0.35">
      <c r="G645" s="30"/>
    </row>
    <row r="646" spans="7:7" ht="15.75" customHeight="1" x14ac:dyDescent="0.35">
      <c r="G646" s="30"/>
    </row>
    <row r="647" spans="7:7" ht="15.75" customHeight="1" x14ac:dyDescent="0.35">
      <c r="G647" s="30"/>
    </row>
    <row r="648" spans="7:7" ht="15.75" customHeight="1" x14ac:dyDescent="0.35">
      <c r="G648" s="30"/>
    </row>
    <row r="649" spans="7:7" ht="15.75" customHeight="1" x14ac:dyDescent="0.35">
      <c r="G649" s="30"/>
    </row>
    <row r="650" spans="7:7" ht="15.75" customHeight="1" x14ac:dyDescent="0.35">
      <c r="G650" s="30"/>
    </row>
    <row r="651" spans="7:7" ht="15.75" customHeight="1" x14ac:dyDescent="0.35">
      <c r="G651" s="30"/>
    </row>
    <row r="652" spans="7:7" ht="15.75" customHeight="1" x14ac:dyDescent="0.35">
      <c r="G652" s="30"/>
    </row>
    <row r="653" spans="7:7" ht="15.75" customHeight="1" x14ac:dyDescent="0.35">
      <c r="G653" s="30"/>
    </row>
    <row r="654" spans="7:7" ht="15.75" customHeight="1" x14ac:dyDescent="0.35">
      <c r="G654" s="30"/>
    </row>
    <row r="655" spans="7:7" ht="15.75" customHeight="1" x14ac:dyDescent="0.35">
      <c r="G655" s="30"/>
    </row>
    <row r="656" spans="7:7" ht="15.75" customHeight="1" x14ac:dyDescent="0.35">
      <c r="G656" s="30"/>
    </row>
    <row r="657" spans="7:7" ht="15.75" customHeight="1" x14ac:dyDescent="0.35">
      <c r="G657" s="30"/>
    </row>
    <row r="658" spans="7:7" ht="15.75" customHeight="1" x14ac:dyDescent="0.35">
      <c r="G658" s="30"/>
    </row>
    <row r="659" spans="7:7" ht="15.75" customHeight="1" x14ac:dyDescent="0.35">
      <c r="G659" s="30"/>
    </row>
    <row r="660" spans="7:7" ht="15.75" customHeight="1" x14ac:dyDescent="0.35">
      <c r="G660" s="30"/>
    </row>
    <row r="661" spans="7:7" ht="15.75" customHeight="1" x14ac:dyDescent="0.35">
      <c r="G661" s="30"/>
    </row>
    <row r="662" spans="7:7" ht="15.75" customHeight="1" x14ac:dyDescent="0.35">
      <c r="G662" s="30"/>
    </row>
    <row r="663" spans="7:7" ht="15.75" customHeight="1" x14ac:dyDescent="0.35">
      <c r="G663" s="30"/>
    </row>
    <row r="664" spans="7:7" ht="15.75" customHeight="1" x14ac:dyDescent="0.35">
      <c r="G664" s="30"/>
    </row>
    <row r="665" spans="7:7" ht="15.75" customHeight="1" x14ac:dyDescent="0.35">
      <c r="G665" s="30"/>
    </row>
    <row r="666" spans="7:7" ht="15.75" customHeight="1" x14ac:dyDescent="0.35">
      <c r="G666" s="30"/>
    </row>
    <row r="667" spans="7:7" ht="15.75" customHeight="1" x14ac:dyDescent="0.35">
      <c r="G667" s="30"/>
    </row>
    <row r="668" spans="7:7" ht="15.75" customHeight="1" x14ac:dyDescent="0.35">
      <c r="G668" s="30"/>
    </row>
    <row r="669" spans="7:7" ht="15.75" customHeight="1" x14ac:dyDescent="0.35">
      <c r="G669" s="30"/>
    </row>
    <row r="670" spans="7:7" ht="15.75" customHeight="1" x14ac:dyDescent="0.35">
      <c r="G670" s="30"/>
    </row>
    <row r="671" spans="7:7" ht="15.75" customHeight="1" x14ac:dyDescent="0.35">
      <c r="G671" s="30"/>
    </row>
    <row r="672" spans="7:7" ht="15.75" customHeight="1" x14ac:dyDescent="0.35">
      <c r="G672" s="30"/>
    </row>
    <row r="673" spans="7:7" ht="15.75" customHeight="1" x14ac:dyDescent="0.35">
      <c r="G673" s="30"/>
    </row>
    <row r="674" spans="7:7" ht="15.75" customHeight="1" x14ac:dyDescent="0.35">
      <c r="G674" s="30"/>
    </row>
    <row r="675" spans="7:7" ht="15.75" customHeight="1" x14ac:dyDescent="0.35">
      <c r="G675" s="30"/>
    </row>
    <row r="676" spans="7:7" ht="15.75" customHeight="1" x14ac:dyDescent="0.35">
      <c r="G676" s="30"/>
    </row>
    <row r="677" spans="7:7" ht="15.75" customHeight="1" x14ac:dyDescent="0.35">
      <c r="G677" s="30"/>
    </row>
    <row r="678" spans="7:7" ht="15.75" customHeight="1" x14ac:dyDescent="0.35">
      <c r="G678" s="30"/>
    </row>
    <row r="679" spans="7:7" ht="15.75" customHeight="1" x14ac:dyDescent="0.35">
      <c r="G679" s="30"/>
    </row>
    <row r="680" spans="7:7" ht="15.75" customHeight="1" x14ac:dyDescent="0.35">
      <c r="G680" s="30"/>
    </row>
    <row r="681" spans="7:7" ht="15.75" customHeight="1" x14ac:dyDescent="0.35">
      <c r="G681" s="30"/>
    </row>
    <row r="682" spans="7:7" ht="15.75" customHeight="1" x14ac:dyDescent="0.35">
      <c r="G682" s="30"/>
    </row>
    <row r="683" spans="7:7" ht="15.75" customHeight="1" x14ac:dyDescent="0.35">
      <c r="G683" s="30"/>
    </row>
    <row r="684" spans="7:7" ht="15.75" customHeight="1" x14ac:dyDescent="0.35">
      <c r="G684" s="30"/>
    </row>
    <row r="685" spans="7:7" ht="15.75" customHeight="1" x14ac:dyDescent="0.35">
      <c r="G685" s="30"/>
    </row>
    <row r="686" spans="7:7" ht="15.75" customHeight="1" x14ac:dyDescent="0.35">
      <c r="G686" s="30"/>
    </row>
    <row r="687" spans="7:7" ht="15.75" customHeight="1" x14ac:dyDescent="0.35">
      <c r="G687" s="30"/>
    </row>
    <row r="688" spans="7:7" ht="15.75" customHeight="1" x14ac:dyDescent="0.35">
      <c r="G688" s="30"/>
    </row>
    <row r="689" spans="7:7" ht="15.75" customHeight="1" x14ac:dyDescent="0.35">
      <c r="G689" s="30"/>
    </row>
    <row r="690" spans="7:7" ht="15.75" customHeight="1" x14ac:dyDescent="0.35">
      <c r="G690" s="30"/>
    </row>
    <row r="691" spans="7:7" ht="15.75" customHeight="1" x14ac:dyDescent="0.35">
      <c r="G691" s="30"/>
    </row>
    <row r="692" spans="7:7" ht="15.75" customHeight="1" x14ac:dyDescent="0.35">
      <c r="G692" s="30"/>
    </row>
    <row r="693" spans="7:7" ht="15.75" customHeight="1" x14ac:dyDescent="0.35">
      <c r="G693" s="30"/>
    </row>
    <row r="694" spans="7:7" ht="15.75" customHeight="1" x14ac:dyDescent="0.35">
      <c r="G694" s="30"/>
    </row>
    <row r="695" spans="7:7" ht="15.75" customHeight="1" x14ac:dyDescent="0.35">
      <c r="G695" s="30"/>
    </row>
    <row r="696" spans="7:7" ht="15.75" customHeight="1" x14ac:dyDescent="0.35">
      <c r="G696" s="30"/>
    </row>
    <row r="697" spans="7:7" ht="15.75" customHeight="1" x14ac:dyDescent="0.35">
      <c r="G697" s="30"/>
    </row>
    <row r="698" spans="7:7" ht="15.75" customHeight="1" x14ac:dyDescent="0.35">
      <c r="G698" s="30"/>
    </row>
    <row r="699" spans="7:7" ht="15.75" customHeight="1" x14ac:dyDescent="0.35">
      <c r="G699" s="30"/>
    </row>
    <row r="700" spans="7:7" ht="15.75" customHeight="1" x14ac:dyDescent="0.35">
      <c r="G700" s="30"/>
    </row>
    <row r="701" spans="7:7" ht="15.75" customHeight="1" x14ac:dyDescent="0.35">
      <c r="G701" s="30"/>
    </row>
    <row r="702" spans="7:7" ht="15.75" customHeight="1" x14ac:dyDescent="0.35">
      <c r="G702" s="30"/>
    </row>
    <row r="703" spans="7:7" ht="15.75" customHeight="1" x14ac:dyDescent="0.35">
      <c r="G703" s="30"/>
    </row>
    <row r="704" spans="7:7" ht="15.75" customHeight="1" x14ac:dyDescent="0.35">
      <c r="G704" s="30"/>
    </row>
    <row r="705" spans="7:7" ht="15.75" customHeight="1" x14ac:dyDescent="0.35">
      <c r="G705" s="30"/>
    </row>
    <row r="706" spans="7:7" ht="15.75" customHeight="1" x14ac:dyDescent="0.35">
      <c r="G706" s="30"/>
    </row>
    <row r="707" spans="7:7" ht="15.75" customHeight="1" x14ac:dyDescent="0.35">
      <c r="G707" s="30"/>
    </row>
    <row r="708" spans="7:7" ht="15.75" customHeight="1" x14ac:dyDescent="0.35">
      <c r="G708" s="30"/>
    </row>
    <row r="709" spans="7:7" ht="15.75" customHeight="1" x14ac:dyDescent="0.35">
      <c r="G709" s="30"/>
    </row>
    <row r="710" spans="7:7" ht="15.75" customHeight="1" x14ac:dyDescent="0.35">
      <c r="G710" s="30"/>
    </row>
    <row r="711" spans="7:7" ht="15.75" customHeight="1" x14ac:dyDescent="0.35">
      <c r="G711" s="30"/>
    </row>
    <row r="712" spans="7:7" ht="15.75" customHeight="1" x14ac:dyDescent="0.35">
      <c r="G712" s="30"/>
    </row>
    <row r="713" spans="7:7" ht="15.75" customHeight="1" x14ac:dyDescent="0.35">
      <c r="G713" s="30"/>
    </row>
    <row r="714" spans="7:7" ht="15.75" customHeight="1" x14ac:dyDescent="0.35">
      <c r="G714" s="30"/>
    </row>
    <row r="715" spans="7:7" ht="15.75" customHeight="1" x14ac:dyDescent="0.35">
      <c r="G715" s="30"/>
    </row>
    <row r="716" spans="7:7" ht="15.75" customHeight="1" x14ac:dyDescent="0.35">
      <c r="G716" s="30"/>
    </row>
    <row r="717" spans="7:7" ht="15.75" customHeight="1" x14ac:dyDescent="0.35">
      <c r="G717" s="30"/>
    </row>
    <row r="718" spans="7:7" ht="15.75" customHeight="1" x14ac:dyDescent="0.35">
      <c r="G718" s="30"/>
    </row>
    <row r="719" spans="7:7" ht="15.75" customHeight="1" x14ac:dyDescent="0.35">
      <c r="G719" s="30"/>
    </row>
    <row r="720" spans="7:7" ht="15.75" customHeight="1" x14ac:dyDescent="0.35">
      <c r="G720" s="30"/>
    </row>
    <row r="721" spans="7:7" ht="15.75" customHeight="1" x14ac:dyDescent="0.35">
      <c r="G721" s="30"/>
    </row>
    <row r="722" spans="7:7" ht="15.75" customHeight="1" x14ac:dyDescent="0.35">
      <c r="G722" s="30"/>
    </row>
    <row r="723" spans="7:7" ht="15.75" customHeight="1" x14ac:dyDescent="0.35">
      <c r="G723" s="30"/>
    </row>
    <row r="724" spans="7:7" ht="15.75" customHeight="1" x14ac:dyDescent="0.35">
      <c r="G724" s="30"/>
    </row>
    <row r="725" spans="7:7" ht="15.75" customHeight="1" x14ac:dyDescent="0.35">
      <c r="G725" s="30"/>
    </row>
    <row r="726" spans="7:7" ht="15.75" customHeight="1" x14ac:dyDescent="0.35">
      <c r="G726" s="30"/>
    </row>
    <row r="727" spans="7:7" ht="15.75" customHeight="1" x14ac:dyDescent="0.35">
      <c r="G727" s="30"/>
    </row>
    <row r="728" spans="7:7" ht="15.75" customHeight="1" x14ac:dyDescent="0.35">
      <c r="G728" s="30"/>
    </row>
    <row r="729" spans="7:7" ht="15.75" customHeight="1" x14ac:dyDescent="0.35">
      <c r="G729" s="30"/>
    </row>
    <row r="730" spans="7:7" ht="15.75" customHeight="1" x14ac:dyDescent="0.35">
      <c r="G730" s="30"/>
    </row>
    <row r="731" spans="7:7" ht="15.75" customHeight="1" x14ac:dyDescent="0.35">
      <c r="G731" s="30"/>
    </row>
    <row r="732" spans="7:7" ht="15.75" customHeight="1" x14ac:dyDescent="0.35">
      <c r="G732" s="30"/>
    </row>
    <row r="733" spans="7:7" ht="15.75" customHeight="1" x14ac:dyDescent="0.35">
      <c r="G733" s="30"/>
    </row>
    <row r="734" spans="7:7" ht="15.75" customHeight="1" x14ac:dyDescent="0.35">
      <c r="G734" s="30"/>
    </row>
    <row r="735" spans="7:7" ht="15.75" customHeight="1" x14ac:dyDescent="0.35">
      <c r="G735" s="30"/>
    </row>
    <row r="736" spans="7:7" ht="15.75" customHeight="1" x14ac:dyDescent="0.35">
      <c r="G736" s="30"/>
    </row>
    <row r="737" spans="7:7" ht="15.75" customHeight="1" x14ac:dyDescent="0.35">
      <c r="G737" s="30"/>
    </row>
    <row r="738" spans="7:7" ht="15.75" customHeight="1" x14ac:dyDescent="0.35">
      <c r="G738" s="30"/>
    </row>
    <row r="739" spans="7:7" ht="15.75" customHeight="1" x14ac:dyDescent="0.35">
      <c r="G739" s="30"/>
    </row>
    <row r="740" spans="7:7" ht="15.75" customHeight="1" x14ac:dyDescent="0.35">
      <c r="G740" s="30"/>
    </row>
    <row r="741" spans="7:7" ht="15.75" customHeight="1" x14ac:dyDescent="0.35">
      <c r="G741" s="30"/>
    </row>
    <row r="742" spans="7:7" ht="15.75" customHeight="1" x14ac:dyDescent="0.35">
      <c r="G742" s="30"/>
    </row>
    <row r="743" spans="7:7" ht="15.75" customHeight="1" x14ac:dyDescent="0.35">
      <c r="G743" s="30"/>
    </row>
    <row r="744" spans="7:7" ht="15.75" customHeight="1" x14ac:dyDescent="0.35">
      <c r="G744" s="30"/>
    </row>
    <row r="745" spans="7:7" ht="15.75" customHeight="1" x14ac:dyDescent="0.35">
      <c r="G745" s="30"/>
    </row>
    <row r="746" spans="7:7" ht="15.75" customHeight="1" x14ac:dyDescent="0.35">
      <c r="G746" s="30"/>
    </row>
    <row r="747" spans="7:7" ht="15.75" customHeight="1" x14ac:dyDescent="0.35">
      <c r="G747" s="30"/>
    </row>
    <row r="748" spans="7:7" ht="15.75" customHeight="1" x14ac:dyDescent="0.35">
      <c r="G748" s="30"/>
    </row>
    <row r="749" spans="7:7" ht="15.75" customHeight="1" x14ac:dyDescent="0.35">
      <c r="G749" s="30"/>
    </row>
    <row r="750" spans="7:7" ht="15.75" customHeight="1" x14ac:dyDescent="0.35">
      <c r="G750" s="30"/>
    </row>
    <row r="751" spans="7:7" ht="15.75" customHeight="1" x14ac:dyDescent="0.35">
      <c r="G751" s="30"/>
    </row>
    <row r="752" spans="7:7" ht="15.75" customHeight="1" x14ac:dyDescent="0.35">
      <c r="G752" s="30"/>
    </row>
    <row r="753" spans="7:7" ht="15.75" customHeight="1" x14ac:dyDescent="0.35">
      <c r="G753" s="30"/>
    </row>
    <row r="754" spans="7:7" ht="15.75" customHeight="1" x14ac:dyDescent="0.35">
      <c r="G754" s="30"/>
    </row>
    <row r="755" spans="7:7" ht="15.75" customHeight="1" x14ac:dyDescent="0.35">
      <c r="G755" s="30"/>
    </row>
    <row r="756" spans="7:7" ht="15.75" customHeight="1" x14ac:dyDescent="0.35">
      <c r="G756" s="30"/>
    </row>
    <row r="757" spans="7:7" ht="15.75" customHeight="1" x14ac:dyDescent="0.35">
      <c r="G757" s="30"/>
    </row>
    <row r="758" spans="7:7" ht="15.75" customHeight="1" x14ac:dyDescent="0.35">
      <c r="G758" s="30"/>
    </row>
    <row r="759" spans="7:7" ht="15.75" customHeight="1" x14ac:dyDescent="0.35">
      <c r="G759" s="30"/>
    </row>
    <row r="760" spans="7:7" ht="15.75" customHeight="1" x14ac:dyDescent="0.35">
      <c r="G760" s="30"/>
    </row>
    <row r="761" spans="7:7" ht="15.75" customHeight="1" x14ac:dyDescent="0.35">
      <c r="G761" s="30"/>
    </row>
    <row r="762" spans="7:7" ht="15.75" customHeight="1" x14ac:dyDescent="0.35">
      <c r="G762" s="30"/>
    </row>
    <row r="763" spans="7:7" ht="15.75" customHeight="1" x14ac:dyDescent="0.35">
      <c r="G763" s="30"/>
    </row>
    <row r="764" spans="7:7" ht="15.75" customHeight="1" x14ac:dyDescent="0.35">
      <c r="G764" s="30"/>
    </row>
    <row r="765" spans="7:7" ht="15.75" customHeight="1" x14ac:dyDescent="0.35">
      <c r="G765" s="30"/>
    </row>
    <row r="766" spans="7:7" ht="15.75" customHeight="1" x14ac:dyDescent="0.35">
      <c r="G766" s="30"/>
    </row>
    <row r="767" spans="7:7" ht="15.75" customHeight="1" x14ac:dyDescent="0.35">
      <c r="G767" s="30"/>
    </row>
    <row r="768" spans="7:7" ht="15.75" customHeight="1" x14ac:dyDescent="0.35">
      <c r="G768" s="30"/>
    </row>
    <row r="769" spans="7:7" ht="15.75" customHeight="1" x14ac:dyDescent="0.35">
      <c r="G769" s="30"/>
    </row>
    <row r="770" spans="7:7" ht="15.75" customHeight="1" x14ac:dyDescent="0.35">
      <c r="G770" s="30"/>
    </row>
    <row r="771" spans="7:7" ht="15.75" customHeight="1" x14ac:dyDescent="0.35">
      <c r="G771" s="30"/>
    </row>
    <row r="772" spans="7:7" ht="15.75" customHeight="1" x14ac:dyDescent="0.35">
      <c r="G772" s="30"/>
    </row>
    <row r="773" spans="7:7" ht="15.75" customHeight="1" x14ac:dyDescent="0.35">
      <c r="G773" s="30"/>
    </row>
    <row r="774" spans="7:7" ht="15.75" customHeight="1" x14ac:dyDescent="0.35">
      <c r="G774" s="30"/>
    </row>
    <row r="775" spans="7:7" ht="15.75" customHeight="1" x14ac:dyDescent="0.35">
      <c r="G775" s="30"/>
    </row>
    <row r="776" spans="7:7" ht="15.75" customHeight="1" x14ac:dyDescent="0.35">
      <c r="G776" s="30"/>
    </row>
    <row r="777" spans="7:7" ht="15.75" customHeight="1" x14ac:dyDescent="0.35">
      <c r="G777" s="30"/>
    </row>
    <row r="778" spans="7:7" ht="15.75" customHeight="1" x14ac:dyDescent="0.35">
      <c r="G778" s="30"/>
    </row>
    <row r="779" spans="7:7" ht="15.75" customHeight="1" x14ac:dyDescent="0.35">
      <c r="G779" s="30"/>
    </row>
    <row r="780" spans="7:7" ht="15.75" customHeight="1" x14ac:dyDescent="0.35">
      <c r="G780" s="30"/>
    </row>
    <row r="781" spans="7:7" ht="15.75" customHeight="1" x14ac:dyDescent="0.35">
      <c r="G781" s="30"/>
    </row>
    <row r="782" spans="7:7" ht="15.75" customHeight="1" x14ac:dyDescent="0.35">
      <c r="G782" s="30"/>
    </row>
    <row r="783" spans="7:7" ht="15.75" customHeight="1" x14ac:dyDescent="0.35">
      <c r="G783" s="30"/>
    </row>
    <row r="784" spans="7:7" ht="15.75" customHeight="1" x14ac:dyDescent="0.35">
      <c r="G784" s="30"/>
    </row>
    <row r="785" spans="7:7" ht="15.75" customHeight="1" x14ac:dyDescent="0.35">
      <c r="G785" s="30"/>
    </row>
    <row r="786" spans="7:7" ht="15.75" customHeight="1" x14ac:dyDescent="0.35">
      <c r="G786" s="30"/>
    </row>
    <row r="787" spans="7:7" ht="15.75" customHeight="1" x14ac:dyDescent="0.35">
      <c r="G787" s="30"/>
    </row>
    <row r="788" spans="7:7" ht="15.75" customHeight="1" x14ac:dyDescent="0.35">
      <c r="G788" s="30"/>
    </row>
    <row r="789" spans="7:7" ht="15.75" customHeight="1" x14ac:dyDescent="0.35">
      <c r="G789" s="30"/>
    </row>
    <row r="790" spans="7:7" ht="15.75" customHeight="1" x14ac:dyDescent="0.35">
      <c r="G790" s="30"/>
    </row>
    <row r="791" spans="7:7" ht="15.75" customHeight="1" x14ac:dyDescent="0.35">
      <c r="G791" s="30"/>
    </row>
    <row r="792" spans="7:7" ht="15.75" customHeight="1" x14ac:dyDescent="0.35">
      <c r="G792" s="30"/>
    </row>
    <row r="793" spans="7:7" ht="15.75" customHeight="1" x14ac:dyDescent="0.35">
      <c r="G793" s="30"/>
    </row>
    <row r="794" spans="7:7" ht="15.75" customHeight="1" x14ac:dyDescent="0.35">
      <c r="G794" s="30"/>
    </row>
    <row r="795" spans="7:7" ht="15.75" customHeight="1" x14ac:dyDescent="0.35">
      <c r="G795" s="30"/>
    </row>
    <row r="796" spans="7:7" ht="15.75" customHeight="1" x14ac:dyDescent="0.35">
      <c r="G796" s="30"/>
    </row>
    <row r="797" spans="7:7" ht="15.75" customHeight="1" x14ac:dyDescent="0.35">
      <c r="G797" s="30"/>
    </row>
    <row r="798" spans="7:7" ht="15.75" customHeight="1" x14ac:dyDescent="0.35">
      <c r="G798" s="30"/>
    </row>
    <row r="799" spans="7:7" ht="15.75" customHeight="1" x14ac:dyDescent="0.35">
      <c r="G799" s="30"/>
    </row>
    <row r="800" spans="7:7" ht="15.75" customHeight="1" x14ac:dyDescent="0.35">
      <c r="G800" s="30"/>
    </row>
    <row r="801" spans="7:7" ht="15.75" customHeight="1" x14ac:dyDescent="0.35">
      <c r="G801" s="30"/>
    </row>
    <row r="802" spans="7:7" ht="15.75" customHeight="1" x14ac:dyDescent="0.35">
      <c r="G802" s="30"/>
    </row>
    <row r="803" spans="7:7" ht="15.75" customHeight="1" x14ac:dyDescent="0.35">
      <c r="G803" s="30"/>
    </row>
    <row r="804" spans="7:7" ht="15.75" customHeight="1" x14ac:dyDescent="0.35">
      <c r="G804" s="30"/>
    </row>
    <row r="805" spans="7:7" ht="15.75" customHeight="1" x14ac:dyDescent="0.35">
      <c r="G805" s="30"/>
    </row>
    <row r="806" spans="7:7" ht="15.75" customHeight="1" x14ac:dyDescent="0.35">
      <c r="G806" s="30"/>
    </row>
    <row r="807" spans="7:7" ht="15.75" customHeight="1" x14ac:dyDescent="0.35">
      <c r="G807" s="30"/>
    </row>
    <row r="808" spans="7:7" ht="15.75" customHeight="1" x14ac:dyDescent="0.35">
      <c r="G808" s="30"/>
    </row>
    <row r="809" spans="7:7" ht="15.75" customHeight="1" x14ac:dyDescent="0.35">
      <c r="G809" s="30"/>
    </row>
    <row r="810" spans="7:7" ht="15.75" customHeight="1" x14ac:dyDescent="0.35">
      <c r="G810" s="30"/>
    </row>
    <row r="811" spans="7:7" ht="15.75" customHeight="1" x14ac:dyDescent="0.35">
      <c r="G811" s="30"/>
    </row>
    <row r="812" spans="7:7" ht="15.75" customHeight="1" x14ac:dyDescent="0.35">
      <c r="G812" s="30"/>
    </row>
    <row r="813" spans="7:7" ht="15.75" customHeight="1" x14ac:dyDescent="0.35">
      <c r="G813" s="30"/>
    </row>
    <row r="814" spans="7:7" ht="15.75" customHeight="1" x14ac:dyDescent="0.35">
      <c r="G814" s="30"/>
    </row>
    <row r="815" spans="7:7" ht="15.75" customHeight="1" x14ac:dyDescent="0.35">
      <c r="G815" s="30"/>
    </row>
    <row r="816" spans="7:7" ht="15.75" customHeight="1" x14ac:dyDescent="0.35">
      <c r="G816" s="30"/>
    </row>
    <row r="817" spans="7:7" ht="15.75" customHeight="1" x14ac:dyDescent="0.35">
      <c r="G817" s="30"/>
    </row>
    <row r="818" spans="7:7" ht="15.75" customHeight="1" x14ac:dyDescent="0.35">
      <c r="G818" s="30"/>
    </row>
    <row r="819" spans="7:7" ht="15.75" customHeight="1" x14ac:dyDescent="0.35">
      <c r="G819" s="30"/>
    </row>
    <row r="820" spans="7:7" ht="15.75" customHeight="1" x14ac:dyDescent="0.35">
      <c r="G820" s="30"/>
    </row>
    <row r="821" spans="7:7" ht="15.75" customHeight="1" x14ac:dyDescent="0.35">
      <c r="G821" s="30"/>
    </row>
    <row r="822" spans="7:7" ht="15.75" customHeight="1" x14ac:dyDescent="0.35">
      <c r="G822" s="30"/>
    </row>
    <row r="823" spans="7:7" ht="15.75" customHeight="1" x14ac:dyDescent="0.35">
      <c r="G823" s="30"/>
    </row>
    <row r="824" spans="7:7" ht="15.75" customHeight="1" x14ac:dyDescent="0.35">
      <c r="G824" s="30"/>
    </row>
    <row r="825" spans="7:7" ht="15.75" customHeight="1" x14ac:dyDescent="0.35">
      <c r="G825" s="30"/>
    </row>
    <row r="826" spans="7:7" ht="15.75" customHeight="1" x14ac:dyDescent="0.35">
      <c r="G826" s="30"/>
    </row>
    <row r="827" spans="7:7" ht="15.75" customHeight="1" x14ac:dyDescent="0.35">
      <c r="G827" s="30"/>
    </row>
    <row r="828" spans="7:7" ht="15.75" customHeight="1" x14ac:dyDescent="0.35">
      <c r="G828" s="30"/>
    </row>
    <row r="829" spans="7:7" ht="15.75" customHeight="1" x14ac:dyDescent="0.35">
      <c r="G829" s="30"/>
    </row>
    <row r="830" spans="7:7" ht="15.75" customHeight="1" x14ac:dyDescent="0.35">
      <c r="G830" s="30"/>
    </row>
    <row r="831" spans="7:7" ht="15.75" customHeight="1" x14ac:dyDescent="0.35">
      <c r="G831" s="30"/>
    </row>
    <row r="832" spans="7:7" ht="15.75" customHeight="1" x14ac:dyDescent="0.35">
      <c r="G832" s="30"/>
    </row>
    <row r="833" spans="7:7" ht="15.75" customHeight="1" x14ac:dyDescent="0.35">
      <c r="G833" s="30"/>
    </row>
    <row r="834" spans="7:7" ht="15.75" customHeight="1" x14ac:dyDescent="0.35">
      <c r="G834" s="30"/>
    </row>
    <row r="835" spans="7:7" ht="15.75" customHeight="1" x14ac:dyDescent="0.35">
      <c r="G835" s="30"/>
    </row>
    <row r="836" spans="7:7" ht="15.75" customHeight="1" x14ac:dyDescent="0.35">
      <c r="G836" s="30"/>
    </row>
    <row r="837" spans="7:7" ht="15.75" customHeight="1" x14ac:dyDescent="0.35">
      <c r="G837" s="30"/>
    </row>
    <row r="838" spans="7:7" ht="15.75" customHeight="1" x14ac:dyDescent="0.35">
      <c r="G838" s="30"/>
    </row>
    <row r="839" spans="7:7" ht="15.75" customHeight="1" x14ac:dyDescent="0.35">
      <c r="G839" s="30"/>
    </row>
    <row r="840" spans="7:7" ht="15.75" customHeight="1" x14ac:dyDescent="0.35">
      <c r="G840" s="30"/>
    </row>
    <row r="841" spans="7:7" ht="15.75" customHeight="1" x14ac:dyDescent="0.35">
      <c r="G841" s="30"/>
    </row>
    <row r="842" spans="7:7" ht="15.75" customHeight="1" x14ac:dyDescent="0.35">
      <c r="G842" s="30"/>
    </row>
    <row r="843" spans="7:7" ht="15.75" customHeight="1" x14ac:dyDescent="0.35">
      <c r="G843" s="30"/>
    </row>
    <row r="844" spans="7:7" ht="15.75" customHeight="1" x14ac:dyDescent="0.35">
      <c r="G844" s="30"/>
    </row>
    <row r="845" spans="7:7" ht="15.75" customHeight="1" x14ac:dyDescent="0.35">
      <c r="G845" s="30"/>
    </row>
    <row r="846" spans="7:7" ht="15.75" customHeight="1" x14ac:dyDescent="0.35">
      <c r="G846" s="30"/>
    </row>
    <row r="847" spans="7:7" ht="15.75" customHeight="1" x14ac:dyDescent="0.35">
      <c r="G847" s="30"/>
    </row>
    <row r="848" spans="7:7" ht="15.75" customHeight="1" x14ac:dyDescent="0.35">
      <c r="G848" s="30"/>
    </row>
    <row r="849" spans="7:7" ht="15.75" customHeight="1" x14ac:dyDescent="0.35">
      <c r="G849" s="30"/>
    </row>
    <row r="850" spans="7:7" ht="15.75" customHeight="1" x14ac:dyDescent="0.35">
      <c r="G850" s="30"/>
    </row>
    <row r="851" spans="7:7" ht="15.75" customHeight="1" x14ac:dyDescent="0.35">
      <c r="G851" s="30"/>
    </row>
    <row r="852" spans="7:7" ht="15.75" customHeight="1" x14ac:dyDescent="0.35">
      <c r="G852" s="30"/>
    </row>
    <row r="853" spans="7:7" ht="15.75" customHeight="1" x14ac:dyDescent="0.35">
      <c r="G853" s="30"/>
    </row>
    <row r="854" spans="7:7" ht="15.75" customHeight="1" x14ac:dyDescent="0.35">
      <c r="G854" s="30"/>
    </row>
    <row r="855" spans="7:7" ht="15.75" customHeight="1" x14ac:dyDescent="0.35">
      <c r="G855" s="30"/>
    </row>
    <row r="856" spans="7:7" ht="15.75" customHeight="1" x14ac:dyDescent="0.35">
      <c r="G856" s="30"/>
    </row>
    <row r="857" spans="7:7" ht="15.75" customHeight="1" x14ac:dyDescent="0.35">
      <c r="G857" s="30"/>
    </row>
    <row r="858" spans="7:7" ht="15.75" customHeight="1" x14ac:dyDescent="0.35">
      <c r="G858" s="30"/>
    </row>
    <row r="859" spans="7:7" ht="15.75" customHeight="1" x14ac:dyDescent="0.35">
      <c r="G859" s="30"/>
    </row>
    <row r="860" spans="7:7" ht="15.75" customHeight="1" x14ac:dyDescent="0.35">
      <c r="G860" s="30"/>
    </row>
    <row r="861" spans="7:7" ht="15.75" customHeight="1" x14ac:dyDescent="0.35">
      <c r="G861" s="30"/>
    </row>
    <row r="862" spans="7:7" ht="15.75" customHeight="1" x14ac:dyDescent="0.35">
      <c r="G862" s="30"/>
    </row>
    <row r="863" spans="7:7" ht="15.75" customHeight="1" x14ac:dyDescent="0.35">
      <c r="G863" s="30"/>
    </row>
    <row r="864" spans="7:7" ht="15.75" customHeight="1" x14ac:dyDescent="0.35">
      <c r="G864" s="30"/>
    </row>
    <row r="865" spans="7:7" ht="15.75" customHeight="1" x14ac:dyDescent="0.35">
      <c r="G865" s="30"/>
    </row>
    <row r="866" spans="7:7" ht="15.75" customHeight="1" x14ac:dyDescent="0.35">
      <c r="G866" s="30"/>
    </row>
    <row r="867" spans="7:7" ht="15.75" customHeight="1" x14ac:dyDescent="0.35">
      <c r="G867" s="30"/>
    </row>
    <row r="868" spans="7:7" ht="15.75" customHeight="1" x14ac:dyDescent="0.35">
      <c r="G868" s="30"/>
    </row>
    <row r="869" spans="7:7" ht="15.75" customHeight="1" x14ac:dyDescent="0.35">
      <c r="G869" s="30"/>
    </row>
    <row r="870" spans="7:7" ht="15.75" customHeight="1" x14ac:dyDescent="0.35">
      <c r="G870" s="30"/>
    </row>
    <row r="871" spans="7:7" ht="15.75" customHeight="1" x14ac:dyDescent="0.35">
      <c r="G871" s="30"/>
    </row>
    <row r="872" spans="7:7" ht="15.75" customHeight="1" x14ac:dyDescent="0.35">
      <c r="G872" s="30"/>
    </row>
    <row r="873" spans="7:7" ht="15.75" customHeight="1" x14ac:dyDescent="0.35">
      <c r="G873" s="30"/>
    </row>
    <row r="874" spans="7:7" ht="15.75" customHeight="1" x14ac:dyDescent="0.35">
      <c r="G874" s="30"/>
    </row>
    <row r="875" spans="7:7" ht="15.75" customHeight="1" x14ac:dyDescent="0.35">
      <c r="G875" s="30"/>
    </row>
    <row r="876" spans="7:7" ht="15.75" customHeight="1" x14ac:dyDescent="0.35">
      <c r="G876" s="30"/>
    </row>
    <row r="877" spans="7:7" ht="15.75" customHeight="1" x14ac:dyDescent="0.35">
      <c r="G877" s="30"/>
    </row>
    <row r="878" spans="7:7" ht="15.75" customHeight="1" x14ac:dyDescent="0.35">
      <c r="G878" s="30"/>
    </row>
    <row r="879" spans="7:7" ht="15.75" customHeight="1" x14ac:dyDescent="0.35">
      <c r="G879" s="30"/>
    </row>
    <row r="880" spans="7:7" ht="15.75" customHeight="1" x14ac:dyDescent="0.35">
      <c r="G880" s="30"/>
    </row>
    <row r="881" spans="7:7" ht="15.75" customHeight="1" x14ac:dyDescent="0.35">
      <c r="G881" s="30"/>
    </row>
    <row r="882" spans="7:7" ht="15.75" customHeight="1" x14ac:dyDescent="0.35">
      <c r="G882" s="30"/>
    </row>
    <row r="883" spans="7:7" ht="15.75" customHeight="1" x14ac:dyDescent="0.35">
      <c r="G883" s="30"/>
    </row>
    <row r="884" spans="7:7" ht="15.75" customHeight="1" x14ac:dyDescent="0.35">
      <c r="G884" s="30"/>
    </row>
    <row r="885" spans="7:7" ht="15.75" customHeight="1" x14ac:dyDescent="0.35">
      <c r="G885" s="30"/>
    </row>
    <row r="886" spans="7:7" ht="15.75" customHeight="1" x14ac:dyDescent="0.35">
      <c r="G886" s="30"/>
    </row>
    <row r="887" spans="7:7" ht="15.75" customHeight="1" x14ac:dyDescent="0.35">
      <c r="G887" s="30"/>
    </row>
    <row r="888" spans="7:7" ht="15.75" customHeight="1" x14ac:dyDescent="0.35">
      <c r="G888" s="30"/>
    </row>
    <row r="889" spans="7:7" ht="15.75" customHeight="1" x14ac:dyDescent="0.35">
      <c r="G889" s="30"/>
    </row>
    <row r="890" spans="7:7" ht="15.75" customHeight="1" x14ac:dyDescent="0.35">
      <c r="G890" s="30"/>
    </row>
    <row r="891" spans="7:7" ht="15.75" customHeight="1" x14ac:dyDescent="0.35">
      <c r="G891" s="30"/>
    </row>
    <row r="892" spans="7:7" ht="15.75" customHeight="1" x14ac:dyDescent="0.35">
      <c r="G892" s="30"/>
    </row>
    <row r="893" spans="7:7" ht="15.75" customHeight="1" x14ac:dyDescent="0.35">
      <c r="G893" s="30"/>
    </row>
    <row r="894" spans="7:7" ht="15.75" customHeight="1" x14ac:dyDescent="0.35">
      <c r="G894" s="30"/>
    </row>
    <row r="895" spans="7:7" ht="15.75" customHeight="1" x14ac:dyDescent="0.35">
      <c r="G895" s="30"/>
    </row>
    <row r="896" spans="7:7" ht="15.75" customHeight="1" x14ac:dyDescent="0.35">
      <c r="G896" s="30"/>
    </row>
    <row r="897" spans="7:7" ht="15.75" customHeight="1" x14ac:dyDescent="0.35">
      <c r="G897" s="30"/>
    </row>
    <row r="898" spans="7:7" ht="15.75" customHeight="1" x14ac:dyDescent="0.35">
      <c r="G898" s="30"/>
    </row>
    <row r="899" spans="7:7" ht="15.75" customHeight="1" x14ac:dyDescent="0.35">
      <c r="G899" s="30"/>
    </row>
    <row r="900" spans="7:7" ht="15.75" customHeight="1" x14ac:dyDescent="0.35">
      <c r="G900" s="30"/>
    </row>
    <row r="901" spans="7:7" ht="15.75" customHeight="1" x14ac:dyDescent="0.35">
      <c r="G901" s="30"/>
    </row>
    <row r="902" spans="7:7" ht="15.75" customHeight="1" x14ac:dyDescent="0.35">
      <c r="G902" s="30"/>
    </row>
    <row r="903" spans="7:7" ht="15.75" customHeight="1" x14ac:dyDescent="0.35">
      <c r="G903" s="30"/>
    </row>
    <row r="904" spans="7:7" ht="15.75" customHeight="1" x14ac:dyDescent="0.35">
      <c r="G904" s="30"/>
    </row>
    <row r="905" spans="7:7" ht="15.75" customHeight="1" x14ac:dyDescent="0.35">
      <c r="G905" s="30"/>
    </row>
    <row r="906" spans="7:7" ht="15.75" customHeight="1" x14ac:dyDescent="0.35">
      <c r="G906" s="30"/>
    </row>
    <row r="907" spans="7:7" ht="15.75" customHeight="1" x14ac:dyDescent="0.35">
      <c r="G907" s="30"/>
    </row>
    <row r="908" spans="7:7" ht="15.75" customHeight="1" x14ac:dyDescent="0.35">
      <c r="G908" s="30"/>
    </row>
    <row r="909" spans="7:7" ht="15.75" customHeight="1" x14ac:dyDescent="0.35">
      <c r="G909" s="30"/>
    </row>
    <row r="910" spans="7:7" ht="15.75" customHeight="1" x14ac:dyDescent="0.35">
      <c r="G910" s="30"/>
    </row>
    <row r="911" spans="7:7" ht="15.75" customHeight="1" x14ac:dyDescent="0.35">
      <c r="G911" s="30"/>
    </row>
    <row r="912" spans="7:7" ht="15.75" customHeight="1" x14ac:dyDescent="0.35">
      <c r="G912" s="30"/>
    </row>
    <row r="913" spans="7:7" ht="15.75" customHeight="1" x14ac:dyDescent="0.35">
      <c r="G913" s="30"/>
    </row>
    <row r="914" spans="7:7" ht="15.75" customHeight="1" x14ac:dyDescent="0.35">
      <c r="G914" s="30"/>
    </row>
    <row r="915" spans="7:7" ht="15.75" customHeight="1" x14ac:dyDescent="0.35">
      <c r="G915" s="30"/>
    </row>
    <row r="916" spans="7:7" ht="15.75" customHeight="1" x14ac:dyDescent="0.35">
      <c r="G916" s="30"/>
    </row>
    <row r="917" spans="7:7" ht="15.75" customHeight="1" x14ac:dyDescent="0.35">
      <c r="G917" s="30"/>
    </row>
    <row r="918" spans="7:7" ht="15.75" customHeight="1" x14ac:dyDescent="0.35">
      <c r="G918" s="30"/>
    </row>
    <row r="919" spans="7:7" ht="15.75" customHeight="1" x14ac:dyDescent="0.35">
      <c r="G919" s="30"/>
    </row>
    <row r="920" spans="7:7" ht="15.75" customHeight="1" x14ac:dyDescent="0.35">
      <c r="G920" s="30"/>
    </row>
    <row r="921" spans="7:7" ht="15.75" customHeight="1" x14ac:dyDescent="0.35">
      <c r="G921" s="30"/>
    </row>
    <row r="922" spans="7:7" ht="15.75" customHeight="1" x14ac:dyDescent="0.35">
      <c r="G922" s="30"/>
    </row>
    <row r="923" spans="7:7" ht="15.75" customHeight="1" x14ac:dyDescent="0.35">
      <c r="G923" s="30"/>
    </row>
    <row r="924" spans="7:7" ht="15.75" customHeight="1" x14ac:dyDescent="0.35">
      <c r="G924" s="30"/>
    </row>
    <row r="925" spans="7:7" ht="15.75" customHeight="1" x14ac:dyDescent="0.35">
      <c r="G925" s="30"/>
    </row>
    <row r="926" spans="7:7" ht="15.75" customHeight="1" x14ac:dyDescent="0.35">
      <c r="G926" s="30"/>
    </row>
    <row r="927" spans="7:7" ht="15.75" customHeight="1" x14ac:dyDescent="0.35">
      <c r="G927" s="30"/>
    </row>
    <row r="928" spans="7:7" ht="15.75" customHeight="1" x14ac:dyDescent="0.35">
      <c r="G928" s="30"/>
    </row>
    <row r="929" spans="7:7" ht="15.75" customHeight="1" x14ac:dyDescent="0.35">
      <c r="G929" s="30"/>
    </row>
    <row r="930" spans="7:7" ht="15.75" customHeight="1" x14ac:dyDescent="0.35">
      <c r="G930" s="30"/>
    </row>
    <row r="931" spans="7:7" ht="15.75" customHeight="1" x14ac:dyDescent="0.35">
      <c r="G931" s="30"/>
    </row>
    <row r="932" spans="7:7" ht="15.75" customHeight="1" x14ac:dyDescent="0.35">
      <c r="G932" s="30"/>
    </row>
    <row r="933" spans="7:7" ht="15.75" customHeight="1" x14ac:dyDescent="0.35">
      <c r="G933" s="30"/>
    </row>
    <row r="934" spans="7:7" ht="15.75" customHeight="1" x14ac:dyDescent="0.35">
      <c r="G934" s="30"/>
    </row>
    <row r="935" spans="7:7" ht="15.75" customHeight="1" x14ac:dyDescent="0.35">
      <c r="G935" s="30"/>
    </row>
    <row r="936" spans="7:7" ht="15.75" customHeight="1" x14ac:dyDescent="0.35">
      <c r="G936" s="30"/>
    </row>
    <row r="937" spans="7:7" ht="15.75" customHeight="1" x14ac:dyDescent="0.35">
      <c r="G937" s="30"/>
    </row>
    <row r="938" spans="7:7" ht="15.75" customHeight="1" x14ac:dyDescent="0.35">
      <c r="G938" s="30"/>
    </row>
    <row r="939" spans="7:7" ht="15.75" customHeight="1" x14ac:dyDescent="0.35">
      <c r="G939" s="30"/>
    </row>
    <row r="940" spans="7:7" ht="15.75" customHeight="1" x14ac:dyDescent="0.35">
      <c r="G940" s="30"/>
    </row>
    <row r="941" spans="7:7" ht="15.75" customHeight="1" x14ac:dyDescent="0.35">
      <c r="G941" s="30"/>
    </row>
    <row r="942" spans="7:7" ht="15.75" customHeight="1" x14ac:dyDescent="0.35">
      <c r="G942" s="30"/>
    </row>
    <row r="943" spans="7:7" ht="15.75" customHeight="1" x14ac:dyDescent="0.35">
      <c r="G943" s="30"/>
    </row>
    <row r="944" spans="7:7" ht="15.75" customHeight="1" x14ac:dyDescent="0.35">
      <c r="G944" s="30"/>
    </row>
    <row r="945" spans="7:7" ht="15.75" customHeight="1" x14ac:dyDescent="0.35">
      <c r="G945" s="30"/>
    </row>
    <row r="946" spans="7:7" ht="15.75" customHeight="1" x14ac:dyDescent="0.35">
      <c r="G946" s="30"/>
    </row>
    <row r="947" spans="7:7" ht="15.75" customHeight="1" x14ac:dyDescent="0.35">
      <c r="G947" s="30"/>
    </row>
    <row r="948" spans="7:7" ht="15.75" customHeight="1" x14ac:dyDescent="0.35">
      <c r="G948" s="30"/>
    </row>
    <row r="949" spans="7:7" ht="15.75" customHeight="1" x14ac:dyDescent="0.35">
      <c r="G949" s="30"/>
    </row>
    <row r="950" spans="7:7" ht="15.75" customHeight="1" x14ac:dyDescent="0.35">
      <c r="G950" s="30"/>
    </row>
    <row r="951" spans="7:7" ht="15.75" customHeight="1" x14ac:dyDescent="0.35">
      <c r="G951" s="30"/>
    </row>
    <row r="952" spans="7:7" ht="15.75" customHeight="1" x14ac:dyDescent="0.35">
      <c r="G952" s="30"/>
    </row>
    <row r="953" spans="7:7" ht="15.75" customHeight="1" x14ac:dyDescent="0.35">
      <c r="G953" s="30"/>
    </row>
    <row r="954" spans="7:7" ht="15.75" customHeight="1" x14ac:dyDescent="0.35">
      <c r="G954" s="30"/>
    </row>
    <row r="955" spans="7:7" ht="15.75" customHeight="1" x14ac:dyDescent="0.35">
      <c r="G955" s="30"/>
    </row>
    <row r="956" spans="7:7" ht="15.75" customHeight="1" x14ac:dyDescent="0.35">
      <c r="G956" s="30"/>
    </row>
    <row r="957" spans="7:7" ht="15.75" customHeight="1" x14ac:dyDescent="0.35">
      <c r="G957" s="30"/>
    </row>
    <row r="958" spans="7:7" ht="15.75" customHeight="1" x14ac:dyDescent="0.35">
      <c r="G958" s="30"/>
    </row>
    <row r="959" spans="7:7" ht="15.75" customHeight="1" x14ac:dyDescent="0.35">
      <c r="G959" s="30"/>
    </row>
    <row r="960" spans="7:7" ht="15.75" customHeight="1" x14ac:dyDescent="0.35">
      <c r="G960" s="30"/>
    </row>
    <row r="961" spans="7:7" ht="15.75" customHeight="1" x14ac:dyDescent="0.35">
      <c r="G961" s="30"/>
    </row>
    <row r="962" spans="7:7" ht="15.75" customHeight="1" x14ac:dyDescent="0.35">
      <c r="G962" s="30"/>
    </row>
    <row r="963" spans="7:7" ht="15.75" customHeight="1" x14ac:dyDescent="0.35">
      <c r="G963" s="30"/>
    </row>
    <row r="964" spans="7:7" ht="15.75" customHeight="1" x14ac:dyDescent="0.35">
      <c r="G964" s="30"/>
    </row>
    <row r="965" spans="7:7" ht="15.75" customHeight="1" x14ac:dyDescent="0.35">
      <c r="G965" s="30"/>
    </row>
    <row r="966" spans="7:7" ht="15.75" customHeight="1" x14ac:dyDescent="0.35">
      <c r="G966" s="30"/>
    </row>
    <row r="967" spans="7:7" ht="15.75" customHeight="1" x14ac:dyDescent="0.35">
      <c r="G967" s="30"/>
    </row>
    <row r="968" spans="7:7" ht="15.75" customHeight="1" x14ac:dyDescent="0.35">
      <c r="G968" s="30"/>
    </row>
    <row r="969" spans="7:7" ht="15.75" customHeight="1" x14ac:dyDescent="0.35">
      <c r="G969" s="30"/>
    </row>
    <row r="970" spans="7:7" ht="15.75" customHeight="1" x14ac:dyDescent="0.35">
      <c r="G970" s="30"/>
    </row>
    <row r="971" spans="7:7" ht="15.75" customHeight="1" x14ac:dyDescent="0.35">
      <c r="G971" s="30"/>
    </row>
    <row r="972" spans="7:7" ht="15.75" customHeight="1" x14ac:dyDescent="0.35">
      <c r="G972" s="30"/>
    </row>
    <row r="973" spans="7:7" ht="15.75" customHeight="1" x14ac:dyDescent="0.35">
      <c r="G973" s="30"/>
    </row>
    <row r="974" spans="7:7" ht="15.75" customHeight="1" x14ac:dyDescent="0.35">
      <c r="G974" s="30"/>
    </row>
    <row r="975" spans="7:7" ht="15.75" customHeight="1" x14ac:dyDescent="0.35">
      <c r="G975" s="30"/>
    </row>
    <row r="976" spans="7:7" ht="15.75" customHeight="1" x14ac:dyDescent="0.35">
      <c r="G976" s="30"/>
    </row>
    <row r="977" spans="7:7" ht="15.75" customHeight="1" x14ac:dyDescent="0.35">
      <c r="G977" s="30"/>
    </row>
    <row r="978" spans="7:7" ht="15.75" customHeight="1" x14ac:dyDescent="0.35">
      <c r="G978" s="30"/>
    </row>
    <row r="979" spans="7:7" ht="15.75" customHeight="1" x14ac:dyDescent="0.35">
      <c r="G979" s="30"/>
    </row>
    <row r="980" spans="7:7" ht="15.75" customHeight="1" x14ac:dyDescent="0.35">
      <c r="G980" s="30"/>
    </row>
    <row r="981" spans="7:7" ht="15.75" customHeight="1" x14ac:dyDescent="0.35">
      <c r="G981" s="30"/>
    </row>
    <row r="982" spans="7:7" ht="15.75" customHeight="1" x14ac:dyDescent="0.35">
      <c r="G982" s="30"/>
    </row>
    <row r="983" spans="7:7" ht="15.75" customHeight="1" x14ac:dyDescent="0.35">
      <c r="G983" s="30"/>
    </row>
    <row r="984" spans="7:7" ht="15.75" customHeight="1" x14ac:dyDescent="0.35">
      <c r="G984" s="30"/>
    </row>
    <row r="985" spans="7:7" ht="15.75" customHeight="1" x14ac:dyDescent="0.35">
      <c r="G985" s="30"/>
    </row>
    <row r="986" spans="7:7" ht="15.75" customHeight="1" x14ac:dyDescent="0.35">
      <c r="G986" s="30"/>
    </row>
    <row r="987" spans="7:7" ht="15.75" customHeight="1" x14ac:dyDescent="0.35">
      <c r="G987" s="30"/>
    </row>
    <row r="988" spans="7:7" ht="15.75" customHeight="1" x14ac:dyDescent="0.35">
      <c r="G988" s="30"/>
    </row>
    <row r="989" spans="7:7" ht="15.75" customHeight="1" x14ac:dyDescent="0.35">
      <c r="G989" s="30"/>
    </row>
    <row r="990" spans="7:7" ht="15.75" customHeight="1" x14ac:dyDescent="0.35">
      <c r="G990" s="30"/>
    </row>
    <row r="991" spans="7:7" ht="15.75" customHeight="1" x14ac:dyDescent="0.35">
      <c r="G991" s="30"/>
    </row>
    <row r="992" spans="7:7" ht="15.75" customHeight="1" x14ac:dyDescent="0.35">
      <c r="G992" s="30"/>
    </row>
    <row r="993" spans="7:7" ht="15.75" customHeight="1" x14ac:dyDescent="0.35">
      <c r="G993" s="30"/>
    </row>
    <row r="994" spans="7:7" ht="15.75" customHeight="1" x14ac:dyDescent="0.35">
      <c r="G994" s="30"/>
    </row>
    <row r="995" spans="7:7" ht="15.75" customHeight="1" x14ac:dyDescent="0.35">
      <c r="G995" s="30"/>
    </row>
    <row r="996" spans="7:7" ht="15.75" customHeight="1" x14ac:dyDescent="0.35">
      <c r="G996" s="30"/>
    </row>
    <row r="997" spans="7:7" ht="15.75" customHeight="1" x14ac:dyDescent="0.35">
      <c r="G997" s="30"/>
    </row>
    <row r="998" spans="7:7" ht="15.75" customHeight="1" x14ac:dyDescent="0.35">
      <c r="G998" s="30"/>
    </row>
    <row r="999" spans="7:7" ht="15.75" customHeight="1" x14ac:dyDescent="0.35">
      <c r="G999" s="30"/>
    </row>
    <row r="1000" spans="7:7" ht="15.75" customHeight="1" x14ac:dyDescent="0.35">
      <c r="G1000" s="30"/>
    </row>
    <row r="1001" spans="7:7" ht="15.75" customHeight="1" x14ac:dyDescent="0.35">
      <c r="G1001" s="30"/>
    </row>
    <row r="1002" spans="7:7" ht="15.75" customHeight="1" x14ac:dyDescent="0.35">
      <c r="G1002" s="30"/>
    </row>
    <row r="1003" spans="7:7" ht="15.75" customHeight="1" x14ac:dyDescent="0.35">
      <c r="G1003" s="30"/>
    </row>
    <row r="1004" spans="7:7" ht="15.75" customHeight="1" x14ac:dyDescent="0.35">
      <c r="G1004" s="30"/>
    </row>
    <row r="1005" spans="7:7" ht="15.75" customHeight="1" x14ac:dyDescent="0.35">
      <c r="G1005" s="30"/>
    </row>
    <row r="1006" spans="7:7" ht="15.75" customHeight="1" x14ac:dyDescent="0.35">
      <c r="G1006" s="30"/>
    </row>
    <row r="1007" spans="7:7" ht="15.75" customHeight="1" x14ac:dyDescent="0.35">
      <c r="G1007" s="30"/>
    </row>
    <row r="1008" spans="7:7" ht="15.75" customHeight="1" x14ac:dyDescent="0.35">
      <c r="G1008" s="30"/>
    </row>
    <row r="1009" spans="7:7" ht="15.75" customHeight="1" x14ac:dyDescent="0.35">
      <c r="G1009" s="30"/>
    </row>
    <row r="1010" spans="7:7" ht="15.75" customHeight="1" x14ac:dyDescent="0.35">
      <c r="G1010" s="30"/>
    </row>
    <row r="1011" spans="7:7" ht="15.75" customHeight="1" x14ac:dyDescent="0.35">
      <c r="G1011" s="30"/>
    </row>
    <row r="1012" spans="7:7" ht="15.75" customHeight="1" x14ac:dyDescent="0.35">
      <c r="G1012" s="30"/>
    </row>
    <row r="1013" spans="7:7" ht="15.75" customHeight="1" x14ac:dyDescent="0.35">
      <c r="G1013" s="30"/>
    </row>
    <row r="1014" spans="7:7" ht="15.75" customHeight="1" x14ac:dyDescent="0.35">
      <c r="G1014" s="30"/>
    </row>
    <row r="1015" spans="7:7" ht="15.75" customHeight="1" x14ac:dyDescent="0.35">
      <c r="G1015" s="30"/>
    </row>
    <row r="1016" spans="7:7" ht="15.75" customHeight="1" x14ac:dyDescent="0.35">
      <c r="G1016" s="30"/>
    </row>
    <row r="1017" spans="7:7" ht="15.75" customHeight="1" x14ac:dyDescent="0.35">
      <c r="G1017" s="30"/>
    </row>
    <row r="1018" spans="7:7" ht="15.75" customHeight="1" x14ac:dyDescent="0.35">
      <c r="G1018" s="30"/>
    </row>
    <row r="1019" spans="7:7" ht="15.75" customHeight="1" x14ac:dyDescent="0.35">
      <c r="G1019" s="30"/>
    </row>
    <row r="1020" spans="7:7" ht="15.75" customHeight="1" x14ac:dyDescent="0.35">
      <c r="G1020" s="30"/>
    </row>
    <row r="1021" spans="7:7" ht="15.75" customHeight="1" x14ac:dyDescent="0.35">
      <c r="G1021" s="30"/>
    </row>
    <row r="1022" spans="7:7" ht="15.75" customHeight="1" x14ac:dyDescent="0.35">
      <c r="G1022" s="30"/>
    </row>
    <row r="1023" spans="7:7" ht="15.75" customHeight="1" x14ac:dyDescent="0.35">
      <c r="G1023" s="30"/>
    </row>
    <row r="1024" spans="7:7" ht="15.75" customHeight="1" x14ac:dyDescent="0.35">
      <c r="G1024" s="30"/>
    </row>
    <row r="1025" spans="7:7" ht="15.75" customHeight="1" x14ac:dyDescent="0.35">
      <c r="G1025" s="30"/>
    </row>
    <row r="1026" spans="7:7" ht="15.75" customHeight="1" x14ac:dyDescent="0.35">
      <c r="G1026" s="30"/>
    </row>
    <row r="1027" spans="7:7" ht="15.75" customHeight="1" x14ac:dyDescent="0.35">
      <c r="G1027" s="30"/>
    </row>
    <row r="1028" spans="7:7" ht="15.75" customHeight="1" x14ac:dyDescent="0.35">
      <c r="G1028" s="30"/>
    </row>
    <row r="1029" spans="7:7" ht="15.75" customHeight="1" x14ac:dyDescent="0.35">
      <c r="G1029" s="30"/>
    </row>
    <row r="1030" spans="7:7" ht="15.75" customHeight="1" x14ac:dyDescent="0.35">
      <c r="G1030" s="30"/>
    </row>
    <row r="1031" spans="7:7" ht="15.75" customHeight="1" x14ac:dyDescent="0.35">
      <c r="G1031" s="30"/>
    </row>
    <row r="1032" spans="7:7" ht="15.75" customHeight="1" x14ac:dyDescent="0.35">
      <c r="G1032" s="30"/>
    </row>
    <row r="1033" spans="7:7" ht="15.75" customHeight="1" x14ac:dyDescent="0.35">
      <c r="G1033" s="30"/>
    </row>
    <row r="1034" spans="7:7" ht="15.75" customHeight="1" x14ac:dyDescent="0.35">
      <c r="G1034" s="30"/>
    </row>
    <row r="1035" spans="7:7" ht="15.75" customHeight="1" x14ac:dyDescent="0.35">
      <c r="G1035" s="30"/>
    </row>
    <row r="1036" spans="7:7" ht="15.75" customHeight="1" x14ac:dyDescent="0.35">
      <c r="G1036" s="30"/>
    </row>
    <row r="1037" spans="7:7" ht="15.75" customHeight="1" x14ac:dyDescent="0.35">
      <c r="G1037" s="30"/>
    </row>
    <row r="1038" spans="7:7" ht="15.75" customHeight="1" x14ac:dyDescent="0.35">
      <c r="G1038" s="30"/>
    </row>
    <row r="1039" spans="7:7" ht="15.75" customHeight="1" x14ac:dyDescent="0.35">
      <c r="G1039" s="30"/>
    </row>
    <row r="1040" spans="7:7" ht="15.75" customHeight="1" x14ac:dyDescent="0.35">
      <c r="G1040" s="30"/>
    </row>
    <row r="1041" spans="7:7" ht="15.75" customHeight="1" x14ac:dyDescent="0.35">
      <c r="G1041" s="30"/>
    </row>
    <row r="1042" spans="7:7" ht="15.75" customHeight="1" x14ac:dyDescent="0.35">
      <c r="G1042" s="30"/>
    </row>
    <row r="1043" spans="7:7" ht="15.75" customHeight="1" x14ac:dyDescent="0.35">
      <c r="G1043" s="30"/>
    </row>
    <row r="1044" spans="7:7" ht="15.75" customHeight="1" x14ac:dyDescent="0.35">
      <c r="G1044" s="30"/>
    </row>
    <row r="1045" spans="7:7" ht="15.75" customHeight="1" x14ac:dyDescent="0.35">
      <c r="G1045" s="30"/>
    </row>
    <row r="1046" spans="7:7" ht="15.75" customHeight="1" x14ac:dyDescent="0.35">
      <c r="G1046" s="30"/>
    </row>
    <row r="1047" spans="7:7" ht="15.75" customHeight="1" x14ac:dyDescent="0.35">
      <c r="G1047" s="30"/>
    </row>
    <row r="1048" spans="7:7" ht="15.75" customHeight="1" x14ac:dyDescent="0.35">
      <c r="G1048" s="30"/>
    </row>
    <row r="1049" spans="7:7" ht="15.75" customHeight="1" x14ac:dyDescent="0.35">
      <c r="G1049" s="30"/>
    </row>
    <row r="1050" spans="7:7" ht="15.75" customHeight="1" x14ac:dyDescent="0.35">
      <c r="G1050" s="30"/>
    </row>
    <row r="1051" spans="7:7" ht="15.75" customHeight="1" x14ac:dyDescent="0.35">
      <c r="G1051" s="30"/>
    </row>
    <row r="1052" spans="7:7" ht="15.75" customHeight="1" x14ac:dyDescent="0.35">
      <c r="G1052" s="30"/>
    </row>
    <row r="1053" spans="7:7" ht="15.75" customHeight="1" x14ac:dyDescent="0.35">
      <c r="G1053" s="30"/>
    </row>
    <row r="1054" spans="7:7" ht="15.75" customHeight="1" x14ac:dyDescent="0.35">
      <c r="G1054" s="30"/>
    </row>
    <row r="1055" spans="7:7" ht="15.75" customHeight="1" x14ac:dyDescent="0.35">
      <c r="G1055" s="30"/>
    </row>
    <row r="1056" spans="7:7" ht="15.75" customHeight="1" x14ac:dyDescent="0.35">
      <c r="G1056" s="30"/>
    </row>
    <row r="1057" spans="7:7" ht="15.75" customHeight="1" x14ac:dyDescent="0.35">
      <c r="G1057" s="30"/>
    </row>
    <row r="1058" spans="7:7" ht="15.75" customHeight="1" x14ac:dyDescent="0.35">
      <c r="G1058" s="30"/>
    </row>
    <row r="1059" spans="7:7" ht="15.75" customHeight="1" x14ac:dyDescent="0.35">
      <c r="G1059" s="30"/>
    </row>
    <row r="1060" spans="7:7" ht="15.75" customHeight="1" x14ac:dyDescent="0.35">
      <c r="G1060" s="30"/>
    </row>
    <row r="1061" spans="7:7" ht="15.75" customHeight="1" x14ac:dyDescent="0.35">
      <c r="G1061" s="30"/>
    </row>
    <row r="1062" spans="7:7" ht="15.75" customHeight="1" x14ac:dyDescent="0.35">
      <c r="G1062" s="30"/>
    </row>
    <row r="1063" spans="7:7" ht="15.75" customHeight="1" x14ac:dyDescent="0.35">
      <c r="G1063" s="30"/>
    </row>
    <row r="1064" spans="7:7" ht="15.75" customHeight="1" x14ac:dyDescent="0.35">
      <c r="G1064" s="30"/>
    </row>
    <row r="1065" spans="7:7" ht="15.75" customHeight="1" x14ac:dyDescent="0.35">
      <c r="G1065" s="30"/>
    </row>
    <row r="1066" spans="7:7" ht="15.75" customHeight="1" x14ac:dyDescent="0.35">
      <c r="G1066" s="30"/>
    </row>
    <row r="1067" spans="7:7" ht="15.75" customHeight="1" x14ac:dyDescent="0.35">
      <c r="G1067" s="30"/>
    </row>
    <row r="1068" spans="7:7" ht="15.75" customHeight="1" x14ac:dyDescent="0.35">
      <c r="G1068" s="30"/>
    </row>
    <row r="1069" spans="7:7" ht="15.75" customHeight="1" x14ac:dyDescent="0.35">
      <c r="G1069" s="30"/>
    </row>
    <row r="1070" spans="7:7" ht="15.75" customHeight="1" x14ac:dyDescent="0.35">
      <c r="G1070" s="30"/>
    </row>
    <row r="1071" spans="7:7" ht="15.75" customHeight="1" x14ac:dyDescent="0.35">
      <c r="G1071" s="30"/>
    </row>
    <row r="1072" spans="7:7" ht="15.75" customHeight="1" x14ac:dyDescent="0.35">
      <c r="G1072" s="30"/>
    </row>
    <row r="1073" spans="7:7" ht="15.75" customHeight="1" x14ac:dyDescent="0.35">
      <c r="G1073" s="30"/>
    </row>
    <row r="1074" spans="7:7" ht="15.75" customHeight="1" x14ac:dyDescent="0.35">
      <c r="G1074" s="30"/>
    </row>
    <row r="1075" spans="7:7" ht="15.75" customHeight="1" x14ac:dyDescent="0.35">
      <c r="G1075" s="30"/>
    </row>
  </sheetData>
  <mergeCells count="86">
    <mergeCell ref="B31:C31"/>
    <mergeCell ref="B30:C30"/>
    <mergeCell ref="B29:C29"/>
    <mergeCell ref="B28:C28"/>
    <mergeCell ref="B27:C27"/>
    <mergeCell ref="B32:C32"/>
    <mergeCell ref="B33:C33"/>
    <mergeCell ref="B35:C35"/>
    <mergeCell ref="B36:C36"/>
    <mergeCell ref="B37:C37"/>
    <mergeCell ref="B38:C38"/>
    <mergeCell ref="C108:G108"/>
    <mergeCell ref="C109:G109"/>
    <mergeCell ref="C114:G114"/>
    <mergeCell ref="C115:G115"/>
    <mergeCell ref="B104:C104"/>
    <mergeCell ref="B105:C105"/>
    <mergeCell ref="A106:F106"/>
    <mergeCell ref="B107:C107"/>
    <mergeCell ref="B54:C54"/>
    <mergeCell ref="B56:C56"/>
    <mergeCell ref="B57:C57"/>
    <mergeCell ref="B58:C58"/>
    <mergeCell ref="B22:E22"/>
    <mergeCell ref="F22:G22"/>
    <mergeCell ref="B23:E23"/>
    <mergeCell ref="F23:G23"/>
    <mergeCell ref="A25:A26"/>
    <mergeCell ref="B25:C26"/>
    <mergeCell ref="D25:F25"/>
    <mergeCell ref="B21:E21"/>
    <mergeCell ref="F21:G21"/>
    <mergeCell ref="B7:G7"/>
    <mergeCell ref="B8:G8"/>
    <mergeCell ref="B9:G9"/>
    <mergeCell ref="B10:G10"/>
    <mergeCell ref="B11:G11"/>
    <mergeCell ref="B12:G12"/>
    <mergeCell ref="A18:G18"/>
    <mergeCell ref="B19:E19"/>
    <mergeCell ref="F19:G19"/>
    <mergeCell ref="B20:E20"/>
    <mergeCell ref="F20:G20"/>
    <mergeCell ref="A1:E1"/>
    <mergeCell ref="F1:G1"/>
    <mergeCell ref="A2:G2"/>
    <mergeCell ref="B4:G4"/>
    <mergeCell ref="B5:G5"/>
    <mergeCell ref="B6:G6"/>
    <mergeCell ref="B55:C55"/>
    <mergeCell ref="B43:C43"/>
    <mergeCell ref="B34:C34"/>
    <mergeCell ref="B39:C39"/>
    <mergeCell ref="B40:C40"/>
    <mergeCell ref="B41:C41"/>
    <mergeCell ref="B42:C42"/>
    <mergeCell ref="B44:C44"/>
    <mergeCell ref="B45:C45"/>
    <mergeCell ref="B46:C46"/>
    <mergeCell ref="B50:C50"/>
    <mergeCell ref="B51:C51"/>
    <mergeCell ref="B47:C47"/>
    <mergeCell ref="B52:C52"/>
    <mergeCell ref="B53:C53"/>
    <mergeCell ref="B59:C59"/>
    <mergeCell ref="B60:C60"/>
    <mergeCell ref="B61:C61"/>
    <mergeCell ref="B62:C62"/>
    <mergeCell ref="B73:C73"/>
    <mergeCell ref="B74:C74"/>
    <mergeCell ref="B80:C80"/>
    <mergeCell ref="B81:C81"/>
    <mergeCell ref="B67:C67"/>
    <mergeCell ref="B68:C68"/>
    <mergeCell ref="B69:C69"/>
    <mergeCell ref="B75:C75"/>
    <mergeCell ref="B76:C76"/>
    <mergeCell ref="B77:C77"/>
    <mergeCell ref="B78:C78"/>
    <mergeCell ref="B79:C79"/>
    <mergeCell ref="B83:C83"/>
    <mergeCell ref="B98:C98"/>
    <mergeCell ref="B99:C99"/>
    <mergeCell ref="B100:C100"/>
    <mergeCell ref="B102:C102"/>
    <mergeCell ref="B101:C10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opLeftCell="A13" zoomScale="71" zoomScaleNormal="71" workbookViewId="0">
      <selection activeCell="B29" sqref="B29:C29"/>
    </sheetView>
  </sheetViews>
  <sheetFormatPr defaultColWidth="14.453125" defaultRowHeight="15" customHeight="1" x14ac:dyDescent="0.35"/>
  <cols>
    <col min="1" max="1" width="18.453125" bestFit="1" customWidth="1"/>
    <col min="2" max="2" width="18.81640625" customWidth="1"/>
    <col min="3" max="3" width="33.54296875" customWidth="1"/>
    <col min="4" max="4" width="10" customWidth="1"/>
    <col min="5" max="5" width="9.453125" customWidth="1"/>
    <col min="6" max="6" width="13.1796875" customWidth="1"/>
    <col min="7" max="7" width="14.54296875" customWidth="1"/>
    <col min="8" max="26" width="8.7265625" customWidth="1"/>
  </cols>
  <sheetData>
    <row r="1" spans="1:7" ht="44.25" customHeight="1" x14ac:dyDescent="0.35">
      <c r="A1" s="138" t="s">
        <v>0</v>
      </c>
      <c r="B1" s="139"/>
      <c r="C1" s="139"/>
      <c r="D1" s="139"/>
      <c r="E1" s="140"/>
      <c r="F1" s="141" t="s">
        <v>1</v>
      </c>
      <c r="G1" s="142"/>
    </row>
    <row r="2" spans="1:7" s="31" customFormat="1" ht="14.5" x14ac:dyDescent="0.35">
      <c r="A2" s="143" t="s">
        <v>47</v>
      </c>
      <c r="B2" s="144"/>
      <c r="C2" s="144"/>
      <c r="D2" s="144"/>
      <c r="E2" s="144"/>
      <c r="F2" s="144"/>
      <c r="G2" s="145"/>
    </row>
    <row r="3" spans="1:7" ht="14.5" x14ac:dyDescent="0.35">
      <c r="A3" s="1"/>
      <c r="B3" s="1"/>
      <c r="C3" s="1"/>
      <c r="D3" s="1"/>
      <c r="E3" s="1"/>
      <c r="F3" s="1"/>
      <c r="G3" s="1"/>
    </row>
    <row r="4" spans="1:7" ht="14.25" customHeight="1" x14ac:dyDescent="0.35">
      <c r="A4" s="2" t="s">
        <v>2</v>
      </c>
      <c r="B4" s="146" t="s">
        <v>3</v>
      </c>
      <c r="C4" s="133"/>
      <c r="D4" s="133"/>
      <c r="E4" s="133"/>
      <c r="F4" s="133"/>
      <c r="G4" s="133"/>
    </row>
    <row r="5" spans="1:7" ht="14.25" customHeight="1" x14ac:dyDescent="0.35">
      <c r="A5" s="2" t="s">
        <v>4</v>
      </c>
      <c r="B5" s="146" t="s">
        <v>5</v>
      </c>
      <c r="C5" s="133"/>
      <c r="D5" s="133"/>
      <c r="E5" s="133"/>
      <c r="F5" s="133"/>
      <c r="G5" s="133"/>
    </row>
    <row r="6" spans="1:7" ht="14.25" customHeight="1" x14ac:dyDescent="0.35">
      <c r="A6" s="2" t="s">
        <v>6</v>
      </c>
      <c r="B6" s="146" t="s">
        <v>15</v>
      </c>
      <c r="C6" s="133"/>
      <c r="D6" s="133"/>
      <c r="E6" s="133"/>
      <c r="F6" s="133"/>
      <c r="G6" s="133"/>
    </row>
    <row r="7" spans="1:7" ht="14.25" customHeight="1" x14ac:dyDescent="0.35">
      <c r="A7" s="2" t="s">
        <v>7</v>
      </c>
      <c r="B7" s="146" t="s">
        <v>15</v>
      </c>
      <c r="C7" s="133"/>
      <c r="D7" s="133"/>
      <c r="E7" s="133"/>
      <c r="F7" s="133"/>
      <c r="G7" s="133"/>
    </row>
    <row r="8" spans="1:7" ht="14.25" customHeight="1" x14ac:dyDescent="0.35">
      <c r="A8" s="2" t="s">
        <v>8</v>
      </c>
      <c r="B8" s="146" t="s">
        <v>15</v>
      </c>
      <c r="C8" s="133"/>
      <c r="D8" s="133"/>
      <c r="E8" s="133"/>
      <c r="F8" s="133"/>
      <c r="G8" s="133"/>
    </row>
    <row r="9" spans="1:7" ht="14.25" customHeight="1" x14ac:dyDescent="0.35">
      <c r="A9" s="2" t="s">
        <v>9</v>
      </c>
      <c r="B9" s="271" t="s">
        <v>15</v>
      </c>
      <c r="C9" s="133"/>
      <c r="D9" s="133"/>
      <c r="E9" s="133"/>
      <c r="F9" s="133"/>
      <c r="G9" s="133"/>
    </row>
    <row r="10" spans="1:7" ht="14.25" customHeight="1" x14ac:dyDescent="0.35">
      <c r="A10" s="2" t="s">
        <v>10</v>
      </c>
      <c r="B10" s="146" t="s">
        <v>15</v>
      </c>
      <c r="C10" s="133"/>
      <c r="D10" s="133"/>
      <c r="E10" s="133"/>
      <c r="F10" s="133"/>
      <c r="G10" s="133"/>
    </row>
    <row r="11" spans="1:7" ht="14.25" customHeight="1" x14ac:dyDescent="0.35">
      <c r="A11" s="2" t="s">
        <v>11</v>
      </c>
      <c r="B11" s="146" t="s">
        <v>15</v>
      </c>
      <c r="C11" s="133"/>
      <c r="D11" s="133"/>
      <c r="E11" s="133"/>
      <c r="F11" s="133"/>
      <c r="G11" s="133"/>
    </row>
    <row r="12" spans="1:7" ht="14.25" customHeight="1" x14ac:dyDescent="0.35">
      <c r="A12" s="2" t="s">
        <v>12</v>
      </c>
      <c r="B12" s="146" t="s">
        <v>13</v>
      </c>
      <c r="C12" s="133"/>
      <c r="D12" s="133"/>
      <c r="E12" s="133"/>
      <c r="F12" s="133"/>
      <c r="G12" s="133"/>
    </row>
    <row r="13" spans="1:7" ht="14.25" customHeight="1" x14ac:dyDescent="0.35">
      <c r="A13" s="2" t="s">
        <v>14</v>
      </c>
      <c r="B13" s="2" t="s">
        <v>15</v>
      </c>
    </row>
    <row r="14" spans="1:7" ht="14.25" customHeight="1" x14ac:dyDescent="0.35">
      <c r="A14" t="s">
        <v>46</v>
      </c>
      <c r="B14" s="2" t="s">
        <v>16</v>
      </c>
    </row>
    <row r="15" spans="1:7" ht="14.25" customHeight="1" x14ac:dyDescent="0.35">
      <c r="A15" t="s">
        <v>48</v>
      </c>
      <c r="B15" t="s">
        <v>15</v>
      </c>
    </row>
    <row r="16" spans="1:7" ht="14.25" customHeight="1" x14ac:dyDescent="0.35">
      <c r="A16" t="s">
        <v>49</v>
      </c>
      <c r="B16" t="s">
        <v>15</v>
      </c>
    </row>
    <row r="17" spans="1:26" ht="14.5" x14ac:dyDescent="0.35">
      <c r="C17" s="4"/>
      <c r="D17" s="4"/>
      <c r="E17" s="4"/>
      <c r="F17" s="4"/>
      <c r="G17" s="4"/>
    </row>
    <row r="18" spans="1:26" ht="14.5" x14ac:dyDescent="0.35">
      <c r="A18" s="155" t="s">
        <v>17</v>
      </c>
      <c r="B18" s="139"/>
      <c r="C18" s="139"/>
      <c r="D18" s="139"/>
      <c r="E18" s="139"/>
      <c r="F18" s="139"/>
      <c r="G18" s="142"/>
    </row>
    <row r="19" spans="1:26" ht="14.25" customHeight="1" x14ac:dyDescent="0.35">
      <c r="A19" s="5" t="s">
        <v>18</v>
      </c>
      <c r="B19" s="156" t="s">
        <v>19</v>
      </c>
      <c r="C19" s="157"/>
      <c r="D19" s="157"/>
      <c r="E19" s="158"/>
      <c r="F19" s="156" t="s">
        <v>20</v>
      </c>
      <c r="G19" s="159"/>
    </row>
    <row r="20" spans="1:26" ht="14.5" x14ac:dyDescent="0.35">
      <c r="A20" s="6" t="s">
        <v>21</v>
      </c>
      <c r="B20" s="269"/>
      <c r="C20" s="157"/>
      <c r="D20" s="157"/>
      <c r="E20" s="158"/>
      <c r="F20" s="269"/>
      <c r="G20" s="159"/>
    </row>
    <row r="21" spans="1:26" ht="14.25" customHeight="1" x14ac:dyDescent="0.35">
      <c r="A21" s="6" t="s">
        <v>22</v>
      </c>
      <c r="B21" s="269"/>
      <c r="C21" s="157"/>
      <c r="D21" s="157"/>
      <c r="E21" s="158"/>
      <c r="F21" s="240"/>
      <c r="G21" s="159"/>
    </row>
    <row r="22" spans="1:26" ht="15.75" customHeight="1" x14ac:dyDescent="0.35">
      <c r="A22" s="6" t="s">
        <v>23</v>
      </c>
      <c r="B22" s="269"/>
      <c r="C22" s="157"/>
      <c r="D22" s="157"/>
      <c r="E22" s="158"/>
      <c r="F22" s="270"/>
      <c r="G22" s="159"/>
    </row>
    <row r="23" spans="1:26" ht="15.75" customHeight="1" x14ac:dyDescent="0.35">
      <c r="A23" s="7" t="s">
        <v>24</v>
      </c>
      <c r="B23" s="257"/>
      <c r="C23" s="258"/>
      <c r="D23" s="258"/>
      <c r="E23" s="259"/>
      <c r="F23" s="260"/>
      <c r="G23" s="261"/>
    </row>
    <row r="24" spans="1:26" ht="6" customHeight="1" x14ac:dyDescent="0.35">
      <c r="B24" s="4"/>
      <c r="C24" s="4"/>
      <c r="D24" s="4"/>
      <c r="E24" s="4"/>
      <c r="F24" s="4"/>
      <c r="G24" s="4"/>
    </row>
    <row r="25" spans="1:26" ht="14.25" customHeight="1" x14ac:dyDescent="0.35">
      <c r="A25" s="173" t="s">
        <v>25</v>
      </c>
      <c r="B25" s="175" t="s">
        <v>26</v>
      </c>
      <c r="C25" s="176"/>
      <c r="D25" s="179" t="s">
        <v>27</v>
      </c>
      <c r="E25" s="139"/>
      <c r="F25" s="140"/>
      <c r="G25" s="8" t="s">
        <v>28</v>
      </c>
    </row>
    <row r="26" spans="1:26" ht="15.75" customHeight="1" x14ac:dyDescent="0.35">
      <c r="A26" s="264"/>
      <c r="B26" s="265"/>
      <c r="C26" s="266"/>
      <c r="D26" s="9" t="s">
        <v>29</v>
      </c>
      <c r="E26" s="9" t="s">
        <v>30</v>
      </c>
      <c r="F26" s="9" t="s">
        <v>31</v>
      </c>
      <c r="G26" s="10" t="s">
        <v>32</v>
      </c>
    </row>
    <row r="27" spans="1:26" ht="15.75" customHeight="1" x14ac:dyDescent="0.35">
      <c r="A27" s="11"/>
      <c r="B27" s="267"/>
      <c r="C27" s="157"/>
      <c r="D27" s="157"/>
      <c r="E27" s="157"/>
      <c r="F27" s="158"/>
      <c r="G27" s="10"/>
    </row>
    <row r="28" spans="1:26" ht="30" customHeight="1" x14ac:dyDescent="0.35">
      <c r="A28" s="11"/>
      <c r="B28" s="268"/>
      <c r="C28" s="158"/>
      <c r="D28" s="12"/>
      <c r="E28" s="12"/>
      <c r="F28" s="12"/>
      <c r="G28" s="13"/>
    </row>
    <row r="29" spans="1:26" ht="33" customHeight="1" x14ac:dyDescent="0.35">
      <c r="A29" s="11"/>
      <c r="B29" s="262"/>
      <c r="C29" s="158"/>
      <c r="D29" s="14"/>
      <c r="E29" s="12"/>
      <c r="F29" s="12"/>
      <c r="G29" s="1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27.75" customHeight="1" x14ac:dyDescent="0.35">
      <c r="A30" s="15"/>
      <c r="B30" s="192"/>
      <c r="C30" s="158"/>
      <c r="D30" s="16"/>
      <c r="E30" s="17"/>
      <c r="F30" s="17"/>
      <c r="G30" s="18"/>
    </row>
    <row r="31" spans="1:26" ht="15.75" customHeight="1" x14ac:dyDescent="0.35">
      <c r="A31" s="263" t="s">
        <v>33</v>
      </c>
      <c r="B31" s="258"/>
      <c r="C31" s="258"/>
      <c r="D31" s="258"/>
      <c r="E31" s="258"/>
      <c r="F31" s="259"/>
      <c r="G31" s="19">
        <f>G28</f>
        <v>0</v>
      </c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5.75" customHeight="1" x14ac:dyDescent="0.35">
      <c r="A32" s="15"/>
      <c r="B32" s="192"/>
      <c r="C32" s="158"/>
      <c r="D32" s="21"/>
      <c r="E32" s="17"/>
      <c r="F32" s="17"/>
      <c r="G32" s="18">
        <f>D32*F32</f>
        <v>0</v>
      </c>
    </row>
    <row r="33" spans="1:7" ht="15.75" customHeight="1" x14ac:dyDescent="0.35">
      <c r="A33" s="6" t="s">
        <v>34</v>
      </c>
      <c r="B33" s="22"/>
      <c r="C33" s="180" t="s">
        <v>50</v>
      </c>
      <c r="D33" s="133"/>
      <c r="E33" s="133"/>
      <c r="F33" s="133"/>
      <c r="G33" s="181"/>
    </row>
    <row r="34" spans="1:7" ht="15.75" customHeight="1" x14ac:dyDescent="0.35">
      <c r="A34" s="6" t="s">
        <v>35</v>
      </c>
      <c r="B34" s="22"/>
      <c r="C34" s="180" t="s">
        <v>51</v>
      </c>
      <c r="D34" s="133"/>
      <c r="E34" s="133"/>
      <c r="F34" s="133"/>
      <c r="G34" s="181"/>
    </row>
    <row r="35" spans="1:7" ht="15.75" customHeight="1" x14ac:dyDescent="0.35">
      <c r="A35" s="6" t="s">
        <v>36</v>
      </c>
      <c r="B35" s="22"/>
      <c r="C35" s="23"/>
      <c r="G35" s="24"/>
    </row>
    <row r="36" spans="1:7" ht="15.75" customHeight="1" x14ac:dyDescent="0.35">
      <c r="A36" s="6" t="s">
        <v>37</v>
      </c>
      <c r="B36" s="22"/>
      <c r="C36" s="23"/>
      <c r="G36" s="24"/>
    </row>
    <row r="37" spans="1:7" ht="15.75" customHeight="1" x14ac:dyDescent="0.35">
      <c r="A37" s="6" t="s">
        <v>38</v>
      </c>
      <c r="B37" s="22"/>
      <c r="C37" s="23"/>
      <c r="G37" s="24"/>
    </row>
    <row r="38" spans="1:7" ht="15.75" customHeight="1" x14ac:dyDescent="0.35">
      <c r="A38" s="6" t="s">
        <v>39</v>
      </c>
      <c r="B38" s="22"/>
      <c r="C38" s="23"/>
      <c r="G38" s="24"/>
    </row>
    <row r="39" spans="1:7" ht="15.75" customHeight="1" x14ac:dyDescent="0.35">
      <c r="A39" s="6" t="s">
        <v>40</v>
      </c>
      <c r="B39" s="22"/>
      <c r="C39" s="182"/>
      <c r="D39" s="133"/>
      <c r="E39" s="133"/>
      <c r="F39" s="133"/>
      <c r="G39" s="181"/>
    </row>
    <row r="40" spans="1:7" ht="15.75" customHeight="1" x14ac:dyDescent="0.35">
      <c r="A40" s="6" t="s">
        <v>41</v>
      </c>
      <c r="B40" s="22"/>
      <c r="C40" s="180"/>
      <c r="D40" s="133"/>
      <c r="E40" s="133"/>
      <c r="F40" s="133"/>
      <c r="G40" s="181"/>
    </row>
    <row r="41" spans="1:7" ht="15.75" customHeight="1" x14ac:dyDescent="0.35">
      <c r="A41" s="6" t="s">
        <v>42</v>
      </c>
      <c r="B41" s="22"/>
      <c r="C41" s="23"/>
      <c r="G41" s="24"/>
    </row>
    <row r="42" spans="1:7" ht="15.75" customHeight="1" x14ac:dyDescent="0.35">
      <c r="A42" s="6" t="s">
        <v>43</v>
      </c>
      <c r="B42" s="22"/>
      <c r="C42" s="23"/>
      <c r="G42" s="24"/>
    </row>
    <row r="43" spans="1:7" ht="15.75" customHeight="1" x14ac:dyDescent="0.35">
      <c r="A43" s="6" t="s">
        <v>44</v>
      </c>
      <c r="B43" s="22"/>
      <c r="C43" s="23"/>
      <c r="G43" s="24"/>
    </row>
    <row r="44" spans="1:7" ht="15.75" customHeight="1" x14ac:dyDescent="0.35">
      <c r="A44" s="6" t="s">
        <v>45</v>
      </c>
      <c r="B44" s="22"/>
      <c r="C44" s="23"/>
      <c r="G44" s="24"/>
    </row>
    <row r="45" spans="1:7" ht="15.75" customHeight="1" x14ac:dyDescent="0.35">
      <c r="A45" s="25" t="s">
        <v>28</v>
      </c>
      <c r="B45" s="26">
        <f>SUM(B33:B44)</f>
        <v>0</v>
      </c>
      <c r="C45" s="27"/>
      <c r="D45" s="28"/>
      <c r="E45" s="28"/>
      <c r="F45" s="28"/>
      <c r="G45" s="29"/>
    </row>
    <row r="46" spans="1:7" ht="15.75" customHeight="1" x14ac:dyDescent="0.35">
      <c r="G46" s="30"/>
    </row>
    <row r="47" spans="1:7" ht="15.75" customHeight="1" x14ac:dyDescent="0.35">
      <c r="G47" s="30"/>
    </row>
    <row r="48" spans="1:7" ht="15.75" customHeight="1" x14ac:dyDescent="0.35">
      <c r="G48" s="30"/>
    </row>
    <row r="49" spans="7:7" ht="15.75" customHeight="1" x14ac:dyDescent="0.35">
      <c r="G49" s="30"/>
    </row>
    <row r="50" spans="7:7" ht="15.75" customHeight="1" x14ac:dyDescent="0.35">
      <c r="G50" s="30"/>
    </row>
    <row r="51" spans="7:7" ht="15.75" customHeight="1" x14ac:dyDescent="0.35">
      <c r="G51" s="30"/>
    </row>
    <row r="52" spans="7:7" ht="15.75" customHeight="1" x14ac:dyDescent="0.35">
      <c r="G52" s="30"/>
    </row>
    <row r="53" spans="7:7" ht="15.75" customHeight="1" x14ac:dyDescent="0.35">
      <c r="G53" s="30"/>
    </row>
    <row r="54" spans="7:7" ht="15.75" customHeight="1" x14ac:dyDescent="0.35">
      <c r="G54" s="30"/>
    </row>
    <row r="55" spans="7:7" ht="15.75" customHeight="1" x14ac:dyDescent="0.35">
      <c r="G55" s="30"/>
    </row>
    <row r="56" spans="7:7" ht="15.75" customHeight="1" x14ac:dyDescent="0.35">
      <c r="G56" s="30"/>
    </row>
    <row r="57" spans="7:7" ht="15.75" customHeight="1" x14ac:dyDescent="0.35">
      <c r="G57" s="30"/>
    </row>
    <row r="58" spans="7:7" ht="15.75" customHeight="1" x14ac:dyDescent="0.35">
      <c r="G58" s="30"/>
    </row>
    <row r="59" spans="7:7" ht="15.75" customHeight="1" x14ac:dyDescent="0.35">
      <c r="G59" s="30"/>
    </row>
    <row r="60" spans="7:7" ht="15.75" customHeight="1" x14ac:dyDescent="0.35">
      <c r="G60" s="30"/>
    </row>
    <row r="61" spans="7:7" ht="15.75" customHeight="1" x14ac:dyDescent="0.35">
      <c r="G61" s="30"/>
    </row>
    <row r="62" spans="7:7" ht="15.75" customHeight="1" x14ac:dyDescent="0.35">
      <c r="G62" s="30"/>
    </row>
    <row r="63" spans="7:7" ht="15.75" customHeight="1" x14ac:dyDescent="0.35">
      <c r="G63" s="30"/>
    </row>
    <row r="64" spans="7:7" ht="15.75" customHeight="1" x14ac:dyDescent="0.35">
      <c r="G64" s="30"/>
    </row>
    <row r="65" spans="7:7" ht="15.75" customHeight="1" x14ac:dyDescent="0.35">
      <c r="G65" s="30"/>
    </row>
    <row r="66" spans="7:7" ht="15.75" customHeight="1" x14ac:dyDescent="0.35">
      <c r="G66" s="30"/>
    </row>
    <row r="67" spans="7:7" ht="15.75" customHeight="1" x14ac:dyDescent="0.35">
      <c r="G67" s="30"/>
    </row>
    <row r="68" spans="7:7" ht="15.75" customHeight="1" x14ac:dyDescent="0.35">
      <c r="G68" s="30"/>
    </row>
    <row r="69" spans="7:7" ht="15.75" customHeight="1" x14ac:dyDescent="0.35">
      <c r="G69" s="30"/>
    </row>
    <row r="70" spans="7:7" ht="15.75" customHeight="1" x14ac:dyDescent="0.35">
      <c r="G70" s="30"/>
    </row>
    <row r="71" spans="7:7" ht="15.75" customHeight="1" x14ac:dyDescent="0.35">
      <c r="G71" s="30"/>
    </row>
    <row r="72" spans="7:7" ht="15.75" customHeight="1" x14ac:dyDescent="0.35">
      <c r="G72" s="30"/>
    </row>
    <row r="73" spans="7:7" ht="15.75" customHeight="1" x14ac:dyDescent="0.35">
      <c r="G73" s="30"/>
    </row>
    <row r="74" spans="7:7" ht="15.75" customHeight="1" x14ac:dyDescent="0.35">
      <c r="G74" s="30"/>
    </row>
    <row r="75" spans="7:7" ht="15.75" customHeight="1" x14ac:dyDescent="0.35">
      <c r="G75" s="30"/>
    </row>
    <row r="76" spans="7:7" ht="15.75" customHeight="1" x14ac:dyDescent="0.35">
      <c r="G76" s="30"/>
    </row>
    <row r="77" spans="7:7" ht="15.75" customHeight="1" x14ac:dyDescent="0.35">
      <c r="G77" s="30"/>
    </row>
    <row r="78" spans="7:7" ht="15.75" customHeight="1" x14ac:dyDescent="0.35">
      <c r="G78" s="30"/>
    </row>
    <row r="79" spans="7:7" ht="15.75" customHeight="1" x14ac:dyDescent="0.35">
      <c r="G79" s="30"/>
    </row>
    <row r="80" spans="7:7" ht="15.75" customHeight="1" x14ac:dyDescent="0.35">
      <c r="G80" s="30"/>
    </row>
    <row r="81" spans="7:7" ht="15.75" customHeight="1" x14ac:dyDescent="0.35">
      <c r="G81" s="30"/>
    </row>
    <row r="82" spans="7:7" ht="15.75" customHeight="1" x14ac:dyDescent="0.35">
      <c r="G82" s="30"/>
    </row>
    <row r="83" spans="7:7" ht="15.75" customHeight="1" x14ac:dyDescent="0.35">
      <c r="G83" s="30"/>
    </row>
    <row r="84" spans="7:7" ht="15.75" customHeight="1" x14ac:dyDescent="0.35">
      <c r="G84" s="30"/>
    </row>
    <row r="85" spans="7:7" ht="15.75" customHeight="1" x14ac:dyDescent="0.35">
      <c r="G85" s="30"/>
    </row>
    <row r="86" spans="7:7" ht="15.75" customHeight="1" x14ac:dyDescent="0.35">
      <c r="G86" s="30"/>
    </row>
    <row r="87" spans="7:7" ht="15.75" customHeight="1" x14ac:dyDescent="0.35">
      <c r="G87" s="30"/>
    </row>
    <row r="88" spans="7:7" ht="15.75" customHeight="1" x14ac:dyDescent="0.35">
      <c r="G88" s="30"/>
    </row>
    <row r="89" spans="7:7" ht="15.75" customHeight="1" x14ac:dyDescent="0.35">
      <c r="G89" s="30"/>
    </row>
    <row r="90" spans="7:7" ht="15.75" customHeight="1" x14ac:dyDescent="0.35">
      <c r="G90" s="30"/>
    </row>
    <row r="91" spans="7:7" ht="15.75" customHeight="1" x14ac:dyDescent="0.35">
      <c r="G91" s="30"/>
    </row>
    <row r="92" spans="7:7" ht="15.75" customHeight="1" x14ac:dyDescent="0.35">
      <c r="G92" s="30"/>
    </row>
    <row r="93" spans="7:7" ht="15.75" customHeight="1" x14ac:dyDescent="0.35">
      <c r="G93" s="30"/>
    </row>
    <row r="94" spans="7:7" ht="15.75" customHeight="1" x14ac:dyDescent="0.35">
      <c r="G94" s="30"/>
    </row>
    <row r="95" spans="7:7" ht="15.75" customHeight="1" x14ac:dyDescent="0.35">
      <c r="G95" s="30"/>
    </row>
    <row r="96" spans="7:7" ht="15.75" customHeight="1" x14ac:dyDescent="0.35">
      <c r="G96" s="30"/>
    </row>
    <row r="97" spans="7:7" ht="15.75" customHeight="1" x14ac:dyDescent="0.35">
      <c r="G97" s="30"/>
    </row>
    <row r="98" spans="7:7" ht="15.75" customHeight="1" x14ac:dyDescent="0.35">
      <c r="G98" s="30"/>
    </row>
    <row r="99" spans="7:7" ht="15.75" customHeight="1" x14ac:dyDescent="0.35">
      <c r="G99" s="30"/>
    </row>
    <row r="100" spans="7:7" ht="15.75" customHeight="1" x14ac:dyDescent="0.35">
      <c r="G100" s="30"/>
    </row>
    <row r="101" spans="7:7" ht="15.75" customHeight="1" x14ac:dyDescent="0.35">
      <c r="G101" s="30"/>
    </row>
    <row r="102" spans="7:7" ht="15.75" customHeight="1" x14ac:dyDescent="0.35">
      <c r="G102" s="30"/>
    </row>
    <row r="103" spans="7:7" ht="15.75" customHeight="1" x14ac:dyDescent="0.35">
      <c r="G103" s="30"/>
    </row>
    <row r="104" spans="7:7" ht="15.75" customHeight="1" x14ac:dyDescent="0.35">
      <c r="G104" s="30"/>
    </row>
    <row r="105" spans="7:7" ht="15.75" customHeight="1" x14ac:dyDescent="0.35">
      <c r="G105" s="30"/>
    </row>
    <row r="106" spans="7:7" ht="15.75" customHeight="1" x14ac:dyDescent="0.35">
      <c r="G106" s="30"/>
    </row>
    <row r="107" spans="7:7" ht="15.75" customHeight="1" x14ac:dyDescent="0.35">
      <c r="G107" s="30"/>
    </row>
    <row r="108" spans="7:7" ht="15.75" customHeight="1" x14ac:dyDescent="0.35">
      <c r="G108" s="30"/>
    </row>
    <row r="109" spans="7:7" ht="15.75" customHeight="1" x14ac:dyDescent="0.35">
      <c r="G109" s="30"/>
    </row>
    <row r="110" spans="7:7" ht="15.75" customHeight="1" x14ac:dyDescent="0.35">
      <c r="G110" s="30"/>
    </row>
    <row r="111" spans="7:7" ht="15.75" customHeight="1" x14ac:dyDescent="0.35">
      <c r="G111" s="30"/>
    </row>
    <row r="112" spans="7:7" ht="15.75" customHeight="1" x14ac:dyDescent="0.35">
      <c r="G112" s="30"/>
    </row>
    <row r="113" spans="7:7" ht="15.75" customHeight="1" x14ac:dyDescent="0.35">
      <c r="G113" s="30"/>
    </row>
    <row r="114" spans="7:7" ht="15.75" customHeight="1" x14ac:dyDescent="0.35">
      <c r="G114" s="30"/>
    </row>
    <row r="115" spans="7:7" ht="15.75" customHeight="1" x14ac:dyDescent="0.35">
      <c r="G115" s="30"/>
    </row>
    <row r="116" spans="7:7" ht="15.75" customHeight="1" x14ac:dyDescent="0.35">
      <c r="G116" s="30"/>
    </row>
    <row r="117" spans="7:7" ht="15.75" customHeight="1" x14ac:dyDescent="0.35">
      <c r="G117" s="30"/>
    </row>
    <row r="118" spans="7:7" ht="15.75" customHeight="1" x14ac:dyDescent="0.35">
      <c r="G118" s="30"/>
    </row>
    <row r="119" spans="7:7" ht="15.75" customHeight="1" x14ac:dyDescent="0.35">
      <c r="G119" s="30"/>
    </row>
    <row r="120" spans="7:7" ht="15.75" customHeight="1" x14ac:dyDescent="0.35">
      <c r="G120" s="30"/>
    </row>
    <row r="121" spans="7:7" ht="15.75" customHeight="1" x14ac:dyDescent="0.35">
      <c r="G121" s="30"/>
    </row>
    <row r="122" spans="7:7" ht="15.75" customHeight="1" x14ac:dyDescent="0.35">
      <c r="G122" s="30"/>
    </row>
    <row r="123" spans="7:7" ht="15.75" customHeight="1" x14ac:dyDescent="0.35">
      <c r="G123" s="30"/>
    </row>
    <row r="124" spans="7:7" ht="15.75" customHeight="1" x14ac:dyDescent="0.35">
      <c r="G124" s="30"/>
    </row>
    <row r="125" spans="7:7" ht="15.75" customHeight="1" x14ac:dyDescent="0.35">
      <c r="G125" s="30"/>
    </row>
    <row r="126" spans="7:7" ht="15.75" customHeight="1" x14ac:dyDescent="0.35">
      <c r="G126" s="30"/>
    </row>
    <row r="127" spans="7:7" ht="15.75" customHeight="1" x14ac:dyDescent="0.35">
      <c r="G127" s="30"/>
    </row>
    <row r="128" spans="7:7" ht="15.75" customHeight="1" x14ac:dyDescent="0.35">
      <c r="G128" s="30"/>
    </row>
    <row r="129" spans="7:7" ht="15.75" customHeight="1" x14ac:dyDescent="0.35">
      <c r="G129" s="30"/>
    </row>
    <row r="130" spans="7:7" ht="15.75" customHeight="1" x14ac:dyDescent="0.35">
      <c r="G130" s="30"/>
    </row>
    <row r="131" spans="7:7" ht="15.75" customHeight="1" x14ac:dyDescent="0.35">
      <c r="G131" s="30"/>
    </row>
    <row r="132" spans="7:7" ht="15.75" customHeight="1" x14ac:dyDescent="0.35">
      <c r="G132" s="30"/>
    </row>
    <row r="133" spans="7:7" ht="15.75" customHeight="1" x14ac:dyDescent="0.35">
      <c r="G133" s="30"/>
    </row>
    <row r="134" spans="7:7" ht="15.75" customHeight="1" x14ac:dyDescent="0.35">
      <c r="G134" s="30"/>
    </row>
    <row r="135" spans="7:7" ht="15.75" customHeight="1" x14ac:dyDescent="0.35">
      <c r="G135" s="30"/>
    </row>
    <row r="136" spans="7:7" ht="15.75" customHeight="1" x14ac:dyDescent="0.35">
      <c r="G136" s="30"/>
    </row>
    <row r="137" spans="7:7" ht="15.75" customHeight="1" x14ac:dyDescent="0.35">
      <c r="G137" s="30"/>
    </row>
    <row r="138" spans="7:7" ht="15.75" customHeight="1" x14ac:dyDescent="0.35">
      <c r="G138" s="30"/>
    </row>
    <row r="139" spans="7:7" ht="15.75" customHeight="1" x14ac:dyDescent="0.35">
      <c r="G139" s="30"/>
    </row>
    <row r="140" spans="7:7" ht="15.75" customHeight="1" x14ac:dyDescent="0.35">
      <c r="G140" s="30"/>
    </row>
    <row r="141" spans="7:7" ht="15.75" customHeight="1" x14ac:dyDescent="0.35">
      <c r="G141" s="30"/>
    </row>
    <row r="142" spans="7:7" ht="15.75" customHeight="1" x14ac:dyDescent="0.35">
      <c r="G142" s="30"/>
    </row>
    <row r="143" spans="7:7" ht="15.75" customHeight="1" x14ac:dyDescent="0.35">
      <c r="G143" s="30"/>
    </row>
    <row r="144" spans="7:7" ht="15.75" customHeight="1" x14ac:dyDescent="0.35">
      <c r="G144" s="30"/>
    </row>
    <row r="145" spans="7:7" ht="15.75" customHeight="1" x14ac:dyDescent="0.35">
      <c r="G145" s="30"/>
    </row>
    <row r="146" spans="7:7" ht="15.75" customHeight="1" x14ac:dyDescent="0.35">
      <c r="G146" s="30"/>
    </row>
    <row r="147" spans="7:7" ht="15.75" customHeight="1" x14ac:dyDescent="0.35">
      <c r="G147" s="30"/>
    </row>
    <row r="148" spans="7:7" ht="15.75" customHeight="1" x14ac:dyDescent="0.35">
      <c r="G148" s="30"/>
    </row>
    <row r="149" spans="7:7" ht="15.75" customHeight="1" x14ac:dyDescent="0.35">
      <c r="G149" s="30"/>
    </row>
    <row r="150" spans="7:7" ht="15.75" customHeight="1" x14ac:dyDescent="0.35">
      <c r="G150" s="30"/>
    </row>
    <row r="151" spans="7:7" ht="15.75" customHeight="1" x14ac:dyDescent="0.35">
      <c r="G151" s="30"/>
    </row>
    <row r="152" spans="7:7" ht="15.75" customHeight="1" x14ac:dyDescent="0.35">
      <c r="G152" s="30"/>
    </row>
    <row r="153" spans="7:7" ht="15.75" customHeight="1" x14ac:dyDescent="0.35">
      <c r="G153" s="30"/>
    </row>
    <row r="154" spans="7:7" ht="15.75" customHeight="1" x14ac:dyDescent="0.35">
      <c r="G154" s="30"/>
    </row>
    <row r="155" spans="7:7" ht="15.75" customHeight="1" x14ac:dyDescent="0.35">
      <c r="G155" s="30"/>
    </row>
    <row r="156" spans="7:7" ht="15.75" customHeight="1" x14ac:dyDescent="0.35">
      <c r="G156" s="30"/>
    </row>
    <row r="157" spans="7:7" ht="15.75" customHeight="1" x14ac:dyDescent="0.35">
      <c r="G157" s="30"/>
    </row>
    <row r="158" spans="7:7" ht="15.75" customHeight="1" x14ac:dyDescent="0.35">
      <c r="G158" s="30"/>
    </row>
    <row r="159" spans="7:7" ht="15.75" customHeight="1" x14ac:dyDescent="0.35">
      <c r="G159" s="30"/>
    </row>
    <row r="160" spans="7:7" ht="15.75" customHeight="1" x14ac:dyDescent="0.35">
      <c r="G160" s="30"/>
    </row>
    <row r="161" spans="7:7" ht="15.75" customHeight="1" x14ac:dyDescent="0.35">
      <c r="G161" s="30"/>
    </row>
    <row r="162" spans="7:7" ht="15.75" customHeight="1" x14ac:dyDescent="0.35">
      <c r="G162" s="30"/>
    </row>
    <row r="163" spans="7:7" ht="15.75" customHeight="1" x14ac:dyDescent="0.35">
      <c r="G163" s="30"/>
    </row>
    <row r="164" spans="7:7" ht="15.75" customHeight="1" x14ac:dyDescent="0.35">
      <c r="G164" s="30"/>
    </row>
    <row r="165" spans="7:7" ht="15.75" customHeight="1" x14ac:dyDescent="0.35">
      <c r="G165" s="30"/>
    </row>
    <row r="166" spans="7:7" ht="15.75" customHeight="1" x14ac:dyDescent="0.35">
      <c r="G166" s="30"/>
    </row>
    <row r="167" spans="7:7" ht="15.75" customHeight="1" x14ac:dyDescent="0.35">
      <c r="G167" s="30"/>
    </row>
    <row r="168" spans="7:7" ht="15.75" customHeight="1" x14ac:dyDescent="0.35">
      <c r="G168" s="30"/>
    </row>
    <row r="169" spans="7:7" ht="15.75" customHeight="1" x14ac:dyDescent="0.35">
      <c r="G169" s="30"/>
    </row>
    <row r="170" spans="7:7" ht="15.75" customHeight="1" x14ac:dyDescent="0.35">
      <c r="G170" s="30"/>
    </row>
    <row r="171" spans="7:7" ht="15.75" customHeight="1" x14ac:dyDescent="0.35">
      <c r="G171" s="30"/>
    </row>
    <row r="172" spans="7:7" ht="15.75" customHeight="1" x14ac:dyDescent="0.35">
      <c r="G172" s="30"/>
    </row>
    <row r="173" spans="7:7" ht="15.75" customHeight="1" x14ac:dyDescent="0.35">
      <c r="G173" s="30"/>
    </row>
    <row r="174" spans="7:7" ht="15.75" customHeight="1" x14ac:dyDescent="0.35">
      <c r="G174" s="30"/>
    </row>
    <row r="175" spans="7:7" ht="15.75" customHeight="1" x14ac:dyDescent="0.35">
      <c r="G175" s="30"/>
    </row>
    <row r="176" spans="7:7" ht="15.75" customHeight="1" x14ac:dyDescent="0.35">
      <c r="G176" s="30"/>
    </row>
    <row r="177" spans="7:7" ht="15.75" customHeight="1" x14ac:dyDescent="0.35">
      <c r="G177" s="30"/>
    </row>
    <row r="178" spans="7:7" ht="15.75" customHeight="1" x14ac:dyDescent="0.35">
      <c r="G178" s="30"/>
    </row>
    <row r="179" spans="7:7" ht="15.75" customHeight="1" x14ac:dyDescent="0.35">
      <c r="G179" s="30"/>
    </row>
    <row r="180" spans="7:7" ht="15.75" customHeight="1" x14ac:dyDescent="0.35">
      <c r="G180" s="30"/>
    </row>
    <row r="181" spans="7:7" ht="15.75" customHeight="1" x14ac:dyDescent="0.35">
      <c r="G181" s="30"/>
    </row>
    <row r="182" spans="7:7" ht="15.75" customHeight="1" x14ac:dyDescent="0.35">
      <c r="G182" s="30"/>
    </row>
    <row r="183" spans="7:7" ht="15.75" customHeight="1" x14ac:dyDescent="0.35">
      <c r="G183" s="30"/>
    </row>
    <row r="184" spans="7:7" ht="15.75" customHeight="1" x14ac:dyDescent="0.35">
      <c r="G184" s="30"/>
    </row>
    <row r="185" spans="7:7" ht="15.75" customHeight="1" x14ac:dyDescent="0.35">
      <c r="G185" s="30"/>
    </row>
    <row r="186" spans="7:7" ht="15.75" customHeight="1" x14ac:dyDescent="0.35">
      <c r="G186" s="30"/>
    </row>
    <row r="187" spans="7:7" ht="15.75" customHeight="1" x14ac:dyDescent="0.35">
      <c r="G187" s="30"/>
    </row>
    <row r="188" spans="7:7" ht="15.75" customHeight="1" x14ac:dyDescent="0.35">
      <c r="G188" s="30"/>
    </row>
    <row r="189" spans="7:7" ht="15.75" customHeight="1" x14ac:dyDescent="0.35">
      <c r="G189" s="30"/>
    </row>
    <row r="190" spans="7:7" ht="15.75" customHeight="1" x14ac:dyDescent="0.35">
      <c r="G190" s="30"/>
    </row>
    <row r="191" spans="7:7" ht="15.75" customHeight="1" x14ac:dyDescent="0.35">
      <c r="G191" s="30"/>
    </row>
    <row r="192" spans="7:7" ht="15.75" customHeight="1" x14ac:dyDescent="0.35">
      <c r="G192" s="30"/>
    </row>
    <row r="193" spans="7:7" ht="15.75" customHeight="1" x14ac:dyDescent="0.35">
      <c r="G193" s="30"/>
    </row>
    <row r="194" spans="7:7" ht="15.75" customHeight="1" x14ac:dyDescent="0.35">
      <c r="G194" s="30"/>
    </row>
    <row r="195" spans="7:7" ht="15.75" customHeight="1" x14ac:dyDescent="0.35">
      <c r="G195" s="30"/>
    </row>
    <row r="196" spans="7:7" ht="15.75" customHeight="1" x14ac:dyDescent="0.35">
      <c r="G196" s="30"/>
    </row>
    <row r="197" spans="7:7" ht="15.75" customHeight="1" x14ac:dyDescent="0.35">
      <c r="G197" s="30"/>
    </row>
    <row r="198" spans="7:7" ht="15.75" customHeight="1" x14ac:dyDescent="0.35">
      <c r="G198" s="30"/>
    </row>
    <row r="199" spans="7:7" ht="15.75" customHeight="1" x14ac:dyDescent="0.35">
      <c r="G199" s="30"/>
    </row>
    <row r="200" spans="7:7" ht="15.75" customHeight="1" x14ac:dyDescent="0.35">
      <c r="G200" s="30"/>
    </row>
    <row r="201" spans="7:7" ht="15.75" customHeight="1" x14ac:dyDescent="0.35">
      <c r="G201" s="30"/>
    </row>
    <row r="202" spans="7:7" ht="15.75" customHeight="1" x14ac:dyDescent="0.35">
      <c r="G202" s="30"/>
    </row>
    <row r="203" spans="7:7" ht="15.75" customHeight="1" x14ac:dyDescent="0.35">
      <c r="G203" s="30"/>
    </row>
    <row r="204" spans="7:7" ht="15.75" customHeight="1" x14ac:dyDescent="0.35">
      <c r="G204" s="30"/>
    </row>
    <row r="205" spans="7:7" ht="15.75" customHeight="1" x14ac:dyDescent="0.35">
      <c r="G205" s="30"/>
    </row>
    <row r="206" spans="7:7" ht="15.75" customHeight="1" x14ac:dyDescent="0.35">
      <c r="G206" s="30"/>
    </row>
    <row r="207" spans="7:7" ht="15.75" customHeight="1" x14ac:dyDescent="0.35">
      <c r="G207" s="30"/>
    </row>
    <row r="208" spans="7:7" ht="15.75" customHeight="1" x14ac:dyDescent="0.35">
      <c r="G208" s="30"/>
    </row>
    <row r="209" spans="7:7" ht="15.75" customHeight="1" x14ac:dyDescent="0.35">
      <c r="G209" s="30"/>
    </row>
    <row r="210" spans="7:7" ht="15.75" customHeight="1" x14ac:dyDescent="0.35">
      <c r="G210" s="30"/>
    </row>
    <row r="211" spans="7:7" ht="15.75" customHeight="1" x14ac:dyDescent="0.35">
      <c r="G211" s="30"/>
    </row>
    <row r="212" spans="7:7" ht="15.75" customHeight="1" x14ac:dyDescent="0.35">
      <c r="G212" s="30"/>
    </row>
    <row r="213" spans="7:7" ht="15.75" customHeight="1" x14ac:dyDescent="0.35">
      <c r="G213" s="30"/>
    </row>
    <row r="214" spans="7:7" ht="15.75" customHeight="1" x14ac:dyDescent="0.35">
      <c r="G214" s="30"/>
    </row>
    <row r="215" spans="7:7" ht="15.75" customHeight="1" x14ac:dyDescent="0.35">
      <c r="G215" s="30"/>
    </row>
    <row r="216" spans="7:7" ht="15.75" customHeight="1" x14ac:dyDescent="0.35">
      <c r="G216" s="30"/>
    </row>
    <row r="217" spans="7:7" ht="15.75" customHeight="1" x14ac:dyDescent="0.35">
      <c r="G217" s="30"/>
    </row>
    <row r="218" spans="7:7" ht="15.75" customHeight="1" x14ac:dyDescent="0.35">
      <c r="G218" s="30"/>
    </row>
    <row r="219" spans="7:7" ht="15.75" customHeight="1" x14ac:dyDescent="0.35">
      <c r="G219" s="30"/>
    </row>
    <row r="220" spans="7:7" ht="15.75" customHeight="1" x14ac:dyDescent="0.35">
      <c r="G220" s="30"/>
    </row>
    <row r="221" spans="7:7" ht="15.75" customHeight="1" x14ac:dyDescent="0.35">
      <c r="G221" s="30"/>
    </row>
    <row r="222" spans="7:7" ht="15.75" customHeight="1" x14ac:dyDescent="0.35">
      <c r="G222" s="30"/>
    </row>
    <row r="223" spans="7:7" ht="15.75" customHeight="1" x14ac:dyDescent="0.35">
      <c r="G223" s="30"/>
    </row>
    <row r="224" spans="7:7" ht="15.75" customHeight="1" x14ac:dyDescent="0.35">
      <c r="G224" s="30"/>
    </row>
    <row r="225" spans="7:7" ht="15.75" customHeight="1" x14ac:dyDescent="0.35">
      <c r="G225" s="30"/>
    </row>
    <row r="226" spans="7:7" ht="15.75" customHeight="1" x14ac:dyDescent="0.35">
      <c r="G226" s="30"/>
    </row>
    <row r="227" spans="7:7" ht="15.75" customHeight="1" x14ac:dyDescent="0.35">
      <c r="G227" s="30"/>
    </row>
    <row r="228" spans="7:7" ht="15.75" customHeight="1" x14ac:dyDescent="0.35">
      <c r="G228" s="30"/>
    </row>
    <row r="229" spans="7:7" ht="15.75" customHeight="1" x14ac:dyDescent="0.35">
      <c r="G229" s="30"/>
    </row>
    <row r="230" spans="7:7" ht="15.75" customHeight="1" x14ac:dyDescent="0.35">
      <c r="G230" s="30"/>
    </row>
    <row r="231" spans="7:7" ht="15.75" customHeight="1" x14ac:dyDescent="0.35">
      <c r="G231" s="30"/>
    </row>
    <row r="232" spans="7:7" ht="15.75" customHeight="1" x14ac:dyDescent="0.35">
      <c r="G232" s="30"/>
    </row>
    <row r="233" spans="7:7" ht="15.75" customHeight="1" x14ac:dyDescent="0.35">
      <c r="G233" s="30"/>
    </row>
    <row r="234" spans="7:7" ht="15.75" customHeight="1" x14ac:dyDescent="0.35">
      <c r="G234" s="30"/>
    </row>
    <row r="235" spans="7:7" ht="15.75" customHeight="1" x14ac:dyDescent="0.35">
      <c r="G235" s="30"/>
    </row>
    <row r="236" spans="7:7" ht="15.75" customHeight="1" x14ac:dyDescent="0.35">
      <c r="G236" s="30"/>
    </row>
    <row r="237" spans="7:7" ht="15.75" customHeight="1" x14ac:dyDescent="0.35">
      <c r="G237" s="30"/>
    </row>
    <row r="238" spans="7:7" ht="15.75" customHeight="1" x14ac:dyDescent="0.35">
      <c r="G238" s="30"/>
    </row>
    <row r="239" spans="7:7" ht="15.75" customHeight="1" x14ac:dyDescent="0.35">
      <c r="G239" s="30"/>
    </row>
    <row r="240" spans="7:7" ht="15.75" customHeight="1" x14ac:dyDescent="0.35">
      <c r="G240" s="30"/>
    </row>
    <row r="241" spans="7:7" ht="15.75" customHeight="1" x14ac:dyDescent="0.35">
      <c r="G241" s="30"/>
    </row>
    <row r="242" spans="7:7" ht="15.75" customHeight="1" x14ac:dyDescent="0.35">
      <c r="G242" s="30"/>
    </row>
    <row r="243" spans="7:7" ht="15.75" customHeight="1" x14ac:dyDescent="0.35">
      <c r="G243" s="30"/>
    </row>
    <row r="244" spans="7:7" ht="15.75" customHeight="1" x14ac:dyDescent="0.35">
      <c r="G244" s="30"/>
    </row>
    <row r="245" spans="7:7" ht="15.75" customHeight="1" x14ac:dyDescent="0.35">
      <c r="G245" s="30"/>
    </row>
    <row r="246" spans="7:7" ht="15.75" customHeight="1" x14ac:dyDescent="0.35">
      <c r="G246" s="30"/>
    </row>
    <row r="247" spans="7:7" ht="15.75" customHeight="1" x14ac:dyDescent="0.35">
      <c r="G247" s="30"/>
    </row>
    <row r="248" spans="7:7" ht="15.75" customHeight="1" x14ac:dyDescent="0.35">
      <c r="G248" s="30"/>
    </row>
    <row r="249" spans="7:7" ht="15.75" customHeight="1" x14ac:dyDescent="0.35">
      <c r="G249" s="30"/>
    </row>
    <row r="250" spans="7:7" ht="15.75" customHeight="1" x14ac:dyDescent="0.35">
      <c r="G250" s="30"/>
    </row>
    <row r="251" spans="7:7" ht="15.75" customHeight="1" x14ac:dyDescent="0.35">
      <c r="G251" s="30"/>
    </row>
    <row r="252" spans="7:7" ht="15.75" customHeight="1" x14ac:dyDescent="0.35">
      <c r="G252" s="30"/>
    </row>
    <row r="253" spans="7:7" ht="15.75" customHeight="1" x14ac:dyDescent="0.35">
      <c r="G253" s="30"/>
    </row>
    <row r="254" spans="7:7" ht="15.75" customHeight="1" x14ac:dyDescent="0.35">
      <c r="G254" s="30"/>
    </row>
    <row r="255" spans="7:7" ht="15.75" customHeight="1" x14ac:dyDescent="0.35">
      <c r="G255" s="30"/>
    </row>
    <row r="256" spans="7:7" ht="15.75" customHeight="1" x14ac:dyDescent="0.35">
      <c r="G256" s="30"/>
    </row>
    <row r="257" spans="7:7" ht="15.75" customHeight="1" x14ac:dyDescent="0.35">
      <c r="G257" s="30"/>
    </row>
    <row r="258" spans="7:7" ht="15.75" customHeight="1" x14ac:dyDescent="0.35">
      <c r="G258" s="30"/>
    </row>
    <row r="259" spans="7:7" ht="15.75" customHeight="1" x14ac:dyDescent="0.35">
      <c r="G259" s="30"/>
    </row>
    <row r="260" spans="7:7" ht="15.75" customHeight="1" x14ac:dyDescent="0.35">
      <c r="G260" s="30"/>
    </row>
    <row r="261" spans="7:7" ht="15.75" customHeight="1" x14ac:dyDescent="0.35">
      <c r="G261" s="30"/>
    </row>
    <row r="262" spans="7:7" ht="15.75" customHeight="1" x14ac:dyDescent="0.35">
      <c r="G262" s="30"/>
    </row>
    <row r="263" spans="7:7" ht="15.75" customHeight="1" x14ac:dyDescent="0.35">
      <c r="G263" s="30"/>
    </row>
    <row r="264" spans="7:7" ht="15.75" customHeight="1" x14ac:dyDescent="0.35">
      <c r="G264" s="30"/>
    </row>
    <row r="265" spans="7:7" ht="15.75" customHeight="1" x14ac:dyDescent="0.35">
      <c r="G265" s="30"/>
    </row>
    <row r="266" spans="7:7" ht="15.75" customHeight="1" x14ac:dyDescent="0.35">
      <c r="G266" s="30"/>
    </row>
    <row r="267" spans="7:7" ht="15.75" customHeight="1" x14ac:dyDescent="0.35">
      <c r="G267" s="30"/>
    </row>
    <row r="268" spans="7:7" ht="15.75" customHeight="1" x14ac:dyDescent="0.35">
      <c r="G268" s="30"/>
    </row>
    <row r="269" spans="7:7" ht="15.75" customHeight="1" x14ac:dyDescent="0.35">
      <c r="G269" s="30"/>
    </row>
    <row r="270" spans="7:7" ht="15.75" customHeight="1" x14ac:dyDescent="0.35">
      <c r="G270" s="30"/>
    </row>
    <row r="271" spans="7:7" ht="15.75" customHeight="1" x14ac:dyDescent="0.35">
      <c r="G271" s="30"/>
    </row>
    <row r="272" spans="7:7" ht="15.75" customHeight="1" x14ac:dyDescent="0.35">
      <c r="G272" s="30"/>
    </row>
    <row r="273" spans="7:7" ht="15.75" customHeight="1" x14ac:dyDescent="0.35">
      <c r="G273" s="30"/>
    </row>
    <row r="274" spans="7:7" ht="15.75" customHeight="1" x14ac:dyDescent="0.35">
      <c r="G274" s="30"/>
    </row>
    <row r="275" spans="7:7" ht="15.75" customHeight="1" x14ac:dyDescent="0.35">
      <c r="G275" s="30"/>
    </row>
    <row r="276" spans="7:7" ht="15.75" customHeight="1" x14ac:dyDescent="0.35">
      <c r="G276" s="30"/>
    </row>
    <row r="277" spans="7:7" ht="15.75" customHeight="1" x14ac:dyDescent="0.35">
      <c r="G277" s="30"/>
    </row>
    <row r="278" spans="7:7" ht="15.75" customHeight="1" x14ac:dyDescent="0.35">
      <c r="G278" s="30"/>
    </row>
    <row r="279" spans="7:7" ht="15.75" customHeight="1" x14ac:dyDescent="0.35">
      <c r="G279" s="30"/>
    </row>
    <row r="280" spans="7:7" ht="15.75" customHeight="1" x14ac:dyDescent="0.35">
      <c r="G280" s="30"/>
    </row>
    <row r="281" spans="7:7" ht="15.75" customHeight="1" x14ac:dyDescent="0.35">
      <c r="G281" s="30"/>
    </row>
    <row r="282" spans="7:7" ht="15.75" customHeight="1" x14ac:dyDescent="0.35">
      <c r="G282" s="30"/>
    </row>
    <row r="283" spans="7:7" ht="15.75" customHeight="1" x14ac:dyDescent="0.35">
      <c r="G283" s="30"/>
    </row>
    <row r="284" spans="7:7" ht="15.75" customHeight="1" x14ac:dyDescent="0.35">
      <c r="G284" s="30"/>
    </row>
    <row r="285" spans="7:7" ht="15.75" customHeight="1" x14ac:dyDescent="0.35">
      <c r="G285" s="30"/>
    </row>
    <row r="286" spans="7:7" ht="15.75" customHeight="1" x14ac:dyDescent="0.35">
      <c r="G286" s="30"/>
    </row>
    <row r="287" spans="7:7" ht="15.75" customHeight="1" x14ac:dyDescent="0.35">
      <c r="G287" s="30"/>
    </row>
    <row r="288" spans="7:7" ht="15.75" customHeight="1" x14ac:dyDescent="0.35">
      <c r="G288" s="30"/>
    </row>
    <row r="289" spans="7:7" ht="15.75" customHeight="1" x14ac:dyDescent="0.35">
      <c r="G289" s="30"/>
    </row>
    <row r="290" spans="7:7" ht="15.75" customHeight="1" x14ac:dyDescent="0.35">
      <c r="G290" s="30"/>
    </row>
    <row r="291" spans="7:7" ht="15.75" customHeight="1" x14ac:dyDescent="0.35">
      <c r="G291" s="30"/>
    </row>
    <row r="292" spans="7:7" ht="15.75" customHeight="1" x14ac:dyDescent="0.35">
      <c r="G292" s="30"/>
    </row>
    <row r="293" spans="7:7" ht="15.75" customHeight="1" x14ac:dyDescent="0.35">
      <c r="G293" s="30"/>
    </row>
    <row r="294" spans="7:7" ht="15.75" customHeight="1" x14ac:dyDescent="0.35">
      <c r="G294" s="30"/>
    </row>
    <row r="295" spans="7:7" ht="15.75" customHeight="1" x14ac:dyDescent="0.35">
      <c r="G295" s="30"/>
    </row>
    <row r="296" spans="7:7" ht="15.75" customHeight="1" x14ac:dyDescent="0.35">
      <c r="G296" s="30"/>
    </row>
    <row r="297" spans="7:7" ht="15.75" customHeight="1" x14ac:dyDescent="0.35">
      <c r="G297" s="30"/>
    </row>
    <row r="298" spans="7:7" ht="15.75" customHeight="1" x14ac:dyDescent="0.35">
      <c r="G298" s="30"/>
    </row>
    <row r="299" spans="7:7" ht="15.75" customHeight="1" x14ac:dyDescent="0.35">
      <c r="G299" s="30"/>
    </row>
    <row r="300" spans="7:7" ht="15.75" customHeight="1" x14ac:dyDescent="0.35">
      <c r="G300" s="30"/>
    </row>
    <row r="301" spans="7:7" ht="15.75" customHeight="1" x14ac:dyDescent="0.35">
      <c r="G301" s="30"/>
    </row>
    <row r="302" spans="7:7" ht="15.75" customHeight="1" x14ac:dyDescent="0.35">
      <c r="G302" s="30"/>
    </row>
    <row r="303" spans="7:7" ht="15.75" customHeight="1" x14ac:dyDescent="0.35">
      <c r="G303" s="30"/>
    </row>
    <row r="304" spans="7:7" ht="15.75" customHeight="1" x14ac:dyDescent="0.35">
      <c r="G304" s="30"/>
    </row>
    <row r="305" spans="7:7" ht="15.75" customHeight="1" x14ac:dyDescent="0.35">
      <c r="G305" s="30"/>
    </row>
    <row r="306" spans="7:7" ht="15.75" customHeight="1" x14ac:dyDescent="0.35">
      <c r="G306" s="30"/>
    </row>
    <row r="307" spans="7:7" ht="15.75" customHeight="1" x14ac:dyDescent="0.35">
      <c r="G307" s="30"/>
    </row>
    <row r="308" spans="7:7" ht="15.75" customHeight="1" x14ac:dyDescent="0.35">
      <c r="G308" s="30"/>
    </row>
    <row r="309" spans="7:7" ht="15.75" customHeight="1" x14ac:dyDescent="0.35">
      <c r="G309" s="30"/>
    </row>
    <row r="310" spans="7:7" ht="15.75" customHeight="1" x14ac:dyDescent="0.35">
      <c r="G310" s="30"/>
    </row>
    <row r="311" spans="7:7" ht="15.75" customHeight="1" x14ac:dyDescent="0.35">
      <c r="G311" s="30"/>
    </row>
    <row r="312" spans="7:7" ht="15.75" customHeight="1" x14ac:dyDescent="0.35">
      <c r="G312" s="30"/>
    </row>
    <row r="313" spans="7:7" ht="15.75" customHeight="1" x14ac:dyDescent="0.35">
      <c r="G313" s="30"/>
    </row>
    <row r="314" spans="7:7" ht="15.75" customHeight="1" x14ac:dyDescent="0.35">
      <c r="G314" s="30"/>
    </row>
    <row r="315" spans="7:7" ht="15.75" customHeight="1" x14ac:dyDescent="0.35">
      <c r="G315" s="30"/>
    </row>
    <row r="316" spans="7:7" ht="15.75" customHeight="1" x14ac:dyDescent="0.35">
      <c r="G316" s="30"/>
    </row>
    <row r="317" spans="7:7" ht="15.75" customHeight="1" x14ac:dyDescent="0.35">
      <c r="G317" s="30"/>
    </row>
    <row r="318" spans="7:7" ht="15.75" customHeight="1" x14ac:dyDescent="0.35">
      <c r="G318" s="30"/>
    </row>
    <row r="319" spans="7:7" ht="15.75" customHeight="1" x14ac:dyDescent="0.35">
      <c r="G319" s="30"/>
    </row>
    <row r="320" spans="7:7" ht="15.75" customHeight="1" x14ac:dyDescent="0.35">
      <c r="G320" s="30"/>
    </row>
    <row r="321" spans="7:7" ht="15.75" customHeight="1" x14ac:dyDescent="0.35">
      <c r="G321" s="30"/>
    </row>
    <row r="322" spans="7:7" ht="15.75" customHeight="1" x14ac:dyDescent="0.35">
      <c r="G322" s="30"/>
    </row>
    <row r="323" spans="7:7" ht="15.75" customHeight="1" x14ac:dyDescent="0.35">
      <c r="G323" s="30"/>
    </row>
    <row r="324" spans="7:7" ht="15.75" customHeight="1" x14ac:dyDescent="0.35">
      <c r="G324" s="30"/>
    </row>
    <row r="325" spans="7:7" ht="15.75" customHeight="1" x14ac:dyDescent="0.35">
      <c r="G325" s="30"/>
    </row>
    <row r="326" spans="7:7" ht="15.75" customHeight="1" x14ac:dyDescent="0.35">
      <c r="G326" s="30"/>
    </row>
    <row r="327" spans="7:7" ht="15.75" customHeight="1" x14ac:dyDescent="0.35">
      <c r="G327" s="30"/>
    </row>
    <row r="328" spans="7:7" ht="15.75" customHeight="1" x14ac:dyDescent="0.35">
      <c r="G328" s="30"/>
    </row>
    <row r="329" spans="7:7" ht="15.75" customHeight="1" x14ac:dyDescent="0.35">
      <c r="G329" s="30"/>
    </row>
    <row r="330" spans="7:7" ht="15.75" customHeight="1" x14ac:dyDescent="0.35">
      <c r="G330" s="30"/>
    </row>
    <row r="331" spans="7:7" ht="15.75" customHeight="1" x14ac:dyDescent="0.35">
      <c r="G331" s="30"/>
    </row>
    <row r="332" spans="7:7" ht="15.75" customHeight="1" x14ac:dyDescent="0.35">
      <c r="G332" s="30"/>
    </row>
    <row r="333" spans="7:7" ht="15.75" customHeight="1" x14ac:dyDescent="0.35">
      <c r="G333" s="30"/>
    </row>
    <row r="334" spans="7:7" ht="15.75" customHeight="1" x14ac:dyDescent="0.35">
      <c r="G334" s="30"/>
    </row>
    <row r="335" spans="7:7" ht="15.75" customHeight="1" x14ac:dyDescent="0.35">
      <c r="G335" s="30"/>
    </row>
    <row r="336" spans="7:7" ht="15.75" customHeight="1" x14ac:dyDescent="0.35">
      <c r="G336" s="30"/>
    </row>
    <row r="337" spans="7:7" ht="15.75" customHeight="1" x14ac:dyDescent="0.35">
      <c r="G337" s="30"/>
    </row>
    <row r="338" spans="7:7" ht="15.75" customHeight="1" x14ac:dyDescent="0.35">
      <c r="G338" s="30"/>
    </row>
    <row r="339" spans="7:7" ht="15.75" customHeight="1" x14ac:dyDescent="0.35">
      <c r="G339" s="30"/>
    </row>
    <row r="340" spans="7:7" ht="15.75" customHeight="1" x14ac:dyDescent="0.35">
      <c r="G340" s="30"/>
    </row>
    <row r="341" spans="7:7" ht="15.75" customHeight="1" x14ac:dyDescent="0.35">
      <c r="G341" s="30"/>
    </row>
    <row r="342" spans="7:7" ht="15.75" customHeight="1" x14ac:dyDescent="0.35">
      <c r="G342" s="30"/>
    </row>
    <row r="343" spans="7:7" ht="15.75" customHeight="1" x14ac:dyDescent="0.35">
      <c r="G343" s="30"/>
    </row>
    <row r="344" spans="7:7" ht="15.75" customHeight="1" x14ac:dyDescent="0.35">
      <c r="G344" s="30"/>
    </row>
    <row r="345" spans="7:7" ht="15.75" customHeight="1" x14ac:dyDescent="0.35">
      <c r="G345" s="30"/>
    </row>
    <row r="346" spans="7:7" ht="15.75" customHeight="1" x14ac:dyDescent="0.35">
      <c r="G346" s="30"/>
    </row>
    <row r="347" spans="7:7" ht="15.75" customHeight="1" x14ac:dyDescent="0.35">
      <c r="G347" s="30"/>
    </row>
    <row r="348" spans="7:7" ht="15.75" customHeight="1" x14ac:dyDescent="0.35">
      <c r="G348" s="30"/>
    </row>
    <row r="349" spans="7:7" ht="15.75" customHeight="1" x14ac:dyDescent="0.35">
      <c r="G349" s="30"/>
    </row>
    <row r="350" spans="7:7" ht="15.75" customHeight="1" x14ac:dyDescent="0.35">
      <c r="G350" s="30"/>
    </row>
    <row r="351" spans="7:7" ht="15.75" customHeight="1" x14ac:dyDescent="0.35">
      <c r="G351" s="30"/>
    </row>
    <row r="352" spans="7:7" ht="15.75" customHeight="1" x14ac:dyDescent="0.35">
      <c r="G352" s="30"/>
    </row>
    <row r="353" spans="7:7" ht="15.75" customHeight="1" x14ac:dyDescent="0.35">
      <c r="G353" s="30"/>
    </row>
    <row r="354" spans="7:7" ht="15.75" customHeight="1" x14ac:dyDescent="0.35">
      <c r="G354" s="30"/>
    </row>
    <row r="355" spans="7:7" ht="15.75" customHeight="1" x14ac:dyDescent="0.35">
      <c r="G355" s="30"/>
    </row>
    <row r="356" spans="7:7" ht="15.75" customHeight="1" x14ac:dyDescent="0.35">
      <c r="G356" s="30"/>
    </row>
    <row r="357" spans="7:7" ht="15.75" customHeight="1" x14ac:dyDescent="0.35">
      <c r="G357" s="30"/>
    </row>
    <row r="358" spans="7:7" ht="15.75" customHeight="1" x14ac:dyDescent="0.35">
      <c r="G358" s="30"/>
    </row>
    <row r="359" spans="7:7" ht="15.75" customHeight="1" x14ac:dyDescent="0.35">
      <c r="G359" s="30"/>
    </row>
    <row r="360" spans="7:7" ht="15.75" customHeight="1" x14ac:dyDescent="0.35">
      <c r="G360" s="30"/>
    </row>
    <row r="361" spans="7:7" ht="15.75" customHeight="1" x14ac:dyDescent="0.35">
      <c r="G361" s="30"/>
    </row>
    <row r="362" spans="7:7" ht="15.75" customHeight="1" x14ac:dyDescent="0.35">
      <c r="G362" s="30"/>
    </row>
    <row r="363" spans="7:7" ht="15.75" customHeight="1" x14ac:dyDescent="0.35">
      <c r="G363" s="30"/>
    </row>
    <row r="364" spans="7:7" ht="15.75" customHeight="1" x14ac:dyDescent="0.35">
      <c r="G364" s="30"/>
    </row>
    <row r="365" spans="7:7" ht="15.75" customHeight="1" x14ac:dyDescent="0.35">
      <c r="G365" s="30"/>
    </row>
    <row r="366" spans="7:7" ht="15.75" customHeight="1" x14ac:dyDescent="0.35">
      <c r="G366" s="30"/>
    </row>
    <row r="367" spans="7:7" ht="15.75" customHeight="1" x14ac:dyDescent="0.35">
      <c r="G367" s="30"/>
    </row>
    <row r="368" spans="7:7" ht="15.75" customHeight="1" x14ac:dyDescent="0.35">
      <c r="G368" s="30"/>
    </row>
    <row r="369" spans="7:7" ht="15.75" customHeight="1" x14ac:dyDescent="0.35">
      <c r="G369" s="30"/>
    </row>
    <row r="370" spans="7:7" ht="15.75" customHeight="1" x14ac:dyDescent="0.35">
      <c r="G370" s="30"/>
    </row>
    <row r="371" spans="7:7" ht="15.75" customHeight="1" x14ac:dyDescent="0.35">
      <c r="G371" s="30"/>
    </row>
    <row r="372" spans="7:7" ht="15.75" customHeight="1" x14ac:dyDescent="0.35">
      <c r="G372" s="30"/>
    </row>
    <row r="373" spans="7:7" ht="15.75" customHeight="1" x14ac:dyDescent="0.35">
      <c r="G373" s="30"/>
    </row>
    <row r="374" spans="7:7" ht="15.75" customHeight="1" x14ac:dyDescent="0.35">
      <c r="G374" s="30"/>
    </row>
    <row r="375" spans="7:7" ht="15.75" customHeight="1" x14ac:dyDescent="0.35">
      <c r="G375" s="30"/>
    </row>
    <row r="376" spans="7:7" ht="15.75" customHeight="1" x14ac:dyDescent="0.35">
      <c r="G376" s="30"/>
    </row>
    <row r="377" spans="7:7" ht="15.75" customHeight="1" x14ac:dyDescent="0.35">
      <c r="G377" s="30"/>
    </row>
    <row r="378" spans="7:7" ht="15.75" customHeight="1" x14ac:dyDescent="0.35">
      <c r="G378" s="30"/>
    </row>
    <row r="379" spans="7:7" ht="15.75" customHeight="1" x14ac:dyDescent="0.35">
      <c r="G379" s="30"/>
    </row>
    <row r="380" spans="7:7" ht="15.75" customHeight="1" x14ac:dyDescent="0.35">
      <c r="G380" s="30"/>
    </row>
    <row r="381" spans="7:7" ht="15.75" customHeight="1" x14ac:dyDescent="0.35">
      <c r="G381" s="30"/>
    </row>
    <row r="382" spans="7:7" ht="15.75" customHeight="1" x14ac:dyDescent="0.35">
      <c r="G382" s="30"/>
    </row>
    <row r="383" spans="7:7" ht="15.75" customHeight="1" x14ac:dyDescent="0.35">
      <c r="G383" s="30"/>
    </row>
    <row r="384" spans="7:7" ht="15.75" customHeight="1" x14ac:dyDescent="0.35">
      <c r="G384" s="30"/>
    </row>
    <row r="385" spans="7:7" ht="15.75" customHeight="1" x14ac:dyDescent="0.35">
      <c r="G385" s="30"/>
    </row>
    <row r="386" spans="7:7" ht="15.75" customHeight="1" x14ac:dyDescent="0.35">
      <c r="G386" s="30"/>
    </row>
    <row r="387" spans="7:7" ht="15.75" customHeight="1" x14ac:dyDescent="0.35">
      <c r="G387" s="30"/>
    </row>
    <row r="388" spans="7:7" ht="15.75" customHeight="1" x14ac:dyDescent="0.35">
      <c r="G388" s="30"/>
    </row>
    <row r="389" spans="7:7" ht="15.75" customHeight="1" x14ac:dyDescent="0.35">
      <c r="G389" s="30"/>
    </row>
    <row r="390" spans="7:7" ht="15.75" customHeight="1" x14ac:dyDescent="0.35">
      <c r="G390" s="30"/>
    </row>
    <row r="391" spans="7:7" ht="15.75" customHeight="1" x14ac:dyDescent="0.35">
      <c r="G391" s="30"/>
    </row>
    <row r="392" spans="7:7" ht="15.75" customHeight="1" x14ac:dyDescent="0.35">
      <c r="G392" s="30"/>
    </row>
    <row r="393" spans="7:7" ht="15.75" customHeight="1" x14ac:dyDescent="0.35">
      <c r="G393" s="30"/>
    </row>
    <row r="394" spans="7:7" ht="15.75" customHeight="1" x14ac:dyDescent="0.35">
      <c r="G394" s="30"/>
    </row>
    <row r="395" spans="7:7" ht="15.75" customHeight="1" x14ac:dyDescent="0.35">
      <c r="G395" s="30"/>
    </row>
    <row r="396" spans="7:7" ht="15.75" customHeight="1" x14ac:dyDescent="0.35">
      <c r="G396" s="30"/>
    </row>
    <row r="397" spans="7:7" ht="15.75" customHeight="1" x14ac:dyDescent="0.35">
      <c r="G397" s="30"/>
    </row>
    <row r="398" spans="7:7" ht="15.75" customHeight="1" x14ac:dyDescent="0.35">
      <c r="G398" s="30"/>
    </row>
    <row r="399" spans="7:7" ht="15.75" customHeight="1" x14ac:dyDescent="0.35">
      <c r="G399" s="30"/>
    </row>
    <row r="400" spans="7:7" ht="15.75" customHeight="1" x14ac:dyDescent="0.35">
      <c r="G400" s="30"/>
    </row>
    <row r="401" spans="7:7" ht="15.75" customHeight="1" x14ac:dyDescent="0.35">
      <c r="G401" s="30"/>
    </row>
    <row r="402" spans="7:7" ht="15.75" customHeight="1" x14ac:dyDescent="0.35">
      <c r="G402" s="30"/>
    </row>
    <row r="403" spans="7:7" ht="15.75" customHeight="1" x14ac:dyDescent="0.35">
      <c r="G403" s="30"/>
    </row>
    <row r="404" spans="7:7" ht="15.75" customHeight="1" x14ac:dyDescent="0.35">
      <c r="G404" s="30"/>
    </row>
    <row r="405" spans="7:7" ht="15.75" customHeight="1" x14ac:dyDescent="0.35">
      <c r="G405" s="30"/>
    </row>
    <row r="406" spans="7:7" ht="15.75" customHeight="1" x14ac:dyDescent="0.35">
      <c r="G406" s="30"/>
    </row>
    <row r="407" spans="7:7" ht="15.75" customHeight="1" x14ac:dyDescent="0.35">
      <c r="G407" s="30"/>
    </row>
    <row r="408" spans="7:7" ht="15.75" customHeight="1" x14ac:dyDescent="0.35">
      <c r="G408" s="30"/>
    </row>
    <row r="409" spans="7:7" ht="15.75" customHeight="1" x14ac:dyDescent="0.35">
      <c r="G409" s="30"/>
    </row>
    <row r="410" spans="7:7" ht="15.75" customHeight="1" x14ac:dyDescent="0.35">
      <c r="G410" s="30"/>
    </row>
    <row r="411" spans="7:7" ht="15.75" customHeight="1" x14ac:dyDescent="0.35">
      <c r="G411" s="30"/>
    </row>
    <row r="412" spans="7:7" ht="15.75" customHeight="1" x14ac:dyDescent="0.35">
      <c r="G412" s="30"/>
    </row>
    <row r="413" spans="7:7" ht="15.75" customHeight="1" x14ac:dyDescent="0.35">
      <c r="G413" s="30"/>
    </row>
    <row r="414" spans="7:7" ht="15.75" customHeight="1" x14ac:dyDescent="0.35">
      <c r="G414" s="30"/>
    </row>
    <row r="415" spans="7:7" ht="15.75" customHeight="1" x14ac:dyDescent="0.35">
      <c r="G415" s="30"/>
    </row>
    <row r="416" spans="7:7" ht="15.75" customHeight="1" x14ac:dyDescent="0.35">
      <c r="G416" s="30"/>
    </row>
    <row r="417" spans="7:7" ht="15.75" customHeight="1" x14ac:dyDescent="0.35">
      <c r="G417" s="30"/>
    </row>
    <row r="418" spans="7:7" ht="15.75" customHeight="1" x14ac:dyDescent="0.35">
      <c r="G418" s="30"/>
    </row>
    <row r="419" spans="7:7" ht="15.75" customHeight="1" x14ac:dyDescent="0.35">
      <c r="G419" s="30"/>
    </row>
    <row r="420" spans="7:7" ht="15.75" customHeight="1" x14ac:dyDescent="0.35">
      <c r="G420" s="30"/>
    </row>
    <row r="421" spans="7:7" ht="15.75" customHeight="1" x14ac:dyDescent="0.35">
      <c r="G421" s="30"/>
    </row>
    <row r="422" spans="7:7" ht="15.75" customHeight="1" x14ac:dyDescent="0.35">
      <c r="G422" s="30"/>
    </row>
    <row r="423" spans="7:7" ht="15.75" customHeight="1" x14ac:dyDescent="0.35">
      <c r="G423" s="30"/>
    </row>
    <row r="424" spans="7:7" ht="15.75" customHeight="1" x14ac:dyDescent="0.35">
      <c r="G424" s="30"/>
    </row>
    <row r="425" spans="7:7" ht="15.75" customHeight="1" x14ac:dyDescent="0.35">
      <c r="G425" s="30"/>
    </row>
    <row r="426" spans="7:7" ht="15.75" customHeight="1" x14ac:dyDescent="0.35">
      <c r="G426" s="30"/>
    </row>
    <row r="427" spans="7:7" ht="15.75" customHeight="1" x14ac:dyDescent="0.35">
      <c r="G427" s="30"/>
    </row>
    <row r="428" spans="7:7" ht="15.75" customHeight="1" x14ac:dyDescent="0.35">
      <c r="G428" s="30"/>
    </row>
    <row r="429" spans="7:7" ht="15.75" customHeight="1" x14ac:dyDescent="0.35">
      <c r="G429" s="30"/>
    </row>
    <row r="430" spans="7:7" ht="15.75" customHeight="1" x14ac:dyDescent="0.35">
      <c r="G430" s="30"/>
    </row>
    <row r="431" spans="7:7" ht="15.75" customHeight="1" x14ac:dyDescent="0.35">
      <c r="G431" s="30"/>
    </row>
    <row r="432" spans="7:7" ht="15.75" customHeight="1" x14ac:dyDescent="0.35">
      <c r="G432" s="30"/>
    </row>
    <row r="433" spans="7:7" ht="15.75" customHeight="1" x14ac:dyDescent="0.35">
      <c r="G433" s="30"/>
    </row>
    <row r="434" spans="7:7" ht="15.75" customHeight="1" x14ac:dyDescent="0.35">
      <c r="G434" s="30"/>
    </row>
    <row r="435" spans="7:7" ht="15.75" customHeight="1" x14ac:dyDescent="0.35">
      <c r="G435" s="30"/>
    </row>
    <row r="436" spans="7:7" ht="15.75" customHeight="1" x14ac:dyDescent="0.35">
      <c r="G436" s="30"/>
    </row>
    <row r="437" spans="7:7" ht="15.75" customHeight="1" x14ac:dyDescent="0.35">
      <c r="G437" s="30"/>
    </row>
    <row r="438" spans="7:7" ht="15.75" customHeight="1" x14ac:dyDescent="0.35">
      <c r="G438" s="30"/>
    </row>
    <row r="439" spans="7:7" ht="15.75" customHeight="1" x14ac:dyDescent="0.35">
      <c r="G439" s="30"/>
    </row>
    <row r="440" spans="7:7" ht="15.75" customHeight="1" x14ac:dyDescent="0.35">
      <c r="G440" s="30"/>
    </row>
    <row r="441" spans="7:7" ht="15.75" customHeight="1" x14ac:dyDescent="0.35">
      <c r="G441" s="30"/>
    </row>
    <row r="442" spans="7:7" ht="15.75" customHeight="1" x14ac:dyDescent="0.35">
      <c r="G442" s="30"/>
    </row>
    <row r="443" spans="7:7" ht="15.75" customHeight="1" x14ac:dyDescent="0.35">
      <c r="G443" s="30"/>
    </row>
    <row r="444" spans="7:7" ht="15.75" customHeight="1" x14ac:dyDescent="0.35">
      <c r="G444" s="30"/>
    </row>
    <row r="445" spans="7:7" ht="15.75" customHeight="1" x14ac:dyDescent="0.35">
      <c r="G445" s="30"/>
    </row>
    <row r="446" spans="7:7" ht="15.75" customHeight="1" x14ac:dyDescent="0.35">
      <c r="G446" s="30"/>
    </row>
    <row r="447" spans="7:7" ht="15.75" customHeight="1" x14ac:dyDescent="0.35">
      <c r="G447" s="30"/>
    </row>
    <row r="448" spans="7:7" ht="15.75" customHeight="1" x14ac:dyDescent="0.35">
      <c r="G448" s="30"/>
    </row>
    <row r="449" spans="7:7" ht="15.75" customHeight="1" x14ac:dyDescent="0.35">
      <c r="G449" s="30"/>
    </row>
    <row r="450" spans="7:7" ht="15.75" customHeight="1" x14ac:dyDescent="0.35">
      <c r="G450" s="30"/>
    </row>
    <row r="451" spans="7:7" ht="15.75" customHeight="1" x14ac:dyDescent="0.35">
      <c r="G451" s="30"/>
    </row>
    <row r="452" spans="7:7" ht="15.75" customHeight="1" x14ac:dyDescent="0.35">
      <c r="G452" s="30"/>
    </row>
    <row r="453" spans="7:7" ht="15.75" customHeight="1" x14ac:dyDescent="0.35">
      <c r="G453" s="30"/>
    </row>
    <row r="454" spans="7:7" ht="15.75" customHeight="1" x14ac:dyDescent="0.35">
      <c r="G454" s="30"/>
    </row>
    <row r="455" spans="7:7" ht="15.75" customHeight="1" x14ac:dyDescent="0.35">
      <c r="G455" s="30"/>
    </row>
    <row r="456" spans="7:7" ht="15.75" customHeight="1" x14ac:dyDescent="0.35">
      <c r="G456" s="30"/>
    </row>
    <row r="457" spans="7:7" ht="15.75" customHeight="1" x14ac:dyDescent="0.35">
      <c r="G457" s="30"/>
    </row>
    <row r="458" spans="7:7" ht="15.75" customHeight="1" x14ac:dyDescent="0.35">
      <c r="G458" s="30"/>
    </row>
    <row r="459" spans="7:7" ht="15.75" customHeight="1" x14ac:dyDescent="0.35">
      <c r="G459" s="30"/>
    </row>
    <row r="460" spans="7:7" ht="15.75" customHeight="1" x14ac:dyDescent="0.35">
      <c r="G460" s="30"/>
    </row>
    <row r="461" spans="7:7" ht="15.75" customHeight="1" x14ac:dyDescent="0.35">
      <c r="G461" s="30"/>
    </row>
    <row r="462" spans="7:7" ht="15.75" customHeight="1" x14ac:dyDescent="0.35">
      <c r="G462" s="30"/>
    </row>
    <row r="463" spans="7:7" ht="15.75" customHeight="1" x14ac:dyDescent="0.35">
      <c r="G463" s="30"/>
    </row>
    <row r="464" spans="7:7" ht="15.75" customHeight="1" x14ac:dyDescent="0.35">
      <c r="G464" s="30"/>
    </row>
    <row r="465" spans="7:7" ht="15.75" customHeight="1" x14ac:dyDescent="0.35">
      <c r="G465" s="30"/>
    </row>
    <row r="466" spans="7:7" ht="15.75" customHeight="1" x14ac:dyDescent="0.35">
      <c r="G466" s="30"/>
    </row>
    <row r="467" spans="7:7" ht="15.75" customHeight="1" x14ac:dyDescent="0.35">
      <c r="G467" s="30"/>
    </row>
    <row r="468" spans="7:7" ht="15.75" customHeight="1" x14ac:dyDescent="0.35">
      <c r="G468" s="30"/>
    </row>
    <row r="469" spans="7:7" ht="15.75" customHeight="1" x14ac:dyDescent="0.35">
      <c r="G469" s="30"/>
    </row>
    <row r="470" spans="7:7" ht="15.75" customHeight="1" x14ac:dyDescent="0.35">
      <c r="G470" s="30"/>
    </row>
    <row r="471" spans="7:7" ht="15.75" customHeight="1" x14ac:dyDescent="0.35">
      <c r="G471" s="30"/>
    </row>
    <row r="472" spans="7:7" ht="15.75" customHeight="1" x14ac:dyDescent="0.35">
      <c r="G472" s="30"/>
    </row>
    <row r="473" spans="7:7" ht="15.75" customHeight="1" x14ac:dyDescent="0.35">
      <c r="G473" s="30"/>
    </row>
    <row r="474" spans="7:7" ht="15.75" customHeight="1" x14ac:dyDescent="0.35">
      <c r="G474" s="30"/>
    </row>
    <row r="475" spans="7:7" ht="15.75" customHeight="1" x14ac:dyDescent="0.35">
      <c r="G475" s="30"/>
    </row>
    <row r="476" spans="7:7" ht="15.75" customHeight="1" x14ac:dyDescent="0.35">
      <c r="G476" s="30"/>
    </row>
    <row r="477" spans="7:7" ht="15.75" customHeight="1" x14ac:dyDescent="0.35">
      <c r="G477" s="30"/>
    </row>
    <row r="478" spans="7:7" ht="15.75" customHeight="1" x14ac:dyDescent="0.35">
      <c r="G478" s="30"/>
    </row>
    <row r="479" spans="7:7" ht="15.75" customHeight="1" x14ac:dyDescent="0.35">
      <c r="G479" s="30"/>
    </row>
    <row r="480" spans="7:7" ht="15.75" customHeight="1" x14ac:dyDescent="0.35">
      <c r="G480" s="30"/>
    </row>
    <row r="481" spans="7:7" ht="15.75" customHeight="1" x14ac:dyDescent="0.35">
      <c r="G481" s="30"/>
    </row>
    <row r="482" spans="7:7" ht="15.75" customHeight="1" x14ac:dyDescent="0.35">
      <c r="G482" s="30"/>
    </row>
    <row r="483" spans="7:7" ht="15.75" customHeight="1" x14ac:dyDescent="0.35">
      <c r="G483" s="30"/>
    </row>
    <row r="484" spans="7:7" ht="15.75" customHeight="1" x14ac:dyDescent="0.35">
      <c r="G484" s="30"/>
    </row>
    <row r="485" spans="7:7" ht="15.75" customHeight="1" x14ac:dyDescent="0.35">
      <c r="G485" s="30"/>
    </row>
    <row r="486" spans="7:7" ht="15.75" customHeight="1" x14ac:dyDescent="0.35">
      <c r="G486" s="30"/>
    </row>
    <row r="487" spans="7:7" ht="15.75" customHeight="1" x14ac:dyDescent="0.35">
      <c r="G487" s="30"/>
    </row>
    <row r="488" spans="7:7" ht="15.75" customHeight="1" x14ac:dyDescent="0.35">
      <c r="G488" s="30"/>
    </row>
    <row r="489" spans="7:7" ht="15.75" customHeight="1" x14ac:dyDescent="0.35">
      <c r="G489" s="30"/>
    </row>
    <row r="490" spans="7:7" ht="15.75" customHeight="1" x14ac:dyDescent="0.35">
      <c r="G490" s="30"/>
    </row>
    <row r="491" spans="7:7" ht="15.75" customHeight="1" x14ac:dyDescent="0.35">
      <c r="G491" s="30"/>
    </row>
    <row r="492" spans="7:7" ht="15.75" customHeight="1" x14ac:dyDescent="0.35">
      <c r="G492" s="30"/>
    </row>
    <row r="493" spans="7:7" ht="15.75" customHeight="1" x14ac:dyDescent="0.35">
      <c r="G493" s="30"/>
    </row>
    <row r="494" spans="7:7" ht="15.75" customHeight="1" x14ac:dyDescent="0.35">
      <c r="G494" s="30"/>
    </row>
    <row r="495" spans="7:7" ht="15.75" customHeight="1" x14ac:dyDescent="0.35">
      <c r="G495" s="30"/>
    </row>
    <row r="496" spans="7:7" ht="15.75" customHeight="1" x14ac:dyDescent="0.35">
      <c r="G496" s="30"/>
    </row>
    <row r="497" spans="7:7" ht="15.75" customHeight="1" x14ac:dyDescent="0.35">
      <c r="G497" s="30"/>
    </row>
    <row r="498" spans="7:7" ht="15.75" customHeight="1" x14ac:dyDescent="0.35">
      <c r="G498" s="30"/>
    </row>
    <row r="499" spans="7:7" ht="15.75" customHeight="1" x14ac:dyDescent="0.35">
      <c r="G499" s="30"/>
    </row>
    <row r="500" spans="7:7" ht="15.75" customHeight="1" x14ac:dyDescent="0.35">
      <c r="G500" s="30"/>
    </row>
    <row r="501" spans="7:7" ht="15.75" customHeight="1" x14ac:dyDescent="0.35">
      <c r="G501" s="30"/>
    </row>
    <row r="502" spans="7:7" ht="15.75" customHeight="1" x14ac:dyDescent="0.35">
      <c r="G502" s="30"/>
    </row>
    <row r="503" spans="7:7" ht="15.75" customHeight="1" x14ac:dyDescent="0.35">
      <c r="G503" s="30"/>
    </row>
    <row r="504" spans="7:7" ht="15.75" customHeight="1" x14ac:dyDescent="0.35">
      <c r="G504" s="30"/>
    </row>
    <row r="505" spans="7:7" ht="15.75" customHeight="1" x14ac:dyDescent="0.35">
      <c r="G505" s="30"/>
    </row>
    <row r="506" spans="7:7" ht="15.75" customHeight="1" x14ac:dyDescent="0.35">
      <c r="G506" s="30"/>
    </row>
    <row r="507" spans="7:7" ht="15.75" customHeight="1" x14ac:dyDescent="0.35">
      <c r="G507" s="30"/>
    </row>
    <row r="508" spans="7:7" ht="15.75" customHeight="1" x14ac:dyDescent="0.35">
      <c r="G508" s="30"/>
    </row>
    <row r="509" spans="7:7" ht="15.75" customHeight="1" x14ac:dyDescent="0.35">
      <c r="G509" s="30"/>
    </row>
    <row r="510" spans="7:7" ht="15.75" customHeight="1" x14ac:dyDescent="0.35">
      <c r="G510" s="30"/>
    </row>
    <row r="511" spans="7:7" ht="15.75" customHeight="1" x14ac:dyDescent="0.35">
      <c r="G511" s="30"/>
    </row>
    <row r="512" spans="7:7" ht="15.75" customHeight="1" x14ac:dyDescent="0.35">
      <c r="G512" s="30"/>
    </row>
    <row r="513" spans="7:7" ht="15.75" customHeight="1" x14ac:dyDescent="0.35">
      <c r="G513" s="30"/>
    </row>
    <row r="514" spans="7:7" ht="15.75" customHeight="1" x14ac:dyDescent="0.35">
      <c r="G514" s="30"/>
    </row>
    <row r="515" spans="7:7" ht="15.75" customHeight="1" x14ac:dyDescent="0.35">
      <c r="G515" s="30"/>
    </row>
    <row r="516" spans="7:7" ht="15.75" customHeight="1" x14ac:dyDescent="0.35">
      <c r="G516" s="30"/>
    </row>
    <row r="517" spans="7:7" ht="15.75" customHeight="1" x14ac:dyDescent="0.35">
      <c r="G517" s="30"/>
    </row>
    <row r="518" spans="7:7" ht="15.75" customHeight="1" x14ac:dyDescent="0.35">
      <c r="G518" s="30"/>
    </row>
    <row r="519" spans="7:7" ht="15.75" customHeight="1" x14ac:dyDescent="0.35">
      <c r="G519" s="30"/>
    </row>
    <row r="520" spans="7:7" ht="15.75" customHeight="1" x14ac:dyDescent="0.35">
      <c r="G520" s="30"/>
    </row>
    <row r="521" spans="7:7" ht="15.75" customHeight="1" x14ac:dyDescent="0.35">
      <c r="G521" s="30"/>
    </row>
    <row r="522" spans="7:7" ht="15.75" customHeight="1" x14ac:dyDescent="0.35">
      <c r="G522" s="30"/>
    </row>
    <row r="523" spans="7:7" ht="15.75" customHeight="1" x14ac:dyDescent="0.35">
      <c r="G523" s="30"/>
    </row>
    <row r="524" spans="7:7" ht="15.75" customHeight="1" x14ac:dyDescent="0.35">
      <c r="G524" s="30"/>
    </row>
    <row r="525" spans="7:7" ht="15.75" customHeight="1" x14ac:dyDescent="0.35">
      <c r="G525" s="30"/>
    </row>
    <row r="526" spans="7:7" ht="15.75" customHeight="1" x14ac:dyDescent="0.35">
      <c r="G526" s="30"/>
    </row>
    <row r="527" spans="7:7" ht="15.75" customHeight="1" x14ac:dyDescent="0.35">
      <c r="G527" s="30"/>
    </row>
    <row r="528" spans="7:7" ht="15.75" customHeight="1" x14ac:dyDescent="0.35">
      <c r="G528" s="30"/>
    </row>
    <row r="529" spans="7:7" ht="15.75" customHeight="1" x14ac:dyDescent="0.35">
      <c r="G529" s="30"/>
    </row>
    <row r="530" spans="7:7" ht="15.75" customHeight="1" x14ac:dyDescent="0.35">
      <c r="G530" s="30"/>
    </row>
    <row r="531" spans="7:7" ht="15.75" customHeight="1" x14ac:dyDescent="0.35">
      <c r="G531" s="30"/>
    </row>
    <row r="532" spans="7:7" ht="15.75" customHeight="1" x14ac:dyDescent="0.35">
      <c r="G532" s="30"/>
    </row>
    <row r="533" spans="7:7" ht="15.75" customHeight="1" x14ac:dyDescent="0.35">
      <c r="G533" s="30"/>
    </row>
    <row r="534" spans="7:7" ht="15.75" customHeight="1" x14ac:dyDescent="0.35">
      <c r="G534" s="30"/>
    </row>
    <row r="535" spans="7:7" ht="15.75" customHeight="1" x14ac:dyDescent="0.35">
      <c r="G535" s="30"/>
    </row>
    <row r="536" spans="7:7" ht="15.75" customHeight="1" x14ac:dyDescent="0.35">
      <c r="G536" s="30"/>
    </row>
    <row r="537" spans="7:7" ht="15.75" customHeight="1" x14ac:dyDescent="0.35">
      <c r="G537" s="30"/>
    </row>
    <row r="538" spans="7:7" ht="15.75" customHeight="1" x14ac:dyDescent="0.35">
      <c r="G538" s="30"/>
    </row>
    <row r="539" spans="7:7" ht="15.75" customHeight="1" x14ac:dyDescent="0.35">
      <c r="G539" s="30"/>
    </row>
    <row r="540" spans="7:7" ht="15.75" customHeight="1" x14ac:dyDescent="0.35">
      <c r="G540" s="30"/>
    </row>
    <row r="541" spans="7:7" ht="15.75" customHeight="1" x14ac:dyDescent="0.35">
      <c r="G541" s="30"/>
    </row>
    <row r="542" spans="7:7" ht="15.75" customHeight="1" x14ac:dyDescent="0.35">
      <c r="G542" s="30"/>
    </row>
    <row r="543" spans="7:7" ht="15.75" customHeight="1" x14ac:dyDescent="0.35">
      <c r="G543" s="30"/>
    </row>
    <row r="544" spans="7:7" ht="15.75" customHeight="1" x14ac:dyDescent="0.35">
      <c r="G544" s="30"/>
    </row>
    <row r="545" spans="7:7" ht="15.75" customHeight="1" x14ac:dyDescent="0.35">
      <c r="G545" s="30"/>
    </row>
    <row r="546" spans="7:7" ht="15.75" customHeight="1" x14ac:dyDescent="0.35">
      <c r="G546" s="30"/>
    </row>
    <row r="547" spans="7:7" ht="15.75" customHeight="1" x14ac:dyDescent="0.35">
      <c r="G547" s="30"/>
    </row>
    <row r="548" spans="7:7" ht="15.75" customHeight="1" x14ac:dyDescent="0.35">
      <c r="G548" s="30"/>
    </row>
    <row r="549" spans="7:7" ht="15.75" customHeight="1" x14ac:dyDescent="0.35">
      <c r="G549" s="30"/>
    </row>
    <row r="550" spans="7:7" ht="15.75" customHeight="1" x14ac:dyDescent="0.35">
      <c r="G550" s="30"/>
    </row>
    <row r="551" spans="7:7" ht="15.75" customHeight="1" x14ac:dyDescent="0.35">
      <c r="G551" s="30"/>
    </row>
    <row r="552" spans="7:7" ht="15.75" customHeight="1" x14ac:dyDescent="0.35">
      <c r="G552" s="30"/>
    </row>
    <row r="553" spans="7:7" ht="15.75" customHeight="1" x14ac:dyDescent="0.35">
      <c r="G553" s="30"/>
    </row>
    <row r="554" spans="7:7" ht="15.75" customHeight="1" x14ac:dyDescent="0.35">
      <c r="G554" s="30"/>
    </row>
    <row r="555" spans="7:7" ht="15.75" customHeight="1" x14ac:dyDescent="0.35">
      <c r="G555" s="30"/>
    </row>
    <row r="556" spans="7:7" ht="15.75" customHeight="1" x14ac:dyDescent="0.35">
      <c r="G556" s="30"/>
    </row>
    <row r="557" spans="7:7" ht="15.75" customHeight="1" x14ac:dyDescent="0.35">
      <c r="G557" s="30"/>
    </row>
    <row r="558" spans="7:7" ht="15.75" customHeight="1" x14ac:dyDescent="0.35">
      <c r="G558" s="30"/>
    </row>
    <row r="559" spans="7:7" ht="15.75" customHeight="1" x14ac:dyDescent="0.35">
      <c r="G559" s="30"/>
    </row>
    <row r="560" spans="7:7" ht="15.75" customHeight="1" x14ac:dyDescent="0.35">
      <c r="G560" s="30"/>
    </row>
    <row r="561" spans="7:7" ht="15.75" customHeight="1" x14ac:dyDescent="0.35">
      <c r="G561" s="30"/>
    </row>
    <row r="562" spans="7:7" ht="15.75" customHeight="1" x14ac:dyDescent="0.35">
      <c r="G562" s="30"/>
    </row>
    <row r="563" spans="7:7" ht="15.75" customHeight="1" x14ac:dyDescent="0.35">
      <c r="G563" s="30"/>
    </row>
    <row r="564" spans="7:7" ht="15.75" customHeight="1" x14ac:dyDescent="0.35">
      <c r="G564" s="30"/>
    </row>
    <row r="565" spans="7:7" ht="15.75" customHeight="1" x14ac:dyDescent="0.35">
      <c r="G565" s="30"/>
    </row>
    <row r="566" spans="7:7" ht="15.75" customHeight="1" x14ac:dyDescent="0.35">
      <c r="G566" s="30"/>
    </row>
    <row r="567" spans="7:7" ht="15.75" customHeight="1" x14ac:dyDescent="0.35">
      <c r="G567" s="30"/>
    </row>
    <row r="568" spans="7:7" ht="15.75" customHeight="1" x14ac:dyDescent="0.35">
      <c r="G568" s="30"/>
    </row>
    <row r="569" spans="7:7" ht="15.75" customHeight="1" x14ac:dyDescent="0.35">
      <c r="G569" s="30"/>
    </row>
    <row r="570" spans="7:7" ht="15.75" customHeight="1" x14ac:dyDescent="0.35">
      <c r="G570" s="30"/>
    </row>
    <row r="571" spans="7:7" ht="15.75" customHeight="1" x14ac:dyDescent="0.35">
      <c r="G571" s="30"/>
    </row>
    <row r="572" spans="7:7" ht="15.75" customHeight="1" x14ac:dyDescent="0.35">
      <c r="G572" s="30"/>
    </row>
    <row r="573" spans="7:7" ht="15.75" customHeight="1" x14ac:dyDescent="0.35">
      <c r="G573" s="30"/>
    </row>
    <row r="574" spans="7:7" ht="15.75" customHeight="1" x14ac:dyDescent="0.35">
      <c r="G574" s="30"/>
    </row>
    <row r="575" spans="7:7" ht="15.75" customHeight="1" x14ac:dyDescent="0.35">
      <c r="G575" s="30"/>
    </row>
    <row r="576" spans="7:7" ht="15.75" customHeight="1" x14ac:dyDescent="0.35">
      <c r="G576" s="30"/>
    </row>
    <row r="577" spans="7:7" ht="15.75" customHeight="1" x14ac:dyDescent="0.35">
      <c r="G577" s="30"/>
    </row>
    <row r="578" spans="7:7" ht="15.75" customHeight="1" x14ac:dyDescent="0.35">
      <c r="G578" s="30"/>
    </row>
    <row r="579" spans="7:7" ht="15.75" customHeight="1" x14ac:dyDescent="0.35">
      <c r="G579" s="30"/>
    </row>
    <row r="580" spans="7:7" ht="15.75" customHeight="1" x14ac:dyDescent="0.35">
      <c r="G580" s="30"/>
    </row>
    <row r="581" spans="7:7" ht="15.75" customHeight="1" x14ac:dyDescent="0.35">
      <c r="G581" s="30"/>
    </row>
    <row r="582" spans="7:7" ht="15.75" customHeight="1" x14ac:dyDescent="0.35">
      <c r="G582" s="30"/>
    </row>
    <row r="583" spans="7:7" ht="15.75" customHeight="1" x14ac:dyDescent="0.35">
      <c r="G583" s="30"/>
    </row>
    <row r="584" spans="7:7" ht="15.75" customHeight="1" x14ac:dyDescent="0.35">
      <c r="G584" s="30"/>
    </row>
    <row r="585" spans="7:7" ht="15.75" customHeight="1" x14ac:dyDescent="0.35">
      <c r="G585" s="30"/>
    </row>
    <row r="586" spans="7:7" ht="15.75" customHeight="1" x14ac:dyDescent="0.35">
      <c r="G586" s="30"/>
    </row>
    <row r="587" spans="7:7" ht="15.75" customHeight="1" x14ac:dyDescent="0.35">
      <c r="G587" s="30"/>
    </row>
    <row r="588" spans="7:7" ht="15.75" customHeight="1" x14ac:dyDescent="0.35">
      <c r="G588" s="30"/>
    </row>
    <row r="589" spans="7:7" ht="15.75" customHeight="1" x14ac:dyDescent="0.35">
      <c r="G589" s="30"/>
    </row>
    <row r="590" spans="7:7" ht="15.75" customHeight="1" x14ac:dyDescent="0.35">
      <c r="G590" s="30"/>
    </row>
    <row r="591" spans="7:7" ht="15.75" customHeight="1" x14ac:dyDescent="0.35">
      <c r="G591" s="30"/>
    </row>
    <row r="592" spans="7:7" ht="15.75" customHeight="1" x14ac:dyDescent="0.35">
      <c r="G592" s="30"/>
    </row>
    <row r="593" spans="7:7" ht="15.75" customHeight="1" x14ac:dyDescent="0.35">
      <c r="G593" s="30"/>
    </row>
    <row r="594" spans="7:7" ht="15.75" customHeight="1" x14ac:dyDescent="0.35">
      <c r="G594" s="30"/>
    </row>
    <row r="595" spans="7:7" ht="15.75" customHeight="1" x14ac:dyDescent="0.35">
      <c r="G595" s="30"/>
    </row>
    <row r="596" spans="7:7" ht="15.75" customHeight="1" x14ac:dyDescent="0.35">
      <c r="G596" s="30"/>
    </row>
    <row r="597" spans="7:7" ht="15.75" customHeight="1" x14ac:dyDescent="0.35">
      <c r="G597" s="30"/>
    </row>
    <row r="598" spans="7:7" ht="15.75" customHeight="1" x14ac:dyDescent="0.35">
      <c r="G598" s="30"/>
    </row>
    <row r="599" spans="7:7" ht="15.75" customHeight="1" x14ac:dyDescent="0.35">
      <c r="G599" s="30"/>
    </row>
    <row r="600" spans="7:7" ht="15.75" customHeight="1" x14ac:dyDescent="0.35">
      <c r="G600" s="30"/>
    </row>
    <row r="601" spans="7:7" ht="15.75" customHeight="1" x14ac:dyDescent="0.35">
      <c r="G601" s="30"/>
    </row>
    <row r="602" spans="7:7" ht="15.75" customHeight="1" x14ac:dyDescent="0.35">
      <c r="G602" s="30"/>
    </row>
    <row r="603" spans="7:7" ht="15.75" customHeight="1" x14ac:dyDescent="0.35">
      <c r="G603" s="30"/>
    </row>
    <row r="604" spans="7:7" ht="15.75" customHeight="1" x14ac:dyDescent="0.35">
      <c r="G604" s="30"/>
    </row>
    <row r="605" spans="7:7" ht="15.75" customHeight="1" x14ac:dyDescent="0.35">
      <c r="G605" s="30"/>
    </row>
    <row r="606" spans="7:7" ht="15.75" customHeight="1" x14ac:dyDescent="0.35">
      <c r="G606" s="30"/>
    </row>
    <row r="607" spans="7:7" ht="15.75" customHeight="1" x14ac:dyDescent="0.35">
      <c r="G607" s="30"/>
    </row>
    <row r="608" spans="7:7" ht="15.75" customHeight="1" x14ac:dyDescent="0.35">
      <c r="G608" s="30"/>
    </row>
    <row r="609" spans="7:7" ht="15.75" customHeight="1" x14ac:dyDescent="0.35">
      <c r="G609" s="30"/>
    </row>
    <row r="610" spans="7:7" ht="15.75" customHeight="1" x14ac:dyDescent="0.35">
      <c r="G610" s="30"/>
    </row>
    <row r="611" spans="7:7" ht="15.75" customHeight="1" x14ac:dyDescent="0.35">
      <c r="G611" s="30"/>
    </row>
    <row r="612" spans="7:7" ht="15.75" customHeight="1" x14ac:dyDescent="0.35">
      <c r="G612" s="30"/>
    </row>
    <row r="613" spans="7:7" ht="15.75" customHeight="1" x14ac:dyDescent="0.35">
      <c r="G613" s="30"/>
    </row>
    <row r="614" spans="7:7" ht="15.75" customHeight="1" x14ac:dyDescent="0.35">
      <c r="G614" s="30"/>
    </row>
    <row r="615" spans="7:7" ht="15.75" customHeight="1" x14ac:dyDescent="0.35">
      <c r="G615" s="30"/>
    </row>
    <row r="616" spans="7:7" ht="15.75" customHeight="1" x14ac:dyDescent="0.35">
      <c r="G616" s="30"/>
    </row>
    <row r="617" spans="7:7" ht="15.75" customHeight="1" x14ac:dyDescent="0.35">
      <c r="G617" s="30"/>
    </row>
    <row r="618" spans="7:7" ht="15.75" customHeight="1" x14ac:dyDescent="0.35">
      <c r="G618" s="30"/>
    </row>
    <row r="619" spans="7:7" ht="15.75" customHeight="1" x14ac:dyDescent="0.35">
      <c r="G619" s="30"/>
    </row>
    <row r="620" spans="7:7" ht="15.75" customHeight="1" x14ac:dyDescent="0.35">
      <c r="G620" s="30"/>
    </row>
    <row r="621" spans="7:7" ht="15.75" customHeight="1" x14ac:dyDescent="0.35">
      <c r="G621" s="30"/>
    </row>
    <row r="622" spans="7:7" ht="15.75" customHeight="1" x14ac:dyDescent="0.35">
      <c r="G622" s="30"/>
    </row>
    <row r="623" spans="7:7" ht="15.75" customHeight="1" x14ac:dyDescent="0.35">
      <c r="G623" s="30"/>
    </row>
    <row r="624" spans="7:7" ht="15.75" customHeight="1" x14ac:dyDescent="0.35">
      <c r="G624" s="30"/>
    </row>
    <row r="625" spans="7:7" ht="15.75" customHeight="1" x14ac:dyDescent="0.35">
      <c r="G625" s="30"/>
    </row>
    <row r="626" spans="7:7" ht="15.75" customHeight="1" x14ac:dyDescent="0.35">
      <c r="G626" s="30"/>
    </row>
    <row r="627" spans="7:7" ht="15.75" customHeight="1" x14ac:dyDescent="0.35">
      <c r="G627" s="30"/>
    </row>
    <row r="628" spans="7:7" ht="15.75" customHeight="1" x14ac:dyDescent="0.35">
      <c r="G628" s="30"/>
    </row>
    <row r="629" spans="7:7" ht="15.75" customHeight="1" x14ac:dyDescent="0.35">
      <c r="G629" s="30"/>
    </row>
    <row r="630" spans="7:7" ht="15.75" customHeight="1" x14ac:dyDescent="0.35">
      <c r="G630" s="30"/>
    </row>
    <row r="631" spans="7:7" ht="15.75" customHeight="1" x14ac:dyDescent="0.35">
      <c r="G631" s="30"/>
    </row>
    <row r="632" spans="7:7" ht="15.75" customHeight="1" x14ac:dyDescent="0.35">
      <c r="G632" s="30"/>
    </row>
    <row r="633" spans="7:7" ht="15.75" customHeight="1" x14ac:dyDescent="0.35">
      <c r="G633" s="30"/>
    </row>
    <row r="634" spans="7:7" ht="15.75" customHeight="1" x14ac:dyDescent="0.35">
      <c r="G634" s="30"/>
    </row>
    <row r="635" spans="7:7" ht="15.75" customHeight="1" x14ac:dyDescent="0.35">
      <c r="G635" s="30"/>
    </row>
    <row r="636" spans="7:7" ht="15.75" customHeight="1" x14ac:dyDescent="0.35">
      <c r="G636" s="30"/>
    </row>
    <row r="637" spans="7:7" ht="15.75" customHeight="1" x14ac:dyDescent="0.35">
      <c r="G637" s="30"/>
    </row>
    <row r="638" spans="7:7" ht="15.75" customHeight="1" x14ac:dyDescent="0.35">
      <c r="G638" s="30"/>
    </row>
    <row r="639" spans="7:7" ht="15.75" customHeight="1" x14ac:dyDescent="0.35">
      <c r="G639" s="30"/>
    </row>
    <row r="640" spans="7:7" ht="15.75" customHeight="1" x14ac:dyDescent="0.35">
      <c r="G640" s="30"/>
    </row>
    <row r="641" spans="7:7" ht="15.75" customHeight="1" x14ac:dyDescent="0.35">
      <c r="G641" s="30"/>
    </row>
    <row r="642" spans="7:7" ht="15.75" customHeight="1" x14ac:dyDescent="0.35">
      <c r="G642" s="30"/>
    </row>
    <row r="643" spans="7:7" ht="15.75" customHeight="1" x14ac:dyDescent="0.35">
      <c r="G643" s="30"/>
    </row>
    <row r="644" spans="7:7" ht="15.75" customHeight="1" x14ac:dyDescent="0.35">
      <c r="G644" s="30"/>
    </row>
    <row r="645" spans="7:7" ht="15.75" customHeight="1" x14ac:dyDescent="0.35">
      <c r="G645" s="30"/>
    </row>
    <row r="646" spans="7:7" ht="15.75" customHeight="1" x14ac:dyDescent="0.35">
      <c r="G646" s="30"/>
    </row>
    <row r="647" spans="7:7" ht="15.75" customHeight="1" x14ac:dyDescent="0.35">
      <c r="G647" s="30"/>
    </row>
    <row r="648" spans="7:7" ht="15.75" customHeight="1" x14ac:dyDescent="0.35">
      <c r="G648" s="30"/>
    </row>
    <row r="649" spans="7:7" ht="15.75" customHeight="1" x14ac:dyDescent="0.35">
      <c r="G649" s="30"/>
    </row>
    <row r="650" spans="7:7" ht="15.75" customHeight="1" x14ac:dyDescent="0.35">
      <c r="G650" s="30"/>
    </row>
    <row r="651" spans="7:7" ht="15.75" customHeight="1" x14ac:dyDescent="0.35">
      <c r="G651" s="30"/>
    </row>
    <row r="652" spans="7:7" ht="15.75" customHeight="1" x14ac:dyDescent="0.35">
      <c r="G652" s="30"/>
    </row>
    <row r="653" spans="7:7" ht="15.75" customHeight="1" x14ac:dyDescent="0.35">
      <c r="G653" s="30"/>
    </row>
    <row r="654" spans="7:7" ht="15.75" customHeight="1" x14ac:dyDescent="0.35">
      <c r="G654" s="30"/>
    </row>
    <row r="655" spans="7:7" ht="15.75" customHeight="1" x14ac:dyDescent="0.35">
      <c r="G655" s="30"/>
    </row>
    <row r="656" spans="7:7" ht="15.75" customHeight="1" x14ac:dyDescent="0.35">
      <c r="G656" s="30"/>
    </row>
    <row r="657" spans="7:7" ht="15.75" customHeight="1" x14ac:dyDescent="0.35">
      <c r="G657" s="30"/>
    </row>
    <row r="658" spans="7:7" ht="15.75" customHeight="1" x14ac:dyDescent="0.35">
      <c r="G658" s="30"/>
    </row>
    <row r="659" spans="7:7" ht="15.75" customHeight="1" x14ac:dyDescent="0.35">
      <c r="G659" s="30"/>
    </row>
    <row r="660" spans="7:7" ht="15.75" customHeight="1" x14ac:dyDescent="0.35">
      <c r="G660" s="30"/>
    </row>
    <row r="661" spans="7:7" ht="15.75" customHeight="1" x14ac:dyDescent="0.35">
      <c r="G661" s="30"/>
    </row>
    <row r="662" spans="7:7" ht="15.75" customHeight="1" x14ac:dyDescent="0.35">
      <c r="G662" s="30"/>
    </row>
    <row r="663" spans="7:7" ht="15.75" customHeight="1" x14ac:dyDescent="0.35">
      <c r="G663" s="30"/>
    </row>
    <row r="664" spans="7:7" ht="15.75" customHeight="1" x14ac:dyDescent="0.35">
      <c r="G664" s="30"/>
    </row>
    <row r="665" spans="7:7" ht="15.75" customHeight="1" x14ac:dyDescent="0.35">
      <c r="G665" s="30"/>
    </row>
    <row r="666" spans="7:7" ht="15.75" customHeight="1" x14ac:dyDescent="0.35">
      <c r="G666" s="30"/>
    </row>
    <row r="667" spans="7:7" ht="15.75" customHeight="1" x14ac:dyDescent="0.35">
      <c r="G667" s="30"/>
    </row>
    <row r="668" spans="7:7" ht="15.75" customHeight="1" x14ac:dyDescent="0.35">
      <c r="G668" s="30"/>
    </row>
    <row r="669" spans="7:7" ht="15.75" customHeight="1" x14ac:dyDescent="0.35">
      <c r="G669" s="30"/>
    </row>
    <row r="670" spans="7:7" ht="15.75" customHeight="1" x14ac:dyDescent="0.35">
      <c r="G670" s="30"/>
    </row>
    <row r="671" spans="7:7" ht="15.75" customHeight="1" x14ac:dyDescent="0.35">
      <c r="G671" s="30"/>
    </row>
    <row r="672" spans="7:7" ht="15.75" customHeight="1" x14ac:dyDescent="0.35">
      <c r="G672" s="30"/>
    </row>
    <row r="673" spans="7:7" ht="15.75" customHeight="1" x14ac:dyDescent="0.35">
      <c r="G673" s="30"/>
    </row>
    <row r="674" spans="7:7" ht="15.75" customHeight="1" x14ac:dyDescent="0.35">
      <c r="G674" s="30"/>
    </row>
    <row r="675" spans="7:7" ht="15.75" customHeight="1" x14ac:dyDescent="0.35">
      <c r="G675" s="30"/>
    </row>
    <row r="676" spans="7:7" ht="15.75" customHeight="1" x14ac:dyDescent="0.35">
      <c r="G676" s="30"/>
    </row>
    <row r="677" spans="7:7" ht="15.75" customHeight="1" x14ac:dyDescent="0.35">
      <c r="G677" s="30"/>
    </row>
    <row r="678" spans="7:7" ht="15.75" customHeight="1" x14ac:dyDescent="0.35">
      <c r="G678" s="30"/>
    </row>
    <row r="679" spans="7:7" ht="15.75" customHeight="1" x14ac:dyDescent="0.35">
      <c r="G679" s="30"/>
    </row>
    <row r="680" spans="7:7" ht="15.75" customHeight="1" x14ac:dyDescent="0.35">
      <c r="G680" s="30"/>
    </row>
    <row r="681" spans="7:7" ht="15.75" customHeight="1" x14ac:dyDescent="0.35">
      <c r="G681" s="30"/>
    </row>
    <row r="682" spans="7:7" ht="15.75" customHeight="1" x14ac:dyDescent="0.35">
      <c r="G682" s="30"/>
    </row>
    <row r="683" spans="7:7" ht="15.75" customHeight="1" x14ac:dyDescent="0.35">
      <c r="G683" s="30"/>
    </row>
    <row r="684" spans="7:7" ht="15.75" customHeight="1" x14ac:dyDescent="0.35">
      <c r="G684" s="30"/>
    </row>
    <row r="685" spans="7:7" ht="15.75" customHeight="1" x14ac:dyDescent="0.35">
      <c r="G685" s="30"/>
    </row>
    <row r="686" spans="7:7" ht="15.75" customHeight="1" x14ac:dyDescent="0.35">
      <c r="G686" s="30"/>
    </row>
    <row r="687" spans="7:7" ht="15.75" customHeight="1" x14ac:dyDescent="0.35">
      <c r="G687" s="30"/>
    </row>
    <row r="688" spans="7:7" ht="15.75" customHeight="1" x14ac:dyDescent="0.35">
      <c r="G688" s="30"/>
    </row>
    <row r="689" spans="7:7" ht="15.75" customHeight="1" x14ac:dyDescent="0.35">
      <c r="G689" s="30"/>
    </row>
    <row r="690" spans="7:7" ht="15.75" customHeight="1" x14ac:dyDescent="0.35">
      <c r="G690" s="30"/>
    </row>
    <row r="691" spans="7:7" ht="15.75" customHeight="1" x14ac:dyDescent="0.35">
      <c r="G691" s="30"/>
    </row>
    <row r="692" spans="7:7" ht="15.75" customHeight="1" x14ac:dyDescent="0.35">
      <c r="G692" s="30"/>
    </row>
    <row r="693" spans="7:7" ht="15.75" customHeight="1" x14ac:dyDescent="0.35">
      <c r="G693" s="30"/>
    </row>
    <row r="694" spans="7:7" ht="15.75" customHeight="1" x14ac:dyDescent="0.35">
      <c r="G694" s="30"/>
    </row>
    <row r="695" spans="7:7" ht="15.75" customHeight="1" x14ac:dyDescent="0.35">
      <c r="G695" s="30"/>
    </row>
    <row r="696" spans="7:7" ht="15.75" customHeight="1" x14ac:dyDescent="0.35">
      <c r="G696" s="30"/>
    </row>
    <row r="697" spans="7:7" ht="15.75" customHeight="1" x14ac:dyDescent="0.35">
      <c r="G697" s="30"/>
    </row>
    <row r="698" spans="7:7" ht="15.75" customHeight="1" x14ac:dyDescent="0.35">
      <c r="G698" s="30"/>
    </row>
    <row r="699" spans="7:7" ht="15.75" customHeight="1" x14ac:dyDescent="0.35">
      <c r="G699" s="30"/>
    </row>
    <row r="700" spans="7:7" ht="15.75" customHeight="1" x14ac:dyDescent="0.35">
      <c r="G700" s="30"/>
    </row>
    <row r="701" spans="7:7" ht="15.75" customHeight="1" x14ac:dyDescent="0.35">
      <c r="G701" s="30"/>
    </row>
    <row r="702" spans="7:7" ht="15.75" customHeight="1" x14ac:dyDescent="0.35">
      <c r="G702" s="30"/>
    </row>
    <row r="703" spans="7:7" ht="15.75" customHeight="1" x14ac:dyDescent="0.35">
      <c r="G703" s="30"/>
    </row>
    <row r="704" spans="7:7" ht="15.75" customHeight="1" x14ac:dyDescent="0.35">
      <c r="G704" s="30"/>
    </row>
    <row r="705" spans="7:7" ht="15.75" customHeight="1" x14ac:dyDescent="0.35">
      <c r="G705" s="30"/>
    </row>
    <row r="706" spans="7:7" ht="15.75" customHeight="1" x14ac:dyDescent="0.35">
      <c r="G706" s="30"/>
    </row>
    <row r="707" spans="7:7" ht="15.75" customHeight="1" x14ac:dyDescent="0.35">
      <c r="G707" s="30"/>
    </row>
    <row r="708" spans="7:7" ht="15.75" customHeight="1" x14ac:dyDescent="0.35">
      <c r="G708" s="30"/>
    </row>
    <row r="709" spans="7:7" ht="15.75" customHeight="1" x14ac:dyDescent="0.35">
      <c r="G709" s="30"/>
    </row>
    <row r="710" spans="7:7" ht="15.75" customHeight="1" x14ac:dyDescent="0.35">
      <c r="G710" s="30"/>
    </row>
    <row r="711" spans="7:7" ht="15.75" customHeight="1" x14ac:dyDescent="0.35">
      <c r="G711" s="30"/>
    </row>
    <row r="712" spans="7:7" ht="15.75" customHeight="1" x14ac:dyDescent="0.35">
      <c r="G712" s="30"/>
    </row>
    <row r="713" spans="7:7" ht="15.75" customHeight="1" x14ac:dyDescent="0.35">
      <c r="G713" s="30"/>
    </row>
    <row r="714" spans="7:7" ht="15.75" customHeight="1" x14ac:dyDescent="0.35">
      <c r="G714" s="30"/>
    </row>
    <row r="715" spans="7:7" ht="15.75" customHeight="1" x14ac:dyDescent="0.35">
      <c r="G715" s="30"/>
    </row>
    <row r="716" spans="7:7" ht="15.75" customHeight="1" x14ac:dyDescent="0.35">
      <c r="G716" s="30"/>
    </row>
    <row r="717" spans="7:7" ht="15.75" customHeight="1" x14ac:dyDescent="0.35">
      <c r="G717" s="30"/>
    </row>
    <row r="718" spans="7:7" ht="15.75" customHeight="1" x14ac:dyDescent="0.35">
      <c r="G718" s="30"/>
    </row>
    <row r="719" spans="7:7" ht="15.75" customHeight="1" x14ac:dyDescent="0.35">
      <c r="G719" s="30"/>
    </row>
    <row r="720" spans="7:7" ht="15.75" customHeight="1" x14ac:dyDescent="0.35">
      <c r="G720" s="30"/>
    </row>
    <row r="721" spans="7:7" ht="15.75" customHeight="1" x14ac:dyDescent="0.35">
      <c r="G721" s="30"/>
    </row>
    <row r="722" spans="7:7" ht="15.75" customHeight="1" x14ac:dyDescent="0.35">
      <c r="G722" s="30"/>
    </row>
    <row r="723" spans="7:7" ht="15.75" customHeight="1" x14ac:dyDescent="0.35">
      <c r="G723" s="30"/>
    </row>
    <row r="724" spans="7:7" ht="15.75" customHeight="1" x14ac:dyDescent="0.35">
      <c r="G724" s="30"/>
    </row>
    <row r="725" spans="7:7" ht="15.75" customHeight="1" x14ac:dyDescent="0.35">
      <c r="G725" s="30"/>
    </row>
    <row r="726" spans="7:7" ht="15.75" customHeight="1" x14ac:dyDescent="0.35">
      <c r="G726" s="30"/>
    </row>
    <row r="727" spans="7:7" ht="15.75" customHeight="1" x14ac:dyDescent="0.35">
      <c r="G727" s="30"/>
    </row>
    <row r="728" spans="7:7" ht="15.75" customHeight="1" x14ac:dyDescent="0.35">
      <c r="G728" s="30"/>
    </row>
    <row r="729" spans="7:7" ht="15.75" customHeight="1" x14ac:dyDescent="0.35">
      <c r="G729" s="30"/>
    </row>
    <row r="730" spans="7:7" ht="15.75" customHeight="1" x14ac:dyDescent="0.35">
      <c r="G730" s="30"/>
    </row>
    <row r="731" spans="7:7" ht="15.75" customHeight="1" x14ac:dyDescent="0.35">
      <c r="G731" s="30"/>
    </row>
    <row r="732" spans="7:7" ht="15.75" customHeight="1" x14ac:dyDescent="0.35">
      <c r="G732" s="30"/>
    </row>
    <row r="733" spans="7:7" ht="15.75" customHeight="1" x14ac:dyDescent="0.35">
      <c r="G733" s="30"/>
    </row>
    <row r="734" spans="7:7" ht="15.75" customHeight="1" x14ac:dyDescent="0.35">
      <c r="G734" s="30"/>
    </row>
    <row r="735" spans="7:7" ht="15.75" customHeight="1" x14ac:dyDescent="0.35">
      <c r="G735" s="30"/>
    </row>
    <row r="736" spans="7:7" ht="15.75" customHeight="1" x14ac:dyDescent="0.35">
      <c r="G736" s="30"/>
    </row>
    <row r="737" spans="7:7" ht="15.75" customHeight="1" x14ac:dyDescent="0.35">
      <c r="G737" s="30"/>
    </row>
    <row r="738" spans="7:7" ht="15.75" customHeight="1" x14ac:dyDescent="0.35">
      <c r="G738" s="30"/>
    </row>
    <row r="739" spans="7:7" ht="15.75" customHeight="1" x14ac:dyDescent="0.35">
      <c r="G739" s="30"/>
    </row>
    <row r="740" spans="7:7" ht="15.75" customHeight="1" x14ac:dyDescent="0.35">
      <c r="G740" s="30"/>
    </row>
    <row r="741" spans="7:7" ht="15.75" customHeight="1" x14ac:dyDescent="0.35">
      <c r="G741" s="30"/>
    </row>
    <row r="742" spans="7:7" ht="15.75" customHeight="1" x14ac:dyDescent="0.35">
      <c r="G742" s="30"/>
    </row>
    <row r="743" spans="7:7" ht="15.75" customHeight="1" x14ac:dyDescent="0.35">
      <c r="G743" s="30"/>
    </row>
    <row r="744" spans="7:7" ht="15.75" customHeight="1" x14ac:dyDescent="0.35">
      <c r="G744" s="30"/>
    </row>
    <row r="745" spans="7:7" ht="15.75" customHeight="1" x14ac:dyDescent="0.35">
      <c r="G745" s="30"/>
    </row>
    <row r="746" spans="7:7" ht="15.75" customHeight="1" x14ac:dyDescent="0.35">
      <c r="G746" s="30"/>
    </row>
    <row r="747" spans="7:7" ht="15.75" customHeight="1" x14ac:dyDescent="0.35">
      <c r="G747" s="30"/>
    </row>
    <row r="748" spans="7:7" ht="15.75" customHeight="1" x14ac:dyDescent="0.35">
      <c r="G748" s="30"/>
    </row>
    <row r="749" spans="7:7" ht="15.75" customHeight="1" x14ac:dyDescent="0.35">
      <c r="G749" s="30"/>
    </row>
    <row r="750" spans="7:7" ht="15.75" customHeight="1" x14ac:dyDescent="0.35">
      <c r="G750" s="30"/>
    </row>
    <row r="751" spans="7:7" ht="15.75" customHeight="1" x14ac:dyDescent="0.35">
      <c r="G751" s="30"/>
    </row>
    <row r="752" spans="7:7" ht="15.75" customHeight="1" x14ac:dyDescent="0.35">
      <c r="G752" s="30"/>
    </row>
    <row r="753" spans="7:7" ht="15.75" customHeight="1" x14ac:dyDescent="0.35">
      <c r="G753" s="30"/>
    </row>
    <row r="754" spans="7:7" ht="15.75" customHeight="1" x14ac:dyDescent="0.35">
      <c r="G754" s="30"/>
    </row>
    <row r="755" spans="7:7" ht="15.75" customHeight="1" x14ac:dyDescent="0.35">
      <c r="G755" s="30"/>
    </row>
    <row r="756" spans="7:7" ht="15.75" customHeight="1" x14ac:dyDescent="0.35">
      <c r="G756" s="30"/>
    </row>
    <row r="757" spans="7:7" ht="15.75" customHeight="1" x14ac:dyDescent="0.35">
      <c r="G757" s="30"/>
    </row>
    <row r="758" spans="7:7" ht="15.75" customHeight="1" x14ac:dyDescent="0.35">
      <c r="G758" s="30"/>
    </row>
    <row r="759" spans="7:7" ht="15.75" customHeight="1" x14ac:dyDescent="0.35">
      <c r="G759" s="30"/>
    </row>
    <row r="760" spans="7:7" ht="15.75" customHeight="1" x14ac:dyDescent="0.35">
      <c r="G760" s="30"/>
    </row>
    <row r="761" spans="7:7" ht="15.75" customHeight="1" x14ac:dyDescent="0.35">
      <c r="G761" s="30"/>
    </row>
    <row r="762" spans="7:7" ht="15.75" customHeight="1" x14ac:dyDescent="0.35">
      <c r="G762" s="30"/>
    </row>
    <row r="763" spans="7:7" ht="15.75" customHeight="1" x14ac:dyDescent="0.35">
      <c r="G763" s="30"/>
    </row>
    <row r="764" spans="7:7" ht="15.75" customHeight="1" x14ac:dyDescent="0.35">
      <c r="G764" s="30"/>
    </row>
    <row r="765" spans="7:7" ht="15.75" customHeight="1" x14ac:dyDescent="0.35">
      <c r="G765" s="30"/>
    </row>
    <row r="766" spans="7:7" ht="15.75" customHeight="1" x14ac:dyDescent="0.35">
      <c r="G766" s="30"/>
    </row>
    <row r="767" spans="7:7" ht="15.75" customHeight="1" x14ac:dyDescent="0.35">
      <c r="G767" s="30"/>
    </row>
    <row r="768" spans="7:7" ht="15.75" customHeight="1" x14ac:dyDescent="0.35">
      <c r="G768" s="30"/>
    </row>
    <row r="769" spans="7:7" ht="15.75" customHeight="1" x14ac:dyDescent="0.35">
      <c r="G769" s="30"/>
    </row>
    <row r="770" spans="7:7" ht="15.75" customHeight="1" x14ac:dyDescent="0.35">
      <c r="G770" s="30"/>
    </row>
    <row r="771" spans="7:7" ht="15.75" customHeight="1" x14ac:dyDescent="0.35">
      <c r="G771" s="30"/>
    </row>
    <row r="772" spans="7:7" ht="15.75" customHeight="1" x14ac:dyDescent="0.35">
      <c r="G772" s="30"/>
    </row>
    <row r="773" spans="7:7" ht="15.75" customHeight="1" x14ac:dyDescent="0.35">
      <c r="G773" s="30"/>
    </row>
    <row r="774" spans="7:7" ht="15.75" customHeight="1" x14ac:dyDescent="0.35">
      <c r="G774" s="30"/>
    </row>
    <row r="775" spans="7:7" ht="15.75" customHeight="1" x14ac:dyDescent="0.35">
      <c r="G775" s="30"/>
    </row>
    <row r="776" spans="7:7" ht="15.75" customHeight="1" x14ac:dyDescent="0.35">
      <c r="G776" s="30"/>
    </row>
    <row r="777" spans="7:7" ht="15.75" customHeight="1" x14ac:dyDescent="0.35">
      <c r="G777" s="30"/>
    </row>
    <row r="778" spans="7:7" ht="15.75" customHeight="1" x14ac:dyDescent="0.35">
      <c r="G778" s="30"/>
    </row>
    <row r="779" spans="7:7" ht="15.75" customHeight="1" x14ac:dyDescent="0.35">
      <c r="G779" s="30"/>
    </row>
    <row r="780" spans="7:7" ht="15.75" customHeight="1" x14ac:dyDescent="0.35">
      <c r="G780" s="30"/>
    </row>
    <row r="781" spans="7:7" ht="15.75" customHeight="1" x14ac:dyDescent="0.35">
      <c r="G781" s="30"/>
    </row>
    <row r="782" spans="7:7" ht="15.75" customHeight="1" x14ac:dyDescent="0.35">
      <c r="G782" s="30"/>
    </row>
    <row r="783" spans="7:7" ht="15.75" customHeight="1" x14ac:dyDescent="0.35">
      <c r="G783" s="30"/>
    </row>
    <row r="784" spans="7:7" ht="15.75" customHeight="1" x14ac:dyDescent="0.35">
      <c r="G784" s="30"/>
    </row>
    <row r="785" spans="7:7" ht="15.75" customHeight="1" x14ac:dyDescent="0.35">
      <c r="G785" s="30"/>
    </row>
    <row r="786" spans="7:7" ht="15.75" customHeight="1" x14ac:dyDescent="0.35">
      <c r="G786" s="30"/>
    </row>
    <row r="787" spans="7:7" ht="15.75" customHeight="1" x14ac:dyDescent="0.35">
      <c r="G787" s="30"/>
    </row>
    <row r="788" spans="7:7" ht="15.75" customHeight="1" x14ac:dyDescent="0.35">
      <c r="G788" s="30"/>
    </row>
    <row r="789" spans="7:7" ht="15.75" customHeight="1" x14ac:dyDescent="0.35">
      <c r="G789" s="30"/>
    </row>
    <row r="790" spans="7:7" ht="15.75" customHeight="1" x14ac:dyDescent="0.35">
      <c r="G790" s="30"/>
    </row>
    <row r="791" spans="7:7" ht="15.75" customHeight="1" x14ac:dyDescent="0.35">
      <c r="G791" s="30"/>
    </row>
    <row r="792" spans="7:7" ht="15.75" customHeight="1" x14ac:dyDescent="0.35">
      <c r="G792" s="30"/>
    </row>
    <row r="793" spans="7:7" ht="15.75" customHeight="1" x14ac:dyDescent="0.35">
      <c r="G793" s="30"/>
    </row>
    <row r="794" spans="7:7" ht="15.75" customHeight="1" x14ac:dyDescent="0.35">
      <c r="G794" s="30"/>
    </row>
    <row r="795" spans="7:7" ht="15.75" customHeight="1" x14ac:dyDescent="0.35">
      <c r="G795" s="30"/>
    </row>
    <row r="796" spans="7:7" ht="15.75" customHeight="1" x14ac:dyDescent="0.35">
      <c r="G796" s="30"/>
    </row>
    <row r="797" spans="7:7" ht="15.75" customHeight="1" x14ac:dyDescent="0.35">
      <c r="G797" s="30"/>
    </row>
    <row r="798" spans="7:7" ht="15.75" customHeight="1" x14ac:dyDescent="0.35">
      <c r="G798" s="30"/>
    </row>
    <row r="799" spans="7:7" ht="15.75" customHeight="1" x14ac:dyDescent="0.35">
      <c r="G799" s="30"/>
    </row>
    <row r="800" spans="7:7" ht="15.75" customHeight="1" x14ac:dyDescent="0.35">
      <c r="G800" s="30"/>
    </row>
    <row r="801" spans="7:7" ht="15.75" customHeight="1" x14ac:dyDescent="0.35">
      <c r="G801" s="30"/>
    </row>
    <row r="802" spans="7:7" ht="15.75" customHeight="1" x14ac:dyDescent="0.35">
      <c r="G802" s="30"/>
    </row>
    <row r="803" spans="7:7" ht="15.75" customHeight="1" x14ac:dyDescent="0.35">
      <c r="G803" s="30"/>
    </row>
    <row r="804" spans="7:7" ht="15.75" customHeight="1" x14ac:dyDescent="0.35">
      <c r="G804" s="30"/>
    </row>
    <row r="805" spans="7:7" ht="15.75" customHeight="1" x14ac:dyDescent="0.35">
      <c r="G805" s="30"/>
    </row>
    <row r="806" spans="7:7" ht="15.75" customHeight="1" x14ac:dyDescent="0.35">
      <c r="G806" s="30"/>
    </row>
    <row r="807" spans="7:7" ht="15.75" customHeight="1" x14ac:dyDescent="0.35">
      <c r="G807" s="30"/>
    </row>
    <row r="808" spans="7:7" ht="15.75" customHeight="1" x14ac:dyDescent="0.35">
      <c r="G808" s="30"/>
    </row>
    <row r="809" spans="7:7" ht="15.75" customHeight="1" x14ac:dyDescent="0.35">
      <c r="G809" s="30"/>
    </row>
    <row r="810" spans="7:7" ht="15.75" customHeight="1" x14ac:dyDescent="0.35">
      <c r="G810" s="30"/>
    </row>
    <row r="811" spans="7:7" ht="15.75" customHeight="1" x14ac:dyDescent="0.35">
      <c r="G811" s="30"/>
    </row>
    <row r="812" spans="7:7" ht="15.75" customHeight="1" x14ac:dyDescent="0.35">
      <c r="G812" s="30"/>
    </row>
    <row r="813" spans="7:7" ht="15.75" customHeight="1" x14ac:dyDescent="0.35">
      <c r="G813" s="30"/>
    </row>
    <row r="814" spans="7:7" ht="15.75" customHeight="1" x14ac:dyDescent="0.35">
      <c r="G814" s="30"/>
    </row>
    <row r="815" spans="7:7" ht="15.75" customHeight="1" x14ac:dyDescent="0.35">
      <c r="G815" s="30"/>
    </row>
    <row r="816" spans="7:7" ht="15.75" customHeight="1" x14ac:dyDescent="0.35">
      <c r="G816" s="30"/>
    </row>
    <row r="817" spans="7:7" ht="15.75" customHeight="1" x14ac:dyDescent="0.35">
      <c r="G817" s="30"/>
    </row>
    <row r="818" spans="7:7" ht="15.75" customHeight="1" x14ac:dyDescent="0.35">
      <c r="G818" s="30"/>
    </row>
    <row r="819" spans="7:7" ht="15.75" customHeight="1" x14ac:dyDescent="0.35">
      <c r="G819" s="30"/>
    </row>
    <row r="820" spans="7:7" ht="15.75" customHeight="1" x14ac:dyDescent="0.35">
      <c r="G820" s="30"/>
    </row>
    <row r="821" spans="7:7" ht="15.75" customHeight="1" x14ac:dyDescent="0.35">
      <c r="G821" s="30"/>
    </row>
    <row r="822" spans="7:7" ht="15.75" customHeight="1" x14ac:dyDescent="0.35">
      <c r="G822" s="30"/>
    </row>
    <row r="823" spans="7:7" ht="15.75" customHeight="1" x14ac:dyDescent="0.35">
      <c r="G823" s="30"/>
    </row>
    <row r="824" spans="7:7" ht="15.75" customHeight="1" x14ac:dyDescent="0.35">
      <c r="G824" s="30"/>
    </row>
    <row r="825" spans="7:7" ht="15.75" customHeight="1" x14ac:dyDescent="0.35">
      <c r="G825" s="30"/>
    </row>
    <row r="826" spans="7:7" ht="15.75" customHeight="1" x14ac:dyDescent="0.35">
      <c r="G826" s="30"/>
    </row>
    <row r="827" spans="7:7" ht="15.75" customHeight="1" x14ac:dyDescent="0.35">
      <c r="G827" s="30"/>
    </row>
    <row r="828" spans="7:7" ht="15.75" customHeight="1" x14ac:dyDescent="0.35">
      <c r="G828" s="30"/>
    </row>
    <row r="829" spans="7:7" ht="15.75" customHeight="1" x14ac:dyDescent="0.35">
      <c r="G829" s="30"/>
    </row>
    <row r="830" spans="7:7" ht="15.75" customHeight="1" x14ac:dyDescent="0.35">
      <c r="G830" s="30"/>
    </row>
    <row r="831" spans="7:7" ht="15.75" customHeight="1" x14ac:dyDescent="0.35">
      <c r="G831" s="30"/>
    </row>
    <row r="832" spans="7:7" ht="15.75" customHeight="1" x14ac:dyDescent="0.35">
      <c r="G832" s="30"/>
    </row>
    <row r="833" spans="7:7" ht="15.75" customHeight="1" x14ac:dyDescent="0.35">
      <c r="G833" s="30"/>
    </row>
    <row r="834" spans="7:7" ht="15.75" customHeight="1" x14ac:dyDescent="0.35">
      <c r="G834" s="30"/>
    </row>
    <row r="835" spans="7:7" ht="15.75" customHeight="1" x14ac:dyDescent="0.35">
      <c r="G835" s="30"/>
    </row>
    <row r="836" spans="7:7" ht="15.75" customHeight="1" x14ac:dyDescent="0.35">
      <c r="G836" s="30"/>
    </row>
    <row r="837" spans="7:7" ht="15.75" customHeight="1" x14ac:dyDescent="0.35">
      <c r="G837" s="30"/>
    </row>
    <row r="838" spans="7:7" ht="15.75" customHeight="1" x14ac:dyDescent="0.35">
      <c r="G838" s="30"/>
    </row>
    <row r="839" spans="7:7" ht="15.75" customHeight="1" x14ac:dyDescent="0.35">
      <c r="G839" s="30"/>
    </row>
    <row r="840" spans="7:7" ht="15.75" customHeight="1" x14ac:dyDescent="0.35">
      <c r="G840" s="30"/>
    </row>
    <row r="841" spans="7:7" ht="15.75" customHeight="1" x14ac:dyDescent="0.35">
      <c r="G841" s="30"/>
    </row>
    <row r="842" spans="7:7" ht="15.75" customHeight="1" x14ac:dyDescent="0.35">
      <c r="G842" s="30"/>
    </row>
    <row r="843" spans="7:7" ht="15.75" customHeight="1" x14ac:dyDescent="0.35">
      <c r="G843" s="30"/>
    </row>
    <row r="844" spans="7:7" ht="15.75" customHeight="1" x14ac:dyDescent="0.35">
      <c r="G844" s="30"/>
    </row>
    <row r="845" spans="7:7" ht="15.75" customHeight="1" x14ac:dyDescent="0.35">
      <c r="G845" s="30"/>
    </row>
    <row r="846" spans="7:7" ht="15.75" customHeight="1" x14ac:dyDescent="0.35">
      <c r="G846" s="30"/>
    </row>
    <row r="847" spans="7:7" ht="15.75" customHeight="1" x14ac:dyDescent="0.35">
      <c r="G847" s="30"/>
    </row>
    <row r="848" spans="7:7" ht="15.75" customHeight="1" x14ac:dyDescent="0.35">
      <c r="G848" s="30"/>
    </row>
    <row r="849" spans="7:7" ht="15.75" customHeight="1" x14ac:dyDescent="0.35">
      <c r="G849" s="30"/>
    </row>
    <row r="850" spans="7:7" ht="15.75" customHeight="1" x14ac:dyDescent="0.35">
      <c r="G850" s="30"/>
    </row>
    <row r="851" spans="7:7" ht="15.75" customHeight="1" x14ac:dyDescent="0.35">
      <c r="G851" s="30"/>
    </row>
    <row r="852" spans="7:7" ht="15.75" customHeight="1" x14ac:dyDescent="0.35">
      <c r="G852" s="30"/>
    </row>
    <row r="853" spans="7:7" ht="15.75" customHeight="1" x14ac:dyDescent="0.35">
      <c r="G853" s="30"/>
    </row>
    <row r="854" spans="7:7" ht="15.75" customHeight="1" x14ac:dyDescent="0.35">
      <c r="G854" s="30"/>
    </row>
    <row r="855" spans="7:7" ht="15.75" customHeight="1" x14ac:dyDescent="0.35">
      <c r="G855" s="30"/>
    </row>
    <row r="856" spans="7:7" ht="15.75" customHeight="1" x14ac:dyDescent="0.35">
      <c r="G856" s="30"/>
    </row>
    <row r="857" spans="7:7" ht="15.75" customHeight="1" x14ac:dyDescent="0.35">
      <c r="G857" s="30"/>
    </row>
    <row r="858" spans="7:7" ht="15.75" customHeight="1" x14ac:dyDescent="0.35">
      <c r="G858" s="30"/>
    </row>
    <row r="859" spans="7:7" ht="15.75" customHeight="1" x14ac:dyDescent="0.35">
      <c r="G859" s="30"/>
    </row>
    <row r="860" spans="7:7" ht="15.75" customHeight="1" x14ac:dyDescent="0.35">
      <c r="G860" s="30"/>
    </row>
    <row r="861" spans="7:7" ht="15.75" customHeight="1" x14ac:dyDescent="0.35">
      <c r="G861" s="30"/>
    </row>
    <row r="862" spans="7:7" ht="15.75" customHeight="1" x14ac:dyDescent="0.35">
      <c r="G862" s="30"/>
    </row>
    <row r="863" spans="7:7" ht="15.75" customHeight="1" x14ac:dyDescent="0.35">
      <c r="G863" s="30"/>
    </row>
    <row r="864" spans="7:7" ht="15.75" customHeight="1" x14ac:dyDescent="0.35">
      <c r="G864" s="30"/>
    </row>
    <row r="865" spans="7:7" ht="15.75" customHeight="1" x14ac:dyDescent="0.35">
      <c r="G865" s="30"/>
    </row>
    <row r="866" spans="7:7" ht="15.75" customHeight="1" x14ac:dyDescent="0.35">
      <c r="G866" s="30"/>
    </row>
    <row r="867" spans="7:7" ht="15.75" customHeight="1" x14ac:dyDescent="0.35">
      <c r="G867" s="30"/>
    </row>
    <row r="868" spans="7:7" ht="15.75" customHeight="1" x14ac:dyDescent="0.35">
      <c r="G868" s="30"/>
    </row>
    <row r="869" spans="7:7" ht="15.75" customHeight="1" x14ac:dyDescent="0.35">
      <c r="G869" s="30"/>
    </row>
    <row r="870" spans="7:7" ht="15.75" customHeight="1" x14ac:dyDescent="0.35">
      <c r="G870" s="30"/>
    </row>
    <row r="871" spans="7:7" ht="15.75" customHeight="1" x14ac:dyDescent="0.35">
      <c r="G871" s="30"/>
    </row>
    <row r="872" spans="7:7" ht="15.75" customHeight="1" x14ac:dyDescent="0.35">
      <c r="G872" s="30"/>
    </row>
    <row r="873" spans="7:7" ht="15.75" customHeight="1" x14ac:dyDescent="0.35">
      <c r="G873" s="30"/>
    </row>
    <row r="874" spans="7:7" ht="15.75" customHeight="1" x14ac:dyDescent="0.35">
      <c r="G874" s="30"/>
    </row>
    <row r="875" spans="7:7" ht="15.75" customHeight="1" x14ac:dyDescent="0.35">
      <c r="G875" s="30"/>
    </row>
    <row r="876" spans="7:7" ht="15.75" customHeight="1" x14ac:dyDescent="0.35">
      <c r="G876" s="30"/>
    </row>
    <row r="877" spans="7:7" ht="15.75" customHeight="1" x14ac:dyDescent="0.35">
      <c r="G877" s="30"/>
    </row>
    <row r="878" spans="7:7" ht="15.75" customHeight="1" x14ac:dyDescent="0.35">
      <c r="G878" s="30"/>
    </row>
    <row r="879" spans="7:7" ht="15.75" customHeight="1" x14ac:dyDescent="0.35">
      <c r="G879" s="30"/>
    </row>
    <row r="880" spans="7:7" ht="15.75" customHeight="1" x14ac:dyDescent="0.35">
      <c r="G880" s="30"/>
    </row>
    <row r="881" spans="7:7" ht="15.75" customHeight="1" x14ac:dyDescent="0.35">
      <c r="G881" s="30"/>
    </row>
    <row r="882" spans="7:7" ht="15.75" customHeight="1" x14ac:dyDescent="0.35">
      <c r="G882" s="30"/>
    </row>
    <row r="883" spans="7:7" ht="15.75" customHeight="1" x14ac:dyDescent="0.35">
      <c r="G883" s="30"/>
    </row>
    <row r="884" spans="7:7" ht="15.75" customHeight="1" x14ac:dyDescent="0.35">
      <c r="G884" s="30"/>
    </row>
    <row r="885" spans="7:7" ht="15.75" customHeight="1" x14ac:dyDescent="0.35">
      <c r="G885" s="30"/>
    </row>
    <row r="886" spans="7:7" ht="15.75" customHeight="1" x14ac:dyDescent="0.35">
      <c r="G886" s="30"/>
    </row>
    <row r="887" spans="7:7" ht="15.75" customHeight="1" x14ac:dyDescent="0.35">
      <c r="G887" s="30"/>
    </row>
    <row r="888" spans="7:7" ht="15.75" customHeight="1" x14ac:dyDescent="0.35">
      <c r="G888" s="30"/>
    </row>
    <row r="889" spans="7:7" ht="15.75" customHeight="1" x14ac:dyDescent="0.35">
      <c r="G889" s="30"/>
    </row>
    <row r="890" spans="7:7" ht="15.75" customHeight="1" x14ac:dyDescent="0.35">
      <c r="G890" s="30"/>
    </row>
    <row r="891" spans="7:7" ht="15.75" customHeight="1" x14ac:dyDescent="0.35">
      <c r="G891" s="30"/>
    </row>
    <row r="892" spans="7:7" ht="15.75" customHeight="1" x14ac:dyDescent="0.35">
      <c r="G892" s="30"/>
    </row>
    <row r="893" spans="7:7" ht="15.75" customHeight="1" x14ac:dyDescent="0.35">
      <c r="G893" s="30"/>
    </row>
    <row r="894" spans="7:7" ht="15.75" customHeight="1" x14ac:dyDescent="0.35">
      <c r="G894" s="30"/>
    </row>
    <row r="895" spans="7:7" ht="15.75" customHeight="1" x14ac:dyDescent="0.35">
      <c r="G895" s="30"/>
    </row>
    <row r="896" spans="7:7" ht="15.75" customHeight="1" x14ac:dyDescent="0.35">
      <c r="G896" s="30"/>
    </row>
    <row r="897" spans="7:7" ht="15.75" customHeight="1" x14ac:dyDescent="0.35">
      <c r="G897" s="30"/>
    </row>
    <row r="898" spans="7:7" ht="15.75" customHeight="1" x14ac:dyDescent="0.35">
      <c r="G898" s="30"/>
    </row>
    <row r="899" spans="7:7" ht="15.75" customHeight="1" x14ac:dyDescent="0.35">
      <c r="G899" s="30"/>
    </row>
    <row r="900" spans="7:7" ht="15.75" customHeight="1" x14ac:dyDescent="0.35">
      <c r="G900" s="30"/>
    </row>
    <row r="901" spans="7:7" ht="15.75" customHeight="1" x14ac:dyDescent="0.35">
      <c r="G901" s="30"/>
    </row>
    <row r="902" spans="7:7" ht="15.75" customHeight="1" x14ac:dyDescent="0.35">
      <c r="G902" s="30"/>
    </row>
    <row r="903" spans="7:7" ht="15.75" customHeight="1" x14ac:dyDescent="0.35">
      <c r="G903" s="30"/>
    </row>
    <row r="904" spans="7:7" ht="15.75" customHeight="1" x14ac:dyDescent="0.35">
      <c r="G904" s="30"/>
    </row>
    <row r="905" spans="7:7" ht="15.75" customHeight="1" x14ac:dyDescent="0.35">
      <c r="G905" s="30"/>
    </row>
    <row r="906" spans="7:7" ht="15.75" customHeight="1" x14ac:dyDescent="0.35">
      <c r="G906" s="30"/>
    </row>
    <row r="907" spans="7:7" ht="15.75" customHeight="1" x14ac:dyDescent="0.35">
      <c r="G907" s="30"/>
    </row>
    <row r="908" spans="7:7" ht="15.75" customHeight="1" x14ac:dyDescent="0.35">
      <c r="G908" s="30"/>
    </row>
    <row r="909" spans="7:7" ht="15.75" customHeight="1" x14ac:dyDescent="0.35">
      <c r="G909" s="30"/>
    </row>
    <row r="910" spans="7:7" ht="15.75" customHeight="1" x14ac:dyDescent="0.35">
      <c r="G910" s="30"/>
    </row>
    <row r="911" spans="7:7" ht="15.75" customHeight="1" x14ac:dyDescent="0.35">
      <c r="G911" s="30"/>
    </row>
    <row r="912" spans="7:7" ht="15.75" customHeight="1" x14ac:dyDescent="0.35">
      <c r="G912" s="30"/>
    </row>
    <row r="913" spans="7:7" ht="15.75" customHeight="1" x14ac:dyDescent="0.35">
      <c r="G913" s="30"/>
    </row>
    <row r="914" spans="7:7" ht="15.75" customHeight="1" x14ac:dyDescent="0.35">
      <c r="G914" s="30"/>
    </row>
    <row r="915" spans="7:7" ht="15.75" customHeight="1" x14ac:dyDescent="0.35">
      <c r="G915" s="30"/>
    </row>
    <row r="916" spans="7:7" ht="15.75" customHeight="1" x14ac:dyDescent="0.35">
      <c r="G916" s="30"/>
    </row>
    <row r="917" spans="7:7" ht="15.75" customHeight="1" x14ac:dyDescent="0.35">
      <c r="G917" s="30"/>
    </row>
    <row r="918" spans="7:7" ht="15.75" customHeight="1" x14ac:dyDescent="0.35">
      <c r="G918" s="30"/>
    </row>
    <row r="919" spans="7:7" ht="15.75" customHeight="1" x14ac:dyDescent="0.35">
      <c r="G919" s="30"/>
    </row>
    <row r="920" spans="7:7" ht="15.75" customHeight="1" x14ac:dyDescent="0.35">
      <c r="G920" s="30"/>
    </row>
    <row r="921" spans="7:7" ht="15.75" customHeight="1" x14ac:dyDescent="0.35">
      <c r="G921" s="30"/>
    </row>
    <row r="922" spans="7:7" ht="15.75" customHeight="1" x14ac:dyDescent="0.35">
      <c r="G922" s="30"/>
    </row>
    <row r="923" spans="7:7" ht="15.75" customHeight="1" x14ac:dyDescent="0.35">
      <c r="G923" s="30"/>
    </row>
    <row r="924" spans="7:7" ht="15.75" customHeight="1" x14ac:dyDescent="0.35">
      <c r="G924" s="30"/>
    </row>
    <row r="925" spans="7:7" ht="15.75" customHeight="1" x14ac:dyDescent="0.35">
      <c r="G925" s="30"/>
    </row>
    <row r="926" spans="7:7" ht="15.75" customHeight="1" x14ac:dyDescent="0.35">
      <c r="G926" s="30"/>
    </row>
    <row r="927" spans="7:7" ht="15.75" customHeight="1" x14ac:dyDescent="0.35">
      <c r="G927" s="30"/>
    </row>
    <row r="928" spans="7:7" ht="15.75" customHeight="1" x14ac:dyDescent="0.35">
      <c r="G928" s="30"/>
    </row>
    <row r="929" spans="7:7" ht="15.75" customHeight="1" x14ac:dyDescent="0.35">
      <c r="G929" s="30"/>
    </row>
    <row r="930" spans="7:7" ht="15.75" customHeight="1" x14ac:dyDescent="0.35">
      <c r="G930" s="30"/>
    </row>
    <row r="931" spans="7:7" ht="15.75" customHeight="1" x14ac:dyDescent="0.35">
      <c r="G931" s="30"/>
    </row>
    <row r="932" spans="7:7" ht="15.75" customHeight="1" x14ac:dyDescent="0.35">
      <c r="G932" s="30"/>
    </row>
    <row r="933" spans="7:7" ht="15.75" customHeight="1" x14ac:dyDescent="0.35">
      <c r="G933" s="30"/>
    </row>
    <row r="934" spans="7:7" ht="15.75" customHeight="1" x14ac:dyDescent="0.35">
      <c r="G934" s="30"/>
    </row>
    <row r="935" spans="7:7" ht="15.75" customHeight="1" x14ac:dyDescent="0.35">
      <c r="G935" s="30"/>
    </row>
    <row r="936" spans="7:7" ht="15.75" customHeight="1" x14ac:dyDescent="0.35">
      <c r="G936" s="30"/>
    </row>
    <row r="937" spans="7:7" ht="15.75" customHeight="1" x14ac:dyDescent="0.35">
      <c r="G937" s="30"/>
    </row>
    <row r="938" spans="7:7" ht="15.75" customHeight="1" x14ac:dyDescent="0.35">
      <c r="G938" s="30"/>
    </row>
    <row r="939" spans="7:7" ht="15.75" customHeight="1" x14ac:dyDescent="0.35">
      <c r="G939" s="30"/>
    </row>
    <row r="940" spans="7:7" ht="15.75" customHeight="1" x14ac:dyDescent="0.35">
      <c r="G940" s="30"/>
    </row>
    <row r="941" spans="7:7" ht="15.75" customHeight="1" x14ac:dyDescent="0.35">
      <c r="G941" s="30"/>
    </row>
    <row r="942" spans="7:7" ht="15.75" customHeight="1" x14ac:dyDescent="0.35">
      <c r="G942" s="30"/>
    </row>
    <row r="943" spans="7:7" ht="15.75" customHeight="1" x14ac:dyDescent="0.35">
      <c r="G943" s="30"/>
    </row>
    <row r="944" spans="7:7" ht="15.75" customHeight="1" x14ac:dyDescent="0.35">
      <c r="G944" s="30"/>
    </row>
    <row r="945" spans="7:7" ht="15.75" customHeight="1" x14ac:dyDescent="0.35">
      <c r="G945" s="30"/>
    </row>
    <row r="946" spans="7:7" ht="15.75" customHeight="1" x14ac:dyDescent="0.35">
      <c r="G946" s="30"/>
    </row>
    <row r="947" spans="7:7" ht="15.75" customHeight="1" x14ac:dyDescent="0.35">
      <c r="G947" s="30"/>
    </row>
    <row r="948" spans="7:7" ht="15.75" customHeight="1" x14ac:dyDescent="0.35">
      <c r="G948" s="30"/>
    </row>
    <row r="949" spans="7:7" ht="15.75" customHeight="1" x14ac:dyDescent="0.35">
      <c r="G949" s="30"/>
    </row>
    <row r="950" spans="7:7" ht="15.75" customHeight="1" x14ac:dyDescent="0.35">
      <c r="G950" s="30"/>
    </row>
    <row r="951" spans="7:7" ht="15.75" customHeight="1" x14ac:dyDescent="0.35">
      <c r="G951" s="30"/>
    </row>
    <row r="952" spans="7:7" ht="15.75" customHeight="1" x14ac:dyDescent="0.35">
      <c r="G952" s="30"/>
    </row>
    <row r="953" spans="7:7" ht="15.75" customHeight="1" x14ac:dyDescent="0.35">
      <c r="G953" s="30"/>
    </row>
    <row r="954" spans="7:7" ht="15.75" customHeight="1" x14ac:dyDescent="0.35">
      <c r="G954" s="30"/>
    </row>
    <row r="955" spans="7:7" ht="15.75" customHeight="1" x14ac:dyDescent="0.35">
      <c r="G955" s="30"/>
    </row>
    <row r="956" spans="7:7" ht="15.75" customHeight="1" x14ac:dyDescent="0.35">
      <c r="G956" s="30"/>
    </row>
    <row r="957" spans="7:7" ht="15.75" customHeight="1" x14ac:dyDescent="0.35">
      <c r="G957" s="30"/>
    </row>
    <row r="958" spans="7:7" ht="15.75" customHeight="1" x14ac:dyDescent="0.35">
      <c r="G958" s="30"/>
    </row>
    <row r="959" spans="7:7" ht="15.75" customHeight="1" x14ac:dyDescent="0.35">
      <c r="G959" s="30"/>
    </row>
    <row r="960" spans="7:7" ht="15.75" customHeight="1" x14ac:dyDescent="0.35">
      <c r="G960" s="30"/>
    </row>
    <row r="961" spans="7:7" ht="15.75" customHeight="1" x14ac:dyDescent="0.35">
      <c r="G961" s="30"/>
    </row>
    <row r="962" spans="7:7" ht="15.75" customHeight="1" x14ac:dyDescent="0.35">
      <c r="G962" s="30"/>
    </row>
    <row r="963" spans="7:7" ht="15.75" customHeight="1" x14ac:dyDescent="0.35">
      <c r="G963" s="30"/>
    </row>
    <row r="964" spans="7:7" ht="15.75" customHeight="1" x14ac:dyDescent="0.35">
      <c r="G964" s="30"/>
    </row>
    <row r="965" spans="7:7" ht="15.75" customHeight="1" x14ac:dyDescent="0.35">
      <c r="G965" s="30"/>
    </row>
    <row r="966" spans="7:7" ht="15.75" customHeight="1" x14ac:dyDescent="0.35">
      <c r="G966" s="30"/>
    </row>
    <row r="967" spans="7:7" ht="15.75" customHeight="1" x14ac:dyDescent="0.35">
      <c r="G967" s="30"/>
    </row>
    <row r="968" spans="7:7" ht="15.75" customHeight="1" x14ac:dyDescent="0.35">
      <c r="G968" s="30"/>
    </row>
    <row r="969" spans="7:7" ht="15.75" customHeight="1" x14ac:dyDescent="0.35">
      <c r="G969" s="30"/>
    </row>
    <row r="970" spans="7:7" ht="15.75" customHeight="1" x14ac:dyDescent="0.35">
      <c r="G970" s="30"/>
    </row>
    <row r="971" spans="7:7" ht="15.75" customHeight="1" x14ac:dyDescent="0.35">
      <c r="G971" s="30"/>
    </row>
    <row r="972" spans="7:7" ht="15.75" customHeight="1" x14ac:dyDescent="0.35">
      <c r="G972" s="30"/>
    </row>
    <row r="973" spans="7:7" ht="15.75" customHeight="1" x14ac:dyDescent="0.35">
      <c r="G973" s="30"/>
    </row>
    <row r="974" spans="7:7" ht="15.75" customHeight="1" x14ac:dyDescent="0.35">
      <c r="G974" s="30"/>
    </row>
    <row r="975" spans="7:7" ht="15.75" customHeight="1" x14ac:dyDescent="0.35">
      <c r="G975" s="30"/>
    </row>
    <row r="976" spans="7:7" ht="15.75" customHeight="1" x14ac:dyDescent="0.35">
      <c r="G976" s="30"/>
    </row>
    <row r="977" spans="7:7" ht="15.75" customHeight="1" x14ac:dyDescent="0.35">
      <c r="G977" s="30"/>
    </row>
    <row r="978" spans="7:7" ht="15.75" customHeight="1" x14ac:dyDescent="0.35">
      <c r="G978" s="30"/>
    </row>
    <row r="979" spans="7:7" ht="15.75" customHeight="1" x14ac:dyDescent="0.35">
      <c r="G979" s="30"/>
    </row>
    <row r="980" spans="7:7" ht="15.75" customHeight="1" x14ac:dyDescent="0.35">
      <c r="G980" s="30"/>
    </row>
    <row r="981" spans="7:7" ht="15.75" customHeight="1" x14ac:dyDescent="0.35">
      <c r="G981" s="30"/>
    </row>
    <row r="982" spans="7:7" ht="15.75" customHeight="1" x14ac:dyDescent="0.35">
      <c r="G982" s="30"/>
    </row>
    <row r="983" spans="7:7" ht="15.75" customHeight="1" x14ac:dyDescent="0.35">
      <c r="G983" s="30"/>
    </row>
    <row r="984" spans="7:7" ht="15.75" customHeight="1" x14ac:dyDescent="0.35">
      <c r="G984" s="30"/>
    </row>
    <row r="985" spans="7:7" ht="15.75" customHeight="1" x14ac:dyDescent="0.35">
      <c r="G985" s="30"/>
    </row>
    <row r="986" spans="7:7" ht="15.75" customHeight="1" x14ac:dyDescent="0.35">
      <c r="G986" s="30"/>
    </row>
    <row r="987" spans="7:7" ht="15.75" customHeight="1" x14ac:dyDescent="0.35">
      <c r="G987" s="30"/>
    </row>
    <row r="988" spans="7:7" ht="15.75" customHeight="1" x14ac:dyDescent="0.35">
      <c r="G988" s="30"/>
    </row>
    <row r="989" spans="7:7" ht="15.75" customHeight="1" x14ac:dyDescent="0.35">
      <c r="G989" s="30"/>
    </row>
    <row r="990" spans="7:7" ht="15.75" customHeight="1" x14ac:dyDescent="0.35">
      <c r="G990" s="30"/>
    </row>
    <row r="991" spans="7:7" ht="15.75" customHeight="1" x14ac:dyDescent="0.35">
      <c r="G991" s="30"/>
    </row>
    <row r="992" spans="7:7" ht="15.75" customHeight="1" x14ac:dyDescent="0.35">
      <c r="G992" s="30"/>
    </row>
    <row r="993" spans="7:7" ht="15.75" customHeight="1" x14ac:dyDescent="0.35">
      <c r="G993" s="30"/>
    </row>
    <row r="994" spans="7:7" ht="15.75" customHeight="1" x14ac:dyDescent="0.35">
      <c r="G994" s="30"/>
    </row>
    <row r="995" spans="7:7" ht="15.75" customHeight="1" x14ac:dyDescent="0.35">
      <c r="G995" s="30"/>
    </row>
    <row r="996" spans="7:7" ht="15.75" customHeight="1" x14ac:dyDescent="0.35">
      <c r="G996" s="30"/>
    </row>
    <row r="997" spans="7:7" ht="15.75" customHeight="1" x14ac:dyDescent="0.35">
      <c r="G997" s="30"/>
    </row>
    <row r="998" spans="7:7" ht="15.75" customHeight="1" x14ac:dyDescent="0.35">
      <c r="G998" s="30"/>
    </row>
    <row r="999" spans="7:7" ht="15.75" customHeight="1" x14ac:dyDescent="0.35">
      <c r="G999" s="30"/>
    </row>
    <row r="1000" spans="7:7" ht="15.75" customHeight="1" x14ac:dyDescent="0.35">
      <c r="G1000" s="30"/>
    </row>
  </sheetData>
  <mergeCells count="36">
    <mergeCell ref="A1:E1"/>
    <mergeCell ref="F1:G1"/>
    <mergeCell ref="A2:G2"/>
    <mergeCell ref="B4:G4"/>
    <mergeCell ref="B5:G5"/>
    <mergeCell ref="B6:G6"/>
    <mergeCell ref="B7:G7"/>
    <mergeCell ref="B8:G8"/>
    <mergeCell ref="B9:G9"/>
    <mergeCell ref="B10:G10"/>
    <mergeCell ref="B11:G11"/>
    <mergeCell ref="B12:G12"/>
    <mergeCell ref="A18:G18"/>
    <mergeCell ref="F19:G19"/>
    <mergeCell ref="B19:E19"/>
    <mergeCell ref="B20:E20"/>
    <mergeCell ref="F20:G20"/>
    <mergeCell ref="B21:E21"/>
    <mergeCell ref="F21:G21"/>
    <mergeCell ref="B22:E22"/>
    <mergeCell ref="F22:G22"/>
    <mergeCell ref="C34:G34"/>
    <mergeCell ref="C39:G39"/>
    <mergeCell ref="C40:G40"/>
    <mergeCell ref="B23:E23"/>
    <mergeCell ref="F23:G23"/>
    <mergeCell ref="B29:C29"/>
    <mergeCell ref="B30:C30"/>
    <mergeCell ref="A31:F31"/>
    <mergeCell ref="B32:C32"/>
    <mergeCell ref="C33:G33"/>
    <mergeCell ref="A25:A26"/>
    <mergeCell ref="B25:C26"/>
    <mergeCell ref="D25:F25"/>
    <mergeCell ref="B27:F27"/>
    <mergeCell ref="B28:C28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(04.0001</vt:lpstr>
      <vt:lpstr>(04.0004</vt:lpstr>
      <vt:lpstr>cth (kode sub kegiatan)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prola</dc:creator>
  <cp:lastModifiedBy>LENOVO</cp:lastModifiedBy>
  <cp:lastPrinted>2026-02-20T08:02:56Z</cp:lastPrinted>
  <dcterms:created xsi:type="dcterms:W3CDTF">2022-02-03T05:54:32Z</dcterms:created>
  <dcterms:modified xsi:type="dcterms:W3CDTF">2026-03-06T08:02:43Z</dcterms:modified>
</cp:coreProperties>
</file>