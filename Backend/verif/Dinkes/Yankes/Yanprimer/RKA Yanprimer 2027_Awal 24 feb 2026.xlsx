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mc:AlternateContent xmlns:mc="http://schemas.openxmlformats.org/markup-compatibility/2006">
    <mc:Choice Requires="x15">
      <x15ac:absPath xmlns:x15ac="http://schemas.microsoft.com/office/spreadsheetml/2010/11/ac" url="D:\KERJAAN DITHA\YANPRIMER 2027\ANGGARAN 2027\"/>
    </mc:Choice>
  </mc:AlternateContent>
  <xr:revisionPtr revIDLastSave="0" documentId="13_ncr:1_{E6980903-7689-49AC-98B1-1C9666ED4925}" xr6:coauthVersionLast="45" xr6:coauthVersionMax="47" xr10:uidLastSave="{00000000-0000-0000-0000-000000000000}"/>
  <bookViews>
    <workbookView xWindow="-120" yWindow="-120" windowWidth="29040" windowHeight="15840" activeTab="3" xr2:uid="{00000000-000D-0000-FFFF-FFFF00000000}"/>
  </bookViews>
  <sheets>
    <sheet name="Krisben 60,122,000" sheetId="6" r:id="rId1"/>
    <sheet name="kestrad 59,264,000" sheetId="3" r:id="rId2"/>
    <sheet name="SPGDT 258,493,750" sheetId="2" r:id="rId3"/>
    <sheet name="PSC 119 856.481.250" sheetId="9" r:id="rId4"/>
    <sheet name="Akreditasi 168,923,000" sheetId="8" r:id="rId5"/>
    <sheet name="SIK 167,128,000" sheetId="5" r:id="rId6"/>
    <sheet name="Mutu 639,788,300" sheetId="4" r:id="rId7"/>
    <sheet name="Pembinaan Nakes 60,000,000" sheetId="7" r:id="rId8"/>
    <sheet name="(kode sub kegiatan)" sheetId="1" r:id="rId9"/>
  </sheets>
  <calcPr calcId="191029"/>
  <extLst>
    <ext xmlns:xcalcf="http://schemas.microsoft.com/office/spreadsheetml/2018/calcfeatures" uri="{B58B0392-4F1F-4190-BB64-5DF3571DCE5F}">
      <xcalcf:calcFeatures>
        <xcalcf:feature name="microsoft.com:RD"/>
        <xcalcf:feature name="microsoft.com:FV"/>
      </xcalcf:calcFeatures>
    </ext>
    <ext uri="GoogleSheetsCustomDataVersion2">
      <go:sheetsCustomData xmlns:go="http://customooxmlschemas.google.com/" r:id="" roundtripDataChecksum="eOFbojenaZYJi3fO66NsIv0blmS2lpBK3+Bh1gm1Ru4="/>
    </ext>
  </extLst>
</workbook>
</file>

<file path=xl/calcChain.xml><?xml version="1.0" encoding="utf-8"?>
<calcChain xmlns="http://schemas.openxmlformats.org/spreadsheetml/2006/main">
  <c r="J180" i="9" l="1"/>
  <c r="J179" i="9" s="1"/>
  <c r="J177" i="9"/>
  <c r="J176" i="9"/>
  <c r="J175" i="9"/>
  <c r="J174" i="9"/>
  <c r="J173" i="9"/>
  <c r="J172" i="9"/>
  <c r="J171" i="9"/>
  <c r="J170" i="9"/>
  <c r="J169" i="9"/>
  <c r="J168" i="9"/>
  <c r="J167" i="9"/>
  <c r="J166" i="9"/>
  <c r="J165" i="9"/>
  <c r="J164" i="9"/>
  <c r="J163" i="9"/>
  <c r="J162" i="9"/>
  <c r="J161" i="9"/>
  <c r="J160" i="9"/>
  <c r="J159" i="9"/>
  <c r="J158" i="9"/>
  <c r="J155" i="9"/>
  <c r="J154" i="9"/>
  <c r="J152" i="9"/>
  <c r="J151" i="9"/>
  <c r="J150" i="9" s="1"/>
  <c r="J148" i="9"/>
  <c r="J147" i="9"/>
  <c r="J146" i="9"/>
  <c r="J143" i="9"/>
  <c r="J142" i="9" s="1"/>
  <c r="J141" i="9"/>
  <c r="J140" i="9"/>
  <c r="J139" i="9" s="1"/>
  <c r="J138" i="9" s="1"/>
  <c r="J136" i="9"/>
  <c r="J135" i="9"/>
  <c r="J132" i="9"/>
  <c r="J131" i="9"/>
  <c r="J128" i="9"/>
  <c r="J127" i="9"/>
  <c r="J125" i="9"/>
  <c r="J123" i="9"/>
  <c r="J121" i="9"/>
  <c r="J119" i="9"/>
  <c r="J117" i="9"/>
  <c r="J116" i="9"/>
  <c r="J115" i="9"/>
  <c r="J114" i="9"/>
  <c r="J113" i="9"/>
  <c r="J112" i="9"/>
  <c r="J111" i="9"/>
  <c r="J110" i="9"/>
  <c r="J109" i="9"/>
  <c r="J106" i="9"/>
  <c r="J105" i="9"/>
  <c r="J104" i="9"/>
  <c r="J103" i="9"/>
  <c r="J99" i="9"/>
  <c r="J98" i="9"/>
  <c r="J97" i="9" s="1"/>
  <c r="J95" i="9"/>
  <c r="J94" i="9"/>
  <c r="J93" i="9" s="1"/>
  <c r="J90" i="9"/>
  <c r="J89" i="9"/>
  <c r="J88" i="9"/>
  <c r="J87" i="9" s="1"/>
  <c r="J83" i="9"/>
  <c r="J82" i="9" s="1"/>
  <c r="J78" i="9"/>
  <c r="J77" i="9"/>
  <c r="J76" i="9"/>
  <c r="J72" i="9"/>
  <c r="J71" i="9" s="1"/>
  <c r="J69" i="9"/>
  <c r="J68" i="9"/>
  <c r="J67" i="9"/>
  <c r="J65" i="9"/>
  <c r="J64" i="9"/>
  <c r="J61" i="9"/>
  <c r="J60" i="9"/>
  <c r="J59" i="9"/>
  <c r="J58" i="9"/>
  <c r="J57" i="9"/>
  <c r="J56" i="9"/>
  <c r="J55" i="9"/>
  <c r="J54" i="9"/>
  <c r="J53" i="9"/>
  <c r="J52" i="9"/>
  <c r="J51" i="9"/>
  <c r="J50" i="9"/>
  <c r="J49" i="9"/>
  <c r="J48" i="9"/>
  <c r="J47" i="9"/>
  <c r="J46" i="9"/>
  <c r="J45" i="9"/>
  <c r="J44" i="9"/>
  <c r="J43" i="9"/>
  <c r="G42" i="9"/>
  <c r="J42" i="9" s="1"/>
  <c r="J41" i="9"/>
  <c r="J40" i="9"/>
  <c r="J39" i="9"/>
  <c r="J38" i="9"/>
  <c r="J37" i="9"/>
  <c r="J36" i="9"/>
  <c r="J35" i="9"/>
  <c r="J34" i="9"/>
  <c r="J33" i="9"/>
  <c r="C16" i="9"/>
  <c r="F21" i="7"/>
  <c r="J32" i="9" l="1"/>
  <c r="J102" i="9"/>
  <c r="J108" i="9"/>
  <c r="J157" i="9"/>
  <c r="J145" i="9"/>
  <c r="J75" i="9"/>
  <c r="J92" i="9"/>
  <c r="J86" i="9" s="1"/>
  <c r="J85" i="9" s="1"/>
  <c r="J81" i="9" s="1"/>
  <c r="J80" i="9" s="1"/>
  <c r="E21" i="5"/>
  <c r="J31" i="9" l="1"/>
  <c r="J30" i="9" s="1"/>
  <c r="J29" i="9" s="1"/>
  <c r="J28" i="9" s="1"/>
  <c r="J27" i="9" s="1"/>
  <c r="L64" i="4"/>
  <c r="D73" i="4"/>
  <c r="J54" i="4"/>
  <c r="J57" i="4"/>
  <c r="J56" i="4"/>
  <c r="J55" i="4"/>
  <c r="D44" i="8"/>
  <c r="J84" i="8"/>
  <c r="J83" i="8"/>
  <c r="J52" i="8"/>
  <c r="J51" i="8"/>
  <c r="J49" i="8"/>
  <c r="J48" i="8"/>
  <c r="J40" i="8"/>
  <c r="J39" i="8"/>
  <c r="J38" i="8"/>
  <c r="J37" i="8"/>
  <c r="J183" i="9" l="1"/>
  <c r="I21" i="9"/>
  <c r="K27" i="9"/>
  <c r="J53" i="4"/>
  <c r="J82" i="8"/>
  <c r="J47" i="8"/>
  <c r="J36" i="8"/>
  <c r="J50" i="8"/>
  <c r="J46" i="8" l="1"/>
  <c r="I23" i="8"/>
  <c r="D34" i="3"/>
  <c r="J42" i="3"/>
  <c r="J41" i="3"/>
  <c r="B87" i="7"/>
  <c r="G74" i="7"/>
  <c r="G71" i="7"/>
  <c r="G70" i="7"/>
  <c r="G69" i="7"/>
  <c r="G68" i="7"/>
  <c r="G67" i="7"/>
  <c r="G66" i="7"/>
  <c r="G65" i="7"/>
  <c r="G64" i="7"/>
  <c r="G63" i="7"/>
  <c r="D62" i="7"/>
  <c r="G62" i="7" s="1"/>
  <c r="G61" i="7" s="1"/>
  <c r="G60" i="7" s="1"/>
  <c r="G59" i="7" s="1"/>
  <c r="G58" i="7" s="1"/>
  <c r="G57" i="7" s="1"/>
  <c r="G55" i="7"/>
  <c r="G54" i="7"/>
  <c r="G53" i="7" s="1"/>
  <c r="G52" i="7" s="1"/>
  <c r="G51" i="7" s="1"/>
  <c r="G49" i="7"/>
  <c r="G48" i="7"/>
  <c r="G47" i="7"/>
  <c r="G46" i="7" s="1"/>
  <c r="G45" i="7" s="1"/>
  <c r="G44" i="7"/>
  <c r="G43" i="7"/>
  <c r="G42" i="7"/>
  <c r="G41" i="7"/>
  <c r="G39" i="7"/>
  <c r="G38" i="7"/>
  <c r="G37" i="7"/>
  <c r="G36" i="7"/>
  <c r="G35" i="7" s="1"/>
  <c r="G34" i="7" s="1"/>
  <c r="G33" i="7" s="1"/>
  <c r="G32" i="7" s="1"/>
  <c r="G31" i="7" s="1"/>
  <c r="B16" i="7"/>
  <c r="G30" i="7" l="1"/>
  <c r="G29" i="7" s="1"/>
  <c r="G28" i="7" s="1"/>
  <c r="J40" i="3"/>
  <c r="J39" i="3" s="1"/>
  <c r="J38" i="3" s="1"/>
  <c r="H28" i="7"/>
  <c r="I28" i="7" s="1"/>
  <c r="G73" i="7"/>
  <c r="J36" i="3" l="1"/>
  <c r="J50" i="3"/>
  <c r="B114" i="5"/>
  <c r="F101" i="5"/>
  <c r="F99" i="5"/>
  <c r="F98" i="5" s="1"/>
  <c r="F97" i="5" s="1"/>
  <c r="F95" i="5"/>
  <c r="F94" i="5"/>
  <c r="F93" i="5"/>
  <c r="F92" i="5"/>
  <c r="F91" i="5"/>
  <c r="F90" i="5"/>
  <c r="F89" i="5"/>
  <c r="F88" i="5"/>
  <c r="F87" i="5"/>
  <c r="F86" i="5"/>
  <c r="F85" i="5"/>
  <c r="F84" i="5"/>
  <c r="F83" i="5"/>
  <c r="F82" i="5"/>
  <c r="F81" i="5"/>
  <c r="F80" i="5"/>
  <c r="F79" i="5"/>
  <c r="F78" i="5"/>
  <c r="F77" i="5"/>
  <c r="F76" i="5"/>
  <c r="F75" i="5"/>
  <c r="F74" i="5"/>
  <c r="F73" i="5"/>
  <c r="H72" i="5"/>
  <c r="I72" i="5" s="1"/>
  <c r="F72" i="5"/>
  <c r="F71" i="5"/>
  <c r="F64" i="5"/>
  <c r="F63" i="5"/>
  <c r="F62" i="5"/>
  <c r="F54" i="5"/>
  <c r="F53" i="5"/>
  <c r="F50" i="5"/>
  <c r="F49" i="5"/>
  <c r="F43" i="5"/>
  <c r="F40" i="5"/>
  <c r="F35" i="5"/>
  <c r="F32" i="5" s="1"/>
  <c r="F37" i="5" l="1"/>
  <c r="F46" i="5"/>
  <c r="F60" i="5"/>
  <c r="F58" i="5" s="1"/>
  <c r="F68" i="5"/>
  <c r="F66" i="5" s="1"/>
  <c r="F27" i="5" s="1"/>
  <c r="F100" i="5" l="1"/>
  <c r="H27" i="5"/>
  <c r="K32" i="5" s="1"/>
  <c r="C15" i="8" l="1"/>
  <c r="C16" i="8" s="1"/>
  <c r="B16" i="6"/>
  <c r="C15" i="3"/>
  <c r="C16" i="3" s="1"/>
  <c r="C16" i="2"/>
  <c r="B107" i="6"/>
  <c r="F94" i="6"/>
  <c r="F91" i="6"/>
  <c r="F88" i="6"/>
  <c r="F86" i="6" s="1"/>
  <c r="F85" i="6" s="1"/>
  <c r="F82" i="6"/>
  <c r="F80" i="6"/>
  <c r="F79" i="6"/>
  <c r="F78" i="6"/>
  <c r="F77" i="6"/>
  <c r="F76" i="6"/>
  <c r="F75" i="6"/>
  <c r="F74" i="6"/>
  <c r="F73" i="6"/>
  <c r="F72" i="6"/>
  <c r="F71" i="6"/>
  <c r="F70" i="6"/>
  <c r="F69" i="6"/>
  <c r="F68" i="6"/>
  <c r="F67" i="6"/>
  <c r="F66" i="6"/>
  <c r="F65" i="6"/>
  <c r="F64" i="6"/>
  <c r="F63" i="6"/>
  <c r="F62" i="6"/>
  <c r="F61" i="6"/>
  <c r="F60" i="6"/>
  <c r="F59" i="6"/>
  <c r="F58" i="6"/>
  <c r="F57" i="6"/>
  <c r="F50" i="6"/>
  <c r="F48" i="6"/>
  <c r="F41" i="6"/>
  <c r="F40" i="6"/>
  <c r="F37" i="6"/>
  <c r="F35" i="6"/>
  <c r="F32" i="6" s="1"/>
  <c r="F45" i="6" l="1"/>
  <c r="F43" i="6" s="1"/>
  <c r="F54" i="6"/>
  <c r="F52" i="6" s="1"/>
  <c r="F27" i="6" l="1"/>
  <c r="F93" i="6"/>
  <c r="E21" i="6"/>
  <c r="J57" i="2" l="1"/>
  <c r="D55" i="2"/>
  <c r="J85" i="2"/>
  <c r="J84" i="2"/>
  <c r="J78" i="2"/>
  <c r="J77" i="2"/>
  <c r="J74" i="2"/>
  <c r="G41" i="2" l="1"/>
  <c r="J48" i="2"/>
  <c r="J47" i="2"/>
  <c r="J46" i="2" s="1"/>
  <c r="J80" i="8" l="1"/>
  <c r="J79" i="8"/>
  <c r="J77" i="8"/>
  <c r="J76" i="8"/>
  <c r="J74" i="8"/>
  <c r="J73" i="8"/>
  <c r="J71" i="8"/>
  <c r="J70" i="8"/>
  <c r="J68" i="8"/>
  <c r="J67" i="8"/>
  <c r="J65" i="8"/>
  <c r="J64" i="8"/>
  <c r="J58" i="8"/>
  <c r="J56" i="8"/>
  <c r="J44" i="8"/>
  <c r="J43" i="8" s="1"/>
  <c r="J35" i="8"/>
  <c r="J34" i="8"/>
  <c r="J118" i="4"/>
  <c r="J117" i="4"/>
  <c r="J115" i="4"/>
  <c r="J114" i="4"/>
  <c r="J112" i="4"/>
  <c r="J111" i="4"/>
  <c r="J109" i="4"/>
  <c r="J108" i="4"/>
  <c r="J106" i="4"/>
  <c r="J105" i="4"/>
  <c r="J103" i="4"/>
  <c r="J102" i="4"/>
  <c r="J98" i="4"/>
  <c r="J97" i="4"/>
  <c r="J96" i="4"/>
  <c r="J95" i="4"/>
  <c r="J94" i="4"/>
  <c r="J93" i="4"/>
  <c r="J92" i="4"/>
  <c r="J91" i="4"/>
  <c r="J90" i="4"/>
  <c r="J89" i="4"/>
  <c r="J88" i="4"/>
  <c r="J87" i="4"/>
  <c r="J86" i="4"/>
  <c r="J85" i="4"/>
  <c r="J84" i="4"/>
  <c r="J83" i="4"/>
  <c r="J82" i="4"/>
  <c r="J81" i="4"/>
  <c r="J80" i="4"/>
  <c r="J79" i="4"/>
  <c r="J78" i="4"/>
  <c r="J77" i="4"/>
  <c r="J76" i="4"/>
  <c r="J75" i="4"/>
  <c r="J73" i="4"/>
  <c r="J123" i="4"/>
  <c r="J122" i="4"/>
  <c r="J121" i="4"/>
  <c r="J67" i="4"/>
  <c r="J66" i="4" s="1"/>
  <c r="J65" i="4"/>
  <c r="J64" i="4" s="1"/>
  <c r="J63" i="4"/>
  <c r="J62" i="4" s="1"/>
  <c r="J51" i="4"/>
  <c r="J50" i="4"/>
  <c r="J47" i="4"/>
  <c r="J46" i="4"/>
  <c r="J45" i="4"/>
  <c r="J44" i="4"/>
  <c r="J43" i="4"/>
  <c r="J42" i="4"/>
  <c r="J41" i="4"/>
  <c r="J38" i="4"/>
  <c r="J37" i="4"/>
  <c r="J75" i="3"/>
  <c r="J74" i="3"/>
  <c r="J72" i="3"/>
  <c r="J71" i="3"/>
  <c r="J69" i="3"/>
  <c r="J68" i="3"/>
  <c r="J66" i="3"/>
  <c r="J65" i="3"/>
  <c r="J63" i="3"/>
  <c r="J62" i="3"/>
  <c r="J60" i="3"/>
  <c r="J59" i="3"/>
  <c r="J56" i="3"/>
  <c r="J78" i="3"/>
  <c r="J77" i="3" s="1"/>
  <c r="J48" i="3"/>
  <c r="J46" i="3" s="1"/>
  <c r="J35" i="3"/>
  <c r="J34" i="3"/>
  <c r="J61" i="4" l="1"/>
  <c r="J60" i="4" s="1"/>
  <c r="J59" i="4" s="1"/>
  <c r="J113" i="4"/>
  <c r="J104" i="4"/>
  <c r="J107" i="4"/>
  <c r="J116" i="4"/>
  <c r="J110" i="4"/>
  <c r="J101" i="4"/>
  <c r="J120" i="4"/>
  <c r="J36" i="4"/>
  <c r="J49" i="4"/>
  <c r="J40" i="4"/>
  <c r="J74" i="4"/>
  <c r="J72" i="4" s="1"/>
  <c r="J75" i="8"/>
  <c r="J72" i="8"/>
  <c r="J66" i="8"/>
  <c r="J55" i="8"/>
  <c r="J54" i="8" s="1"/>
  <c r="J69" i="8"/>
  <c r="J78" i="8"/>
  <c r="J63" i="8"/>
  <c r="J33" i="8"/>
  <c r="J31" i="8" s="1"/>
  <c r="J33" i="3"/>
  <c r="J45" i="3"/>
  <c r="J44" i="3" s="1"/>
  <c r="J57" i="3"/>
  <c r="J54" i="3" s="1"/>
  <c r="J53" i="3" s="1"/>
  <c r="J100" i="4" l="1"/>
  <c r="J71" i="4" s="1"/>
  <c r="J70" i="4" s="1"/>
  <c r="J69" i="4" s="1"/>
  <c r="J35" i="4"/>
  <c r="J34" i="4" s="1"/>
  <c r="J62" i="8"/>
  <c r="J60" i="8" s="1"/>
  <c r="J29" i="8" s="1"/>
  <c r="J30" i="8"/>
  <c r="J52" i="3"/>
  <c r="J32" i="3"/>
  <c r="J31" i="3" s="1"/>
  <c r="J30" i="3" s="1"/>
  <c r="J33" i="4" l="1"/>
  <c r="J32" i="4" s="1"/>
  <c r="J31" i="4" s="1"/>
  <c r="K31" i="4" s="1"/>
  <c r="L31" i="4" s="1"/>
  <c r="J61" i="8"/>
  <c r="J28" i="8"/>
  <c r="J87" i="8" s="1"/>
  <c r="J28" i="3"/>
  <c r="K28" i="3" s="1"/>
  <c r="J125" i="4" l="1"/>
  <c r="C17" i="4"/>
  <c r="C18" i="4" s="1"/>
  <c r="J80" i="3"/>
  <c r="J82" i="2"/>
  <c r="J81" i="2"/>
  <c r="J73" i="2"/>
  <c r="J69" i="2"/>
  <c r="J68" i="2"/>
  <c r="J67" i="2" s="1"/>
  <c r="J62" i="2"/>
  <c r="J61" i="2" s="1"/>
  <c r="J56" i="2"/>
  <c r="J55" i="2"/>
  <c r="J54" i="2" s="1"/>
  <c r="J51" i="2"/>
  <c r="J50" i="2" s="1"/>
  <c r="J44" i="2"/>
  <c r="J43" i="2" s="1"/>
  <c r="J41" i="2"/>
  <c r="J40" i="2"/>
  <c r="J39" i="2"/>
  <c r="J38" i="2"/>
  <c r="J37" i="2"/>
  <c r="J36" i="2"/>
  <c r="J35" i="2"/>
  <c r="J34" i="2"/>
  <c r="J33" i="2"/>
  <c r="J32" i="2" l="1"/>
  <c r="J66" i="2"/>
  <c r="J80" i="2"/>
  <c r="J76" i="2"/>
  <c r="J72" i="2"/>
  <c r="J31" i="2" l="1"/>
  <c r="J30" i="2" s="1"/>
  <c r="J71" i="2"/>
  <c r="J65" i="2" s="1"/>
  <c r="J64" i="2" l="1"/>
  <c r="B63" i="1"/>
  <c r="G50" i="1"/>
  <c r="G49" i="1"/>
  <c r="J60" i="2" l="1"/>
  <c r="J59" i="2" s="1"/>
  <c r="J29" i="2" s="1"/>
  <c r="J28" i="2" l="1"/>
  <c r="J27" i="2" s="1"/>
  <c r="I21" i="2" l="1"/>
  <c r="K27" i="2"/>
  <c r="L27" i="2"/>
  <c r="J89" i="2"/>
</calcChain>
</file>

<file path=xl/sharedStrings.xml><?xml version="1.0" encoding="utf-8"?>
<sst xmlns="http://schemas.openxmlformats.org/spreadsheetml/2006/main" count="1569" uniqueCount="613">
  <si>
    <t>RENCANA KERJA DAN ANGGARAN
SATUAN KERJA PERANGKAT DAERAH</t>
  </si>
  <si>
    <t>Formulir 
RKA-RINCIAN BELANJA
SKPD</t>
  </si>
  <si>
    <t>Urusan</t>
  </si>
  <si>
    <t>: 1.02 URUSAN PEMERINTAHAN WAJIB YANG BERKAITAN DENGAN PELAYANAN DASAR</t>
  </si>
  <si>
    <t>Unit Organisasi</t>
  </si>
  <si>
    <t>: 1.02.0.00.0.00.01.0000 DINAS KESEHATAN</t>
  </si>
  <si>
    <t>Sub Unit Organisasi</t>
  </si>
  <si>
    <t>Program</t>
  </si>
  <si>
    <t>Kegiatan</t>
  </si>
  <si>
    <t>Sub Kegiatan</t>
  </si>
  <si>
    <t>Sumber Pendanaan</t>
  </si>
  <si>
    <t>Lokasi Kegiatan</t>
  </si>
  <si>
    <t>Waktu Pelaksanaan</t>
  </si>
  <si>
    <t>: Januari s.d. Desember</t>
  </si>
  <si>
    <t>Kelompok Sasaran</t>
  </si>
  <si>
    <t>:</t>
  </si>
  <si>
    <t xml:space="preserve">: </t>
  </si>
  <si>
    <t>Indikator dan Tolok Ukur Kinerja Belanja</t>
  </si>
  <si>
    <t>Indikator</t>
  </si>
  <si>
    <t>Tolak Ukur Kinerja</t>
  </si>
  <si>
    <t>Target Kinerja</t>
  </si>
  <si>
    <t>Capaian Program</t>
  </si>
  <si>
    <t>Masukan</t>
  </si>
  <si>
    <t>Keluaran</t>
  </si>
  <si>
    <t>Hasil</t>
  </si>
  <si>
    <t>Kode Rekening</t>
  </si>
  <si>
    <t>Uraian</t>
  </si>
  <si>
    <t>Rincian Perhitungan</t>
  </si>
  <si>
    <t>Jumlah</t>
  </si>
  <si>
    <t>Koefisien</t>
  </si>
  <si>
    <t>Satuan</t>
  </si>
  <si>
    <t>Harga</t>
  </si>
  <si>
    <t>(Rp)</t>
  </si>
  <si>
    <t>Jumlah Anggaran Sub Kegiatan</t>
  </si>
  <si>
    <t>Januari</t>
  </si>
  <si>
    <t>Februari</t>
  </si>
  <si>
    <t>Maret</t>
  </si>
  <si>
    <t>April</t>
  </si>
  <si>
    <t>Mei</t>
  </si>
  <si>
    <t>Juni</t>
  </si>
  <si>
    <t>Juli</t>
  </si>
  <si>
    <t>Agustus</t>
  </si>
  <si>
    <t>September</t>
  </si>
  <si>
    <t>Oktober</t>
  </si>
  <si>
    <t>November</t>
  </si>
  <si>
    <t>Desember</t>
  </si>
  <si>
    <t>Jumlah 2026</t>
  </si>
  <si>
    <t>Pemerintah Kabupaten Bogor Tahun Anggaran 2027</t>
  </si>
  <si>
    <t>Jumlah 2027</t>
  </si>
  <si>
    <t>Jumlah 2028</t>
  </si>
  <si>
    <t>Kabupaten Bogor,                                2026</t>
  </si>
  <si>
    <t>Kepala ...</t>
  </si>
  <si>
    <t>: 1.02  URUSAN PEMERINTAHAN WAJIB YANG BERKAITAN DENGAN PELAYANAN DASAR</t>
  </si>
  <si>
    <t>: 1.02.0.00.0.00.01.0000   DINAS KESEHATAN</t>
  </si>
  <si>
    <t>: 1.02.0.00.0.00.01.0000. 0004  BIDANG PELAYANAN KESEHATAN</t>
  </si>
  <si>
    <t>: 1.02.02   PROGRAM PEMENUHAN UPAYA KESEHATAN PERORANGAN DAN UPAYA KESEHATAN MASYARAKAT</t>
  </si>
  <si>
    <t>: 1.02.02.2.02  Penyediaan  Layanan Kesehatan  untuk UKM dan UKP Rujukan Tk. Daerah Kab/Kota</t>
  </si>
  <si>
    <t>: APBD Kabupaten</t>
  </si>
  <si>
    <t xml:space="preserve">: Dinas Kesehatan </t>
  </si>
  <si>
    <t xml:space="preserve">:  Rp. </t>
  </si>
  <si>
    <t>Indikator &amp; Tolok Ukur Kinerja Belanja</t>
  </si>
  <si>
    <t>Dana yang dibutuhkan</t>
  </si>
  <si>
    <t>QQ</t>
  </si>
  <si>
    <t>Rincian Belanja Sub Kegiatan</t>
  </si>
  <si>
    <t>PPN</t>
  </si>
  <si>
    <t>Belanja Daerah</t>
  </si>
  <si>
    <t>5.1</t>
  </si>
  <si>
    <t>BELANJA OPERASIONAL</t>
  </si>
  <si>
    <t>5.1.02</t>
  </si>
  <si>
    <t>Belanja Barang dan Jasa</t>
  </si>
  <si>
    <t>5.1.02.01</t>
  </si>
  <si>
    <t>Belanja Barang</t>
  </si>
  <si>
    <t>5.1.02.01.01</t>
  </si>
  <si>
    <t>Belanja Barang Habis Pakai</t>
  </si>
  <si>
    <t>5.1.02.01.01.0024</t>
  </si>
  <si>
    <t>Belanja Alat Tulis Kantor (ATK)</t>
  </si>
  <si>
    <t>Balpoint Balliner</t>
  </si>
  <si>
    <t>Lusin</t>
  </si>
  <si>
    <t>Odner Bahan Plastik</t>
  </si>
  <si>
    <t>buah</t>
  </si>
  <si>
    <t>Box File</t>
  </si>
  <si>
    <t>Stabilo</t>
  </si>
  <si>
    <t>bok</t>
  </si>
  <si>
    <t>Map Plastik sneil hecter</t>
  </si>
  <si>
    <t>bh</t>
  </si>
  <si>
    <t>Map Biasa</t>
  </si>
  <si>
    <t>pak</t>
  </si>
  <si>
    <t>Lakban Hitam</t>
  </si>
  <si>
    <t>Lakban Coklat</t>
  </si>
  <si>
    <t>Benda Pos</t>
  </si>
  <si>
    <t>Materai  10.000</t>
  </si>
  <si>
    <t>5.1.02.01.01.0025</t>
  </si>
  <si>
    <t>Belanja Alat /Bahan untuk Kegiatan  Kantor - Kertas dan Cover</t>
  </si>
  <si>
    <t>Rim</t>
  </si>
  <si>
    <t>5.1.02.01.01.0029</t>
  </si>
  <si>
    <t>Belanja Alat /Bahan untuk Kegiatan  Kantor - Bahan Komputer</t>
  </si>
  <si>
    <t>Pembulatan</t>
  </si>
  <si>
    <t>5.1.02.01.01.0026</t>
  </si>
  <si>
    <t>Belanja Alat /Bahan untuk Kegiatan  Kantor - Bahan Cetak</t>
  </si>
  <si>
    <t xml:space="preserve">* Fotokopi </t>
  </si>
  <si>
    <t>lbmr</t>
  </si>
  <si>
    <t>*Jilid spiral</t>
  </si>
  <si>
    <t>5.1.02.02</t>
  </si>
  <si>
    <t>Belanja Jasa</t>
  </si>
  <si>
    <t>5.1.02.02.01</t>
  </si>
  <si>
    <t>Belanja Jasa Kantor</t>
  </si>
  <si>
    <t>5.1.02.02.01.0003</t>
  </si>
  <si>
    <t>Honorarium Narasumber atau Pembahas, Moderator, Rohaniawan dan Tenaga Ahli</t>
  </si>
  <si>
    <t>Honorarium Narasumber Pejabar Eselon III Ke bawah /yang disetarakan</t>
  </si>
  <si>
    <t>jam</t>
  </si>
  <si>
    <t>5.1.02.02.05.0009</t>
  </si>
  <si>
    <t>org</t>
  </si>
  <si>
    <t>5.1.02.04</t>
  </si>
  <si>
    <t>Belanja Perjalanan Dinas</t>
  </si>
  <si>
    <t>5.1.02.04.01</t>
  </si>
  <si>
    <t>Belanja Perjalanan Dinas Dalam Negeri</t>
  </si>
  <si>
    <t>5.1.02.04.01.0003</t>
  </si>
  <si>
    <t>Belanja Perjalanan Dinas Dalam Kota</t>
  </si>
  <si>
    <t>Perjalanan Dalam Daerah dalam Rangka P3K Hari Raya Idul Fitri dan Nataru</t>
  </si>
  <si>
    <t>Uang Harian Perjalanan Dinas Dalam Daerah lebih dari 8 Jam</t>
  </si>
  <si>
    <t>Transport Perjalanan Dinas Dalam Daerah</t>
  </si>
  <si>
    <t>kali</t>
  </si>
  <si>
    <t>5.1.02.04.02.0001</t>
  </si>
  <si>
    <t>Belanja Perjalanan Dinas Luar Kota</t>
  </si>
  <si>
    <t>Perjalanan Luar Daerah Dalam Rangka P3K MTQ</t>
  </si>
  <si>
    <t>Transport</t>
  </si>
  <si>
    <t>org/kali</t>
  </si>
  <si>
    <t>Uang Harian</t>
  </si>
  <si>
    <t>Perjalanan Luar Daerah Dalam Rangka P3K Haji</t>
  </si>
  <si>
    <t>Grand Total :</t>
  </si>
  <si>
    <t>Kabupaten Bogor,   Maret 2022</t>
  </si>
  <si>
    <t>Kepala Dinas Kesehatan</t>
  </si>
  <si>
    <t>drg. Mike Kaltarina, MARS NIP. 196407111991032009</t>
  </si>
  <si>
    <t>: Januari - Desember 2027</t>
  </si>
  <si>
    <t>Jumlah 2029</t>
  </si>
  <si>
    <t>: 1.02.02.2.02.19  Pengelolaan  Pelayanan Kesehatan  Tradisional , Akupuntur, Asuhan Mandiri dan Tradisional Lainnya</t>
  </si>
  <si>
    <t>:  101 Puskesmas</t>
  </si>
  <si>
    <t>5 dokumen</t>
  </si>
  <si>
    <t>BELANJA OPERASI</t>
  </si>
  <si>
    <t xml:space="preserve">* Foto Copy BW </t>
  </si>
  <si>
    <t>dus</t>
  </si>
  <si>
    <t>5.1.02.01.01.0052</t>
  </si>
  <si>
    <t>Makan</t>
  </si>
  <si>
    <t>Honorarium Narasumber Pejabat  Eselon III Ke bawah /yang disetarakan</t>
  </si>
  <si>
    <t>1  org x</t>
  </si>
  <si>
    <t>Monev Program Kestrad dan Pembinaan Hatra</t>
  </si>
  <si>
    <t>JASINGA</t>
  </si>
  <si>
    <t>orang/hari</t>
  </si>
  <si>
    <t>LEUWILIANG</t>
  </si>
  <si>
    <t>CIAWI</t>
  </si>
  <si>
    <t>Laladon</t>
  </si>
  <si>
    <t>PARUNG</t>
  </si>
  <si>
    <t>CIBINONG</t>
  </si>
  <si>
    <t>Sukaraja</t>
  </si>
  <si>
    <t>JONGGOL</t>
  </si>
  <si>
    <t>: 1.02.02.2.04.03  Penigkatan mutu pelayanan Fasilitas Kesehatan</t>
  </si>
  <si>
    <t>:  101  Puskesmas</t>
  </si>
  <si>
    <t xml:space="preserve">Terlaksananya monitoring dan evaluasi mutu pelayanan fasilitas kesehatan </t>
  </si>
  <si>
    <t>101 puskesmas</t>
  </si>
  <si>
    <t>Ordneer</t>
  </si>
  <si>
    <t>Clip Binder</t>
  </si>
  <si>
    <t>Map kertas</t>
  </si>
  <si>
    <t>Belanja Alat Tulis Kantor kertas dan Cover</t>
  </si>
  <si>
    <t>Belanja Alat Tulis Kantor Suply Komputer</t>
  </si>
  <si>
    <t>Honorarium Narasumber Pejabat Eselon III Ke bawah /yang disetarakan</t>
  </si>
  <si>
    <t>Pertemuan Evaluasi Survey Kepuasan Masyarakat ( PJ Mutu Puskesmas, KURJ Parung , RSUD dan Labkesda) (Fullday)</t>
  </si>
  <si>
    <t>Cigudeg</t>
  </si>
  <si>
    <t>Jasinga</t>
  </si>
  <si>
    <t>Tenjo</t>
  </si>
  <si>
    <t>Nanggung</t>
  </si>
  <si>
    <t>Caringin</t>
  </si>
  <si>
    <t>Cijeruk</t>
  </si>
  <si>
    <t>Cisarua</t>
  </si>
  <si>
    <t>Ciomas</t>
  </si>
  <si>
    <t>Cibinong</t>
  </si>
  <si>
    <t>Citeureup</t>
  </si>
  <si>
    <t>Gunung Putri</t>
  </si>
  <si>
    <t>Leuwi Sadeng</t>
  </si>
  <si>
    <t>Leuwiliang</t>
  </si>
  <si>
    <t>Rumpin</t>
  </si>
  <si>
    <t>Pamijahan</t>
  </si>
  <si>
    <t>Ciseeng</t>
  </si>
  <si>
    <t>Gunung sindur</t>
  </si>
  <si>
    <t>Parung</t>
  </si>
  <si>
    <t>Tajurhalang</t>
  </si>
  <si>
    <t>Cileungsi</t>
  </si>
  <si>
    <t>Sukamakmur</t>
  </si>
  <si>
    <t>Cariu</t>
  </si>
  <si>
    <t>Klapa Nunggal</t>
  </si>
  <si>
    <t>2. Pembinaan Tim TPCB ( semesteran)</t>
  </si>
  <si>
    <t>a. Wilayah Jasinga</t>
  </si>
  <si>
    <t xml:space="preserve">Transport Perjalanan Dinas Dalam Daerah </t>
  </si>
  <si>
    <t>b. Wilayah Leuwiliang</t>
  </si>
  <si>
    <t xml:space="preserve">Transport Perjalanan Dinas Dalam Daerah  </t>
  </si>
  <si>
    <t>c. Wilayah Ciawi</t>
  </si>
  <si>
    <t>d. Wilayah Parung</t>
  </si>
  <si>
    <t>e. Wilayah Cibinong</t>
  </si>
  <si>
    <t>f. Wilayah Jonggol</t>
  </si>
  <si>
    <t>Kabupaten Bogor,       Maret 2022</t>
  </si>
  <si>
    <t>Persentase  Cakupan layanan kesehatan</t>
  </si>
  <si>
    <t>Jumlah FKTP  yang di monev pasca akreditasi</t>
  </si>
  <si>
    <t>* Fotokopi BW</t>
  </si>
  <si>
    <t>lbr</t>
  </si>
  <si>
    <t>Belanja makan dan minum rapat</t>
  </si>
  <si>
    <t>snack</t>
  </si>
  <si>
    <t>Pertemuan Penguatan TPCB Terhadap Standar Akreditasi dan Mutu (Fullboard)</t>
  </si>
  <si>
    <t>Pertemuan Penguatan TPCB Terhadap Standar Akreditasi dan Monitoring Evaluasi Pasca Akreditasi (Fullboard) ---&gt; 6 wilayah</t>
  </si>
  <si>
    <t>5.1.02.04.01.0004</t>
  </si>
  <si>
    <t>dr. Fusia Meidiawaty, S.H, MHKes,MARS</t>
  </si>
  <si>
    <t>: 1.02.02.2.02.   Penyediaan  Layanan Kesehatan  untuk UKM dan UKP Rujukan Tk. Daerah Kab/Kota</t>
  </si>
  <si>
    <t>: 1.02.02.2.02.0038   Penyediaan dan Pengelolaan Sistem Penanganan Gawat Darurat Terpadu (SPGDT)</t>
  </si>
  <si>
    <t>: 101 Puskesmas</t>
  </si>
  <si>
    <t>5.1.02.01.01.0027</t>
  </si>
  <si>
    <t>Hvs F4 80 gr</t>
  </si>
  <si>
    <t>Hvs A4 80 gr</t>
  </si>
  <si>
    <t>Binder clip 107</t>
  </si>
  <si>
    <t>Tinta Epson 664 ( 4 warna)</t>
  </si>
  <si>
    <t>Workshop Penatalaksanaan  Kegawat daruratan di Puskesmas (Fullboard)</t>
  </si>
  <si>
    <t>2 hr</t>
  </si>
  <si>
    <t>Perjalanan Luar Daerah Dalam Koordinasi ke Dinas Kesehatan propinsi Jawa Barat</t>
  </si>
  <si>
    <t>4 org</t>
  </si>
  <si>
    <t>hari</t>
  </si>
  <si>
    <t>Kabupaten Bogor,      Februari 2026</t>
  </si>
  <si>
    <t>20   kl</t>
  </si>
  <si>
    <t>Belanja Perjalanan Paket Meeting Dalam Kota</t>
  </si>
  <si>
    <t>: 1.02.02 - PROGRAM PEMENUHAN UPAYA KESEHATAN PERORANGAN DAN UPAYA KESEHATAN MASYARAKAT</t>
  </si>
  <si>
    <t xml:space="preserve">:  1.02.02.2.02 - PENYEDIAAN LAYANAN KESEHATAN UNTUK UKM DAN UKP RUJUKAN TINGKAT DAERAH </t>
  </si>
  <si>
    <t xml:space="preserve"> 1.02.02.2.02.0014 - Pengelolaan Pelayanan Kesehatan bagi Penduduk Terdampak Krisis Kesehatan Akibat Bencana dan/atau Berpotensi Bencana</t>
  </si>
  <si>
    <t>: Kab. Bogor, Semua Kecamatan, Semua Kelurahan</t>
  </si>
  <si>
    <t>: Januari s.d. Desember  2027</t>
  </si>
  <si>
    <t>Dana Yang Dibutuhkan</t>
  </si>
  <si>
    <t>BELANJA DAERAH</t>
  </si>
  <si>
    <t>5.1.02.01.001</t>
  </si>
  <si>
    <t>Belanja Barang Pakai Habis</t>
  </si>
  <si>
    <t>Belanja Alat/Bahan untuk Kegiatan Kantor- Bahan Cetak</t>
  </si>
  <si>
    <t>[ - ] Belanja Cetak (Fotocopy)</t>
  </si>
  <si>
    <t>Foto Copy BW
Spesifikasi : Volume 1 lembar, ukuran F4</t>
  </si>
  <si>
    <t>Lembar</t>
  </si>
  <si>
    <t>Belanja Makanan dan Minuman Rapat</t>
  </si>
  <si>
    <t>[ - ] Pertemuan Koordinasi Tim Reaksi Cepat (TRC) tingkat Kabupaten Bogor</t>
  </si>
  <si>
    <t>Orang</t>
  </si>
  <si>
    <t>5.1.02.02.001</t>
  </si>
  <si>
    <t>Honorarium Narasumber atau Pembahas, Moderator, Pembawa Acara, dan Panitia</t>
  </si>
  <si>
    <t>Tim Reaksi Cepat (TRC) tingkat Kabupaten Bogor</t>
  </si>
  <si>
    <t>2 x 2</t>
  </si>
  <si>
    <t>Orang Jam</t>
  </si>
  <si>
    <t>pertemuan Lintas Sektor  Dalam Tanggap Darurat  Bencana (Fullday)</t>
  </si>
  <si>
    <t>5.1.02.04.001</t>
  </si>
  <si>
    <t>[ - ] Perjalanan Dinas Dalam Kota Dalam Rangka Krisis dan Bencana</t>
  </si>
  <si>
    <t>1 x 1</t>
  </si>
  <si>
    <t>Orang Kali</t>
  </si>
  <si>
    <t>1 x 2</t>
  </si>
  <si>
    <t>[ # ] Uang Harian Perjalanan Dinas Dalam Daerah Sumber Dana : PENDAPATAN ASLI DAERAH (PAD)</t>
  </si>
  <si>
    <t>Belanja Perjalanan Dinas Paket Meeting Dalam Kota</t>
  </si>
  <si>
    <t>Pertemuan Lintas Sektor  Dalam Tanggap Darurat  Bencana (Fullday)</t>
  </si>
  <si>
    <t>Pertemuan penguatan Tim Reaksi Cepat (TRC) tingkat Kabupaten Bogor (Halfday)</t>
  </si>
  <si>
    <t>Makanan dan Minuman Rapat
Spesifikasi : Belanja konsumsi kegiatan rapat atau sejenisnya</t>
  </si>
  <si>
    <t xml:space="preserve">Makanan dan Minuman Rapat
Spesifikasi : Belanja konsumsi kegiatan rapat atau sejenisnya </t>
  </si>
  <si>
    <r>
      <rPr>
        <b/>
        <sz val="9"/>
        <rFont val="Arial Narrow"/>
        <family val="2"/>
      </rPr>
      <t>5.1.02.01.001.000
26</t>
    </r>
  </si>
  <si>
    <r>
      <rPr>
        <b/>
        <sz val="9"/>
        <rFont val="Arial Narrow"/>
        <family val="2"/>
      </rPr>
      <t>[ # ] Belanja Cetak
Sumber Dana : PENDAPATAN ASLI DAERAH (PAD)</t>
    </r>
  </si>
  <si>
    <r>
      <rPr>
        <b/>
        <sz val="9"/>
        <rFont val="Arial Narrow"/>
        <family val="2"/>
      </rPr>
      <t>5.1.02.01.001.000
52</t>
    </r>
  </si>
  <si>
    <r>
      <rPr>
        <b/>
        <sz val="9"/>
        <rFont val="Arial Narrow"/>
        <family val="2"/>
      </rPr>
      <t>[ # ] Belanja Makan Minum Rapat
Sumber Dana : PENDAPATAN ASLI DAERAH (PAD)</t>
    </r>
  </si>
  <si>
    <r>
      <rPr>
        <b/>
        <sz val="9"/>
        <rFont val="Arial Narrow"/>
        <family val="2"/>
      </rPr>
      <t>5.1.02.02.001.000
03</t>
    </r>
  </si>
  <si>
    <r>
      <rPr>
        <b/>
        <sz val="9"/>
        <rFont val="Arial Narrow"/>
        <family val="2"/>
      </rPr>
      <t>[ # ] Honor Narasumber /Pembicara
Sumber Dana : PENDAPATAN ASLI DAERAH (PAD)</t>
    </r>
  </si>
  <si>
    <r>
      <rPr>
        <sz val="9"/>
        <rFont val="Arial Narrow"/>
        <family val="2"/>
      </rPr>
      <t>Honorarium Narasumber/Pembahas Spesifikasi : Pejabat Eselon III ke bawah/
yang disetarakan</t>
    </r>
  </si>
  <si>
    <r>
      <rPr>
        <b/>
        <sz val="9"/>
        <rFont val="Arial Narrow"/>
        <family val="2"/>
      </rPr>
      <t>5.1.02.04.001.000
03</t>
    </r>
  </si>
  <si>
    <r>
      <rPr>
        <b/>
        <sz val="9"/>
        <rFont val="Arial Narrow"/>
        <family val="2"/>
      </rPr>
      <t>[ # ] Transport Perjalanan Dinas Dalam Daerah
Sumber Dana : PENDAPATAN ASLI DAERAH (PAD)</t>
    </r>
  </si>
  <si>
    <r>
      <rPr>
        <sz val="9"/>
        <rFont val="Arial Narrow"/>
        <family val="2"/>
      </rPr>
      <t>Biaya transport perjalanan dinas antar kecamatan untuk Mobil &lt;2000cc
Spesifikasi : dari Kecamatan Cibinong ke Kecamatan Jasinga</t>
    </r>
  </si>
  <si>
    <r>
      <rPr>
        <sz val="9"/>
        <rFont val="Arial Narrow"/>
        <family val="2"/>
      </rPr>
      <t>Biaya transport perjalanan dinas antar kecamatan untuk Mobil &lt;2000cc
Spesifikasi : dari Kecamatan Cibinong ke Kecamatan Gunungputri</t>
    </r>
  </si>
  <si>
    <r>
      <rPr>
        <sz val="9"/>
        <rFont val="Arial Narrow"/>
        <family val="2"/>
      </rPr>
      <t>Biaya transport perjalanan dinas antar kecamatan untuk Mobil &lt;2000cc
Spesifikasi : dari Kecamatan Cibinong ke Kecamatan Cigudeg</t>
    </r>
  </si>
  <si>
    <r>
      <rPr>
        <sz val="9"/>
        <rFont val="Arial Narrow"/>
        <family val="2"/>
      </rPr>
      <t>Biaya transport perjalanan dinas antar kecamatan untuk Mobil &lt;2000cc
Spesifikasi : dari Kecamatan Cibinong ke Kecamatan Sukajaya</t>
    </r>
  </si>
  <si>
    <r>
      <rPr>
        <sz val="9"/>
        <rFont val="Arial Narrow"/>
        <family val="2"/>
      </rPr>
      <t>Biaya transport perjalanan dinas antar kecamatan untuk Mobil &lt;2000cc
Spesifikasi : dari Kecamatan Cibinong ke Kecamatan Nanggung</t>
    </r>
  </si>
  <si>
    <r>
      <rPr>
        <sz val="9"/>
        <rFont val="Arial Narrow"/>
        <family val="2"/>
      </rPr>
      <t>Biaya transport perjalanan dinas antar kecamatan untuk Mobil &lt;2000cc
Spesifikasi : dari Kecamatan Cibinong ke Kecamatan Cibungbulang</t>
    </r>
  </si>
  <si>
    <r>
      <rPr>
        <sz val="9"/>
        <rFont val="Arial Narrow"/>
        <family val="2"/>
      </rPr>
      <t>Biaya transport perjalanan dinas antar kecamatan untuk Mobil &lt;2000cc
Spesifikasi : dari Kecamatan Cibinong ke Kecamatan Ciampea</t>
    </r>
  </si>
  <si>
    <r>
      <rPr>
        <sz val="9"/>
        <rFont val="Arial Narrow"/>
        <family val="2"/>
      </rPr>
      <t>Biaya transport perjalanan dinas antar kecamatan untuk Mobil &lt;2000cc
Spesifikasi : dari Kecamatan Cibinong ke Kecamatan Pamijahan</t>
    </r>
  </si>
  <si>
    <r>
      <rPr>
        <sz val="9"/>
        <rFont val="Arial Narrow"/>
        <family val="2"/>
      </rPr>
      <t>Biaya transport perjalanan dinas antar kecamatan untuk Mobil &gt;2000cc
Spesifikasi : dari Kecamatan Cibinong ke Kecamatan Leuwiliang</t>
    </r>
  </si>
  <si>
    <r>
      <rPr>
        <sz val="9"/>
        <rFont val="Arial Narrow"/>
        <family val="2"/>
      </rPr>
      <t>Biaya transport perjalanan dinas antar kecamatan untuk Mobil &lt;2000cc
Spesifikasi : dari Kecamatan Cibinong ke Kecamatan Cisarua</t>
    </r>
  </si>
  <si>
    <r>
      <rPr>
        <sz val="9"/>
        <rFont val="Arial Narrow"/>
        <family val="2"/>
      </rPr>
      <t>Biaya transport perjalanan dinas antar kecamatan untuk Mobil &lt;2000cc
Spesifikasi : dari Kecamatan Cibinong ke Kecamatan Megamendung</t>
    </r>
  </si>
  <si>
    <r>
      <rPr>
        <sz val="9"/>
        <rFont val="Arial Narrow"/>
        <family val="2"/>
      </rPr>
      <t>Biaya transport perjalanan dinas antar kecamatan untuk Mobil &lt;2000cc
Spesifikasi : dari Kecamatan Cibinong ke Kecamatan Cigombong</t>
    </r>
  </si>
  <si>
    <r>
      <rPr>
        <sz val="9"/>
        <rFont val="Arial Narrow"/>
        <family val="2"/>
      </rPr>
      <t>Biaya transport perjalanan dinas antar kecamatan untuk Mobil &lt;2000cc
Spesifikasi : dari Kecamatan Cibinong ke Kecamatan Babakan Madan...</t>
    </r>
  </si>
  <si>
    <r>
      <rPr>
        <sz val="9"/>
        <rFont val="Arial Narrow"/>
        <family val="2"/>
      </rPr>
      <t>Biaya transport perjalanan dinas antar kecamatan untuk Mobil &lt;2000cc
Spesifikasi : dari Kecamatan Cibinong ke Kecamatan Citeureup</t>
    </r>
  </si>
  <si>
    <r>
      <rPr>
        <sz val="9"/>
        <rFont val="Arial Narrow"/>
        <family val="2"/>
      </rPr>
      <t>Biaya transport perjalanan dinas antar kecamatan untuk Mobil &lt;2000cc
Spesifikasi : dari Kecamatan Cibinong ke Kecamatan Sukaraja</t>
    </r>
  </si>
  <si>
    <r>
      <rPr>
        <sz val="9"/>
        <rFont val="Arial Narrow"/>
        <family val="2"/>
      </rPr>
      <t>Biaya transport perjalanan dinas antar kecamatan untuk Mobil &lt;2000cc
Spesifikasi : dari Kecamatan Cibinong ke Kecamatan Bojonggede</t>
    </r>
  </si>
  <si>
    <r>
      <rPr>
        <sz val="9"/>
        <rFont val="Arial Narrow"/>
        <family val="2"/>
      </rPr>
      <t>Biaya transport perjalanan dinas antar kecamatan untuk Mobil &lt;2000cc
Spesifikasi : dari Kecamatan Cibinong ke Kecamatan Parung</t>
    </r>
  </si>
  <si>
    <r>
      <rPr>
        <sz val="9"/>
        <rFont val="Arial Narrow"/>
        <family val="2"/>
      </rPr>
      <t>Biaya transport perjalanan dinas antar kecamatan untuk Mobil &lt;2000cc
Spesifikasi : dari Kecamatan Cibinong ke Kecamatan Gunungsindur</t>
    </r>
  </si>
  <si>
    <r>
      <rPr>
        <sz val="9"/>
        <rFont val="Arial Narrow"/>
        <family val="2"/>
      </rPr>
      <t>Biaya transport perjalanan dinas antar kecamatan untuk Mobil &lt;2000cc
Spesifikasi : dari Kecamatan Cibinong ke Kecamatan Rancabungur</t>
    </r>
  </si>
  <si>
    <r>
      <rPr>
        <sz val="9"/>
        <rFont val="Arial Narrow"/>
        <family val="2"/>
      </rPr>
      <t>Biaya transport perjalanan dinas antar kecamatan untuk Mobil &lt;2000cc
Spesifikasi : dari Kecamatan Cibinong ke Kecamatan Tanjungsari</t>
    </r>
  </si>
  <si>
    <r>
      <rPr>
        <sz val="9"/>
        <rFont val="Arial Narrow"/>
        <family val="2"/>
      </rPr>
      <t>Biaya transport perjalanan dinas antar kecamatan untuk Mobil &lt;2000cc
Spesifikasi : dari Kecamatan Cibinong ke Kecamatan Sukamakmur</t>
    </r>
  </si>
  <si>
    <r>
      <rPr>
        <sz val="9"/>
        <rFont val="Arial Narrow"/>
        <family val="2"/>
      </rPr>
      <t>Biaya transport perjalanan dinas antar kecamatan untuk Mobil &lt;2000cc
Spesifikasi : dari Kecamatan Cibinong ke Kecamatan Cariu</t>
    </r>
  </si>
  <si>
    <r>
      <rPr>
        <sz val="9"/>
        <rFont val="Arial Narrow"/>
        <family val="2"/>
      </rPr>
      <t>Biaya transport perjalanan dinas antar kecamatan untuk Mobil &lt;2000cc
Spesifikasi : dari Kecamatan Cibinong ke Kecamatan Jonggol</t>
    </r>
  </si>
  <si>
    <r>
      <rPr>
        <sz val="9"/>
        <rFont val="Arial Narrow"/>
        <family val="2"/>
      </rPr>
      <t>Biaya transport perjalanan dinas antar kecamatan untuk Mobil &lt;2000cc
Spesifikasi : dari Kecamatan Cibinong ke Kecamatan Dramaga</t>
    </r>
  </si>
  <si>
    <r>
      <rPr>
        <sz val="9"/>
        <rFont val="Arial Narrow"/>
        <family val="2"/>
      </rPr>
      <t>Uang Harian Perjalanan Dinas Dalam Daerah Spesifikasi : Perjalanan Dinas Dalam Daerah
Lebih dari 8 jam</t>
    </r>
  </si>
  <si>
    <r>
      <rPr>
        <b/>
        <sz val="9"/>
        <rFont val="Arial Narrow"/>
        <family val="2"/>
      </rPr>
      <t>5.1.02.04.001.000
04</t>
    </r>
  </si>
  <si>
    <r>
      <rPr>
        <b/>
        <sz val="9"/>
        <rFont val="Arial Narrow"/>
        <family val="2"/>
      </rPr>
      <t>[ # ] Belanja Paket Meeting Dalam Kota
Sumber Dana : PENDAPATAN ASLI DAERAH (PAD)</t>
    </r>
  </si>
  <si>
    <r>
      <rPr>
        <sz val="9"/>
        <rFont val="Arial Narrow"/>
        <family val="2"/>
      </rPr>
      <t>Biaya Kegiatan Rapat atau Pertemuan di Luar Kantor - paket fullday
Spesifikasi : setingkat Pejabat Eselon II ke bawah di  Hotel Bin...</t>
    </r>
  </si>
  <si>
    <t>Jumlah 2027                                       :</t>
  </si>
  <si>
    <t>Jumlah 2028                                       :</t>
  </si>
  <si>
    <t>Jumlah 2026                                       :</t>
  </si>
  <si>
    <t>: 1.02.02 PROGRAM PEMENUHAN UPAYA KESEHATAN PERORANGAN DAN UPAYA KESEHATAN MASYARAKAT</t>
  </si>
  <si>
    <t>: 1.02.02.2.03 Penyelenggaraan Sistem Informasi Kesehatan Secara Terintegrasi</t>
  </si>
  <si>
    <t>: 1.02.02.2.03.0002 Pengelolaan Sistem Informasi Kesehatan</t>
  </si>
  <si>
    <t>Jumlah Dokumen Hasil Pengelolaan Sistem Informasi Kesehatan</t>
  </si>
  <si>
    <r>
      <rPr>
        <b/>
        <sz val="9"/>
        <rFont val="Arial"/>
        <family val="2"/>
      </rPr>
      <t>BELANJA DAERAH</t>
    </r>
  </si>
  <si>
    <r>
      <rPr>
        <b/>
        <sz val="9"/>
        <rFont val="Arial"/>
        <family val="2"/>
      </rPr>
      <t>5.1</t>
    </r>
  </si>
  <si>
    <r>
      <rPr>
        <b/>
        <sz val="9"/>
        <rFont val="Arial"/>
        <family val="2"/>
      </rPr>
      <t>BELANJA OPERASI</t>
    </r>
  </si>
  <si>
    <r>
      <rPr>
        <b/>
        <sz val="9"/>
        <rFont val="Arial"/>
        <family val="2"/>
      </rPr>
      <t>Belanja Barang dan Jasa</t>
    </r>
  </si>
  <si>
    <r>
      <rPr>
        <b/>
        <sz val="9"/>
        <rFont val="Arial"/>
        <family val="2"/>
      </rPr>
      <t>5.1.02.01</t>
    </r>
  </si>
  <si>
    <r>
      <rPr>
        <b/>
        <sz val="9"/>
        <rFont val="Arial"/>
        <family val="2"/>
      </rPr>
      <t>Belanja Barang</t>
    </r>
  </si>
  <si>
    <r>
      <rPr>
        <b/>
        <sz val="9"/>
        <rFont val="Arial"/>
        <family val="2"/>
      </rPr>
      <t>5.1.02.01.001</t>
    </r>
  </si>
  <si>
    <r>
      <rPr>
        <b/>
        <sz val="9"/>
        <rFont val="Arial"/>
        <family val="2"/>
      </rPr>
      <t>Belanja Barang Pakai Habis</t>
    </r>
  </si>
  <si>
    <r>
      <rPr>
        <b/>
        <sz val="9"/>
        <rFont val="Arial"/>
        <family val="2"/>
      </rPr>
      <t>Belanja Alat/Bahan untuk Kegiatan Kantor- Kertas dan Cover</t>
    </r>
  </si>
  <si>
    <r>
      <rPr>
        <b/>
        <sz val="9"/>
        <rFont val="Arial"/>
        <family val="2"/>
      </rPr>
      <t xml:space="preserve">[ # ] Belanja Kertas dan cover
</t>
    </r>
    <r>
      <rPr>
        <b/>
        <sz val="9"/>
        <rFont val="Arial"/>
        <family val="2"/>
      </rPr>
      <t>Sumber Dana : PENDAPATAN ASLI DAERAH (PAD)</t>
    </r>
  </si>
  <si>
    <r>
      <rPr>
        <b/>
        <sz val="9"/>
        <rFont val="Arial"/>
        <family val="2"/>
      </rPr>
      <t>[ - ] Belanja Kertas dan Cover</t>
    </r>
  </si>
  <si>
    <r>
      <rPr>
        <sz val="9"/>
        <rFont val="Arial MT"/>
        <family val="2"/>
      </rPr>
      <t xml:space="preserve">Kertas HVS
</t>
    </r>
    <r>
      <rPr>
        <sz val="9"/>
        <rFont val="Arial MT"/>
        <family val="2"/>
      </rPr>
      <t>Spesifikasi : Ukuran F4 80 gram</t>
    </r>
  </si>
  <si>
    <r>
      <rPr>
        <sz val="9"/>
        <rFont val="Arial MT"/>
        <family val="2"/>
      </rPr>
      <t>Rim</t>
    </r>
  </si>
  <si>
    <r>
      <rPr>
        <b/>
        <sz val="9"/>
        <rFont val="Arial"/>
        <family val="2"/>
      </rPr>
      <t>Belanja Alat/Bahan untuk Kegiatan Kantor- Bahan Cetak</t>
    </r>
  </si>
  <si>
    <r>
      <rPr>
        <b/>
        <sz val="9"/>
        <rFont val="Arial"/>
        <family val="2"/>
      </rPr>
      <t xml:space="preserve">[ # ] Belanja Cetak ( Fotokopi)
</t>
    </r>
    <r>
      <rPr>
        <b/>
        <sz val="9"/>
        <rFont val="Arial"/>
        <family val="2"/>
      </rPr>
      <t>Sumber Dana : PENDAPATAN ASLI DAERAH (PAD)</t>
    </r>
  </si>
  <si>
    <r>
      <rPr>
        <b/>
        <sz val="9"/>
        <rFont val="Arial"/>
        <family val="2"/>
      </rPr>
      <t>[ - ] Fotocopy BW</t>
    </r>
  </si>
  <si>
    <r>
      <rPr>
        <sz val="9"/>
        <rFont val="Arial MT"/>
        <family val="2"/>
      </rPr>
      <t xml:space="preserve">Foto Copy BW
</t>
    </r>
    <r>
      <rPr>
        <sz val="9"/>
        <rFont val="Arial MT"/>
        <family val="2"/>
      </rPr>
      <t>Spesifikasi : Volume 1 lembar, ukuran A4</t>
    </r>
  </si>
  <si>
    <r>
      <rPr>
        <sz val="9"/>
        <rFont val="Arial MT"/>
        <family val="2"/>
      </rPr>
      <t>Lembar</t>
    </r>
  </si>
  <si>
    <r>
      <rPr>
        <b/>
        <sz val="9"/>
        <rFont val="Arial"/>
        <family val="2"/>
      </rPr>
      <t xml:space="preserve">[ # ] Jilid Spiral
</t>
    </r>
    <r>
      <rPr>
        <b/>
        <sz val="9"/>
        <rFont val="Arial"/>
        <family val="2"/>
      </rPr>
      <t>Sumber Dana : PENDAPATAN ASLI DAERAH (PAD)</t>
    </r>
  </si>
  <si>
    <r>
      <rPr>
        <b/>
        <sz val="9"/>
        <rFont val="Arial"/>
        <family val="2"/>
      </rPr>
      <t>[ - ] Jilid Spiral</t>
    </r>
  </si>
  <si>
    <r>
      <rPr>
        <sz val="9"/>
        <rFont val="Arial MT"/>
        <family val="2"/>
      </rPr>
      <t xml:space="preserve">Jilid
</t>
    </r>
    <r>
      <rPr>
        <sz val="9"/>
        <rFont val="Arial MT"/>
        <family val="2"/>
      </rPr>
      <t>Spesifikasi : Spiral, Ukuran A4</t>
    </r>
  </si>
  <si>
    <r>
      <rPr>
        <sz val="9"/>
        <rFont val="Arial MT"/>
        <family val="2"/>
      </rPr>
      <t>Buah</t>
    </r>
  </si>
  <si>
    <r>
      <rPr>
        <b/>
        <sz val="9"/>
        <rFont val="Arial"/>
        <family val="2"/>
      </rPr>
      <t>Belanja Makanan dan Minuman Rapat</t>
    </r>
  </si>
  <si>
    <r>
      <rPr>
        <b/>
        <sz val="9"/>
        <rFont val="Arial"/>
        <family val="2"/>
      </rPr>
      <t xml:space="preserve">[ # ] Belanja Makan Minum Rapat
</t>
    </r>
    <r>
      <rPr>
        <b/>
        <sz val="9"/>
        <rFont val="Arial"/>
        <family val="2"/>
      </rPr>
      <t>Sumber Dana : PENDAPATAN ASLI DAERAH (PAD)</t>
    </r>
  </si>
  <si>
    <t>Pertemuan Koordinasi Sistem Informasi Kesehatan (Perbidang)</t>
  </si>
  <si>
    <r>
      <rPr>
        <sz val="9"/>
        <rFont val="Arial MT"/>
        <family val="2"/>
      </rPr>
      <t xml:space="preserve">Makanan dan Minuman Rapat
</t>
    </r>
    <r>
      <rPr>
        <sz val="9"/>
        <rFont val="Arial MT"/>
        <family val="2"/>
      </rPr>
      <t>Spesifikasi : Belanja konsumsi kegiatan rapat atau sejenisnya (m...</t>
    </r>
  </si>
  <si>
    <r>
      <rPr>
        <sz val="9"/>
        <rFont val="Arial MT"/>
        <family val="2"/>
      </rPr>
      <t>Orang</t>
    </r>
  </si>
  <si>
    <r>
      <rPr>
        <sz val="9"/>
        <rFont val="Arial MT"/>
        <family val="2"/>
      </rPr>
      <t xml:space="preserve">Makanan dan Minuman Rapat
</t>
    </r>
    <r>
      <rPr>
        <sz val="9"/>
        <rFont val="Arial MT"/>
        <family val="2"/>
      </rPr>
      <t>Spesifikasi : Belanja konsumsi kegiatan rapat atau sejenisnya (s...</t>
    </r>
  </si>
  <si>
    <t xml:space="preserve">Pertemuan penguatan Sistem Informasi Kesehatan </t>
  </si>
  <si>
    <r>
      <rPr>
        <b/>
        <sz val="9"/>
        <rFont val="Arial"/>
        <family val="2"/>
      </rPr>
      <t>5.1.02.02</t>
    </r>
  </si>
  <si>
    <r>
      <rPr>
        <b/>
        <sz val="9"/>
        <rFont val="Arial"/>
        <family val="2"/>
      </rPr>
      <t>Belanja Jasa</t>
    </r>
  </si>
  <si>
    <r>
      <rPr>
        <b/>
        <sz val="9"/>
        <rFont val="Arial"/>
        <family val="2"/>
      </rPr>
      <t>5.1.02.02.001</t>
    </r>
  </si>
  <si>
    <r>
      <rPr>
        <b/>
        <sz val="9"/>
        <rFont val="Arial"/>
        <family val="2"/>
      </rPr>
      <t>Belanja Jasa Kantor</t>
    </r>
  </si>
  <si>
    <r>
      <rPr>
        <b/>
        <sz val="9"/>
        <rFont val="Arial"/>
        <family val="2"/>
      </rPr>
      <t>Honorarium Narasumber atau Pembahas, Moderator, Pembawa Acara, dan Panitia</t>
    </r>
  </si>
  <si>
    <t xml:space="preserve">Belanja Narasumber Pertemuan penguatan Sistem Informasi Kesehatan </t>
  </si>
  <si>
    <r>
      <rPr>
        <sz val="9"/>
        <rFont val="Arial MT"/>
        <family val="2"/>
      </rPr>
      <t xml:space="preserve">Honorarium Narasumber/Pembahas Spesifikasi : Pejabat Eselon II/ yang
</t>
    </r>
    <r>
      <rPr>
        <sz val="9"/>
        <rFont val="Arial MT"/>
        <family val="2"/>
      </rPr>
      <t>disetarakan</t>
    </r>
  </si>
  <si>
    <t>1X4X2</t>
  </si>
  <si>
    <r>
      <rPr>
        <sz val="9"/>
        <rFont val="Arial MT"/>
        <family val="2"/>
      </rPr>
      <t>Orang Jam</t>
    </r>
  </si>
  <si>
    <t>[ - ] Workshop peningkatan kapasitas Sistem Informasi kesehatan Tingkat Kabupaten ( Fullboard)</t>
  </si>
  <si>
    <r>
      <rPr>
        <sz val="9"/>
        <color theme="1"/>
        <rFont val="Arial MT"/>
        <family val="2"/>
      </rPr>
      <t>Honorarium Narasumber/Pembahas Spesifikasi : Pejabat Eselon III ke bawah/
yang disetarakan</t>
    </r>
  </si>
  <si>
    <r>
      <rPr>
        <sz val="9"/>
        <rFont val="Arial MT"/>
        <family val="2"/>
      </rPr>
      <t>2 x 2</t>
    </r>
  </si>
  <si>
    <r>
      <rPr>
        <b/>
        <sz val="9"/>
        <rFont val="Arial"/>
        <family val="2"/>
      </rPr>
      <t>5.1.02.04</t>
    </r>
  </si>
  <si>
    <r>
      <rPr>
        <b/>
        <sz val="9"/>
        <rFont val="Arial"/>
        <family val="2"/>
      </rPr>
      <t>Belanja Perjalanan Dinas</t>
    </r>
  </si>
  <si>
    <r>
      <rPr>
        <b/>
        <sz val="9"/>
        <rFont val="Arial"/>
        <family val="2"/>
      </rPr>
      <t>5.1.02.04.001</t>
    </r>
  </si>
  <si>
    <r>
      <rPr>
        <b/>
        <sz val="9"/>
        <rFont val="Arial"/>
        <family val="2"/>
      </rPr>
      <t>Belanja Perjalanan Dinas Dalam Negeri</t>
    </r>
  </si>
  <si>
    <r>
      <rPr>
        <b/>
        <sz val="9"/>
        <rFont val="Arial"/>
        <family val="2"/>
      </rPr>
      <t>Belanja Perjalanan Dinas Dalam Kota</t>
    </r>
  </si>
  <si>
    <r>
      <rPr>
        <b/>
        <sz val="9"/>
        <rFont val="Arial"/>
        <family val="2"/>
      </rPr>
      <t xml:space="preserve">[ # ] Belanja Perjalanan Dinas Dalam Kota
</t>
    </r>
    <r>
      <rPr>
        <b/>
        <sz val="9"/>
        <rFont val="Arial"/>
        <family val="2"/>
      </rPr>
      <t>Sumber Dana : PENDAPATAN ASLI DAERAH (PAD)</t>
    </r>
  </si>
  <si>
    <r>
      <rPr>
        <b/>
        <sz val="9"/>
        <rFont val="Arial"/>
        <family val="2"/>
      </rPr>
      <t>[ - ] Belanja Perjalanan Dinas Dalam Kota</t>
    </r>
  </si>
  <si>
    <r>
      <rPr>
        <sz val="9"/>
        <rFont val="Arial MT"/>
        <family val="2"/>
      </rPr>
      <t xml:space="preserve">Uang Harian Perjalanan Dinas Dalam Daerah Spesifikasi : Perjalanan Dinas Dalam Daerah
</t>
    </r>
    <r>
      <rPr>
        <sz val="9"/>
        <rFont val="Arial MT"/>
        <family val="2"/>
      </rPr>
      <t>Lebih dari 8 jam</t>
    </r>
  </si>
  <si>
    <r>
      <rPr>
        <sz val="9"/>
        <rFont val="Arial MT"/>
        <family val="2"/>
      </rPr>
      <t xml:space="preserve">Biaya transport perjalanan dinas antar kecamatan untuk Mobil &lt;2000cc
</t>
    </r>
    <r>
      <rPr>
        <sz val="9"/>
        <rFont val="Arial MT"/>
        <family val="2"/>
      </rPr>
      <t>Spesifikasi : dari Kecamatan Cibinong ke Kecamatan Jasinga</t>
    </r>
  </si>
  <si>
    <r>
      <rPr>
        <sz val="9"/>
        <rFont val="Arial MT"/>
        <family val="2"/>
      </rPr>
      <t xml:space="preserve">Biaya transport perjalanan dinas antar kecamatan untuk Mobil &lt;2000cc
</t>
    </r>
    <r>
      <rPr>
        <sz val="9"/>
        <rFont val="Arial MT"/>
        <family val="2"/>
      </rPr>
      <t>Spesifikasi : dari Kecamatan Cibinong ke Kecamatan Cigudeg</t>
    </r>
  </si>
  <si>
    <r>
      <rPr>
        <sz val="9"/>
        <rFont val="Arial MT"/>
        <family val="2"/>
      </rPr>
      <t xml:space="preserve">Biaya transport perjalanan dinas antar kecamatan untuk Mobil &lt;2000cc
</t>
    </r>
    <r>
      <rPr>
        <sz val="9"/>
        <rFont val="Arial MT"/>
        <family val="2"/>
      </rPr>
      <t>Spesifikasi : dari Kecamatan Cibinong ke Kecamatan Sukajaya</t>
    </r>
  </si>
  <si>
    <r>
      <rPr>
        <sz val="9"/>
        <rFont val="Arial MT"/>
        <family val="2"/>
      </rPr>
      <t xml:space="preserve">Biaya transport perjalanan dinas antar kecamatan untuk Mobil &lt;2000cc
</t>
    </r>
    <r>
      <rPr>
        <sz val="9"/>
        <rFont val="Arial MT"/>
        <family val="2"/>
      </rPr>
      <t>Spesifikasi : dari Kecamatan Cibinong ke Kecamatan Nanggung</t>
    </r>
  </si>
  <si>
    <r>
      <rPr>
        <sz val="9"/>
        <rFont val="Arial MT"/>
        <family val="2"/>
      </rPr>
      <t xml:space="preserve">Biaya transport perjalanan dinas antar kecamatan untuk Mobil &lt;2000cc
</t>
    </r>
    <r>
      <rPr>
        <sz val="9"/>
        <rFont val="Arial MT"/>
        <family val="2"/>
      </rPr>
      <t>Spesifikasi : dari Kecamatan Cibinong ke Kecamatan Cibungbulang</t>
    </r>
  </si>
  <si>
    <r>
      <rPr>
        <sz val="9"/>
        <rFont val="Arial MT"/>
        <family val="2"/>
      </rPr>
      <t xml:space="preserve">Biaya transport perjalanan dinas antar kecamatan untuk Mobil &lt;2000cc
</t>
    </r>
    <r>
      <rPr>
        <sz val="9"/>
        <rFont val="Arial MT"/>
        <family val="2"/>
      </rPr>
      <t>Spesifikasi : dari Kecamatan Cibinong ke Kecamatan Rumpin</t>
    </r>
  </si>
  <si>
    <r>
      <rPr>
        <sz val="9"/>
        <rFont val="Arial MT"/>
        <family val="2"/>
      </rPr>
      <t xml:space="preserve">Biaya transport perjalanan dinas antar kecamatan untuk Mobil &lt;2000cc
</t>
    </r>
    <r>
      <rPr>
        <sz val="9"/>
        <rFont val="Arial MT"/>
        <family val="2"/>
      </rPr>
      <t>Spesifikasi : dari Kecamatan Cibinong ke Kecamatan Ciampea</t>
    </r>
  </si>
  <si>
    <r>
      <rPr>
        <sz val="9"/>
        <rFont val="Arial MT"/>
        <family val="2"/>
      </rPr>
      <t xml:space="preserve">Biaya transport perjalanan dinas antar kecamatan untuk Mobil &lt;2000cc
</t>
    </r>
    <r>
      <rPr>
        <sz val="9"/>
        <rFont val="Arial MT"/>
        <family val="2"/>
      </rPr>
      <t>Spesifikasi : dari Kecamatan Cibinong ke Kecamatan Pamijahan</t>
    </r>
  </si>
  <si>
    <r>
      <rPr>
        <sz val="9"/>
        <rFont val="Arial MT"/>
        <family val="2"/>
      </rPr>
      <t xml:space="preserve">Biaya transport perjalanan dinas antar kecamatan untuk Mobil &lt;2000cc
</t>
    </r>
    <r>
      <rPr>
        <sz val="9"/>
        <rFont val="Arial MT"/>
        <family val="2"/>
      </rPr>
      <t>Spesifikasi : dari Kecamatan Cibinong ke Kecamatan Parungpanjang</t>
    </r>
  </si>
  <si>
    <r>
      <rPr>
        <sz val="9"/>
        <rFont val="Arial MT"/>
        <family val="2"/>
      </rPr>
      <t xml:space="preserve">Biaya transport perjalanan dinas antar kecamatan untuk Mobil &lt;2000cc
</t>
    </r>
    <r>
      <rPr>
        <sz val="9"/>
        <rFont val="Arial MT"/>
        <family val="2"/>
      </rPr>
      <t>Spesifikasi : dari Kecamatan Cibinong ke Kecamatan Dramaga</t>
    </r>
  </si>
  <si>
    <r>
      <rPr>
        <sz val="9"/>
        <rFont val="Arial MT"/>
        <family val="2"/>
      </rPr>
      <t xml:space="preserve">Biaya transport perjalanan dinas antar kecamatan untuk Mobil &lt;2000cc
</t>
    </r>
    <r>
      <rPr>
        <sz val="9"/>
        <rFont val="Arial MT"/>
        <family val="2"/>
      </rPr>
      <t>Spesifikasi : dari Kecamatan Cibinong ke Kecamatan Cisarua</t>
    </r>
  </si>
  <si>
    <r>
      <rPr>
        <sz val="9"/>
        <rFont val="Arial MT"/>
        <family val="2"/>
      </rPr>
      <t xml:space="preserve">Biaya transport perjalanan dinas antar kecamatan untuk Mobil &lt;2000cc
</t>
    </r>
    <r>
      <rPr>
        <sz val="9"/>
        <rFont val="Arial MT"/>
        <family val="2"/>
      </rPr>
      <t>Spesifikasi : dari Kecamatan Cibinong ke Kecamatan Cigombong</t>
    </r>
  </si>
  <si>
    <r>
      <rPr>
        <sz val="9"/>
        <rFont val="Arial MT"/>
        <family val="2"/>
      </rPr>
      <t xml:space="preserve">Biaya transport perjalanan dinas antar kecamatan untuk Mobil &lt;2000cc
</t>
    </r>
    <r>
      <rPr>
        <sz val="9"/>
        <rFont val="Arial MT"/>
        <family val="2"/>
      </rPr>
      <t>Spesifikasi : dari Kecamatan Cibinong ke Kecamatan Megamendung</t>
    </r>
  </si>
  <si>
    <r>
      <rPr>
        <sz val="9"/>
        <rFont val="Arial MT"/>
        <family val="2"/>
      </rPr>
      <t xml:space="preserve">Biaya transport perjalanan dinas antar kecamatan untuk Mobil &lt;2000cc
</t>
    </r>
    <r>
      <rPr>
        <sz val="9"/>
        <rFont val="Arial MT"/>
        <family val="2"/>
      </rPr>
      <t>Spesifikasi : dari Kecamatan Cibinong ke Kecamatan Gunungsindur</t>
    </r>
  </si>
  <si>
    <r>
      <rPr>
        <sz val="9"/>
        <rFont val="Arial MT"/>
        <family val="2"/>
      </rPr>
      <t xml:space="preserve">Biaya transport perjalanan dinas antar kecamatan untuk Mobil &lt;2000cc
</t>
    </r>
    <r>
      <rPr>
        <sz val="9"/>
        <rFont val="Arial MT"/>
        <family val="2"/>
      </rPr>
      <t>Spesifikasi : dari Kecamatan Cibinong ke Kecamatan Parung</t>
    </r>
  </si>
  <si>
    <r>
      <rPr>
        <sz val="9"/>
        <rFont val="Arial MT"/>
        <family val="2"/>
      </rPr>
      <t xml:space="preserve">Biaya transport perjalanan dinas antar kecamatan untuk Mobil &lt;2000cc
</t>
    </r>
    <r>
      <rPr>
        <sz val="9"/>
        <rFont val="Arial MT"/>
        <family val="2"/>
      </rPr>
      <t>Spesifikasi : dari Kecamatan Cibinong ke Kecamatan Rancabungur</t>
    </r>
  </si>
  <si>
    <r>
      <rPr>
        <sz val="9"/>
        <rFont val="Arial MT"/>
        <family val="2"/>
      </rPr>
      <t xml:space="preserve">Biaya transport perjalanan dinas antar kecamatan untuk Mobil &lt;2000cc
</t>
    </r>
    <r>
      <rPr>
        <sz val="9"/>
        <rFont val="Arial MT"/>
        <family val="2"/>
      </rPr>
      <t>Spesifikasi : dari Kecamatan Cibinong ke Kecamatan Cariu</t>
    </r>
  </si>
  <si>
    <r>
      <rPr>
        <sz val="9"/>
        <rFont val="Arial MT"/>
        <family val="2"/>
      </rPr>
      <t xml:space="preserve">Biaya transport perjalanan dinas antar kecamatan untuk Mobil &lt;2000cc
</t>
    </r>
    <r>
      <rPr>
        <sz val="9"/>
        <rFont val="Arial MT"/>
        <family val="2"/>
      </rPr>
      <t>Spesifikasi : dari Kecamatan Cibinong ke Kecamatan Sukamakmur</t>
    </r>
  </si>
  <si>
    <r>
      <rPr>
        <sz val="9"/>
        <rFont val="Arial MT"/>
        <family val="2"/>
      </rPr>
      <t xml:space="preserve">Biaya transport perjalanan dinas antar kecamatan untuk Mobil &lt;2000cc
</t>
    </r>
    <r>
      <rPr>
        <sz val="9"/>
        <rFont val="Arial MT"/>
        <family val="2"/>
      </rPr>
      <t>Spesifikasi : dari Kecamatan Cibinong ke Kecamatan Jonggol</t>
    </r>
  </si>
  <si>
    <r>
      <rPr>
        <sz val="9"/>
        <rFont val="Arial MT"/>
        <family val="2"/>
      </rPr>
      <t xml:space="preserve">Biaya transport perjalanan dinas antar kecamatan untuk Mobil &lt;2000cc
</t>
    </r>
    <r>
      <rPr>
        <sz val="9"/>
        <rFont val="Arial MT"/>
        <family val="2"/>
      </rPr>
      <t>Spesifikasi : dari Kecamatan Cibinong ke Kecamatan Tanjungsari</t>
    </r>
  </si>
  <si>
    <r>
      <rPr>
        <sz val="9"/>
        <rFont val="Arial MT"/>
        <family val="2"/>
      </rPr>
      <t xml:space="preserve">Biaya transport perjalanan dinas antar kecamatan untuk Mobil &lt;2000cc
</t>
    </r>
    <r>
      <rPr>
        <sz val="9"/>
        <rFont val="Arial MT"/>
        <family val="2"/>
      </rPr>
      <t>Spesifikasi : dari Kecamatan Cibinong ke Kecamatan Citeureup</t>
    </r>
  </si>
  <si>
    <r>
      <rPr>
        <sz val="9"/>
        <rFont val="Arial MT"/>
        <family val="2"/>
      </rPr>
      <t xml:space="preserve">Biaya transport perjalanan dinas antar kecamatan untuk Mobil &lt;2000cc
</t>
    </r>
    <r>
      <rPr>
        <sz val="9"/>
        <rFont val="Arial MT"/>
        <family val="2"/>
      </rPr>
      <t>Spesifikasi : dari Kecamatan Cibinong ke Kecamatan Gunungputri</t>
    </r>
  </si>
  <si>
    <r>
      <rPr>
        <sz val="9"/>
        <rFont val="Arial MT"/>
        <family val="2"/>
      </rPr>
      <t xml:space="preserve">Biaya transport perjalanan dinas antar kecamatan untuk Mobil &lt;2000cc
</t>
    </r>
    <r>
      <rPr>
        <sz val="9"/>
        <rFont val="Arial MT"/>
        <family val="2"/>
      </rPr>
      <t>Spesifikasi : dari Kecamatan Cibinong ke Kecamatan Sukaraja</t>
    </r>
  </si>
  <si>
    <r>
      <rPr>
        <sz val="9"/>
        <rFont val="Arial MT"/>
        <family val="2"/>
      </rPr>
      <t xml:space="preserve">Biaya transport perjalanan dinas antar kecamatan untuk Mobil &lt;2000cc
</t>
    </r>
    <r>
      <rPr>
        <sz val="9"/>
        <rFont val="Arial MT"/>
        <family val="2"/>
      </rPr>
      <t>Spesifikasi : dari Kecamatan Cibinong ke Kecamatan Babakan Madan...</t>
    </r>
  </si>
  <si>
    <r>
      <rPr>
        <b/>
        <sz val="9"/>
        <rFont val="Arial"/>
        <family val="2"/>
      </rPr>
      <t>Belanja Perjalanan Dinas Paket Meeting Dalam Kota</t>
    </r>
  </si>
  <si>
    <r>
      <rPr>
        <sz val="9"/>
        <rFont val="Arial MT"/>
        <family val="2"/>
      </rPr>
      <t xml:space="preserve">Biaya Kegiatan Rapat atau Pertemuan di Luar Kantor - paket fullday
</t>
    </r>
    <r>
      <rPr>
        <sz val="9"/>
        <rFont val="Arial MT"/>
        <family val="2"/>
      </rPr>
      <t>Spesifikasi : setingkat Pejabat Eselon II ke bawah di  Hotel Bin...</t>
    </r>
  </si>
  <si>
    <t>5.1.02.01.001.00025</t>
  </si>
  <si>
    <t>5.1.02.01.001.00026</t>
  </si>
  <si>
    <t>5.1.02.01.001.00052</t>
  </si>
  <si>
    <t>5.1.02.02.001.00003</t>
  </si>
  <si>
    <t>5.1.02.04.001.00003</t>
  </si>
  <si>
    <t>5.1.02.04.001.00004</t>
  </si>
  <si>
    <t>Workshop Peningkatan Kapasitas PJ Program Kestrad (Fullday)</t>
  </si>
  <si>
    <t>Transport Perjalanan Dinas Dalam Daerah  (18  puskesmas)</t>
  </si>
  <si>
    <t>Kiara pandak</t>
  </si>
  <si>
    <t>Situ Udik</t>
  </si>
  <si>
    <t>Cihideung Udik</t>
  </si>
  <si>
    <t>Sirnagalih</t>
  </si>
  <si>
    <t>Gunung Sindur</t>
  </si>
  <si>
    <t>Cilebut</t>
  </si>
  <si>
    <t>Leuwinutug</t>
  </si>
  <si>
    <t>Sukanegara</t>
  </si>
  <si>
    <t>Klapanunggal</t>
  </si>
  <si>
    <t>2  org x</t>
  </si>
  <si>
    <t>Workshop Peningkatan Kapasitas  Program Kestrad (Fullday)</t>
  </si>
  <si>
    <t xml:space="preserve">Pembulatan </t>
  </si>
  <si>
    <t>: -</t>
  </si>
  <si>
    <t>: 1.02.03 PROGRAM PENINGKATAN KAPASITAS SUMBER DAYA MANUSIA KESEHATAN</t>
  </si>
  <si>
    <t>: 1.02.03.2.01 Pemberian Izin Praktik Tenaga Kesehatan di Wilayah Kabupaten/Kota</t>
  </si>
  <si>
    <t>: 1.02.03.2.01.0001 Pengendalian Perizinan Praktik Tenaga Kesehatan</t>
  </si>
  <si>
    <t>: Kab. Bogor, Semua Kecamatan, Semua Kel/Desa</t>
  </si>
  <si>
    <t>: Dinas Kesehatan Kab. Bogor</t>
  </si>
  <si>
    <t>5.1.02.01.001.00024</t>
  </si>
  <si>
    <t>Belanja Alat/Bahan untuk Kegiatan Kantor-Alat Tulis Kantor</t>
  </si>
  <si>
    <t>[ # ] Alat Tulis Kantor (ATK)
         Sumber Dana : PENDAPATAN ASLI DAERAH (PAD)</t>
  </si>
  <si>
    <t>[ - ] Alat Tulis Kantor (ATK)</t>
  </si>
  <si>
    <t xml:space="preserve">        Box File
               Spesifikasi : Bahan karton dilapisi plastik, ukuran folio, lebar …</t>
  </si>
  <si>
    <t>Buah</t>
  </si>
  <si>
    <t xml:space="preserve">        Odner
               Spesifikasi : Ukuran folio</t>
  </si>
  <si>
    <t xml:space="preserve">        Map
               Spesifikasi : Snelhecter 50001, bahan plastik, isi 50 pcs</t>
  </si>
  <si>
    <t>Pak</t>
  </si>
  <si>
    <t xml:space="preserve">       *Pembulatan</t>
  </si>
  <si>
    <t>Belanja Alat/Bahan untuk Kegiatan Kantor-Kertas dan Cover</t>
  </si>
  <si>
    <t>[ # ] Belanja Alat/Bahan untuk Kegiatan Kantor-Kertas dan Cover
         Sumber Dana : PENDAPATAN ASLI DAERAH (PAD)</t>
  </si>
  <si>
    <t>[ - ] Belanja Alat/Bahan untuk Kegiatan Kantor-Kertas dan Cover</t>
  </si>
  <si>
    <t xml:space="preserve">        Kertas HVS
               Spesifikasi : Ukuran F4 80 gram</t>
  </si>
  <si>
    <t>5.1.02.01.001.00029</t>
  </si>
  <si>
    <t>Belanja Alat/Bahan untuk Kegiatan Kantor-Bahan Komputer</t>
  </si>
  <si>
    <t>[ # ] Belanja Alat/Bahan untuk Kegiatan Kantor-Bahan Komputer
         Sumber Dana : PENDAPATAN ASLI DAERAH (PAD)</t>
  </si>
  <si>
    <t>[ - ] Belanja Alat/Bahan untuk Kegiatan Kantor-Bahan Komputer</t>
  </si>
  <si>
    <t xml:space="preserve">        Tinta/Toner Printer
               Spesifikasi : Epson 003, black</t>
  </si>
  <si>
    <t xml:space="preserve">        Tinta/Toner Printer
               Spesifikasi : Epson 003, warna</t>
  </si>
  <si>
    <t>Belanja Makan dan Minum Rapat</t>
  </si>
  <si>
    <t>[ # ] Belanja Makan dan Minum Rapat
         Sumber Dana : PENDAPATAN ASLI DAERAH (PAD)</t>
  </si>
  <si>
    <t>[ - ] Pertemuan Pengendalian Perijinan Praktek Tenaga Kesehatan</t>
  </si>
  <si>
    <t xml:space="preserve">        Makan dan Minum Rapat
               Spesifikasi : Belanja Konsumsi kegiatan rapat atau sejenisnya (makan)</t>
  </si>
  <si>
    <t xml:space="preserve">        Makan dan Minum Rapat
               Spesifikasi : Belanja Konsumsi kegiatan rapat atau sejenisnya (snack)</t>
  </si>
  <si>
    <t>[ # ] Belanja Perjalanan Dinas Dalam Kota
         Sumber Dana : PENDAPATAN ASLI DAERAH (PAD)</t>
  </si>
  <si>
    <t>[ - ] Monev Perizinan Tenaga Kesehatan</t>
  </si>
  <si>
    <t xml:space="preserve">        Uang Harian Perjalanan Dinas Dalam Daerah
               Spesifikasi : Perjalanan Dinas Dalam Daerah Lebih dari 8 jam</t>
  </si>
  <si>
    <t>Orang / Hari</t>
  </si>
  <si>
    <t xml:space="preserve">        Biaya Transport perjalanan dinas antar kecamatan untuk mobil &lt;2000cc
               Spesifikasi : dari Kecamatan Cibinong ke Kecamatan Jasinga</t>
  </si>
  <si>
    <t xml:space="preserve">        Biaya Transport perjalanan dinas antar kecamatan untuk mobil &lt;2000cc
               Spesifikasi : dari Kecamatan Cibinong ke Kecamatan Cigombong</t>
  </si>
  <si>
    <t xml:space="preserve">        Biaya Transport perjalanan dinas antar kecamatan untuk mobil &lt;2000cc
               Spesifikasi : dari Kecamatan Cibinong ke Kecamatan Cigudeg</t>
  </si>
  <si>
    <t xml:space="preserve">        Biaya Transport perjalanan dinas antar kecamatan untuk mobil &lt;2000cc
               Spesifikasi : dari Kecamatan Cibinong ke Kecamatan Tajurhalang</t>
  </si>
  <si>
    <t xml:space="preserve">        Biaya Transport perjalanan dinas antar kecamatan untuk mobil &lt;2000cc
               Spesifikasi : dari Kecamatan Cibinong ke Kecamatan Leuwiliang</t>
  </si>
  <si>
    <t xml:space="preserve">        Biaya Transport perjalanan dinas antar kecamatan untuk mobil &lt;2000cc
               Spesifikasi : dari Kecamatan Cibinong ke Kecamatan Cileungsi</t>
  </si>
  <si>
    <t xml:space="preserve">        Biaya Transport perjalanan dinas antar kecamatan untuk mobil &lt;2000cc
               Spesifikasi : dari Kecamatan Cibinong ke Kecamatan Gunungputri</t>
  </si>
  <si>
    <t xml:space="preserve">        Biaya Transport perjalanan dinas antar kecamatan untuk mobil &lt;2000cc
               Spesifikasi : dari Kecamatan Cibinong ke Kecamatan Cariu</t>
  </si>
  <si>
    <t xml:space="preserve">        Biaya Transport perjalanan dinas antar kecamatan untuk mobil &lt;2000cc
               Spesifikasi : dari Kecamatan Cibinong ke Kecamatan Sukaraja</t>
  </si>
  <si>
    <t>Pertemuan Sosialisasi Indikator Mutu Kesehatan Tradisional</t>
  </si>
  <si>
    <t>Makan dan Minum Spesifikasi : Belanja Konsumsi kegiatan rapat atau sejenisnya (makan)</t>
  </si>
  <si>
    <t>Makan dan Minum Rapat
Spesifikasi : Belanja Konsumsi kegiatan rapat atau sejenisnya (snack)</t>
  </si>
  <si>
    <t>[ # ] Belanja Makan dan Minum Rapat
 Sumber Dana : PENDAPATAN ASLI DAERAH (PAD)</t>
  </si>
  <si>
    <t xml:space="preserve">[ - ] Pertemuan Sosialisasi Indikator Mutu Kesehatan Tradisional </t>
  </si>
  <si>
    <t>: Fasyankes Kabupaten Bogor</t>
  </si>
  <si>
    <t>: 1.02.02.2.02.0035  Pelaksanaan Akreditasi Fasilitas Keshatan di Kabupaten/Kota</t>
  </si>
  <si>
    <t>Tinta Epson BLACK</t>
  </si>
  <si>
    <t>Tinta Epson Cyan</t>
  </si>
  <si>
    <t>Tinta Epson Yellow</t>
  </si>
  <si>
    <t>Tinta Epson Magenta</t>
  </si>
  <si>
    <t>Pertemuan Evaluasi  Rencana perbaikan Staregis Puskesmas</t>
  </si>
  <si>
    <t>Pertemuan Evaluasi  Rencana perbaikan Staregis Klinik</t>
  </si>
  <si>
    <t>Workshop Keselamatan Pasien di Fasyankes Kabupaten Bogor (Fullboard)</t>
  </si>
  <si>
    <t>Workshop Keselamatan Pasien di Fasyankes Kabupaten Bogor (Fullday)</t>
  </si>
  <si>
    <t>Kertas HVS F4 80  gram</t>
  </si>
  <si>
    <t>Kertas HVS A4 80  gram</t>
  </si>
  <si>
    <t>Monev Mutu Pelayanan Kesehatan di  FKTP</t>
  </si>
  <si>
    <t>Balpoint balliner</t>
  </si>
  <si>
    <t>*pembulatan</t>
  </si>
  <si>
    <t>Pertemuan Evaluasi  Capaian PKG Tingkat Kabupaten Bogor ( Fullboard)</t>
  </si>
  <si>
    <t>Pertemuan Mutu pelayanan kesehatan di FKTP Pemerintah dan Swasta  (Fullboard)</t>
  </si>
  <si>
    <t>:                                                                         175.484.400</t>
  </si>
  <si>
    <t>:                                                                         167.127.950</t>
  </si>
  <si>
    <t>: Januari s.d. Desember 2027</t>
  </si>
  <si>
    <t>Persentase  fasilitas kesehatan  yang terintegrasi  dalam sistem informasi  kesehatan nasional (SIKN)</t>
  </si>
  <si>
    <t>capaian Program</t>
  </si>
  <si>
    <t>: PENDAPATAN ASLI DAERAH (PAD)</t>
  </si>
  <si>
    <t>12 Dokumen</t>
  </si>
  <si>
    <t>Persentase FKTP Pemerintah dan Klinik Swasta terakreditasi paripurna
Persentase balita yang dipantau pertumbuhan dan perkembangannya
Persentase skrining penyakit tidak menular (PTM) pada kelompok usia produktif
Cakupan penemuan dan pengobatan kasus TBC
Persentase ibu bersalin di faskes (PF)</t>
  </si>
  <si>
    <t>91% 
100% 
100% 
90% 
100%</t>
  </si>
  <si>
    <t xml:space="preserve">Jumlah dokumen hasil pengelolaan pelayanan kesehatan bagi penduduk  terdampak krisis kesehatan akibat bencana dan/atau berpotensi bencana sesuai standar </t>
  </si>
  <si>
    <t xml:space="preserve"> 91% 
100% 
100% 
90% 
100%</t>
  </si>
  <si>
    <t>5 Dokumen</t>
  </si>
  <si>
    <t>Jumlah dokumen  laporan Public Safety Center (PSC 119), Terkelola dan Terintegrasi nya dengan Rumah Sakit Dalam Satu Sistem Penanganan Gawat Darurat Terpadu (SPGDT)</t>
  </si>
  <si>
    <t>Jumlah Dokumen Hasil Pengelolaan Pelayanan Kesehatan Tradisional, Akupuntur, Asuhan Mandiri dan Tradisional Lainnya</t>
  </si>
  <si>
    <t>Persentase pelayanan kesehatan rujukan yang diterima di fasilitas kesehatan</t>
  </si>
  <si>
    <t>Persentase fasilitas kesehatan yang memenuhi standar Indikator Nasional Mutu (INM) pelayanan kesehatan</t>
  </si>
  <si>
    <t>81.73%</t>
  </si>
  <si>
    <t>Persentase berkas rekomendasi untuk SIP tenaga medis dan tenaga kesehatan</t>
  </si>
  <si>
    <t>Terlaksananya Pengendalian  Perizinan Praktik Tenaga  Kesehatan</t>
  </si>
  <si>
    <t>279 dokumen</t>
  </si>
  <si>
    <t>Persentase Sumber Daya Manusia Kesehatan (SDMK) yang ditingkatkan kapasitasnya</t>
  </si>
  <si>
    <t>Binder clip 200</t>
  </si>
  <si>
    <t>Lakban Bening</t>
  </si>
  <si>
    <t>Gunting</t>
  </si>
  <si>
    <t>Buku Double Folio</t>
  </si>
  <si>
    <t>pcs</t>
  </si>
  <si>
    <t>Buku Tulis Ekspedisi</t>
  </si>
  <si>
    <t>Buku Folio bergaris</t>
  </si>
  <si>
    <t>Staples Nomor 10</t>
  </si>
  <si>
    <t>Isi staples Nomor 10</t>
  </si>
  <si>
    <t>Pembuka Staples</t>
  </si>
  <si>
    <t>Post Note Ukuran 76 mm X 76 mm</t>
  </si>
  <si>
    <t>Kertas Karbon Ukuran Folio</t>
  </si>
  <si>
    <t>Amplop Putih Polos, Nomor 110</t>
  </si>
  <si>
    <t>Amplop Putih Polos, Nomor 90</t>
  </si>
  <si>
    <t>Cutter Ukuran besar, L500</t>
  </si>
  <si>
    <t>Lem Glue stick 25 gram</t>
  </si>
  <si>
    <t>Penggaris Bahan besi, ukuran 30 cm</t>
  </si>
  <si>
    <t>Post It Sign here, bahan plastik, isi 140 lembar</t>
  </si>
  <si>
    <t>Tinta Stempel Kemasan 50 ml</t>
  </si>
  <si>
    <t>botol</t>
  </si>
  <si>
    <t>Tipe Ex Correction Pen, cair</t>
  </si>
  <si>
    <t>Spidol Permanen, warna hitam</t>
  </si>
  <si>
    <t>Spidol Whiteboard</t>
  </si>
  <si>
    <t>Perjalanan Dalam Daerah dalam Rangka P3K, Pelayanan Rujukan, Pertemuan dan Koordinasi</t>
  </si>
  <si>
    <t xml:space="preserve">Perjalanan Luar Daerah Dalam Rangka Pertemuan dan Koordinasi </t>
  </si>
  <si>
    <t>Perjalanan Luar Daerah Dalam Rangka Pelayanan Rujukan</t>
  </si>
  <si>
    <t>Belanja jasa Pegawai Pemerintah dengan Perjanjian Kerja (PPPK) Paruh Waktu</t>
  </si>
  <si>
    <t>5.1.02.02.001.00085</t>
  </si>
  <si>
    <t>Belanja jasa Pegawai Pemerintah dengan Perjanjian Kerja (PPPK) Paruh Waktu pada jabatan tenaga kesehatan</t>
  </si>
  <si>
    <t>Orang / Bulan</t>
  </si>
  <si>
    <t>5.1.02.02.001.00086</t>
  </si>
  <si>
    <t>Belanja jasa Pegawai Pemerintah dengan Perjanjian Kerja (PPPK) Paruh Waktu pada jabatan tenaga teknis</t>
  </si>
  <si>
    <t>Belanja Tenaga Petugas Kebersihan PPPK Paruh Waktu</t>
  </si>
  <si>
    <t>Belanja Tenaga Supir PPPK Paruh Waktu</t>
  </si>
  <si>
    <t>5.1.02.02.002</t>
  </si>
  <si>
    <t>Belanja Iuran Jaminan</t>
  </si>
  <si>
    <t>5.1.02.02.002.00016</t>
  </si>
  <si>
    <t>Belanja Iuran Jaminan Kesehatan bagi PPPK Paruh Waktu pada Jabatan Tenaga Kesehatan</t>
  </si>
  <si>
    <t>5.1.02.02.002.00017</t>
  </si>
  <si>
    <t>Belanja Iuran Jaminan Kesehatan bagi PPPK Paruh Waktu pada Jabatan Tenaga Teknis</t>
  </si>
  <si>
    <t>5.1.02.02.002.00024</t>
  </si>
  <si>
    <t>Belanja Iuran Jaminan Kecelakaan Kerja bagi PPPK Paruh Waktu pada Jabatan Tenaga Kesehatan</t>
  </si>
  <si>
    <t>5.1.02.02.002.00025</t>
  </si>
  <si>
    <t>Belanja Iuran Jaminan Kecelakaan Kerja bagi PPPK Paruh Waktu pada Jabatan Tenaga Teknis</t>
  </si>
  <si>
    <t>5.1.02.02.002.00032</t>
  </si>
  <si>
    <t>Belanja Iuran Jaminan Kematian bagi PPPK Paruh Waktu pada Jabatan Tenaga Kesehatan</t>
  </si>
  <si>
    <t>5.1.02.02.002.00033</t>
  </si>
  <si>
    <t>Belanja Iuran Jaminan Kematian bagi PPPK Paruh Waktu pada Jabatan Tenaga Teknis</t>
  </si>
  <si>
    <t>5.1.02.02.002.00005</t>
  </si>
  <si>
    <t>Belanja Iuran Jaminan Kesehatan bagi Non ASN</t>
  </si>
  <si>
    <t>5.1.02.02.002.00006</t>
  </si>
  <si>
    <t>Belanja Iuran Jaminan Kecelakaan Kerja bagi Non ASN</t>
  </si>
  <si>
    <t>5.1.02.02.002.00007</t>
  </si>
  <si>
    <t>Belanja Iuran Jaminan Kematian bagi Non ASN</t>
  </si>
  <si>
    <t>Belanja Bahan</t>
  </si>
  <si>
    <t>5.1.02.01.001.00004</t>
  </si>
  <si>
    <t>Belanja Bahan-Bahan Bakar dan Pelumas</t>
  </si>
  <si>
    <t>Pertamina Dex</t>
  </si>
  <si>
    <t>liter</t>
  </si>
  <si>
    <t>5.1.02.01.001.00010</t>
  </si>
  <si>
    <t>Belanja Bahan-Isi Tabung Gas</t>
  </si>
  <si>
    <t xml:space="preserve"> Gas Oksigen, volume 1 M3</t>
  </si>
  <si>
    <t>tabung</t>
  </si>
  <si>
    <t>Kegiatan Evaluasi Bulanan Pegawai PSC 119</t>
  </si>
  <si>
    <t>Makan dan Minum</t>
  </si>
  <si>
    <t>Orang / Kali</t>
  </si>
  <si>
    <t>Snack</t>
  </si>
  <si>
    <t>Kegiatan Koordinasi dan Evaluasi SPGDT PSC 119 dengan Puskesmas</t>
  </si>
  <si>
    <t>Kegiatan Peningkatan Kapasitas Petugas PSC 119</t>
  </si>
  <si>
    <t>5.2.02</t>
  </si>
  <si>
    <t>Belanja Modal</t>
  </si>
  <si>
    <t>5.2.02.07.001</t>
  </si>
  <si>
    <t>Belanja Modal Alat Kedokteran</t>
  </si>
  <si>
    <t>5.2.02.07.001.00008</t>
  </si>
  <si>
    <t>Vital Sign Monitor 3 parameter pengukuran tekanan darah, saturasi oksigen dan temperatur</t>
  </si>
  <si>
    <t>unit</t>
  </si>
  <si>
    <t>5.1.02.01.001.00040</t>
  </si>
  <si>
    <t>Automated External Defibrillator</t>
  </si>
  <si>
    <t>Unit</t>
  </si>
  <si>
    <t>5.2.02.10.001</t>
  </si>
  <si>
    <t>Belanja Modal Personal Computer</t>
  </si>
  <si>
    <t>5.2.02.10.001.00002</t>
  </si>
  <si>
    <t xml:space="preserve"> Laptop Intel Core i7, ram 16 gb, ssd 512 gb</t>
  </si>
  <si>
    <t>Belanja Tagihan Telepon, Air dan Listrik</t>
  </si>
  <si>
    <t>5.1.02.02.001.00059</t>
  </si>
  <si>
    <t>Belanja Tagihan Telepon</t>
  </si>
  <si>
    <t>per bulan</t>
  </si>
  <si>
    <t>5.1.02.02.001.00060</t>
  </si>
  <si>
    <t>Belanja Tagihan Air</t>
  </si>
  <si>
    <t>5.1.02.02.001.00061</t>
  </si>
  <si>
    <t>Belanja Tagihan Listrik</t>
  </si>
  <si>
    <t>kwh</t>
  </si>
  <si>
    <t>5.1.02.02.001.00067</t>
  </si>
  <si>
    <t>Biaya Pajak Kendaraan Bermotor</t>
  </si>
  <si>
    <t>Biaya Pajak Kendaraan Bermotor Kendaraan Roda 4</t>
  </si>
  <si>
    <t>Unit / Tahun</t>
  </si>
  <si>
    <t>Biaya Pajak Kendaraan Bermotor Kendaraan Roda 2</t>
  </si>
  <si>
    <t>5.1.02.03.002.00121</t>
  </si>
  <si>
    <t>Belanja Pemeliharaan Alat Kantor dan Rumah Tangga-Alat Rumah Tangga-Alat Pendingin</t>
  </si>
  <si>
    <t>Pemeliharaan Alat Pendingin - AC</t>
  </si>
  <si>
    <t>5.1.02.01.001.00030</t>
  </si>
  <si>
    <t>Belanja Alat/Bahan untuk Kegiatan Kantor-Perabot Kantor</t>
  </si>
  <si>
    <t>Desinfektan Kemasan 20 Liter</t>
  </si>
  <si>
    <t>Galon</t>
  </si>
  <si>
    <t>Box Container</t>
  </si>
  <si>
    <t>Bendera Pataka</t>
  </si>
  <si>
    <t>Cairan Pembersih Kaca</t>
  </si>
  <si>
    <t>Cairan Sanitasi Kloset</t>
  </si>
  <si>
    <t>Cairan Pembersih Lantai</t>
  </si>
  <si>
    <t>Cangkir Set</t>
  </si>
  <si>
    <t>set</t>
  </si>
  <si>
    <t>Ember Ukuran 40 Liter</t>
  </si>
  <si>
    <t>Lobby Duster Ukuran 60 cm</t>
  </si>
  <si>
    <t>Pengharum Ruangan Refill, otomatis, ukuran 340 ml</t>
  </si>
  <si>
    <t>Pembersih Lantai Karbol, kemasan 750 ml</t>
  </si>
  <si>
    <t>Sabun Cuci Piring Refill kemasan 400 ml</t>
  </si>
  <si>
    <t>Sabun Cuci Tangan Refill, kemasan 1000 ml</t>
  </si>
  <si>
    <t>Tempat Tisue</t>
  </si>
  <si>
    <t>Tissue Refill, Multifold</t>
  </si>
  <si>
    <t>Tissue Refill, roll</t>
  </si>
  <si>
    <t>Wiper Kaca Material karet, gagang panjang</t>
  </si>
  <si>
    <t>Piring Bahan keramik, diameter 7 inch</t>
  </si>
  <si>
    <t>Kamper Isi 6 pcs</t>
  </si>
  <si>
    <t>bungkus</t>
  </si>
  <si>
    <t xml:space="preserve">Cairan Pembersih Kemasan 500 ml </t>
  </si>
  <si>
    <t>Botol</t>
  </si>
  <si>
    <t>Belanja Bahan-Bahan Lainnya</t>
  </si>
  <si>
    <t>5.1.02.01.001.00012</t>
  </si>
  <si>
    <t>Tissue Isi 250 sheet, 2 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</si>
</sst>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43" formatCode="_-* #,##0.00_-;\-* #,##0.00_-;_-* &quot;-&quot;??_-;_-@_-"/>
    <numFmt numFmtId="164" formatCode="_(* #,##0_);_(* \(#,##0\);_(* &quot;-&quot;??_);_(@_)"/>
    <numFmt numFmtId="165" formatCode="_-* #,##0.00_-;\-* #,##0.00_-;_-* &quot;-&quot;_-;_-@_-"/>
    <numFmt numFmtId="166" formatCode="_-* #.##0_-;\-* #.##0_-;_-* &quot;-&quot;_-;_-@_-"/>
    <numFmt numFmtId="167" formatCode="_-* #.##0.00_-;\-* #.##0.00_-;_-* &quot;-&quot;??_-;_-@_-"/>
    <numFmt numFmtId="168" formatCode="m\.d\.yy;@"/>
    <numFmt numFmtId="169" formatCode="&quot;$&quot;#,##0.00_);[Red]\(&quot;$&quot;#,##0.00\)"/>
  </numFmts>
  <fonts count="54">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name val="Calibri"/>
    </font>
    <font>
      <sz val="11"/>
      <color theme="1"/>
      <name val="Calibri"/>
      <scheme val="minor"/>
    </font>
    <font>
      <sz val="11"/>
      <color theme="1"/>
      <name val="Calibri"/>
    </font>
    <font>
      <b/>
      <u/>
      <sz val="11"/>
      <color theme="1"/>
      <name val="Calibri"/>
    </font>
    <font>
      <sz val="11"/>
      <color theme="1"/>
      <name val="Calibri"/>
      <family val="2"/>
    </font>
    <font>
      <sz val="10"/>
      <color theme="1"/>
      <name val="Arial Narrow"/>
      <family val="2"/>
    </font>
    <font>
      <sz val="11"/>
      <color theme="1"/>
      <name val="Arial Narrow"/>
      <family val="2"/>
    </font>
    <font>
      <b/>
      <sz val="10"/>
      <color theme="1"/>
      <name val="Arial Narrow"/>
      <family val="2"/>
    </font>
    <font>
      <sz val="2"/>
      <color theme="1"/>
      <name val="Arial Narrow"/>
      <family val="2"/>
    </font>
    <font>
      <sz val="11"/>
      <color theme="0"/>
      <name val="Arial Narrow"/>
      <family val="2"/>
    </font>
    <font>
      <sz val="9.5"/>
      <color theme="1"/>
      <name val="Arial Narrow"/>
      <family val="2"/>
    </font>
    <font>
      <sz val="8.5"/>
      <color theme="1"/>
      <name val="Arial Narrow"/>
      <family val="2"/>
    </font>
    <font>
      <b/>
      <sz val="12"/>
      <color theme="1"/>
      <name val="Arial Narrow"/>
      <family val="2"/>
    </font>
    <font>
      <sz val="11"/>
      <name val="Arial Narrow"/>
      <family val="2"/>
    </font>
    <font>
      <i/>
      <sz val="10"/>
      <color theme="1"/>
      <name val="Arial Narrow"/>
      <family val="2"/>
    </font>
    <font>
      <sz val="11"/>
      <color theme="1"/>
      <name val="Calibri"/>
      <family val="2"/>
      <charset val="1"/>
      <scheme val="minor"/>
    </font>
    <font>
      <b/>
      <i/>
      <sz val="10"/>
      <color theme="1"/>
      <name val="Arial Narrow"/>
      <family val="2"/>
    </font>
    <font>
      <b/>
      <sz val="9"/>
      <color theme="1"/>
      <name val="Arial Narrow"/>
      <family val="2"/>
    </font>
    <font>
      <sz val="8"/>
      <color theme="1"/>
      <name val="Arial Narrow"/>
      <family val="2"/>
    </font>
    <font>
      <sz val="13"/>
      <color theme="1"/>
      <name val="Arial Narrow"/>
      <family val="2"/>
    </font>
    <font>
      <sz val="13.5"/>
      <color theme="1"/>
      <name val="Arial Narrow"/>
      <family val="2"/>
    </font>
    <font>
      <b/>
      <sz val="8.5"/>
      <color theme="1"/>
      <name val="Arial Narrow"/>
      <family val="2"/>
    </font>
    <font>
      <sz val="11"/>
      <color rgb="FFFF0000"/>
      <name val="Arial Narrow"/>
      <family val="2"/>
    </font>
    <font>
      <b/>
      <sz val="10"/>
      <color rgb="FFFF0000"/>
      <name val="Arial Narrow"/>
      <family val="2"/>
    </font>
    <font>
      <sz val="10"/>
      <color rgb="FFFF0000"/>
      <name val="Arial Narrow"/>
      <family val="2"/>
    </font>
    <font>
      <sz val="10"/>
      <color theme="3"/>
      <name val="Arial Narrow"/>
      <family val="2"/>
    </font>
    <font>
      <sz val="10"/>
      <color theme="0"/>
      <name val="Arial Narrow"/>
      <family val="2"/>
    </font>
    <font>
      <sz val="10"/>
      <name val="Arial Narrow"/>
      <family val="2"/>
    </font>
    <font>
      <b/>
      <sz val="11"/>
      <color theme="1"/>
      <name val="Arial Narrow"/>
      <family val="2"/>
    </font>
    <font>
      <b/>
      <sz val="10"/>
      <name val="Arial Narrow"/>
      <family val="2"/>
    </font>
    <font>
      <b/>
      <sz val="9"/>
      <color rgb="FF000000"/>
      <name val="Arial Narrow"/>
      <family val="2"/>
    </font>
    <font>
      <b/>
      <sz val="9"/>
      <name val="Arial Narrow"/>
      <family val="2"/>
    </font>
    <font>
      <sz val="9"/>
      <name val="Arial Narrow"/>
      <family val="2"/>
    </font>
    <font>
      <sz val="9"/>
      <color rgb="FF000000"/>
      <name val="Arial Narrow"/>
      <family val="2"/>
    </font>
    <font>
      <b/>
      <sz val="11"/>
      <color theme="1"/>
      <name val="Calibri"/>
      <family val="2"/>
    </font>
    <font>
      <sz val="11"/>
      <name val="Calibri"/>
      <family val="2"/>
    </font>
    <font>
      <b/>
      <sz val="9"/>
      <color rgb="FF000000"/>
      <name val="Arial"/>
      <family val="2"/>
    </font>
    <font>
      <b/>
      <sz val="9"/>
      <name val="Arial"/>
      <family val="2"/>
    </font>
    <font>
      <sz val="9"/>
      <name val="Arial MT"/>
      <family val="2"/>
    </font>
    <font>
      <sz val="9"/>
      <color rgb="FF000000"/>
      <name val="Arial MT"/>
      <family val="2"/>
    </font>
    <font>
      <sz val="9"/>
      <name val="Arial MT"/>
    </font>
    <font>
      <b/>
      <sz val="9"/>
      <color theme="1"/>
      <name val="Arial"/>
      <family val="2"/>
    </font>
    <font>
      <sz val="9"/>
      <color theme="1"/>
      <name val="Arial MT"/>
      <family val="2"/>
    </font>
    <font>
      <b/>
      <i/>
      <sz val="10"/>
      <name val="Arial Narrow"/>
      <family val="2"/>
    </font>
    <font>
      <b/>
      <u/>
      <sz val="11"/>
      <color theme="1"/>
      <name val="Calibri"/>
      <family val="2"/>
    </font>
    <font>
      <i/>
      <sz val="10"/>
      <name val="Arial Narrow"/>
      <family val="2"/>
    </font>
    <font>
      <b/>
      <sz val="11"/>
      <name val="Calibri"/>
      <family val="2"/>
    </font>
    <font>
      <b/>
      <sz val="10"/>
      <color rgb="FF181C32"/>
      <name val="Arial Narrow"/>
      <family val="2"/>
    </font>
    <font>
      <sz val="10"/>
      <color rgb="FF181C32"/>
      <name val="Arial Narrow"/>
      <family val="2"/>
    </font>
    <font>
      <sz val="9.75"/>
      <color rgb="FF181C32"/>
      <name val="Arial"/>
      <family val="2"/>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rgb="FFFFC000"/>
        <bgColor indexed="64"/>
      </patternFill>
    </fill>
    <fill>
      <patternFill patternType="solid">
        <fgColor theme="4" tint="0.39994506668294322"/>
        <bgColor indexed="64"/>
      </patternFill>
    </fill>
  </fills>
  <borders count="89">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top style="double">
        <color rgb="FF000000"/>
      </top>
      <bottom/>
      <diagonal/>
    </border>
    <border>
      <left/>
      <right style="double">
        <color rgb="FF000000"/>
      </right>
      <top style="double">
        <color rgb="FF000000"/>
      </top>
      <bottom/>
      <diagonal/>
    </border>
    <border>
      <left style="medium">
        <color rgb="FF000000"/>
      </left>
      <right style="medium">
        <color rgb="FF000000"/>
      </right>
      <top/>
      <bottom/>
      <diagonal/>
    </border>
    <border>
      <left/>
      <right style="medium">
        <color rgb="FF000000"/>
      </right>
      <top style="double">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000000"/>
      </left>
      <right style="medium">
        <color rgb="FF000000"/>
      </right>
      <top style="medium">
        <color rgb="FF000000"/>
      </top>
      <bottom/>
      <diagonal/>
    </border>
    <border>
      <left style="medium">
        <color indexed="64"/>
      </left>
      <right/>
      <top/>
      <bottom/>
      <diagonal/>
    </border>
    <border>
      <left/>
      <right style="medium">
        <color auto="1"/>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double">
        <color rgb="FF000000"/>
      </bottom>
      <diagonal/>
    </border>
    <border>
      <left/>
      <right style="medium">
        <color rgb="FF000000"/>
      </right>
      <top/>
      <bottom style="double">
        <color rgb="FF000000"/>
      </bottom>
      <diagonal/>
    </border>
    <border>
      <left/>
      <right/>
      <top style="double">
        <color rgb="FF000000"/>
      </top>
      <bottom/>
      <diagonal/>
    </border>
    <border>
      <left style="double">
        <color rgb="FF000000"/>
      </left>
      <right/>
      <top style="double">
        <color rgb="FF000000"/>
      </top>
      <bottom/>
      <diagonal/>
    </border>
    <border>
      <left/>
      <right style="double">
        <color rgb="FF000000"/>
      </right>
      <top/>
      <bottom/>
      <diagonal/>
    </border>
    <border>
      <left style="double">
        <color rgb="FF000000"/>
      </left>
      <right/>
      <top/>
      <bottom/>
      <diagonal/>
    </border>
    <border>
      <left/>
      <right style="double">
        <color rgb="FF000000"/>
      </right>
      <top/>
      <bottom style="medium">
        <color rgb="FF000000"/>
      </bottom>
      <diagonal/>
    </border>
    <border>
      <left style="double">
        <color rgb="FF000000"/>
      </left>
      <right/>
      <top/>
      <bottom style="medium">
        <color rgb="FF000000"/>
      </bottom>
      <diagonal/>
    </border>
    <border>
      <left style="medium">
        <color rgb="FF000000"/>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rgb="FF000000"/>
      </left>
      <right/>
      <top/>
      <bottom style="thin">
        <color indexed="64"/>
      </bottom>
      <diagonal/>
    </border>
    <border>
      <left/>
      <right/>
      <top/>
      <bottom style="thin">
        <color indexed="64"/>
      </bottom>
      <diagonal/>
    </border>
    <border>
      <left/>
      <right style="medium">
        <color rgb="FF000000"/>
      </right>
      <top/>
      <bottom style="thin">
        <color indexed="64"/>
      </bottom>
      <diagonal/>
    </border>
    <border>
      <left/>
      <right style="medium">
        <color rgb="FF000000"/>
      </right>
      <top style="thin">
        <color rgb="FF000000"/>
      </top>
      <bottom/>
      <diagonal/>
    </border>
    <border>
      <left style="medium">
        <color rgb="FF000000"/>
      </left>
      <right/>
      <top/>
      <bottom style="thin">
        <color rgb="FF000000"/>
      </bottom>
      <diagonal/>
    </border>
    <border>
      <left/>
      <right/>
      <top style="medium">
        <color rgb="FF000000"/>
      </top>
      <bottom/>
      <diagonal/>
    </border>
    <border>
      <left style="thin">
        <color indexed="64"/>
      </left>
      <right style="medium">
        <color indexed="64"/>
      </right>
      <top style="thin">
        <color indexed="64"/>
      </top>
      <bottom style="thin">
        <color indexed="64"/>
      </bottom>
      <diagonal/>
    </border>
    <border>
      <left style="medium">
        <color rgb="FF000000"/>
      </left>
      <right style="medium">
        <color auto="1"/>
      </right>
      <top/>
      <bottom/>
      <diagonal/>
    </border>
    <border>
      <left style="medium">
        <color auto="1"/>
      </left>
      <right style="medium">
        <color auto="1"/>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8">
    <xf numFmtId="0" fontId="0" fillId="0" borderId="0"/>
    <xf numFmtId="41" fontId="5" fillId="0" borderId="0" applyFont="0" applyFill="0" applyBorder="0" applyAlignment="0" applyProtection="0"/>
    <xf numFmtId="0" fontId="19" fillId="0" borderId="0"/>
    <xf numFmtId="0" fontId="2" fillId="0" borderId="0"/>
    <xf numFmtId="166" fontId="2" fillId="0" borderId="0" applyFont="0" applyFill="0" applyBorder="0" applyAlignment="0" applyProtection="0"/>
    <xf numFmtId="0" fontId="19" fillId="0" borderId="0"/>
    <xf numFmtId="0" fontId="2" fillId="0" borderId="0"/>
    <xf numFmtId="166" fontId="19" fillId="0" borderId="0" applyFont="0" applyFill="0" applyBorder="0" applyAlignment="0" applyProtection="0"/>
  </cellStyleXfs>
  <cellXfs count="881">
    <xf numFmtId="0" fontId="0" fillId="0" borderId="0" xfId="0"/>
    <xf numFmtId="0" fontId="3" fillId="0" borderId="0" xfId="0" applyFont="1" applyAlignment="1">
      <alignment horizontal="center"/>
    </xf>
    <xf numFmtId="0" fontId="5" fillId="0" borderId="0" xfId="0" applyFont="1"/>
    <xf numFmtId="0" fontId="3" fillId="0" borderId="0" xfId="0" applyFont="1"/>
    <xf numFmtId="0" fontId="6" fillId="0" borderId="0" xfId="0" applyFont="1" applyAlignment="1">
      <alignment horizontal="left"/>
    </xf>
    <xf numFmtId="0" fontId="3" fillId="0" borderId="9" xfId="0" applyFont="1" applyBorder="1" applyAlignment="1">
      <alignment horizontal="center"/>
    </xf>
    <xf numFmtId="0" fontId="6" fillId="0" borderId="9" xfId="0" applyFont="1" applyBorder="1"/>
    <xf numFmtId="0" fontId="6" fillId="0" borderId="14" xfId="0" applyFont="1" applyBorder="1"/>
    <xf numFmtId="164" fontId="3" fillId="0" borderId="20" xfId="0" applyNumberFormat="1" applyFont="1" applyBorder="1" applyAlignment="1">
      <alignment horizontal="center" vertical="center"/>
    </xf>
    <xf numFmtId="164" fontId="3" fillId="0" borderId="25" xfId="0" applyNumberFormat="1" applyFont="1" applyBorder="1" applyAlignment="1">
      <alignment horizontal="center" vertical="center"/>
    </xf>
    <xf numFmtId="164" fontId="3" fillId="0" borderId="25" xfId="0" applyNumberFormat="1" applyFont="1" applyBorder="1" applyAlignment="1">
      <alignment vertical="top"/>
    </xf>
    <xf numFmtId="0" fontId="6" fillId="0" borderId="9" xfId="0" applyFont="1" applyBorder="1" applyAlignment="1">
      <alignment vertical="top"/>
    </xf>
    <xf numFmtId="0" fontId="6" fillId="0" borderId="24" xfId="0" applyFont="1" applyBorder="1" applyAlignment="1">
      <alignment horizontal="center" vertical="top"/>
    </xf>
    <xf numFmtId="0" fontId="6" fillId="0" borderId="24" xfId="0" applyFont="1" applyBorder="1" applyAlignment="1">
      <alignment vertical="top"/>
    </xf>
    <xf numFmtId="164" fontId="6" fillId="0" borderId="25" xfId="0" applyNumberFormat="1" applyFont="1" applyBorder="1" applyAlignment="1">
      <alignment vertical="top"/>
    </xf>
    <xf numFmtId="164" fontId="3" fillId="0" borderId="26" xfId="0" applyNumberFormat="1" applyFont="1" applyBorder="1" applyAlignment="1">
      <alignment horizontal="right" vertical="top"/>
    </xf>
    <xf numFmtId="0" fontId="6" fillId="0" borderId="0" xfId="0" applyFont="1" applyAlignment="1">
      <alignment horizontal="right"/>
    </xf>
    <xf numFmtId="0" fontId="6" fillId="0" borderId="24" xfId="0" applyFont="1" applyBorder="1" applyAlignment="1">
      <alignment horizontal="center" vertical="center"/>
    </xf>
    <xf numFmtId="164" fontId="6" fillId="0" borderId="25" xfId="0" applyNumberFormat="1" applyFont="1" applyBorder="1"/>
    <xf numFmtId="0" fontId="6" fillId="0" borderId="27" xfId="0" applyFont="1" applyBorder="1"/>
    <xf numFmtId="164" fontId="6" fillId="0" borderId="28" xfId="0" applyNumberFormat="1" applyFont="1" applyBorder="1"/>
    <xf numFmtId="0" fontId="6" fillId="0" borderId="14" xfId="0" applyFont="1" applyBorder="1" applyAlignment="1">
      <alignment horizontal="center"/>
    </xf>
    <xf numFmtId="164" fontId="6" fillId="0" borderId="26" xfId="0" applyNumberFormat="1" applyFont="1" applyBorder="1"/>
    <xf numFmtId="0" fontId="6" fillId="0" borderId="29" xfId="0" applyFont="1" applyBorder="1"/>
    <xf numFmtId="0" fontId="6" fillId="0" borderId="30" xfId="0" applyFont="1" applyBorder="1"/>
    <xf numFmtId="164" fontId="6" fillId="0" borderId="31" xfId="0" applyNumberFormat="1" applyFont="1" applyBorder="1"/>
    <xf numFmtId="164" fontId="6" fillId="0" borderId="0" xfId="0" applyNumberFormat="1" applyFont="1"/>
    <xf numFmtId="0" fontId="0" fillId="0" borderId="0" xfId="0" applyAlignment="1">
      <alignment vertical="center"/>
    </xf>
    <xf numFmtId="164" fontId="3" fillId="0" borderId="13" xfId="0" applyNumberFormat="1" applyFont="1" applyBorder="1" applyAlignment="1">
      <alignment horizontal="center" vertical="center"/>
    </xf>
    <xf numFmtId="164" fontId="3" fillId="0" borderId="13" xfId="0" applyNumberFormat="1" applyFont="1" applyBorder="1" applyAlignment="1">
      <alignment vertical="top"/>
    </xf>
    <xf numFmtId="0" fontId="3" fillId="0" borderId="36" xfId="0" applyFont="1" applyBorder="1" applyAlignment="1">
      <alignment horizontal="center" vertical="center"/>
    </xf>
    <xf numFmtId="0" fontId="3" fillId="0" borderId="21" xfId="0" applyFont="1" applyBorder="1" applyAlignment="1">
      <alignment vertical="top"/>
    </xf>
    <xf numFmtId="0" fontId="3" fillId="0" borderId="37" xfId="0" applyFont="1" applyBorder="1" applyAlignment="1">
      <alignment horizontal="center" vertical="top"/>
    </xf>
    <xf numFmtId="0" fontId="3" fillId="0" borderId="37" xfId="0" applyFont="1" applyBorder="1" applyAlignment="1">
      <alignment vertical="top"/>
    </xf>
    <xf numFmtId="0" fontId="3" fillId="0" borderId="32" xfId="0" applyFont="1" applyBorder="1" applyAlignment="1">
      <alignment vertical="top"/>
    </xf>
    <xf numFmtId="0" fontId="3" fillId="0" borderId="32" xfId="0" applyFont="1" applyBorder="1" applyAlignment="1">
      <alignment horizontal="left" vertical="center"/>
    </xf>
    <xf numFmtId="0" fontId="4" fillId="0" borderId="32" xfId="0" applyFont="1" applyBorder="1"/>
    <xf numFmtId="0" fontId="9" fillId="0" borderId="0" xfId="0" applyFont="1" applyAlignment="1">
      <alignment horizontal="left" vertical="center" indent="1"/>
    </xf>
    <xf numFmtId="0" fontId="9" fillId="0" borderId="0" xfId="0" applyFont="1"/>
    <xf numFmtId="0" fontId="10" fillId="0" borderId="0" xfId="0" applyFont="1"/>
    <xf numFmtId="41" fontId="9" fillId="0" borderId="0" xfId="1" applyFont="1"/>
    <xf numFmtId="41" fontId="11" fillId="0" borderId="0" xfId="0" applyNumberFormat="1" applyFont="1" applyAlignment="1">
      <alignment vertical="center" wrapText="1"/>
    </xf>
    <xf numFmtId="0" fontId="12" fillId="0" borderId="0" xfId="0" applyFont="1" applyAlignment="1">
      <alignment vertical="center"/>
    </xf>
    <xf numFmtId="0" fontId="13" fillId="0" borderId="0" xfId="0" applyFont="1"/>
    <xf numFmtId="0" fontId="9" fillId="0" borderId="43" xfId="0" applyFont="1" applyBorder="1" applyAlignment="1">
      <alignment vertical="center" wrapText="1"/>
    </xf>
    <xf numFmtId="0" fontId="9" fillId="0" borderId="28" xfId="0" applyFont="1" applyBorder="1" applyAlignment="1">
      <alignment vertical="center" wrapText="1"/>
    </xf>
    <xf numFmtId="0" fontId="15" fillId="0" borderId="45" xfId="0" applyFont="1" applyBorder="1" applyAlignment="1">
      <alignment horizontal="left" vertical="center" wrapText="1" indent="1"/>
    </xf>
    <xf numFmtId="0" fontId="15" fillId="0" borderId="46" xfId="0" applyFont="1" applyBorder="1" applyAlignment="1">
      <alignment horizontal="left" vertical="center" wrapText="1" indent="2"/>
    </xf>
    <xf numFmtId="0" fontId="15" fillId="0" borderId="47" xfId="0" applyFont="1" applyBorder="1" applyAlignment="1">
      <alignment horizontal="left" vertical="center" wrapText="1" indent="2"/>
    </xf>
    <xf numFmtId="0" fontId="15" fillId="0" borderId="31" xfId="0" applyFont="1" applyBorder="1" applyAlignment="1">
      <alignment horizontal="left" vertical="center" wrapText="1" indent="1"/>
    </xf>
    <xf numFmtId="0" fontId="15" fillId="0" borderId="31" xfId="0" applyFont="1" applyBorder="1" applyAlignment="1">
      <alignment horizontal="left" vertical="center" wrapText="1" indent="3"/>
    </xf>
    <xf numFmtId="0" fontId="11" fillId="0" borderId="46" xfId="0" applyFont="1" applyBorder="1" applyAlignment="1">
      <alignment horizontal="left" vertical="center" wrapText="1"/>
    </xf>
    <xf numFmtId="0" fontId="15" fillId="0" borderId="50" xfId="0" applyFont="1" applyBorder="1" applyAlignment="1">
      <alignment horizontal="left" vertical="center" wrapText="1" indent="2"/>
    </xf>
    <xf numFmtId="0" fontId="15" fillId="0" borderId="51" xfId="0" applyFont="1" applyBorder="1" applyAlignment="1">
      <alignment horizontal="left" vertical="center" wrapText="1" indent="2"/>
    </xf>
    <xf numFmtId="0" fontId="15" fillId="0" borderId="47" xfId="0" applyFont="1" applyBorder="1" applyAlignment="1">
      <alignment horizontal="left" vertical="center" wrapText="1" indent="1"/>
    </xf>
    <xf numFmtId="0" fontId="15" fillId="0" borderId="52" xfId="0" applyFont="1" applyBorder="1" applyAlignment="1">
      <alignment horizontal="left" vertical="center" wrapText="1" indent="1"/>
    </xf>
    <xf numFmtId="0" fontId="15" fillId="0" borderId="46" xfId="0" applyFont="1" applyBorder="1" applyAlignment="1">
      <alignment vertical="center" wrapText="1"/>
    </xf>
    <xf numFmtId="0" fontId="15" fillId="0" borderId="47" xfId="0" applyFont="1" applyBorder="1" applyAlignment="1">
      <alignment vertical="center" wrapText="1"/>
    </xf>
    <xf numFmtId="41" fontId="11" fillId="0" borderId="52" xfId="0" applyNumberFormat="1" applyFont="1" applyBorder="1" applyAlignment="1">
      <alignment vertical="center" wrapText="1"/>
    </xf>
    <xf numFmtId="41" fontId="16" fillId="0" borderId="43" xfId="0" applyNumberFormat="1" applyFont="1" applyBorder="1" applyAlignment="1">
      <alignment vertical="center" wrapText="1"/>
    </xf>
    <xf numFmtId="41" fontId="17" fillId="0" borderId="0" xfId="0" applyNumberFormat="1" applyFont="1"/>
    <xf numFmtId="41" fontId="13" fillId="0" borderId="0" xfId="0" applyNumberFormat="1" applyFont="1"/>
    <xf numFmtId="0" fontId="11" fillId="0" borderId="27" xfId="0" quotePrefix="1" applyFont="1" applyBorder="1" applyAlignment="1">
      <alignment horizontal="left" vertical="center" wrapText="1"/>
    </xf>
    <xf numFmtId="0" fontId="11" fillId="0" borderId="53" xfId="0" applyFont="1" applyBorder="1" applyAlignment="1">
      <alignment horizontal="left" vertical="center" wrapText="1"/>
    </xf>
    <xf numFmtId="0" fontId="15" fillId="0" borderId="53" xfId="0" applyFont="1" applyBorder="1" applyAlignment="1">
      <alignment horizontal="left" vertical="center" wrapText="1" indent="2"/>
    </xf>
    <xf numFmtId="0" fontId="15" fillId="0" borderId="54" xfId="0" applyFont="1" applyBorder="1" applyAlignment="1">
      <alignment horizontal="left" vertical="center" wrapText="1" indent="2"/>
    </xf>
    <xf numFmtId="0" fontId="15" fillId="0" borderId="28" xfId="0" applyFont="1" applyBorder="1" applyAlignment="1">
      <alignment horizontal="left" vertical="center" wrapText="1" indent="1"/>
    </xf>
    <xf numFmtId="0" fontId="15" fillId="0" borderId="43" xfId="0" applyFont="1" applyBorder="1" applyAlignment="1">
      <alignment horizontal="left" vertical="center" wrapText="1" indent="1"/>
    </xf>
    <xf numFmtId="0" fontId="15" fillId="0" borderId="27" xfId="0" applyFont="1" applyBorder="1" applyAlignment="1">
      <alignment vertical="center" wrapText="1"/>
    </xf>
    <xf numFmtId="0" fontId="15" fillId="0" borderId="28" xfId="0" applyFont="1" applyBorder="1" applyAlignment="1">
      <alignment vertical="center" wrapText="1"/>
    </xf>
    <xf numFmtId="41" fontId="11" fillId="0" borderId="43" xfId="0" applyNumberFormat="1" applyFont="1" applyBorder="1" applyAlignment="1">
      <alignment vertical="center" wrapText="1"/>
    </xf>
    <xf numFmtId="41" fontId="10" fillId="0" borderId="0" xfId="0" applyNumberFormat="1" applyFont="1"/>
    <xf numFmtId="0" fontId="11" fillId="0" borderId="27" xfId="0" applyFont="1" applyBorder="1" applyAlignment="1">
      <alignment vertical="center" wrapText="1"/>
    </xf>
    <xf numFmtId="0" fontId="9" fillId="0" borderId="53" xfId="0" applyFont="1" applyBorder="1" applyAlignment="1">
      <alignment horizontal="left" vertical="center" wrapText="1" indent="2"/>
    </xf>
    <xf numFmtId="0" fontId="9" fillId="0" borderId="54" xfId="0" applyFont="1" applyBorder="1" applyAlignment="1">
      <alignment horizontal="left" vertical="center" wrapText="1" indent="2"/>
    </xf>
    <xf numFmtId="0" fontId="9" fillId="0" borderId="28" xfId="0" applyFont="1" applyBorder="1" applyAlignment="1">
      <alignment horizontal="left" vertical="center" wrapText="1" indent="1"/>
    </xf>
    <xf numFmtId="0" fontId="9" fillId="0" borderId="43" xfId="0" applyFont="1" applyBorder="1" applyAlignment="1">
      <alignment horizontal="left" vertical="center" wrapText="1" indent="1"/>
    </xf>
    <xf numFmtId="0" fontId="9" fillId="0" borderId="27" xfId="0" applyFont="1" applyBorder="1" applyAlignment="1">
      <alignment vertical="center" wrapText="1"/>
    </xf>
    <xf numFmtId="165" fontId="13" fillId="0" borderId="0" xfId="0" applyNumberFormat="1" applyFont="1"/>
    <xf numFmtId="41" fontId="11" fillId="0" borderId="43" xfId="1" applyFont="1" applyBorder="1" applyAlignment="1">
      <alignment vertical="center" wrapText="1"/>
    </xf>
    <xf numFmtId="0" fontId="9" fillId="0" borderId="53" xfId="0" applyFont="1" applyBorder="1" applyAlignment="1">
      <alignment horizontal="left" vertical="center" wrapText="1"/>
    </xf>
    <xf numFmtId="0" fontId="9" fillId="0" borderId="54" xfId="0" applyFont="1" applyBorder="1" applyAlignment="1">
      <alignment horizontal="left" vertical="center" wrapText="1"/>
    </xf>
    <xf numFmtId="41" fontId="9" fillId="0" borderId="43" xfId="1" applyFont="1" applyFill="1" applyBorder="1" applyAlignment="1">
      <alignment horizontal="left" vertical="center" wrapText="1" indent="1"/>
    </xf>
    <xf numFmtId="41" fontId="9" fillId="0" borderId="43" xfId="1" applyFont="1" applyFill="1" applyBorder="1" applyAlignment="1">
      <alignment vertical="center" wrapText="1"/>
    </xf>
    <xf numFmtId="0" fontId="18" fillId="0" borderId="53" xfId="0" applyFont="1" applyBorder="1" applyAlignment="1">
      <alignment horizontal="left" vertical="center" wrapText="1"/>
    </xf>
    <xf numFmtId="0" fontId="18" fillId="0" borderId="54" xfId="0" applyFont="1" applyBorder="1" applyAlignment="1">
      <alignment horizontal="left" vertical="center" wrapText="1"/>
    </xf>
    <xf numFmtId="41" fontId="9" fillId="0" borderId="43" xfId="1" applyFont="1" applyBorder="1" applyAlignment="1">
      <alignment horizontal="left" vertical="center" wrapText="1" indent="1"/>
    </xf>
    <xf numFmtId="41" fontId="9" fillId="0" borderId="43" xfId="1" applyFont="1" applyBorder="1" applyAlignment="1">
      <alignment vertical="center" wrapText="1"/>
    </xf>
    <xf numFmtId="0" fontId="11" fillId="0" borderId="43" xfId="2" applyFont="1" applyBorder="1" applyAlignment="1">
      <alignment vertical="center" wrapText="1"/>
    </xf>
    <xf numFmtId="0" fontId="9" fillId="0" borderId="27" xfId="2" applyFont="1" applyBorder="1" applyAlignment="1">
      <alignment horizontal="left" vertical="center" wrapText="1" indent="2"/>
    </xf>
    <xf numFmtId="0" fontId="9" fillId="0" borderId="28" xfId="2" applyFont="1" applyBorder="1" applyAlignment="1">
      <alignment horizontal="left" vertical="center" wrapText="1" indent="2"/>
    </xf>
    <xf numFmtId="0" fontId="9" fillId="0" borderId="43" xfId="2" applyFont="1" applyBorder="1" applyAlignment="1">
      <alignment horizontal="left" vertical="center" wrapText="1" indent="1"/>
    </xf>
    <xf numFmtId="0" fontId="9" fillId="0" borderId="27" xfId="2" applyFont="1" applyBorder="1" applyAlignment="1">
      <alignment vertical="center" wrapText="1"/>
    </xf>
    <xf numFmtId="0" fontId="9" fillId="0" borderId="28" xfId="2" applyFont="1" applyBorder="1" applyAlignment="1">
      <alignment vertical="center" wrapText="1"/>
    </xf>
    <xf numFmtId="41" fontId="11" fillId="0" borderId="43" xfId="2" applyNumberFormat="1" applyFont="1" applyBorder="1" applyAlignment="1">
      <alignment vertical="center" wrapText="1"/>
    </xf>
    <xf numFmtId="0" fontId="9" fillId="0" borderId="27" xfId="2" applyFont="1" applyBorder="1" applyAlignment="1">
      <alignment horizontal="left" vertical="center" wrapText="1"/>
    </xf>
    <xf numFmtId="0" fontId="9" fillId="0" borderId="28" xfId="2" applyFont="1" applyBorder="1" applyAlignment="1">
      <alignment horizontal="left" vertical="center" wrapText="1"/>
    </xf>
    <xf numFmtId="41" fontId="9" fillId="0" borderId="43" xfId="2" applyNumberFormat="1" applyFont="1" applyBorder="1" applyAlignment="1">
      <alignment vertical="center" wrapText="1"/>
    </xf>
    <xf numFmtId="0" fontId="9" fillId="0" borderId="0" xfId="2" applyFont="1" applyAlignment="1">
      <alignment horizontal="left" vertical="center" wrapText="1"/>
    </xf>
    <xf numFmtId="0" fontId="9" fillId="0" borderId="54" xfId="2" applyFont="1" applyBorder="1" applyAlignment="1">
      <alignment horizontal="left" vertical="center" wrapText="1"/>
    </xf>
    <xf numFmtId="0" fontId="9" fillId="0" borderId="0" xfId="2" applyFont="1" applyAlignment="1">
      <alignment horizontal="left" vertical="center" wrapText="1" indent="2"/>
    </xf>
    <xf numFmtId="0" fontId="9" fillId="0" borderId="54" xfId="2" applyFont="1" applyBorder="1" applyAlignment="1">
      <alignment horizontal="left" vertical="center" wrapText="1" indent="2"/>
    </xf>
    <xf numFmtId="0" fontId="9" fillId="0" borderId="28" xfId="2" applyFont="1" applyBorder="1" applyAlignment="1">
      <alignment horizontal="left" vertical="center" wrapText="1" indent="1"/>
    </xf>
    <xf numFmtId="0" fontId="9" fillId="0" borderId="27" xfId="3" applyFont="1" applyBorder="1" applyAlignment="1">
      <alignment horizontal="left" vertical="center" wrapText="1"/>
    </xf>
    <xf numFmtId="0" fontId="9" fillId="0" borderId="28" xfId="3" applyFont="1" applyBorder="1" applyAlignment="1">
      <alignment horizontal="left" vertical="center" wrapText="1"/>
    </xf>
    <xf numFmtId="0" fontId="9" fillId="0" borderId="27" xfId="3" applyFont="1" applyBorder="1" applyAlignment="1">
      <alignment horizontal="left" vertical="center" wrapText="1" indent="2"/>
    </xf>
    <xf numFmtId="0" fontId="9" fillId="0" borderId="28" xfId="3" applyFont="1" applyBorder="1" applyAlignment="1">
      <alignment horizontal="left" vertical="center" wrapText="1" indent="2"/>
    </xf>
    <xf numFmtId="0" fontId="9" fillId="0" borderId="43" xfId="3" applyFont="1" applyBorder="1" applyAlignment="1">
      <alignment horizontal="left" vertical="center" wrapText="1" indent="1"/>
    </xf>
    <xf numFmtId="166" fontId="9" fillId="0" borderId="43" xfId="4" applyFont="1" applyFill="1" applyBorder="1" applyAlignment="1">
      <alignment horizontal="left" vertical="center" wrapText="1" indent="1"/>
    </xf>
    <xf numFmtId="0" fontId="9" fillId="0" borderId="27" xfId="3" applyFont="1" applyBorder="1" applyAlignment="1">
      <alignment vertical="center" wrapText="1"/>
    </xf>
    <xf numFmtId="0" fontId="9" fillId="0" borderId="28" xfId="3" applyFont="1" applyBorder="1" applyAlignment="1">
      <alignment vertical="center" wrapText="1"/>
    </xf>
    <xf numFmtId="0" fontId="9" fillId="0" borderId="0" xfId="3" applyFont="1" applyAlignment="1">
      <alignment horizontal="left" vertical="center" wrapText="1"/>
    </xf>
    <xf numFmtId="0" fontId="9" fillId="0" borderId="54" xfId="3" applyFont="1" applyBorder="1" applyAlignment="1">
      <alignment horizontal="left" vertical="center" wrapText="1"/>
    </xf>
    <xf numFmtId="0" fontId="9" fillId="0" borderId="0" xfId="3" applyFont="1" applyAlignment="1">
      <alignment horizontal="left" vertical="center" wrapText="1" indent="2"/>
    </xf>
    <xf numFmtId="0" fontId="9" fillId="0" borderId="54" xfId="3" applyFont="1" applyBorder="1" applyAlignment="1">
      <alignment horizontal="left" vertical="center" wrapText="1" indent="2"/>
    </xf>
    <xf numFmtId="0" fontId="9" fillId="0" borderId="28" xfId="3" applyFont="1" applyBorder="1" applyAlignment="1">
      <alignment horizontal="left" vertical="center" wrapText="1" indent="1"/>
    </xf>
    <xf numFmtId="0" fontId="10" fillId="0" borderId="54" xfId="0" applyFont="1" applyBorder="1"/>
    <xf numFmtId="0" fontId="9" fillId="0" borderId="28" xfId="0" applyFont="1" applyBorder="1" applyAlignment="1">
      <alignment horizontal="left" vertical="center" wrapText="1" indent="2"/>
    </xf>
    <xf numFmtId="41" fontId="10" fillId="0" borderId="0" xfId="1" applyFont="1"/>
    <xf numFmtId="41" fontId="9" fillId="0" borderId="43" xfId="0" applyNumberFormat="1" applyFont="1" applyBorder="1" applyAlignment="1">
      <alignment vertical="center" wrapText="1"/>
    </xf>
    <xf numFmtId="0" fontId="9" fillId="0" borderId="0" xfId="0" applyFont="1" applyAlignment="1">
      <alignment horizontal="left" vertical="center" wrapText="1" indent="2"/>
    </xf>
    <xf numFmtId="0" fontId="9" fillId="0" borderId="0" xfId="0" applyFont="1" applyAlignment="1">
      <alignment horizontal="left" vertical="center" wrapText="1"/>
    </xf>
    <xf numFmtId="0" fontId="11" fillId="0" borderId="43" xfId="0" applyFont="1" applyBorder="1" applyAlignment="1">
      <alignment vertical="center" wrapText="1"/>
    </xf>
    <xf numFmtId="0" fontId="9" fillId="0" borderId="27" xfId="0" applyFont="1" applyBorder="1" applyAlignment="1">
      <alignment horizontal="left" vertical="center" wrapText="1" indent="2"/>
    </xf>
    <xf numFmtId="0" fontId="9" fillId="0" borderId="28" xfId="0" applyFont="1" applyBorder="1" applyAlignment="1">
      <alignment horizontal="left" vertical="center" wrapText="1"/>
    </xf>
    <xf numFmtId="0" fontId="11" fillId="0" borderId="53" xfId="0" applyFont="1" applyBorder="1" applyAlignment="1">
      <alignment horizontal="left" vertical="center" wrapText="1" indent="2"/>
    </xf>
    <xf numFmtId="0" fontId="11" fillId="0" borderId="54" xfId="0" applyFont="1" applyBorder="1" applyAlignment="1">
      <alignment horizontal="left" vertical="center" wrapText="1" indent="2"/>
    </xf>
    <xf numFmtId="0" fontId="11" fillId="0" borderId="28" xfId="0" applyFont="1" applyBorder="1" applyAlignment="1">
      <alignment horizontal="left" vertical="center" wrapText="1" indent="1"/>
    </xf>
    <xf numFmtId="41" fontId="11" fillId="0" borderId="43" xfId="1" applyFont="1" applyBorder="1" applyAlignment="1">
      <alignment horizontal="left" vertical="center" wrapText="1" indent="1"/>
    </xf>
    <xf numFmtId="0" fontId="11" fillId="0" borderId="28" xfId="0" applyFont="1" applyBorder="1" applyAlignment="1">
      <alignment vertical="center" wrapText="1"/>
    </xf>
    <xf numFmtId="0" fontId="9" fillId="0" borderId="29" xfId="0" applyFont="1" applyBorder="1" applyAlignment="1">
      <alignment vertical="center" wrapText="1"/>
    </xf>
    <xf numFmtId="0" fontId="9" fillId="0" borderId="55" xfId="0" applyFont="1" applyBorder="1" applyAlignment="1">
      <alignment vertical="center" wrapText="1"/>
    </xf>
    <xf numFmtId="0" fontId="9" fillId="0" borderId="56" xfId="0" applyFont="1" applyBorder="1" applyAlignment="1">
      <alignment vertical="center" wrapText="1"/>
    </xf>
    <xf numFmtId="0" fontId="9" fillId="0" borderId="55" xfId="0" applyFont="1" applyBorder="1" applyAlignment="1">
      <alignment horizontal="left" vertical="center" wrapText="1" indent="2"/>
    </xf>
    <xf numFmtId="0" fontId="9" fillId="0" borderId="56" xfId="0" applyFont="1" applyBorder="1" applyAlignment="1">
      <alignment horizontal="left" vertical="center" wrapText="1" indent="2"/>
    </xf>
    <xf numFmtId="0" fontId="9" fillId="0" borderId="31" xfId="0" applyFont="1" applyBorder="1" applyAlignment="1">
      <alignment horizontal="left" vertical="center" wrapText="1" indent="1"/>
    </xf>
    <xf numFmtId="0" fontId="9" fillId="0" borderId="45" xfId="0" applyFont="1" applyBorder="1" applyAlignment="1">
      <alignment horizontal="left" vertical="center" wrapText="1" indent="1"/>
    </xf>
    <xf numFmtId="0" fontId="9" fillId="0" borderId="31" xfId="0" applyFont="1" applyBorder="1" applyAlignment="1">
      <alignment vertical="center" wrapText="1"/>
    </xf>
    <xf numFmtId="0" fontId="9" fillId="0" borderId="45" xfId="0" applyFont="1" applyBorder="1" applyAlignment="1">
      <alignment vertical="center" wrapText="1"/>
    </xf>
    <xf numFmtId="41" fontId="11" fillId="0" borderId="0" xfId="1" applyFont="1"/>
    <xf numFmtId="41" fontId="26" fillId="0" borderId="0" xfId="1" applyFont="1"/>
    <xf numFmtId="41" fontId="26" fillId="0" borderId="0" xfId="0" applyNumberFormat="1" applyFont="1"/>
    <xf numFmtId="43" fontId="17" fillId="0" borderId="0" xfId="0" applyNumberFormat="1" applyFont="1"/>
    <xf numFmtId="0" fontId="17" fillId="0" borderId="0" xfId="0" applyFont="1"/>
    <xf numFmtId="0" fontId="11" fillId="0" borderId="52" xfId="0" applyFont="1" applyBorder="1" applyAlignment="1">
      <alignment horizontal="left" vertical="center" wrapText="1"/>
    </xf>
    <xf numFmtId="41" fontId="27" fillId="0" borderId="0" xfId="0" applyNumberFormat="1" applyFont="1"/>
    <xf numFmtId="0" fontId="11" fillId="0" borderId="43" xfId="0" quotePrefix="1" applyFont="1" applyBorder="1" applyAlignment="1">
      <alignment horizontal="left" vertical="center" wrapText="1"/>
    </xf>
    <xf numFmtId="0" fontId="15" fillId="0" borderId="27" xfId="0" applyFont="1" applyBorder="1" applyAlignment="1">
      <alignment horizontal="left" vertical="center" wrapText="1" indent="2"/>
    </xf>
    <xf numFmtId="0" fontId="15" fillId="0" borderId="28" xfId="0" applyFont="1" applyBorder="1" applyAlignment="1">
      <alignment horizontal="left" vertical="center" wrapText="1" indent="2"/>
    </xf>
    <xf numFmtId="165" fontId="17" fillId="0" borderId="0" xfId="0" applyNumberFormat="1" applyFont="1"/>
    <xf numFmtId="41" fontId="17" fillId="0" borderId="0" xfId="1" applyFont="1"/>
    <xf numFmtId="0" fontId="28" fillId="0" borderId="27" xfId="0" applyFont="1" applyBorder="1" applyAlignment="1">
      <alignment horizontal="left" vertical="center" wrapText="1" indent="2"/>
    </xf>
    <xf numFmtId="0" fontId="28" fillId="0" borderId="28" xfId="0" applyFont="1" applyBorder="1" applyAlignment="1">
      <alignment horizontal="left" vertical="center" wrapText="1" indent="2"/>
    </xf>
    <xf numFmtId="0" fontId="28" fillId="0" borderId="43" xfId="0" applyFont="1" applyBorder="1" applyAlignment="1">
      <alignment horizontal="left" vertical="center" wrapText="1" indent="1"/>
    </xf>
    <xf numFmtId="0" fontId="28" fillId="0" borderId="27" xfId="0" applyFont="1" applyBorder="1" applyAlignment="1">
      <alignment vertical="center" wrapText="1"/>
    </xf>
    <xf numFmtId="0" fontId="28" fillId="0" borderId="28" xfId="0" applyFont="1" applyBorder="1" applyAlignment="1">
      <alignment vertical="center" wrapText="1"/>
    </xf>
    <xf numFmtId="0" fontId="28" fillId="0" borderId="43" xfId="0" applyFont="1" applyBorder="1" applyAlignment="1">
      <alignment vertical="center" wrapText="1"/>
    </xf>
    <xf numFmtId="41" fontId="28" fillId="0" borderId="43" xfId="1" applyFont="1" applyBorder="1" applyAlignment="1">
      <alignment vertical="center" wrapText="1"/>
    </xf>
    <xf numFmtId="41" fontId="28" fillId="0" borderId="43" xfId="1" applyFont="1" applyFill="1" applyBorder="1" applyAlignment="1">
      <alignment horizontal="left" vertical="center" wrapText="1" indent="1"/>
    </xf>
    <xf numFmtId="0" fontId="11" fillId="0" borderId="43" xfId="3" applyFont="1" applyBorder="1" applyAlignment="1">
      <alignment vertical="center" wrapText="1"/>
    </xf>
    <xf numFmtId="0" fontId="9" fillId="0" borderId="53" xfId="3" applyFont="1" applyBorder="1" applyAlignment="1">
      <alignment horizontal="left" vertical="center" wrapText="1"/>
    </xf>
    <xf numFmtId="0" fontId="9" fillId="0" borderId="53" xfId="3" applyFont="1" applyBorder="1" applyAlignment="1">
      <alignment horizontal="left" vertical="center" wrapText="1" indent="2"/>
    </xf>
    <xf numFmtId="0" fontId="10" fillId="0" borderId="54" xfId="3" applyFont="1" applyBorder="1"/>
    <xf numFmtId="41" fontId="9" fillId="0" borderId="43" xfId="5" applyNumberFormat="1" applyFont="1" applyBorder="1" applyAlignment="1">
      <alignment vertical="center" wrapText="1"/>
    </xf>
    <xf numFmtId="0" fontId="9" fillId="0" borderId="53" xfId="0" applyFont="1" applyBorder="1" applyAlignment="1">
      <alignment horizontal="center" vertical="center" wrapText="1"/>
    </xf>
    <xf numFmtId="0" fontId="9" fillId="0" borderId="54" xfId="0" applyFont="1" applyBorder="1"/>
    <xf numFmtId="0" fontId="29" fillId="0" borderId="53" xfId="6" applyFont="1" applyBorder="1" applyAlignment="1">
      <alignment horizontal="center"/>
    </xf>
    <xf numFmtId="0" fontId="9" fillId="0" borderId="29" xfId="0" applyFont="1" applyBorder="1" applyAlignment="1">
      <alignment horizontal="left" vertical="center" wrapText="1" indent="2"/>
    </xf>
    <xf numFmtId="0" fontId="9" fillId="0" borderId="31" xfId="0" applyFont="1" applyBorder="1" applyAlignment="1">
      <alignment horizontal="left" vertical="center" wrapText="1" indent="2"/>
    </xf>
    <xf numFmtId="41" fontId="9" fillId="0" borderId="0" xfId="0" applyNumberFormat="1" applyFont="1" applyAlignment="1">
      <alignment vertical="center" wrapText="1"/>
    </xf>
    <xf numFmtId="0" fontId="9" fillId="0" borderId="0" xfId="0" applyFont="1" applyAlignment="1">
      <alignment vertical="center"/>
    </xf>
    <xf numFmtId="0" fontId="30" fillId="0" borderId="0" xfId="0" applyFont="1"/>
    <xf numFmtId="0" fontId="9" fillId="0" borderId="31" xfId="0" applyFont="1" applyBorder="1" applyAlignment="1">
      <alignment horizontal="left" vertical="center" wrapText="1" indent="3"/>
    </xf>
    <xf numFmtId="0" fontId="9" fillId="0" borderId="50" xfId="0" applyFont="1" applyBorder="1" applyAlignment="1">
      <alignment horizontal="left" vertical="center" wrapText="1" indent="2"/>
    </xf>
    <xf numFmtId="0" fontId="9" fillId="0" borderId="51" xfId="0" applyFont="1" applyBorder="1" applyAlignment="1">
      <alignment horizontal="left" vertical="center" wrapText="1" indent="2"/>
    </xf>
    <xf numFmtId="0" fontId="9" fillId="0" borderId="47" xfId="0" applyFont="1" applyBorder="1" applyAlignment="1">
      <alignment horizontal="left" vertical="center" wrapText="1" indent="1"/>
    </xf>
    <xf numFmtId="0" fontId="9" fillId="0" borderId="52" xfId="0" applyFont="1" applyBorder="1" applyAlignment="1">
      <alignment horizontal="left" vertical="center" wrapText="1" indent="1"/>
    </xf>
    <xf numFmtId="0" fontId="9" fillId="0" borderId="46" xfId="0" applyFont="1" applyBorder="1" applyAlignment="1">
      <alignment vertical="center" wrapText="1"/>
    </xf>
    <xf numFmtId="0" fontId="9" fillId="0" borderId="47" xfId="0" applyFont="1" applyBorder="1" applyAlignment="1">
      <alignment vertical="center" wrapText="1"/>
    </xf>
    <xf numFmtId="41" fontId="9" fillId="0" borderId="0" xfId="0" applyNumberFormat="1" applyFont="1"/>
    <xf numFmtId="167" fontId="9" fillId="0" borderId="0" xfId="0" applyNumberFormat="1" applyFont="1"/>
    <xf numFmtId="41" fontId="11" fillId="2" borderId="43" xfId="0" applyNumberFormat="1" applyFont="1" applyFill="1" applyBorder="1" applyAlignment="1">
      <alignment vertical="center" wrapText="1"/>
    </xf>
    <xf numFmtId="0" fontId="28" fillId="0" borderId="53" xfId="0" applyFont="1" applyBorder="1" applyAlignment="1">
      <alignment horizontal="left" vertical="center" wrapText="1" indent="2"/>
    </xf>
    <xf numFmtId="0" fontId="28" fillId="0" borderId="54" xfId="0" applyFont="1" applyBorder="1" applyAlignment="1">
      <alignment horizontal="left" vertical="center" wrapText="1" indent="2"/>
    </xf>
    <xf numFmtId="0" fontId="28" fillId="0" borderId="28" xfId="0" applyFont="1" applyBorder="1" applyAlignment="1">
      <alignment horizontal="left" vertical="center" wrapText="1" indent="1"/>
    </xf>
    <xf numFmtId="41" fontId="28" fillId="0" borderId="0" xfId="0" applyNumberFormat="1" applyFont="1"/>
    <xf numFmtId="0" fontId="28" fillId="0" borderId="53" xfId="0" applyFont="1" applyBorder="1" applyAlignment="1">
      <alignment horizontal="left" vertical="center" wrapText="1"/>
    </xf>
    <xf numFmtId="0" fontId="28" fillId="0" borderId="54" xfId="0" applyFont="1" applyBorder="1" applyAlignment="1">
      <alignment horizontal="left" vertical="center" wrapText="1"/>
    </xf>
    <xf numFmtId="165" fontId="9" fillId="0" borderId="43" xfId="1" applyNumberFormat="1" applyFont="1" applyFill="1" applyBorder="1" applyAlignment="1">
      <alignment vertical="center" wrapText="1"/>
    </xf>
    <xf numFmtId="0" fontId="9" fillId="0" borderId="54" xfId="3" applyFont="1" applyBorder="1"/>
    <xf numFmtId="0" fontId="9" fillId="0" borderId="54" xfId="0" applyFont="1" applyBorder="1" applyAlignment="1">
      <alignment vertical="center"/>
    </xf>
    <xf numFmtId="0" fontId="29" fillId="0" borderId="53" xfId="6" applyFont="1" applyBorder="1" applyAlignment="1">
      <alignment horizontal="center" vertical="center"/>
    </xf>
    <xf numFmtId="41" fontId="9" fillId="0" borderId="43" xfId="1" applyFont="1" applyFill="1" applyBorder="1" applyAlignment="1">
      <alignment horizontal="left" vertical="center" wrapText="1"/>
    </xf>
    <xf numFmtId="0" fontId="9" fillId="0" borderId="0" xfId="0" applyFont="1" applyAlignment="1">
      <alignment horizontal="center" vertical="center" wrapText="1"/>
    </xf>
    <xf numFmtId="41" fontId="11" fillId="0" borderId="58" xfId="0" applyNumberFormat="1" applyFont="1" applyBorder="1" applyAlignment="1">
      <alignment vertical="center" wrapText="1"/>
    </xf>
    <xf numFmtId="0" fontId="9" fillId="0" borderId="0" xfId="0" applyFont="1" applyAlignment="1">
      <alignment vertical="center" wrapText="1"/>
    </xf>
    <xf numFmtId="0" fontId="10" fillId="0" borderId="0" xfId="3" applyFont="1"/>
    <xf numFmtId="0" fontId="9" fillId="0" borderId="0" xfId="3" applyFont="1" applyAlignment="1">
      <alignment horizontal="left" vertical="center" indent="1"/>
    </xf>
    <xf numFmtId="0" fontId="9" fillId="0" borderId="0" xfId="3" applyFont="1"/>
    <xf numFmtId="0" fontId="9" fillId="0" borderId="0" xfId="2" applyFont="1" applyAlignment="1">
      <alignment horizontal="left" vertical="center" indent="1"/>
    </xf>
    <xf numFmtId="0" fontId="9" fillId="0" borderId="0" xfId="2" applyFont="1"/>
    <xf numFmtId="0" fontId="12" fillId="0" borderId="0" xfId="3" applyFont="1" applyAlignment="1">
      <alignment vertical="center"/>
    </xf>
    <xf numFmtId="0" fontId="9" fillId="0" borderId="43" xfId="3" applyFont="1" applyBorder="1" applyAlignment="1">
      <alignment vertical="center" wrapText="1"/>
    </xf>
    <xf numFmtId="0" fontId="15" fillId="0" borderId="45" xfId="3" applyFont="1" applyBorder="1" applyAlignment="1">
      <alignment horizontal="left" vertical="center" wrapText="1" indent="1"/>
    </xf>
    <xf numFmtId="0" fontId="15" fillId="0" borderId="31" xfId="3" applyFont="1" applyBorder="1" applyAlignment="1">
      <alignment horizontal="left" vertical="center" wrapText="1" indent="1"/>
    </xf>
    <xf numFmtId="0" fontId="15" fillId="0" borderId="31" xfId="3" applyFont="1" applyBorder="1" applyAlignment="1">
      <alignment horizontal="left" vertical="center" wrapText="1" indent="3"/>
    </xf>
    <xf numFmtId="0" fontId="11" fillId="0" borderId="52" xfId="3" applyFont="1" applyBorder="1" applyAlignment="1">
      <alignment horizontal="left" vertical="center" wrapText="1"/>
    </xf>
    <xf numFmtId="0" fontId="15" fillId="0" borderId="46" xfId="3" applyFont="1" applyBorder="1" applyAlignment="1">
      <alignment horizontal="left" vertical="center" wrapText="1" indent="2"/>
    </xf>
    <xf numFmtId="0" fontId="15" fillId="0" borderId="47" xfId="3" applyFont="1" applyBorder="1" applyAlignment="1">
      <alignment horizontal="left" vertical="center" wrapText="1" indent="2"/>
    </xf>
    <xf numFmtId="0" fontId="15" fillId="0" borderId="52" xfId="3" applyFont="1" applyBorder="1" applyAlignment="1">
      <alignment horizontal="left" vertical="center" wrapText="1" indent="1"/>
    </xf>
    <xf numFmtId="0" fontId="15" fillId="0" borderId="46" xfId="3" applyFont="1" applyBorder="1" applyAlignment="1">
      <alignment vertical="center" wrapText="1"/>
    </xf>
    <xf numFmtId="0" fontId="15" fillId="0" borderId="47" xfId="3" applyFont="1" applyBorder="1" applyAlignment="1">
      <alignment vertical="center" wrapText="1"/>
    </xf>
    <xf numFmtId="41" fontId="11" fillId="0" borderId="43" xfId="3" applyNumberFormat="1" applyFont="1" applyBorder="1" applyAlignment="1">
      <alignment vertical="center" wrapText="1"/>
    </xf>
    <xf numFmtId="41" fontId="10" fillId="0" borderId="0" xfId="3" applyNumberFormat="1" applyFont="1"/>
    <xf numFmtId="41" fontId="11" fillId="2" borderId="43" xfId="2" applyNumberFormat="1" applyFont="1" applyFill="1" applyBorder="1" applyAlignment="1">
      <alignment vertical="center" wrapText="1"/>
    </xf>
    <xf numFmtId="167" fontId="10" fillId="0" borderId="0" xfId="3" applyNumberFormat="1" applyFont="1"/>
    <xf numFmtId="166" fontId="9" fillId="0" borderId="43" xfId="7" applyFont="1" applyBorder="1" applyAlignment="1">
      <alignment horizontal="left" vertical="center" wrapText="1" indent="1"/>
    </xf>
    <xf numFmtId="165" fontId="9" fillId="0" borderId="43" xfId="4" applyNumberFormat="1" applyFont="1" applyFill="1" applyBorder="1" applyAlignment="1">
      <alignment vertical="center" wrapText="1"/>
    </xf>
    <xf numFmtId="165" fontId="11" fillId="0" borderId="43" xfId="4" applyNumberFormat="1" applyFont="1" applyFill="1" applyBorder="1" applyAlignment="1">
      <alignment vertical="center" wrapText="1"/>
    </xf>
    <xf numFmtId="0" fontId="28" fillId="0" borderId="53" xfId="3" applyFont="1" applyBorder="1" applyAlignment="1">
      <alignment horizontal="left" vertical="center" wrapText="1" indent="2"/>
    </xf>
    <xf numFmtId="0" fontId="28" fillId="0" borderId="54" xfId="3" applyFont="1" applyBorder="1" applyAlignment="1">
      <alignment horizontal="left" vertical="center" wrapText="1" indent="2"/>
    </xf>
    <xf numFmtId="0" fontId="28" fillId="0" borderId="28" xfId="3" applyFont="1" applyBorder="1" applyAlignment="1">
      <alignment horizontal="left" vertical="center" wrapText="1" indent="1"/>
    </xf>
    <xf numFmtId="0" fontId="28" fillId="0" borderId="27" xfId="3" applyFont="1" applyBorder="1" applyAlignment="1">
      <alignment vertical="center" wrapText="1"/>
    </xf>
    <xf numFmtId="0" fontId="28" fillId="0" borderId="28" xfId="3" applyFont="1" applyBorder="1" applyAlignment="1">
      <alignment vertical="center" wrapText="1"/>
    </xf>
    <xf numFmtId="41" fontId="27" fillId="0" borderId="43" xfId="4" applyNumberFormat="1" applyFont="1" applyFill="1" applyBorder="1" applyAlignment="1">
      <alignment vertical="center" wrapText="1"/>
    </xf>
    <xf numFmtId="0" fontId="26" fillId="0" borderId="0" xfId="3" applyFont="1"/>
    <xf numFmtId="0" fontId="28" fillId="0" borderId="54" xfId="3" applyFont="1" applyBorder="1" applyAlignment="1">
      <alignment horizontal="left" vertical="center" wrapText="1"/>
    </xf>
    <xf numFmtId="41" fontId="11" fillId="0" borderId="43" xfId="4" applyNumberFormat="1" applyFont="1" applyFill="1" applyBorder="1" applyAlignment="1">
      <alignment vertical="center" wrapText="1"/>
    </xf>
    <xf numFmtId="41" fontId="11" fillId="2" borderId="43" xfId="3" applyNumberFormat="1" applyFont="1" applyFill="1" applyBorder="1" applyAlignment="1">
      <alignment vertical="center" wrapText="1"/>
    </xf>
    <xf numFmtId="41" fontId="28" fillId="0" borderId="0" xfId="0" applyNumberFormat="1" applyFont="1" applyAlignment="1">
      <alignment vertical="center"/>
    </xf>
    <xf numFmtId="0" fontId="9" fillId="0" borderId="27" xfId="3" applyFont="1" applyBorder="1" applyAlignment="1">
      <alignment horizontal="left"/>
    </xf>
    <xf numFmtId="0" fontId="9" fillId="0" borderId="28" xfId="3" applyFont="1" applyBorder="1" applyAlignment="1">
      <alignment horizontal="left"/>
    </xf>
    <xf numFmtId="0" fontId="9" fillId="0" borderId="45" xfId="3" applyFont="1" applyBorder="1" applyAlignment="1">
      <alignment vertical="center" wrapText="1"/>
    </xf>
    <xf numFmtId="0" fontId="9" fillId="0" borderId="29" xfId="3" applyFont="1" applyBorder="1" applyAlignment="1">
      <alignment horizontal="left" vertical="center" wrapText="1" indent="2"/>
    </xf>
    <xf numFmtId="0" fontId="9" fillId="0" borderId="31" xfId="3" applyFont="1" applyBorder="1" applyAlignment="1">
      <alignment horizontal="left" vertical="center" wrapText="1" indent="2"/>
    </xf>
    <xf numFmtId="0" fontId="9" fillId="0" borderId="45" xfId="3" applyFont="1" applyBorder="1" applyAlignment="1">
      <alignment horizontal="left" vertical="center" wrapText="1" indent="1"/>
    </xf>
    <xf numFmtId="0" fontId="9" fillId="0" borderId="29" xfId="3" applyFont="1" applyBorder="1" applyAlignment="1">
      <alignment vertical="center" wrapText="1"/>
    </xf>
    <xf numFmtId="0" fontId="9" fillId="0" borderId="31" xfId="3" applyFont="1" applyBorder="1" applyAlignment="1">
      <alignment vertical="center" wrapText="1"/>
    </xf>
    <xf numFmtId="41" fontId="32" fillId="0" borderId="58" xfId="3" applyNumberFormat="1" applyFont="1" applyBorder="1" applyAlignment="1">
      <alignment vertical="center" wrapText="1"/>
    </xf>
    <xf numFmtId="0" fontId="31" fillId="0" borderId="27" xfId="0" applyFont="1" applyBorder="1" applyAlignment="1">
      <alignment horizontal="left" vertical="center" wrapText="1" indent="2"/>
    </xf>
    <xf numFmtId="0" fontId="31" fillId="0" borderId="28" xfId="0" applyFont="1" applyBorder="1" applyAlignment="1">
      <alignment horizontal="left" vertical="center" wrapText="1" indent="2"/>
    </xf>
    <xf numFmtId="0" fontId="31" fillId="0" borderId="43" xfId="0" applyFont="1" applyBorder="1" applyAlignment="1">
      <alignment horizontal="left" vertical="center" wrapText="1" indent="1"/>
    </xf>
    <xf numFmtId="0" fontId="31" fillId="0" borderId="27" xfId="0" applyFont="1" applyBorder="1" applyAlignment="1">
      <alignment vertical="center" wrapText="1"/>
    </xf>
    <xf numFmtId="0" fontId="31" fillId="0" borderId="28" xfId="0" applyFont="1" applyBorder="1" applyAlignment="1">
      <alignment vertical="center" wrapText="1"/>
    </xf>
    <xf numFmtId="41" fontId="31" fillId="0" borderId="43" xfId="1" applyFont="1" applyBorder="1" applyAlignment="1">
      <alignment horizontal="left" vertical="center" wrapText="1" indent="1"/>
    </xf>
    <xf numFmtId="41" fontId="31" fillId="0" borderId="43" xfId="1" applyFont="1" applyBorder="1" applyAlignment="1">
      <alignment vertical="center" wrapText="1"/>
    </xf>
    <xf numFmtId="41" fontId="11" fillId="3" borderId="52" xfId="0" applyNumberFormat="1" applyFont="1" applyFill="1" applyBorder="1" applyAlignment="1">
      <alignment vertical="center" wrapText="1"/>
    </xf>
    <xf numFmtId="0" fontId="10" fillId="0" borderId="0" xfId="0" applyFont="1" applyAlignment="1">
      <alignment vertical="center"/>
    </xf>
    <xf numFmtId="0" fontId="32" fillId="0" borderId="0" xfId="0" applyFont="1" applyAlignment="1">
      <alignment horizontal="center"/>
    </xf>
    <xf numFmtId="0" fontId="10" fillId="0" borderId="0" xfId="0" applyFont="1" applyAlignment="1">
      <alignment horizontal="left"/>
    </xf>
    <xf numFmtId="0" fontId="32" fillId="0" borderId="9" xfId="0" applyFont="1" applyBorder="1" applyAlignment="1">
      <alignment horizontal="center"/>
    </xf>
    <xf numFmtId="0" fontId="10" fillId="0" borderId="9" xfId="0" applyFont="1" applyBorder="1"/>
    <xf numFmtId="164" fontId="32" fillId="0" borderId="20" xfId="0" applyNumberFormat="1" applyFont="1" applyBorder="1" applyAlignment="1">
      <alignment horizontal="center" vertical="center"/>
    </xf>
    <xf numFmtId="0" fontId="32" fillId="0" borderId="36" xfId="0" applyFont="1" applyBorder="1" applyAlignment="1">
      <alignment horizontal="center" vertical="center"/>
    </xf>
    <xf numFmtId="164" fontId="32" fillId="0" borderId="25" xfId="0" applyNumberFormat="1" applyFont="1" applyBorder="1" applyAlignment="1">
      <alignment horizontal="center" vertical="center"/>
    </xf>
    <xf numFmtId="1" fontId="34" fillId="0" borderId="10" xfId="0" applyNumberFormat="1" applyFont="1" applyBorder="1" applyAlignment="1">
      <alignment horizontal="left" vertical="top" shrinkToFit="1"/>
    </xf>
    <xf numFmtId="0" fontId="35" fillId="0" borderId="32" xfId="0" applyFont="1" applyBorder="1" applyAlignment="1">
      <alignment vertical="top" wrapText="1"/>
    </xf>
    <xf numFmtId="0" fontId="32" fillId="0" borderId="32" xfId="0" applyFont="1" applyBorder="1" applyAlignment="1">
      <alignment vertical="center"/>
    </xf>
    <xf numFmtId="164" fontId="32" fillId="4" borderId="13" xfId="0" applyNumberFormat="1" applyFont="1" applyFill="1" applyBorder="1" applyAlignment="1">
      <alignment horizontal="center" vertical="center"/>
    </xf>
    <xf numFmtId="164" fontId="10" fillId="0" borderId="0" xfId="0" applyNumberFormat="1" applyFont="1"/>
    <xf numFmtId="0" fontId="35" fillId="0" borderId="10" xfId="0" applyFont="1" applyBorder="1" applyAlignment="1">
      <alignment horizontal="left" vertical="top" wrapText="1"/>
    </xf>
    <xf numFmtId="0" fontId="17" fillId="0" borderId="32" xfId="0" applyFont="1" applyBorder="1"/>
    <xf numFmtId="164" fontId="32" fillId="0" borderId="13" xfId="0" applyNumberFormat="1" applyFont="1" applyBorder="1" applyAlignment="1">
      <alignment horizontal="center" vertical="center"/>
    </xf>
    <xf numFmtId="168" fontId="34" fillId="0" borderId="10" xfId="0" applyNumberFormat="1" applyFont="1" applyBorder="1" applyAlignment="1">
      <alignment horizontal="left" vertical="top" shrinkToFit="1"/>
    </xf>
    <xf numFmtId="0" fontId="10" fillId="0" borderId="10" xfId="0" applyFont="1" applyBorder="1" applyAlignment="1">
      <alignment horizontal="left" vertical="top" wrapText="1"/>
    </xf>
    <xf numFmtId="164" fontId="32" fillId="2" borderId="13" xfId="0" applyNumberFormat="1" applyFont="1" applyFill="1" applyBorder="1" applyAlignment="1">
      <alignment horizontal="center" vertical="center"/>
    </xf>
    <xf numFmtId="0" fontId="10" fillId="0" borderId="10" xfId="0" applyFont="1" applyBorder="1" applyAlignment="1">
      <alignment horizontal="left" vertical="center" wrapText="1"/>
    </xf>
    <xf numFmtId="0" fontId="10" fillId="0" borderId="32" xfId="0" applyFont="1" applyBorder="1" applyAlignment="1">
      <alignment vertical="top" wrapText="1"/>
    </xf>
    <xf numFmtId="0" fontId="36" fillId="0" borderId="32" xfId="0" applyFont="1" applyBorder="1" applyAlignment="1">
      <alignment horizontal="left" vertical="top" wrapText="1" indent="2"/>
    </xf>
    <xf numFmtId="0" fontId="36" fillId="0" borderId="32" xfId="0" applyFont="1" applyBorder="1" applyAlignment="1">
      <alignment horizontal="left" vertical="center" wrapText="1"/>
    </xf>
    <xf numFmtId="2" fontId="37" fillId="0" borderId="32" xfId="0" applyNumberFormat="1" applyFont="1" applyBorder="1" applyAlignment="1">
      <alignment horizontal="left" vertical="center" shrinkToFit="1"/>
    </xf>
    <xf numFmtId="0" fontId="32" fillId="0" borderId="65" xfId="0" applyFont="1" applyBorder="1" applyAlignment="1">
      <alignment vertical="top"/>
    </xf>
    <xf numFmtId="1" fontId="37" fillId="0" borderId="32" xfId="0" applyNumberFormat="1" applyFont="1" applyBorder="1" applyAlignment="1">
      <alignment horizontal="left" vertical="center" shrinkToFit="1"/>
    </xf>
    <xf numFmtId="4" fontId="37" fillId="0" borderId="32" xfId="0" applyNumberFormat="1" applyFont="1" applyBorder="1" applyAlignment="1">
      <alignment horizontal="left" vertical="center" shrinkToFit="1"/>
    </xf>
    <xf numFmtId="0" fontId="32" fillId="0" borderId="32" xfId="0" applyFont="1" applyBorder="1" applyAlignment="1">
      <alignment horizontal="left" vertical="center"/>
    </xf>
    <xf numFmtId="0" fontId="10" fillId="0" borderId="32" xfId="0" applyFont="1" applyBorder="1" applyAlignment="1">
      <alignment horizontal="left" vertical="top" wrapText="1" indent="2"/>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22" xfId="0" applyFont="1" applyBorder="1" applyAlignment="1">
      <alignment horizontal="left" vertical="top" wrapText="1" indent="2"/>
    </xf>
    <xf numFmtId="0" fontId="36" fillId="0" borderId="66" xfId="0" applyFont="1" applyBorder="1" applyAlignment="1">
      <alignment horizontal="left" vertical="center" wrapText="1"/>
    </xf>
    <xf numFmtId="4" fontId="37" fillId="0" borderId="23" xfId="0" applyNumberFormat="1" applyFont="1" applyBorder="1" applyAlignment="1">
      <alignment horizontal="left" vertical="center" shrinkToFit="1"/>
    </xf>
    <xf numFmtId="0" fontId="10" fillId="0" borderId="67" xfId="0" applyFont="1" applyBorder="1" applyAlignment="1">
      <alignment horizontal="left" vertical="top" wrapText="1" indent="2"/>
    </xf>
    <xf numFmtId="0" fontId="36" fillId="0" borderId="68" xfId="0" applyFont="1" applyBorder="1" applyAlignment="1">
      <alignment horizontal="left" vertical="center" wrapText="1"/>
    </xf>
    <xf numFmtId="4" fontId="37" fillId="0" borderId="69" xfId="0" applyNumberFormat="1" applyFont="1" applyBorder="1" applyAlignment="1">
      <alignment horizontal="left" vertical="center" shrinkToFit="1"/>
    </xf>
    <xf numFmtId="164" fontId="32" fillId="4" borderId="26" xfId="0" applyNumberFormat="1" applyFont="1" applyFill="1" applyBorder="1" applyAlignment="1">
      <alignment horizontal="right" vertical="top"/>
    </xf>
    <xf numFmtId="0" fontId="10" fillId="0" borderId="0" xfId="0" applyFont="1" applyAlignment="1">
      <alignment horizontal="right"/>
    </xf>
    <xf numFmtId="0" fontId="10" fillId="0" borderId="9" xfId="0" applyFont="1" applyBorder="1" applyAlignment="1">
      <alignment vertical="top"/>
    </xf>
    <xf numFmtId="0" fontId="10" fillId="0" borderId="4" xfId="0" applyFont="1" applyBorder="1" applyAlignment="1">
      <alignment horizontal="left" vertical="top" wrapText="1"/>
    </xf>
    <xf numFmtId="0" fontId="10" fillId="0" borderId="24" xfId="0" applyFont="1" applyBorder="1" applyAlignment="1">
      <alignment horizontal="center" vertical="center"/>
    </xf>
    <xf numFmtId="0" fontId="10" fillId="0" borderId="24" xfId="0" applyFont="1" applyBorder="1" applyAlignment="1">
      <alignment vertical="top"/>
    </xf>
    <xf numFmtId="164" fontId="10" fillId="0" borderId="25" xfId="0" applyNumberFormat="1" applyFont="1" applyBorder="1" applyAlignment="1">
      <alignment vertical="top"/>
    </xf>
    <xf numFmtId="164" fontId="10" fillId="0" borderId="25" xfId="0" applyNumberFormat="1" applyFont="1" applyBorder="1"/>
    <xf numFmtId="164" fontId="10" fillId="0" borderId="28" xfId="0" applyNumberFormat="1" applyFont="1" applyBorder="1"/>
    <xf numFmtId="0" fontId="10" fillId="0" borderId="14" xfId="0" applyFont="1" applyBorder="1" applyAlignment="1">
      <alignment horizontal="center"/>
    </xf>
    <xf numFmtId="164" fontId="10" fillId="0" borderId="26" xfId="0" applyNumberFormat="1" applyFont="1" applyBorder="1"/>
    <xf numFmtId="0" fontId="10" fillId="0" borderId="30" xfId="0" applyFont="1" applyBorder="1"/>
    <xf numFmtId="164" fontId="10" fillId="0" borderId="31" xfId="0" applyNumberFormat="1" applyFont="1" applyBorder="1"/>
    <xf numFmtId="41" fontId="11" fillId="5" borderId="0" xfId="1" applyFont="1" applyFill="1"/>
    <xf numFmtId="0" fontId="38" fillId="0" borderId="0" xfId="0" applyFont="1" applyAlignment="1">
      <alignment horizontal="center"/>
    </xf>
    <xf numFmtId="0" fontId="2" fillId="0" borderId="0" xfId="0" applyFont="1"/>
    <xf numFmtId="0" fontId="38" fillId="0" borderId="0" xfId="0" applyFont="1"/>
    <xf numFmtId="41" fontId="0" fillId="0" borderId="0" xfId="1" applyFont="1" applyAlignment="1">
      <alignment horizontal="left" vertical="top"/>
    </xf>
    <xf numFmtId="0" fontId="8" fillId="0" borderId="0" xfId="0" applyFont="1" applyAlignment="1">
      <alignment horizontal="left"/>
    </xf>
    <xf numFmtId="0" fontId="38" fillId="0" borderId="9" xfId="0" applyFont="1" applyBorder="1" applyAlignment="1">
      <alignment horizontal="center"/>
    </xf>
    <xf numFmtId="0" fontId="39" fillId="0" borderId="11" xfId="0" applyFont="1" applyBorder="1"/>
    <xf numFmtId="0" fontId="39" fillId="0" borderId="12" xfId="0" applyFont="1" applyBorder="1"/>
    <xf numFmtId="0" fontId="8" fillId="0" borderId="9" xfId="0" applyFont="1" applyBorder="1"/>
    <xf numFmtId="0" fontId="8" fillId="0" borderId="14" xfId="0" applyFont="1" applyBorder="1"/>
    <xf numFmtId="164" fontId="38" fillId="0" borderId="20" xfId="0" applyNumberFormat="1" applyFont="1" applyBorder="1" applyAlignment="1">
      <alignment horizontal="center" vertical="center"/>
    </xf>
    <xf numFmtId="0" fontId="38" fillId="0" borderId="24" xfId="0" applyFont="1" applyBorder="1" applyAlignment="1">
      <alignment horizontal="center" vertical="center"/>
    </xf>
    <xf numFmtId="164" fontId="38" fillId="0" borderId="25" xfId="0" applyNumberFormat="1" applyFont="1" applyBorder="1" applyAlignment="1">
      <alignment horizontal="center" vertical="center"/>
    </xf>
    <xf numFmtId="1" fontId="40" fillId="0" borderId="24" xfId="0" applyNumberFormat="1" applyFont="1" applyBorder="1" applyAlignment="1">
      <alignment horizontal="left" vertical="top" shrinkToFit="1"/>
    </xf>
    <xf numFmtId="0" fontId="41" fillId="0" borderId="10" xfId="0" applyFont="1" applyBorder="1" applyAlignment="1">
      <alignment vertical="top" wrapText="1"/>
    </xf>
    <xf numFmtId="0" fontId="41" fillId="0" borderId="11" xfId="0" applyFont="1" applyBorder="1" applyAlignment="1">
      <alignment vertical="top" wrapText="1"/>
    </xf>
    <xf numFmtId="0" fontId="41" fillId="0" borderId="11" xfId="0" applyFont="1" applyBorder="1" applyAlignment="1">
      <alignment horizontal="left" vertical="top" wrapText="1"/>
    </xf>
    <xf numFmtId="164" fontId="38" fillId="4" borderId="25" xfId="0" applyNumberFormat="1" applyFont="1" applyFill="1" applyBorder="1" applyAlignment="1">
      <alignment horizontal="center" vertical="center"/>
    </xf>
    <xf numFmtId="164" fontId="0" fillId="0" borderId="0" xfId="0" applyNumberFormat="1"/>
    <xf numFmtId="0" fontId="41" fillId="0" borderId="24" xfId="0" applyFont="1" applyBorder="1" applyAlignment="1">
      <alignment horizontal="left" vertical="top" wrapText="1"/>
    </xf>
    <xf numFmtId="168" fontId="40" fillId="0" borderId="24" xfId="0" applyNumberFormat="1" applyFont="1" applyBorder="1" applyAlignment="1">
      <alignment horizontal="left" vertical="top" shrinkToFit="1"/>
    </xf>
    <xf numFmtId="0" fontId="0" fillId="0" borderId="24" xfId="0" applyBorder="1" applyAlignment="1">
      <alignment horizontal="left" vertical="top" wrapText="1"/>
    </xf>
    <xf numFmtId="164" fontId="38" fillId="2" borderId="25" xfId="0" applyNumberFormat="1" applyFont="1" applyFill="1" applyBorder="1" applyAlignment="1">
      <alignment horizontal="center" vertical="center"/>
    </xf>
    <xf numFmtId="0" fontId="0" fillId="0" borderId="24" xfId="0" applyBorder="1" applyAlignment="1">
      <alignment horizontal="left" vertical="center" wrapText="1"/>
    </xf>
    <xf numFmtId="0" fontId="0" fillId="0" borderId="10" xfId="0" applyBorder="1" applyAlignment="1">
      <alignment vertical="top" wrapText="1"/>
    </xf>
    <xf numFmtId="0" fontId="0" fillId="0" borderId="11" xfId="0" applyBorder="1" applyAlignment="1">
      <alignment vertical="top" wrapText="1"/>
    </xf>
    <xf numFmtId="0" fontId="0" fillId="0" borderId="11" xfId="0" applyBorder="1" applyAlignment="1">
      <alignment horizontal="left" vertical="top" wrapText="1"/>
    </xf>
    <xf numFmtId="0" fontId="0" fillId="0" borderId="24" xfId="0" applyBorder="1" applyAlignment="1">
      <alignment vertical="top" wrapText="1"/>
    </xf>
    <xf numFmtId="1" fontId="43" fillId="0" borderId="24" xfId="0" applyNumberFormat="1" applyFont="1" applyBorder="1" applyAlignment="1">
      <alignment vertical="center" shrinkToFit="1"/>
    </xf>
    <xf numFmtId="0" fontId="44" fillId="0" borderId="24" xfId="0" applyFont="1" applyBorder="1" applyAlignment="1">
      <alignment vertical="center" wrapText="1"/>
    </xf>
    <xf numFmtId="4" fontId="43" fillId="0" borderId="24" xfId="0" applyNumberFormat="1" applyFont="1" applyBorder="1" applyAlignment="1">
      <alignment horizontal="left" vertical="center" shrinkToFit="1"/>
    </xf>
    <xf numFmtId="41" fontId="0" fillId="0" borderId="0" xfId="1" applyFont="1"/>
    <xf numFmtId="0" fontId="0" fillId="0" borderId="12" xfId="0" applyBorder="1" applyAlignment="1">
      <alignment horizontal="left" vertical="top" wrapText="1"/>
    </xf>
    <xf numFmtId="1" fontId="43" fillId="0" borderId="11" xfId="0" applyNumberFormat="1" applyFont="1" applyBorder="1" applyAlignment="1">
      <alignment vertical="center" shrinkToFit="1"/>
    </xf>
    <xf numFmtId="0" fontId="44" fillId="0" borderId="11" xfId="0" applyFont="1" applyBorder="1" applyAlignment="1">
      <alignment vertical="center" wrapText="1"/>
    </xf>
    <xf numFmtId="4" fontId="43" fillId="0" borderId="12" xfId="0" applyNumberFormat="1" applyFont="1" applyBorder="1" applyAlignment="1">
      <alignment horizontal="left" vertical="center" shrinkToFit="1"/>
    </xf>
    <xf numFmtId="2" fontId="43" fillId="0" borderId="24" xfId="0" applyNumberFormat="1" applyFont="1" applyBorder="1" applyAlignment="1">
      <alignment horizontal="left" vertical="center" shrinkToFit="1"/>
    </xf>
    <xf numFmtId="0" fontId="38" fillId="0" borderId="9" xfId="0" applyFont="1" applyBorder="1" applyAlignment="1">
      <alignment vertical="top"/>
    </xf>
    <xf numFmtId="0" fontId="42" fillId="0" borderId="24" xfId="0" applyFont="1" applyBorder="1" applyAlignment="1">
      <alignment horizontal="left" vertical="top" wrapText="1" indent="2"/>
    </xf>
    <xf numFmtId="0" fontId="0" fillId="0" borderId="24" xfId="0" applyBorder="1" applyAlignment="1">
      <alignment horizontal="left" vertical="top" wrapText="1" indent="2"/>
    </xf>
    <xf numFmtId="1" fontId="43" fillId="0" borderId="24" xfId="0" applyNumberFormat="1" applyFont="1" applyBorder="1" applyAlignment="1">
      <alignment horizontal="left" vertical="center" shrinkToFit="1"/>
    </xf>
    <xf numFmtId="0" fontId="44" fillId="0" borderId="24" xfId="0" applyFont="1" applyBorder="1" applyAlignment="1">
      <alignment horizontal="left" vertical="center" wrapText="1"/>
    </xf>
    <xf numFmtId="0" fontId="0" fillId="0" borderId="10" xfId="0" applyBorder="1" applyAlignment="1">
      <alignment horizontal="left" vertical="top" wrapText="1" indent="2"/>
    </xf>
    <xf numFmtId="1" fontId="43" fillId="0" borderId="11" xfId="0" applyNumberFormat="1" applyFont="1" applyBorder="1" applyAlignment="1">
      <alignment horizontal="left" vertical="center" shrinkToFit="1"/>
    </xf>
    <xf numFmtId="0" fontId="44" fillId="0" borderId="11" xfId="0" applyFont="1" applyBorder="1" applyAlignment="1">
      <alignment horizontal="left" vertical="center" wrapText="1"/>
    </xf>
    <xf numFmtId="0" fontId="38" fillId="0" borderId="10" xfId="0" applyFont="1" applyBorder="1" applyAlignment="1">
      <alignment horizontal="left" vertical="center"/>
    </xf>
    <xf numFmtId="0" fontId="45" fillId="0" borderId="10" xfId="0" applyFont="1" applyBorder="1" applyAlignment="1">
      <alignment vertical="top" wrapText="1"/>
    </xf>
    <xf numFmtId="4" fontId="43" fillId="0" borderId="11" xfId="0" applyNumberFormat="1" applyFont="1" applyBorder="1" applyAlignment="1">
      <alignment horizontal="left" vertical="center" shrinkToFit="1"/>
    </xf>
    <xf numFmtId="0" fontId="41" fillId="0" borderId="11" xfId="0" applyFont="1" applyBorder="1" applyAlignment="1">
      <alignment horizontal="center" vertical="top" wrapText="1"/>
    </xf>
    <xf numFmtId="1" fontId="43" fillId="0" borderId="24" xfId="0" applyNumberFormat="1" applyFont="1" applyBorder="1" applyAlignment="1">
      <alignment horizontal="center" vertical="center" shrinkToFit="1"/>
    </xf>
    <xf numFmtId="1" fontId="0" fillId="0" borderId="0" xfId="0" applyNumberFormat="1"/>
    <xf numFmtId="0" fontId="8" fillId="0" borderId="9" xfId="0" applyFont="1" applyBorder="1" applyAlignment="1">
      <alignment vertical="top"/>
    </xf>
    <xf numFmtId="0" fontId="8" fillId="0" borderId="24" xfId="0" applyFont="1" applyBorder="1" applyAlignment="1">
      <alignment horizontal="center" vertical="top"/>
    </xf>
    <xf numFmtId="0" fontId="8" fillId="0" borderId="24" xfId="0" applyFont="1" applyBorder="1" applyAlignment="1">
      <alignment vertical="top"/>
    </xf>
    <xf numFmtId="164" fontId="8" fillId="0" borderId="25" xfId="0" applyNumberFormat="1" applyFont="1" applyBorder="1" applyAlignment="1">
      <alignment vertical="top"/>
    </xf>
    <xf numFmtId="164" fontId="38" fillId="4" borderId="26" xfId="0" applyNumberFormat="1" applyFont="1" applyFill="1" applyBorder="1" applyAlignment="1">
      <alignment horizontal="right" vertical="top"/>
    </xf>
    <xf numFmtId="0" fontId="8" fillId="0" borderId="0" xfId="0" applyFont="1" applyAlignment="1">
      <alignment horizontal="right"/>
    </xf>
    <xf numFmtId="0" fontId="8" fillId="0" borderId="4" xfId="0" applyFont="1" applyBorder="1" applyAlignment="1">
      <alignment horizontal="left" vertical="top" wrapText="1"/>
    </xf>
    <xf numFmtId="0" fontId="8" fillId="0" borderId="24" xfId="0" applyFont="1" applyBorder="1" applyAlignment="1">
      <alignment horizontal="center" vertical="center"/>
    </xf>
    <xf numFmtId="164" fontId="8" fillId="0" borderId="25" xfId="0" applyNumberFormat="1" applyFont="1" applyBorder="1"/>
    <xf numFmtId="164" fontId="8" fillId="0" borderId="28" xfId="0" applyNumberFormat="1" applyFont="1" applyBorder="1"/>
    <xf numFmtId="0" fontId="8" fillId="0" borderId="14" xfId="0" applyFont="1" applyBorder="1" applyAlignment="1">
      <alignment horizontal="center"/>
    </xf>
    <xf numFmtId="164" fontId="8" fillId="0" borderId="26" xfId="0" applyNumberFormat="1" applyFont="1" applyBorder="1"/>
    <xf numFmtId="0" fontId="8" fillId="0" borderId="30" xfId="0" applyFont="1" applyBorder="1"/>
    <xf numFmtId="164" fontId="8" fillId="0" borderId="31" xfId="0" applyNumberFormat="1" applyFont="1" applyBorder="1"/>
    <xf numFmtId="164" fontId="8" fillId="0" borderId="0" xfId="0" applyNumberFormat="1" applyFont="1"/>
    <xf numFmtId="0" fontId="41" fillId="0" borderId="24" xfId="0" applyFont="1" applyBorder="1" applyAlignment="1">
      <alignment horizontal="left" vertical="top"/>
    </xf>
    <xf numFmtId="0" fontId="10" fillId="0" borderId="77" xfId="0" applyFont="1" applyBorder="1"/>
    <xf numFmtId="0" fontId="10" fillId="0" borderId="65" xfId="0" applyFont="1" applyBorder="1"/>
    <xf numFmtId="0" fontId="10" fillId="0" borderId="6" xfId="0" applyFont="1" applyBorder="1" applyAlignment="1">
      <alignment horizontal="center"/>
    </xf>
    <xf numFmtId="0" fontId="10" fillId="0" borderId="32" xfId="0" applyFont="1" applyBorder="1" applyAlignment="1">
      <alignment horizontal="center" vertical="top"/>
    </xf>
    <xf numFmtId="41" fontId="21" fillId="0" borderId="28" xfId="0" applyNumberFormat="1" applyFont="1" applyBorder="1" applyAlignment="1">
      <alignment vertical="center" wrapText="1"/>
    </xf>
    <xf numFmtId="0" fontId="29" fillId="0" borderId="0" xfId="6" applyFont="1" applyAlignment="1">
      <alignment horizontal="center"/>
    </xf>
    <xf numFmtId="0" fontId="47" fillId="0" borderId="27" xfId="0" applyFont="1" applyBorder="1" applyAlignment="1">
      <alignment vertical="center" wrapText="1"/>
    </xf>
    <xf numFmtId="0" fontId="47" fillId="0" borderId="28" xfId="0" applyFont="1" applyBorder="1" applyAlignment="1">
      <alignment vertical="center" wrapText="1"/>
    </xf>
    <xf numFmtId="41" fontId="31" fillId="0" borderId="43" xfId="1" applyFont="1" applyFill="1" applyBorder="1" applyAlignment="1">
      <alignment horizontal="left" vertical="center" wrapText="1" indent="1"/>
    </xf>
    <xf numFmtId="3" fontId="2" fillId="0" borderId="0" xfId="0" applyNumberFormat="1" applyFont="1"/>
    <xf numFmtId="41" fontId="0" fillId="0" borderId="0" xfId="1" applyFont="1" applyAlignment="1"/>
    <xf numFmtId="0" fontId="38" fillId="0" borderId="9" xfId="0" applyFont="1" applyBorder="1" applyAlignment="1">
      <alignment horizontal="left" vertical="center"/>
    </xf>
    <xf numFmtId="0" fontId="38" fillId="0" borderId="24" xfId="0" applyFont="1" applyBorder="1" applyAlignment="1">
      <alignment vertical="top"/>
    </xf>
    <xf numFmtId="164" fontId="38" fillId="0" borderId="25" xfId="0" applyNumberFormat="1" applyFont="1" applyBorder="1" applyAlignment="1">
      <alignment vertical="top"/>
    </xf>
    <xf numFmtId="0" fontId="8" fillId="0" borderId="10" xfId="0" applyFont="1" applyBorder="1" applyAlignment="1">
      <alignment vertical="center" wrapText="1"/>
    </xf>
    <xf numFmtId="0" fontId="8" fillId="0" borderId="12" xfId="0" applyFont="1" applyBorder="1" applyAlignment="1">
      <alignment vertical="center"/>
    </xf>
    <xf numFmtId="0" fontId="8" fillId="0" borderId="24" xfId="0" applyFont="1" applyBorder="1" applyAlignment="1">
      <alignment horizontal="left" vertical="center"/>
    </xf>
    <xf numFmtId="41" fontId="8" fillId="0" borderId="24" xfId="1" applyFont="1" applyBorder="1" applyAlignment="1">
      <alignment vertical="center"/>
    </xf>
    <xf numFmtId="164" fontId="8" fillId="0" borderId="25" xfId="0" applyNumberFormat="1" applyFont="1" applyBorder="1" applyAlignment="1">
      <alignment horizontal="left" vertical="center"/>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8" fillId="0" borderId="24" xfId="0" applyFont="1" applyBorder="1" applyAlignment="1">
      <alignment horizontal="left" vertical="center" wrapText="1"/>
    </xf>
    <xf numFmtId="0" fontId="8" fillId="0" borderId="9" xfId="0" applyFont="1" applyBorder="1" applyAlignment="1">
      <alignment horizontal="left" vertical="center"/>
    </xf>
    <xf numFmtId="164" fontId="38" fillId="0" borderId="26" xfId="0" applyNumberFormat="1" applyFont="1" applyBorder="1" applyAlignment="1">
      <alignment horizontal="right" vertical="top"/>
    </xf>
    <xf numFmtId="0" fontId="8" fillId="0" borderId="27" xfId="0" applyFont="1" applyBorder="1"/>
    <xf numFmtId="0" fontId="8" fillId="0" borderId="29" xfId="0" applyFont="1" applyBorder="1"/>
    <xf numFmtId="0" fontId="11" fillId="0" borderId="80" xfId="0" applyFont="1" applyBorder="1" applyAlignment="1">
      <alignment vertical="center" wrapText="1"/>
    </xf>
    <xf numFmtId="0" fontId="11" fillId="0" borderId="54" xfId="0" applyFont="1" applyBorder="1" applyAlignment="1">
      <alignment vertical="center" wrapText="1"/>
    </xf>
    <xf numFmtId="0" fontId="9" fillId="0" borderId="54" xfId="0" applyFont="1" applyBorder="1" applyAlignment="1">
      <alignment horizontal="left" vertical="center" wrapText="1" indent="1"/>
    </xf>
    <xf numFmtId="41" fontId="9" fillId="0" borderId="81" xfId="1" applyFont="1" applyBorder="1" applyAlignment="1">
      <alignment horizontal="left" vertical="center" wrapText="1" indent="1"/>
    </xf>
    <xf numFmtId="0" fontId="9" fillId="0" borderId="54" xfId="0" applyFont="1" applyBorder="1" applyAlignment="1">
      <alignment vertical="center" wrapText="1"/>
    </xf>
    <xf numFmtId="41" fontId="9" fillId="0" borderId="81" xfId="0" applyNumberFormat="1" applyFont="1" applyBorder="1" applyAlignment="1">
      <alignment vertical="center" wrapText="1"/>
    </xf>
    <xf numFmtId="0" fontId="11" fillId="0" borderId="54" xfId="0" applyFont="1" applyBorder="1" applyAlignment="1">
      <alignment horizontal="left" vertical="center"/>
    </xf>
    <xf numFmtId="0" fontId="9" fillId="0" borderId="0" xfId="0" applyFont="1" applyAlignment="1">
      <alignment horizontal="left" vertical="center"/>
    </xf>
    <xf numFmtId="0" fontId="9" fillId="0" borderId="54" xfId="0" applyFont="1" applyBorder="1" applyAlignment="1">
      <alignment horizontal="left" vertical="center"/>
    </xf>
    <xf numFmtId="41" fontId="9" fillId="0" borderId="54" xfId="1" applyFont="1" applyBorder="1" applyAlignment="1">
      <alignment vertical="center"/>
    </xf>
    <xf numFmtId="0" fontId="9" fillId="0" borderId="81" xfId="0" applyFont="1" applyBorder="1"/>
    <xf numFmtId="164" fontId="11" fillId="0" borderId="81" xfId="0" applyNumberFormat="1" applyFont="1" applyBorder="1" applyAlignment="1">
      <alignment horizontal="left" vertical="center"/>
    </xf>
    <xf numFmtId="164" fontId="9" fillId="0" borderId="81" xfId="0" applyNumberFormat="1" applyFont="1" applyBorder="1" applyAlignment="1">
      <alignment horizontal="left" vertical="center"/>
    </xf>
    <xf numFmtId="41" fontId="9" fillId="0" borderId="81" xfId="1" applyFont="1" applyBorder="1" applyAlignment="1">
      <alignment vertical="center"/>
    </xf>
    <xf numFmtId="0" fontId="9" fillId="0" borderId="81" xfId="0" applyFont="1" applyBorder="1" applyAlignment="1">
      <alignment horizontal="left" vertical="center"/>
    </xf>
    <xf numFmtId="164" fontId="9" fillId="0" borderId="54" xfId="0" applyNumberFormat="1" applyFont="1" applyBorder="1" applyAlignment="1">
      <alignment horizontal="left" vertical="center"/>
    </xf>
    <xf numFmtId="0" fontId="31" fillId="0" borderId="53" xfId="3" applyFont="1" applyBorder="1" applyAlignment="1">
      <alignment horizontal="left" vertical="center" wrapText="1" indent="2"/>
    </xf>
    <xf numFmtId="0" fontId="31" fillId="0" borderId="27" xfId="3" applyFont="1" applyBorder="1" applyAlignment="1">
      <alignment vertical="center" wrapText="1"/>
    </xf>
    <xf numFmtId="0" fontId="31" fillId="0" borderId="28" xfId="3" applyFont="1" applyBorder="1" applyAlignment="1">
      <alignment vertical="center" wrapText="1"/>
    </xf>
    <xf numFmtId="0" fontId="31" fillId="0" borderId="53" xfId="3" applyFont="1" applyBorder="1" applyAlignment="1">
      <alignment horizontal="left" vertical="center" wrapText="1"/>
    </xf>
    <xf numFmtId="0" fontId="17" fillId="0" borderId="54" xfId="3" applyFont="1" applyBorder="1"/>
    <xf numFmtId="0" fontId="31" fillId="0" borderId="28" xfId="3" applyFont="1" applyBorder="1" applyAlignment="1">
      <alignment horizontal="left" vertical="center" wrapText="1" indent="2"/>
    </xf>
    <xf numFmtId="41" fontId="31" fillId="0" borderId="43" xfId="5" applyNumberFormat="1" applyFont="1" applyBorder="1" applyAlignment="1">
      <alignment vertical="center" wrapText="1"/>
    </xf>
    <xf numFmtId="41" fontId="11" fillId="3" borderId="52" xfId="3" applyNumberFormat="1" applyFont="1" applyFill="1" applyBorder="1" applyAlignment="1">
      <alignment vertical="center" wrapText="1"/>
    </xf>
    <xf numFmtId="0" fontId="33" fillId="0" borderId="27" xfId="0" applyFont="1" applyBorder="1" applyAlignment="1">
      <alignment vertical="center" wrapText="1"/>
    </xf>
    <xf numFmtId="0" fontId="31" fillId="0" borderId="53" xfId="0" applyFont="1" applyBorder="1" applyAlignment="1">
      <alignment horizontal="left" vertical="center" wrapText="1" indent="2"/>
    </xf>
    <xf numFmtId="0" fontId="31" fillId="0" borderId="54" xfId="0" applyFont="1" applyBorder="1" applyAlignment="1">
      <alignment horizontal="left" vertical="center" wrapText="1" indent="2"/>
    </xf>
    <xf numFmtId="0" fontId="31" fillId="0" borderId="28" xfId="0" applyFont="1" applyBorder="1" applyAlignment="1">
      <alignment horizontal="left" vertical="center" wrapText="1" indent="1"/>
    </xf>
    <xf numFmtId="41" fontId="33" fillId="0" borderId="43" xfId="1" applyFont="1" applyBorder="1" applyAlignment="1">
      <alignment vertical="center" wrapText="1"/>
    </xf>
    <xf numFmtId="41" fontId="31" fillId="0" borderId="0" xfId="0" applyNumberFormat="1" applyFont="1"/>
    <xf numFmtId="41" fontId="28" fillId="0" borderId="43" xfId="1" applyFont="1" applyFill="1" applyBorder="1" applyAlignment="1">
      <alignment vertical="center" wrapText="1"/>
    </xf>
    <xf numFmtId="0" fontId="0" fillId="0" borderId="0" xfId="0"/>
    <xf numFmtId="0" fontId="9" fillId="0" borderId="53" xfId="0" applyFont="1" applyBorder="1" applyAlignment="1">
      <alignment horizontal="left" vertical="center" wrapText="1"/>
    </xf>
    <xf numFmtId="0" fontId="9" fillId="0" borderId="54" xfId="0" applyFont="1" applyBorder="1" applyAlignment="1">
      <alignment horizontal="left" vertical="center" wrapText="1"/>
    </xf>
    <xf numFmtId="0" fontId="11" fillId="0" borderId="53" xfId="0" applyFont="1" applyBorder="1" applyAlignment="1">
      <alignment horizontal="left" vertical="center" wrapText="1"/>
    </xf>
    <xf numFmtId="0" fontId="11" fillId="0" borderId="54" xfId="0" applyFont="1" applyBorder="1" applyAlignment="1">
      <alignment horizontal="left" vertical="center" wrapText="1"/>
    </xf>
    <xf numFmtId="0" fontId="18" fillId="0" borderId="53" xfId="0" applyFont="1" applyBorder="1" applyAlignment="1">
      <alignment horizontal="left" vertical="center" wrapText="1"/>
    </xf>
    <xf numFmtId="0" fontId="18" fillId="0" borderId="54" xfId="0" applyFont="1" applyBorder="1" applyAlignment="1">
      <alignment horizontal="left" vertical="center" wrapText="1"/>
    </xf>
    <xf numFmtId="0" fontId="9" fillId="0" borderId="53" xfId="0" applyFont="1" applyBorder="1" applyAlignment="1">
      <alignment horizontal="left" vertical="top" wrapText="1"/>
    </xf>
    <xf numFmtId="0" fontId="9" fillId="0" borderId="54" xfId="0" applyFont="1" applyBorder="1" applyAlignment="1">
      <alignment horizontal="left" vertical="top" wrapText="1"/>
    </xf>
    <xf numFmtId="0" fontId="11" fillId="0" borderId="46" xfId="0" applyFont="1" applyBorder="1" applyAlignment="1">
      <alignment horizontal="left" vertical="center" wrapText="1"/>
    </xf>
    <xf numFmtId="0" fontId="11" fillId="0" borderId="0" xfId="0" applyFont="1" applyAlignment="1">
      <alignment vertical="center" wrapText="1"/>
    </xf>
    <xf numFmtId="0" fontId="9" fillId="0" borderId="0" xfId="0" applyFont="1" applyAlignment="1">
      <alignment vertical="center" wrapText="1"/>
    </xf>
    <xf numFmtId="0" fontId="11" fillId="0" borderId="0" xfId="0" applyFont="1" applyAlignment="1">
      <alignment horizontal="left" vertical="center" wrapText="1"/>
    </xf>
    <xf numFmtId="0" fontId="9" fillId="0" borderId="54" xfId="3" applyFont="1" applyBorder="1" applyAlignment="1">
      <alignment horizontal="left" vertical="center" wrapText="1"/>
    </xf>
    <xf numFmtId="0" fontId="9" fillId="0" borderId="28" xfId="3" applyFont="1" applyBorder="1" applyAlignment="1">
      <alignment vertical="center" wrapText="1"/>
    </xf>
    <xf numFmtId="0" fontId="9" fillId="0" borderId="27" xfId="0" applyFont="1" applyBorder="1" applyAlignment="1">
      <alignment vertical="center" wrapText="1"/>
    </xf>
    <xf numFmtId="0" fontId="9" fillId="0" borderId="29" xfId="0" applyFont="1" applyBorder="1" applyAlignment="1">
      <alignment vertical="center" wrapText="1"/>
    </xf>
    <xf numFmtId="0" fontId="9" fillId="0" borderId="28" xfId="0" applyFont="1" applyBorder="1" applyAlignment="1">
      <alignment vertical="center" wrapText="1"/>
    </xf>
    <xf numFmtId="41" fontId="0" fillId="0" borderId="0" xfId="0" applyNumberFormat="1"/>
    <xf numFmtId="0" fontId="1" fillId="0" borderId="0" xfId="0" applyFont="1"/>
    <xf numFmtId="41" fontId="9" fillId="0" borderId="0" xfId="1" applyFont="1" applyFill="1"/>
    <xf numFmtId="0" fontId="10" fillId="0" borderId="9" xfId="0" applyFont="1" applyBorder="1" applyAlignment="1">
      <alignment vertical="center"/>
    </xf>
    <xf numFmtId="0" fontId="10" fillId="0" borderId="14" xfId="0" applyFont="1" applyBorder="1" applyAlignment="1">
      <alignment vertical="center"/>
    </xf>
    <xf numFmtId="0" fontId="15" fillId="0" borderId="32" xfId="0" applyFont="1" applyBorder="1" applyAlignment="1">
      <alignment vertical="center" wrapText="1"/>
    </xf>
    <xf numFmtId="0" fontId="23" fillId="0" borderId="62" xfId="0" applyFont="1" applyBorder="1" applyAlignment="1">
      <alignment vertical="center" wrapText="1"/>
    </xf>
    <xf numFmtId="0" fontId="23" fillId="0" borderId="0" xfId="0" applyFont="1" applyAlignment="1">
      <alignment vertical="center" wrapText="1"/>
    </xf>
    <xf numFmtId="0" fontId="23" fillId="0" borderId="28" xfId="0" applyFont="1" applyBorder="1" applyAlignment="1">
      <alignment vertical="center" wrapText="1"/>
    </xf>
    <xf numFmtId="0" fontId="24" fillId="0" borderId="62" xfId="0" applyFont="1" applyBorder="1" applyAlignment="1">
      <alignment vertical="center" wrapText="1"/>
    </xf>
    <xf numFmtId="0" fontId="24" fillId="0" borderId="0" xfId="0" applyFont="1" applyAlignment="1">
      <alignment vertical="center" wrapText="1"/>
    </xf>
    <xf numFmtId="0" fontId="24" fillId="0" borderId="28" xfId="0" applyFont="1" applyBorder="1" applyAlignment="1">
      <alignment vertical="center" wrapText="1"/>
    </xf>
    <xf numFmtId="0" fontId="15" fillId="0" borderId="73" xfId="0" applyFont="1" applyBorder="1" applyAlignment="1">
      <alignment horizontal="center" vertical="center" wrapText="1"/>
    </xf>
    <xf numFmtId="0" fontId="15" fillId="0" borderId="74" xfId="0" applyFont="1" applyBorder="1" applyAlignment="1">
      <alignment horizontal="center" vertical="center" wrapText="1"/>
    </xf>
    <xf numFmtId="0" fontId="15" fillId="0" borderId="75" xfId="0" applyFont="1" applyBorder="1" applyAlignment="1">
      <alignment horizontal="center" vertical="center" wrapText="1"/>
    </xf>
    <xf numFmtId="0" fontId="8" fillId="0" borderId="15" xfId="0" applyFont="1" applyBorder="1" applyAlignment="1">
      <alignment horizontal="left" vertical="center" wrapText="1"/>
    </xf>
    <xf numFmtId="0" fontId="39" fillId="0" borderId="7" xfId="0" applyFont="1" applyBorder="1" applyAlignment="1">
      <alignment vertical="center"/>
    </xf>
    <xf numFmtId="0" fontId="39" fillId="0" borderId="16" xfId="0" applyFont="1" applyBorder="1" applyAlignment="1">
      <alignment vertical="center"/>
    </xf>
    <xf numFmtId="9" fontId="8" fillId="0" borderId="15" xfId="0" applyNumberFormat="1" applyFont="1" applyBorder="1" applyAlignment="1">
      <alignment horizontal="right" vertical="center" wrapText="1"/>
    </xf>
    <xf numFmtId="0" fontId="39" fillId="0" borderId="8" xfId="0" applyFont="1" applyBorder="1" applyAlignment="1">
      <alignment vertical="center"/>
    </xf>
    <xf numFmtId="0" fontId="10" fillId="0" borderId="68" xfId="0" applyFont="1" applyBorder="1"/>
    <xf numFmtId="0" fontId="17" fillId="0" borderId="76" xfId="0" applyFont="1" applyBorder="1"/>
    <xf numFmtId="0" fontId="10" fillId="0" borderId="0" xfId="0" applyFont="1"/>
    <xf numFmtId="0" fontId="17" fillId="0" borderId="28" xfId="0" applyFont="1" applyBorder="1"/>
    <xf numFmtId="0" fontId="15" fillId="0" borderId="60"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44" xfId="0" applyFont="1" applyBorder="1" applyAlignment="1">
      <alignment horizontal="center" vertical="center" wrapText="1"/>
    </xf>
    <xf numFmtId="0" fontId="14" fillId="0" borderId="62" xfId="0" applyFont="1" applyBorder="1" applyAlignment="1">
      <alignment horizontal="center" vertical="center" wrapText="1"/>
    </xf>
    <xf numFmtId="0" fontId="14" fillId="0" borderId="0" xfId="0" applyFont="1" applyAlignment="1">
      <alignment horizontal="center" vertical="center" wrapText="1"/>
    </xf>
    <xf numFmtId="0" fontId="14" fillId="0" borderId="28" xfId="0" applyFont="1" applyBorder="1" applyAlignment="1">
      <alignment horizontal="center" vertical="center" wrapText="1"/>
    </xf>
    <xf numFmtId="0" fontId="32" fillId="0" borderId="17" xfId="0" applyFont="1" applyBorder="1" applyAlignment="1">
      <alignment horizontal="center" vertical="center"/>
    </xf>
    <xf numFmtId="0" fontId="17" fillId="0" borderId="21" xfId="0" applyFont="1" applyBorder="1"/>
    <xf numFmtId="0" fontId="32" fillId="0" borderId="18" xfId="0" applyFont="1" applyBorder="1" applyAlignment="1">
      <alignment horizontal="center" vertical="center"/>
    </xf>
    <xf numFmtId="0" fontId="17" fillId="0" borderId="34" xfId="0" applyFont="1" applyBorder="1"/>
    <xf numFmtId="0" fontId="32" fillId="0" borderId="4" xfId="0" applyFont="1" applyBorder="1" applyAlignment="1">
      <alignment horizontal="center" vertical="center"/>
    </xf>
    <xf numFmtId="0" fontId="17" fillId="0" borderId="2" xfId="0" applyFont="1" applyBorder="1"/>
    <xf numFmtId="0" fontId="17" fillId="0" borderId="3" xfId="0" applyFont="1" applyBorder="1"/>
    <xf numFmtId="0" fontId="32" fillId="0" borderId="6" xfId="0" applyFont="1" applyBorder="1" applyAlignment="1">
      <alignment horizontal="right" vertical="top"/>
    </xf>
    <xf numFmtId="0" fontId="17" fillId="0" borderId="7" xfId="0" applyFont="1" applyBorder="1"/>
    <xf numFmtId="0" fontId="17" fillId="0" borderId="16" xfId="0" applyFont="1" applyBorder="1"/>
    <xf numFmtId="0" fontId="10" fillId="0" borderId="10" xfId="0" applyFont="1" applyBorder="1" applyAlignment="1">
      <alignment horizontal="left" vertical="center" wrapText="1"/>
    </xf>
    <xf numFmtId="0" fontId="17" fillId="0" borderId="11" xfId="0" applyFont="1" applyBorder="1" applyAlignment="1">
      <alignment vertical="center" wrapText="1"/>
    </xf>
    <xf numFmtId="0" fontId="17" fillId="0" borderId="12" xfId="0" applyFont="1" applyBorder="1" applyAlignment="1">
      <alignment vertical="center" wrapText="1"/>
    </xf>
    <xf numFmtId="9" fontId="10" fillId="0" borderId="10" xfId="0" applyNumberFormat="1" applyFont="1" applyBorder="1" applyAlignment="1">
      <alignment horizontal="right" vertical="center"/>
    </xf>
    <xf numFmtId="0" fontId="17" fillId="0" borderId="13" xfId="0" applyFont="1" applyBorder="1" applyAlignment="1">
      <alignment horizontal="right" vertical="center"/>
    </xf>
    <xf numFmtId="0" fontId="10" fillId="0" borderId="10" xfId="0" applyFont="1" applyBorder="1" applyAlignment="1">
      <alignment horizontal="left"/>
    </xf>
    <xf numFmtId="0" fontId="17" fillId="0" borderId="11" xfId="0" applyFont="1" applyBorder="1"/>
    <xf numFmtId="0" fontId="17" fillId="0" borderId="12" xfId="0" applyFont="1" applyBorder="1"/>
    <xf numFmtId="164" fontId="10" fillId="0" borderId="10" xfId="0" applyNumberFormat="1" applyFont="1" applyBorder="1" applyAlignment="1">
      <alignment horizontal="left"/>
    </xf>
    <xf numFmtId="0" fontId="17" fillId="0" borderId="13" xfId="0" applyFont="1" applyBorder="1"/>
    <xf numFmtId="0" fontId="10" fillId="0" borderId="10" xfId="0" applyFont="1" applyBorder="1" applyAlignment="1">
      <alignment horizontal="right"/>
    </xf>
    <xf numFmtId="0" fontId="32" fillId="0" borderId="1" xfId="0" applyFont="1" applyBorder="1" applyAlignment="1">
      <alignment horizontal="center"/>
    </xf>
    <xf numFmtId="0" fontId="17" fillId="0" borderId="5" xfId="0" applyFont="1" applyBorder="1"/>
    <xf numFmtId="0" fontId="32" fillId="0" borderId="10" xfId="0" applyFont="1" applyBorder="1" applyAlignment="1">
      <alignment horizontal="center"/>
    </xf>
    <xf numFmtId="0" fontId="32" fillId="0" borderId="0" xfId="0" applyFont="1" applyAlignment="1">
      <alignment wrapText="1"/>
    </xf>
    <xf numFmtId="0" fontId="10" fillId="0" borderId="0" xfId="0" applyFont="1" applyAlignment="1">
      <alignment wrapText="1"/>
    </xf>
    <xf numFmtId="0" fontId="32" fillId="0" borderId="1" xfId="0" applyFont="1" applyBorder="1" applyAlignment="1">
      <alignment horizontal="center" vertical="center" wrapText="1"/>
    </xf>
    <xf numFmtId="0" fontId="32" fillId="0" borderId="4" xfId="0" applyFont="1" applyBorder="1" applyAlignment="1">
      <alignment horizontal="center" vertical="center" wrapText="1"/>
    </xf>
    <xf numFmtId="0" fontId="32" fillId="0" borderId="6" xfId="0" applyFont="1" applyBorder="1" applyAlignment="1">
      <alignment horizontal="center" vertical="center"/>
    </xf>
    <xf numFmtId="0" fontId="17" fillId="0" borderId="7" xfId="0" applyFont="1" applyBorder="1" applyAlignment="1">
      <alignment vertical="center"/>
    </xf>
    <xf numFmtId="0" fontId="17" fillId="0" borderId="8" xfId="0" applyFont="1" applyBorder="1" applyAlignment="1">
      <alignment vertical="center"/>
    </xf>
    <xf numFmtId="0" fontId="15" fillId="0" borderId="64"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31" xfId="0" applyFont="1" applyBorder="1" applyAlignment="1">
      <alignment horizontal="center" vertical="center" wrapText="1"/>
    </xf>
    <xf numFmtId="0" fontId="32" fillId="0" borderId="32" xfId="0" applyFont="1" applyBorder="1" applyAlignment="1">
      <alignment horizontal="center" vertical="center" wrapText="1"/>
    </xf>
    <xf numFmtId="0" fontId="17" fillId="0" borderId="32" xfId="0" applyFont="1" applyBorder="1"/>
    <xf numFmtId="0" fontId="11" fillId="0" borderId="27" xfId="0" applyFont="1" applyBorder="1" applyAlignment="1">
      <alignment horizontal="left" vertical="center" wrapText="1"/>
    </xf>
    <xf numFmtId="0" fontId="11" fillId="0" borderId="54"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21" fillId="0" borderId="38" xfId="0" applyFont="1" applyBorder="1" applyAlignment="1">
      <alignment horizontal="right" vertical="center" wrapText="1"/>
    </xf>
    <xf numFmtId="0" fontId="21" fillId="0" borderId="39" xfId="0" applyFont="1" applyBorder="1" applyAlignment="1">
      <alignment horizontal="right" vertical="center" wrapText="1"/>
    </xf>
    <xf numFmtId="0" fontId="21" fillId="0" borderId="40" xfId="0" applyFont="1" applyBorder="1" applyAlignment="1">
      <alignment horizontal="right" vertical="center" wrapText="1"/>
    </xf>
    <xf numFmtId="0" fontId="22" fillId="0" borderId="41" xfId="0" applyFont="1" applyBorder="1" applyAlignment="1">
      <alignment vertical="center" wrapText="1"/>
    </xf>
    <xf numFmtId="0" fontId="22" fillId="0" borderId="59" xfId="0" applyFont="1" applyBorder="1" applyAlignment="1">
      <alignment vertical="center" wrapText="1"/>
    </xf>
    <xf numFmtId="0" fontId="22" fillId="0" borderId="42" xfId="0" applyFont="1" applyBorder="1" applyAlignment="1">
      <alignment vertical="center" wrapText="1"/>
    </xf>
    <xf numFmtId="0" fontId="22" fillId="0" borderId="27" xfId="0" applyFont="1" applyBorder="1" applyAlignment="1">
      <alignment vertical="center" wrapText="1"/>
    </xf>
    <xf numFmtId="0" fontId="22" fillId="0" borderId="0" xfId="0" applyFont="1" applyAlignment="1">
      <alignment vertical="center" wrapText="1"/>
    </xf>
    <xf numFmtId="0" fontId="22" fillId="0" borderId="61" xfId="0" applyFont="1" applyBorder="1" applyAlignment="1">
      <alignment vertical="center" wrapText="1"/>
    </xf>
    <xf numFmtId="0" fontId="22" fillId="0" borderId="29" xfId="0" applyFont="1" applyBorder="1" applyAlignment="1">
      <alignment vertical="center" wrapText="1"/>
    </xf>
    <xf numFmtId="0" fontId="22" fillId="0" borderId="30" xfId="0" applyFont="1" applyBorder="1" applyAlignment="1">
      <alignment vertical="center" wrapText="1"/>
    </xf>
    <xf numFmtId="0" fontId="22" fillId="0" borderId="63" xfId="0" applyFont="1" applyBorder="1" applyAlignment="1">
      <alignment vertical="center" wrapText="1"/>
    </xf>
    <xf numFmtId="0" fontId="9" fillId="0" borderId="54" xfId="0" applyFont="1" applyBorder="1" applyAlignment="1">
      <alignment horizontal="left" vertical="center" wrapText="1"/>
    </xf>
    <xf numFmtId="0" fontId="32" fillId="0" borderId="70" xfId="0" applyFont="1" applyBorder="1" applyAlignment="1">
      <alignment horizontal="center" vertical="center"/>
    </xf>
    <xf numFmtId="0" fontId="32" fillId="0" borderId="71" xfId="0" applyFont="1" applyBorder="1" applyAlignment="1">
      <alignment horizontal="center" vertical="center"/>
    </xf>
    <xf numFmtId="0" fontId="32" fillId="0" borderId="72" xfId="0" applyFont="1" applyBorder="1" applyAlignment="1">
      <alignment horizontal="center" vertical="center"/>
    </xf>
    <xf numFmtId="0" fontId="47" fillId="0" borderId="27" xfId="0" applyFont="1" applyBorder="1" applyAlignment="1">
      <alignment vertical="center" wrapText="1"/>
    </xf>
    <xf numFmtId="0" fontId="47" fillId="0" borderId="28" xfId="0" applyFont="1" applyBorder="1" applyAlignment="1">
      <alignment vertical="center" wrapText="1"/>
    </xf>
    <xf numFmtId="0" fontId="9" fillId="0" borderId="0" xfId="0" applyFont="1" applyAlignment="1">
      <alignment horizontal="left" vertical="center" wrapText="1"/>
    </xf>
    <xf numFmtId="0" fontId="9" fillId="0" borderId="54" xfId="0" applyFont="1" applyBorder="1" applyAlignment="1">
      <alignment horizontal="left" vertical="center"/>
    </xf>
    <xf numFmtId="0" fontId="9" fillId="0" borderId="0" xfId="0" applyFont="1" applyAlignment="1">
      <alignment vertical="center" wrapText="1"/>
    </xf>
    <xf numFmtId="0" fontId="9" fillId="0" borderId="54" xfId="0" applyFont="1" applyBorder="1" applyAlignment="1">
      <alignment vertical="center"/>
    </xf>
    <xf numFmtId="0" fontId="11" fillId="0" borderId="28" xfId="0" applyFont="1" applyBorder="1" applyAlignment="1">
      <alignment horizontal="left" vertical="center" wrapText="1"/>
    </xf>
    <xf numFmtId="0" fontId="11" fillId="0" borderId="0" xfId="0" applyFont="1" applyAlignment="1">
      <alignment horizontal="left" vertical="center" wrapText="1"/>
    </xf>
    <xf numFmtId="0" fontId="20" fillId="0" borderId="0" xfId="0" applyFont="1" applyAlignment="1">
      <alignment horizontal="left" vertical="center" wrapText="1"/>
    </xf>
    <xf numFmtId="0" fontId="20" fillId="0" borderId="54" xfId="0" applyFont="1" applyBorder="1" applyAlignment="1">
      <alignment horizontal="left" vertical="center" wrapText="1"/>
    </xf>
    <xf numFmtId="0" fontId="11" fillId="0" borderId="0" xfId="0" applyFont="1" applyAlignment="1">
      <alignment vertical="center" wrapText="1"/>
    </xf>
    <xf numFmtId="0" fontId="11" fillId="0" borderId="54" xfId="0" applyFont="1" applyBorder="1" applyAlignment="1">
      <alignment vertical="center" wrapText="1"/>
    </xf>
    <xf numFmtId="0" fontId="11" fillId="0" borderId="54" xfId="0" applyFont="1" applyBorder="1" applyAlignment="1">
      <alignment vertical="center"/>
    </xf>
    <xf numFmtId="0" fontId="11" fillId="0" borderId="46" xfId="0" applyFont="1" applyBorder="1" applyAlignment="1">
      <alignment horizontal="left" vertical="center" wrapText="1"/>
    </xf>
    <xf numFmtId="0" fontId="11" fillId="0" borderId="47" xfId="0" applyFont="1" applyBorder="1" applyAlignment="1">
      <alignment horizontal="left" vertical="center" wrapText="1"/>
    </xf>
    <xf numFmtId="0" fontId="15" fillId="0" borderId="32" xfId="0" applyFont="1" applyBorder="1" applyAlignment="1">
      <alignment vertical="center" wrapText="1"/>
    </xf>
    <xf numFmtId="9" fontId="15" fillId="0" borderId="32" xfId="0" applyNumberFormat="1" applyFont="1" applyBorder="1" applyAlignment="1">
      <alignment horizontal="right" vertical="center" wrapText="1"/>
    </xf>
    <xf numFmtId="0" fontId="15" fillId="0" borderId="32" xfId="0" applyFont="1" applyBorder="1" applyAlignment="1">
      <alignment horizontal="right" vertical="center" wrapText="1"/>
    </xf>
    <xf numFmtId="0" fontId="14" fillId="0" borderId="32" xfId="0" applyFont="1" applyBorder="1" applyAlignment="1">
      <alignment horizontal="center" vertical="center" wrapText="1"/>
    </xf>
    <xf numFmtId="0" fontId="9" fillId="0" borderId="27" xfId="0" applyFont="1" applyBorder="1" applyAlignment="1">
      <alignment vertical="center" wrapText="1"/>
    </xf>
    <xf numFmtId="0" fontId="9" fillId="0" borderId="28" xfId="0" applyFont="1" applyBorder="1" applyAlignment="1">
      <alignment vertical="center" wrapText="1"/>
    </xf>
    <xf numFmtId="0" fontId="15" fillId="0" borderId="29" xfId="0" applyFont="1" applyBorder="1" applyAlignment="1">
      <alignment horizontal="left" vertical="center" wrapText="1" indent="8"/>
    </xf>
    <xf numFmtId="0" fontId="15" fillId="0" borderId="30" xfId="0" applyFont="1" applyBorder="1" applyAlignment="1">
      <alignment horizontal="left" vertical="center" wrapText="1" indent="8"/>
    </xf>
    <xf numFmtId="0" fontId="15" fillId="0" borderId="31" xfId="0" applyFont="1" applyBorder="1" applyAlignment="1">
      <alignment horizontal="left" vertical="center" wrapText="1" indent="8"/>
    </xf>
    <xf numFmtId="0" fontId="15" fillId="0" borderId="29" xfId="0" applyFont="1" applyBorder="1" applyAlignment="1">
      <alignment horizontal="center" vertical="center" wrapText="1"/>
    </xf>
    <xf numFmtId="0" fontId="15" fillId="0" borderId="48" xfId="0" applyFont="1" applyBorder="1" applyAlignment="1">
      <alignment horizontal="left" vertical="center" wrapText="1" indent="2"/>
    </xf>
    <xf numFmtId="0" fontId="15" fillId="0" borderId="49" xfId="0" applyFont="1" applyBorder="1" applyAlignment="1">
      <alignment horizontal="left" vertical="center" wrapText="1" indent="2"/>
    </xf>
    <xf numFmtId="0" fontId="15" fillId="0" borderId="48" xfId="0" applyFont="1" applyBorder="1" applyAlignment="1">
      <alignment vertical="center" wrapText="1"/>
    </xf>
    <xf numFmtId="0" fontId="15" fillId="0" borderId="49" xfId="0" applyFont="1" applyBorder="1" applyAlignment="1">
      <alignment vertical="center" wrapText="1"/>
    </xf>
    <xf numFmtId="41" fontId="25" fillId="0" borderId="32" xfId="0" applyNumberFormat="1" applyFont="1" applyBorder="1" applyAlignment="1">
      <alignment vertical="center" wrapText="1"/>
    </xf>
    <xf numFmtId="0" fontId="25" fillId="0" borderId="32" xfId="0" applyFont="1" applyBorder="1" applyAlignment="1">
      <alignment vertical="center" wrapText="1"/>
    </xf>
    <xf numFmtId="0" fontId="15" fillId="0" borderId="32" xfId="0" applyFont="1" applyBorder="1" applyAlignment="1">
      <alignment horizontal="left" vertical="center" wrapText="1" indent="4"/>
    </xf>
    <xf numFmtId="0" fontId="15" fillId="0" borderId="32" xfId="0" applyFont="1" applyBorder="1" applyAlignment="1">
      <alignment horizontal="center" vertical="center" wrapText="1"/>
    </xf>
    <xf numFmtId="0" fontId="15" fillId="0" borderId="32" xfId="0" applyFont="1" applyBorder="1" applyAlignment="1">
      <alignment horizontal="left" vertical="center" wrapText="1" indent="2"/>
    </xf>
    <xf numFmtId="0" fontId="15" fillId="0" borderId="32" xfId="0" applyFont="1" applyBorder="1" applyAlignment="1">
      <alignment horizontal="left" vertical="center" wrapText="1"/>
    </xf>
    <xf numFmtId="9" fontId="15" fillId="0" borderId="32" xfId="0" applyNumberFormat="1" applyFont="1" applyBorder="1" applyAlignment="1">
      <alignment vertical="center" wrapText="1"/>
    </xf>
    <xf numFmtId="164" fontId="10" fillId="0" borderId="32" xfId="0" applyNumberFormat="1" applyFont="1" applyBorder="1" applyAlignment="1">
      <alignment horizontal="center"/>
    </xf>
    <xf numFmtId="0" fontId="10" fillId="0" borderId="70" xfId="0" applyFont="1" applyBorder="1" applyAlignment="1">
      <alignment horizontal="center" vertical="top"/>
    </xf>
    <xf numFmtId="0" fontId="10" fillId="0" borderId="71" xfId="0" applyFont="1" applyBorder="1" applyAlignment="1">
      <alignment horizontal="center" vertical="top"/>
    </xf>
    <xf numFmtId="0" fontId="10" fillId="0" borderId="72" xfId="0" applyFont="1" applyBorder="1" applyAlignment="1">
      <alignment horizontal="center" vertical="top"/>
    </xf>
    <xf numFmtId="0" fontId="21" fillId="0" borderId="46" xfId="0" applyFont="1" applyBorder="1" applyAlignment="1">
      <alignment horizontal="right" vertical="center" wrapText="1"/>
    </xf>
    <xf numFmtId="0" fontId="21" fillId="0" borderId="0" xfId="0" applyFont="1" applyAlignment="1">
      <alignment horizontal="right" vertical="center" wrapText="1"/>
    </xf>
    <xf numFmtId="0" fontId="21" fillId="0" borderId="78" xfId="0" applyFont="1" applyBorder="1" applyAlignment="1">
      <alignment horizontal="right" vertical="center" wrapText="1"/>
    </xf>
    <xf numFmtId="0" fontId="21" fillId="0" borderId="47" xfId="0" applyFont="1" applyBorder="1" applyAlignment="1">
      <alignment horizontal="right" vertical="center" wrapText="1"/>
    </xf>
    <xf numFmtId="0" fontId="15" fillId="0" borderId="79" xfId="0" applyFont="1" applyBorder="1" applyAlignment="1">
      <alignment horizontal="center" vertical="center" wrapText="1"/>
    </xf>
    <xf numFmtId="0" fontId="9" fillId="0" borderId="53" xfId="0" applyFont="1" applyBorder="1" applyAlignment="1">
      <alignment horizontal="left" vertical="center" wrapText="1"/>
    </xf>
    <xf numFmtId="0" fontId="11" fillId="0" borderId="53" xfId="0" applyFont="1" applyBorder="1" applyAlignment="1">
      <alignment horizontal="left" vertical="center" wrapText="1"/>
    </xf>
    <xf numFmtId="0" fontId="9" fillId="0" borderId="53" xfId="0" applyFont="1" applyBorder="1" applyAlignment="1">
      <alignment horizontal="left" vertical="top" wrapText="1"/>
    </xf>
    <xf numFmtId="0" fontId="9" fillId="0" borderId="54" xfId="0" applyFont="1" applyBorder="1" applyAlignment="1">
      <alignment horizontal="left" vertical="top" wrapText="1"/>
    </xf>
    <xf numFmtId="0" fontId="20" fillId="0" borderId="53" xfId="0" applyFont="1" applyBorder="1" applyAlignment="1">
      <alignment horizontal="left" vertical="center" wrapText="1"/>
    </xf>
    <xf numFmtId="0" fontId="18" fillId="0" borderId="53" xfId="0" applyFont="1" applyBorder="1" applyAlignment="1">
      <alignment horizontal="left" vertical="center" wrapText="1"/>
    </xf>
    <xf numFmtId="0" fontId="18" fillId="0" borderId="54" xfId="0" applyFont="1" applyBorder="1" applyAlignment="1">
      <alignment horizontal="left" vertical="center" wrapText="1"/>
    </xf>
    <xf numFmtId="0" fontId="11" fillId="0" borderId="27" xfId="2" applyFont="1" applyBorder="1" applyAlignment="1">
      <alignment horizontal="left" vertical="center" wrapText="1"/>
    </xf>
    <xf numFmtId="0" fontId="11" fillId="0" borderId="28" xfId="2" applyFont="1" applyBorder="1" applyAlignment="1">
      <alignment horizontal="left" vertical="center" wrapText="1"/>
    </xf>
    <xf numFmtId="0" fontId="9" fillId="0" borderId="27" xfId="2" applyFont="1" applyBorder="1" applyAlignment="1">
      <alignment horizontal="left" vertical="center" wrapText="1"/>
    </xf>
    <xf numFmtId="0" fontId="9" fillId="0" borderId="28" xfId="2" applyFont="1" applyBorder="1" applyAlignment="1">
      <alignment horizontal="left" vertical="center" wrapText="1"/>
    </xf>
    <xf numFmtId="0" fontId="9" fillId="0" borderId="27" xfId="3" applyFont="1" applyBorder="1" applyAlignment="1">
      <alignment horizontal="left" vertical="center" wrapText="1"/>
    </xf>
    <xf numFmtId="0" fontId="9" fillId="0" borderId="28" xfId="3" applyFont="1" applyBorder="1" applyAlignment="1">
      <alignment horizontal="left" vertical="center" wrapText="1"/>
    </xf>
    <xf numFmtId="0" fontId="11" fillId="0" borderId="50" xfId="0" applyFont="1" applyBorder="1" applyAlignment="1">
      <alignment horizontal="left" vertical="center" wrapText="1"/>
    </xf>
    <xf numFmtId="0" fontId="11" fillId="0" borderId="51" xfId="0" applyFont="1" applyBorder="1" applyAlignment="1">
      <alignment horizontal="left" vertical="center" wrapText="1"/>
    </xf>
    <xf numFmtId="0" fontId="15" fillId="0" borderId="27" xfId="0" applyFont="1" applyBorder="1" applyAlignment="1">
      <alignment horizontal="center" vertical="center" wrapText="1"/>
    </xf>
    <xf numFmtId="0" fontId="15" fillId="0" borderId="28" xfId="0" applyFont="1" applyBorder="1" applyAlignment="1">
      <alignment horizontal="center" vertical="center" wrapText="1"/>
    </xf>
    <xf numFmtId="0" fontId="15" fillId="0" borderId="46" xfId="0" applyFont="1" applyBorder="1" applyAlignment="1">
      <alignment horizontal="left" vertical="center" wrapText="1" indent="2"/>
    </xf>
    <xf numFmtId="0" fontId="15" fillId="0" borderId="47" xfId="0" applyFont="1" applyBorder="1" applyAlignment="1">
      <alignment horizontal="left" vertical="center" wrapText="1" indent="2"/>
    </xf>
    <xf numFmtId="0" fontId="21" fillId="0" borderId="38" xfId="3" applyFont="1" applyBorder="1" applyAlignment="1">
      <alignment horizontal="right" vertical="center" wrapText="1"/>
    </xf>
    <xf numFmtId="0" fontId="21" fillId="0" borderId="39" xfId="3" applyFont="1" applyBorder="1" applyAlignment="1">
      <alignment horizontal="right" vertical="center" wrapText="1"/>
    </xf>
    <xf numFmtId="0" fontId="21" fillId="0" borderId="40" xfId="3" applyFont="1" applyBorder="1" applyAlignment="1">
      <alignment horizontal="right" vertical="center" wrapText="1"/>
    </xf>
    <xf numFmtId="0" fontId="22" fillId="0" borderId="41" xfId="3" applyFont="1" applyBorder="1" applyAlignment="1">
      <alignment vertical="center" wrapText="1"/>
    </xf>
    <xf numFmtId="0" fontId="22" fillId="0" borderId="59" xfId="3" applyFont="1" applyBorder="1" applyAlignment="1">
      <alignment vertical="center" wrapText="1"/>
    </xf>
    <xf numFmtId="0" fontId="22" fillId="0" borderId="42" xfId="3" applyFont="1" applyBorder="1" applyAlignment="1">
      <alignment vertical="center" wrapText="1"/>
    </xf>
    <xf numFmtId="0" fontId="22" fillId="0" borderId="27" xfId="3" applyFont="1" applyBorder="1" applyAlignment="1">
      <alignment vertical="center" wrapText="1"/>
    </xf>
    <xf numFmtId="0" fontId="22" fillId="0" borderId="0" xfId="3" applyFont="1" applyAlignment="1">
      <alignment vertical="center" wrapText="1"/>
    </xf>
    <xf numFmtId="0" fontId="22" fillId="0" borderId="61" xfId="3" applyFont="1" applyBorder="1" applyAlignment="1">
      <alignment vertical="center" wrapText="1"/>
    </xf>
    <xf numFmtId="0" fontId="22" fillId="0" borderId="29" xfId="3" applyFont="1" applyBorder="1" applyAlignment="1">
      <alignment vertical="center" wrapText="1"/>
    </xf>
    <xf numFmtId="0" fontId="22" fillId="0" borderId="30" xfId="3" applyFont="1" applyBorder="1" applyAlignment="1">
      <alignment vertical="center" wrapText="1"/>
    </xf>
    <xf numFmtId="0" fontId="22" fillId="0" borderId="63" xfId="3" applyFont="1" applyBorder="1" applyAlignment="1">
      <alignment vertical="center" wrapText="1"/>
    </xf>
    <xf numFmtId="0" fontId="14" fillId="0" borderId="62" xfId="3" applyFont="1" applyBorder="1" applyAlignment="1">
      <alignment horizontal="center" vertical="center" wrapText="1"/>
    </xf>
    <xf numFmtId="0" fontId="14" fillId="0" borderId="0" xfId="3" applyFont="1" applyAlignment="1">
      <alignment horizontal="center" vertical="center" wrapText="1"/>
    </xf>
    <xf numFmtId="0" fontId="14" fillId="0" borderId="28" xfId="3" applyFont="1" applyBorder="1" applyAlignment="1">
      <alignment horizontal="center" vertical="center" wrapText="1"/>
    </xf>
    <xf numFmtId="0" fontId="23" fillId="0" borderId="62" xfId="3" applyFont="1" applyBorder="1" applyAlignment="1">
      <alignment vertical="center" wrapText="1"/>
    </xf>
    <xf numFmtId="0" fontId="23" fillId="0" borderId="0" xfId="3" applyFont="1" applyAlignment="1">
      <alignment vertical="center" wrapText="1"/>
    </xf>
    <xf numFmtId="0" fontId="23" fillId="0" borderId="28" xfId="3" applyFont="1" applyBorder="1" applyAlignment="1">
      <alignment vertical="center" wrapText="1"/>
    </xf>
    <xf numFmtId="0" fontId="24" fillId="0" borderId="62" xfId="3" applyFont="1" applyBorder="1" applyAlignment="1">
      <alignment vertical="center" wrapText="1"/>
    </xf>
    <xf numFmtId="0" fontId="24" fillId="0" borderId="0" xfId="3" applyFont="1" applyAlignment="1">
      <alignment vertical="center" wrapText="1"/>
    </xf>
    <xf numFmtId="0" fontId="24" fillId="0" borderId="28" xfId="3" applyFont="1" applyBorder="1" applyAlignment="1">
      <alignment vertical="center" wrapText="1"/>
    </xf>
    <xf numFmtId="0" fontId="15" fillId="0" borderId="64" xfId="3" applyFont="1" applyBorder="1" applyAlignment="1">
      <alignment horizontal="center" vertical="center" wrapText="1"/>
    </xf>
    <xf numFmtId="0" fontId="15" fillId="0" borderId="30" xfId="3" applyFont="1" applyBorder="1" applyAlignment="1">
      <alignment horizontal="center" vertical="center" wrapText="1"/>
    </xf>
    <xf numFmtId="0" fontId="15" fillId="0" borderId="31" xfId="3" applyFont="1" applyBorder="1" applyAlignment="1">
      <alignment horizontal="center" vertical="center" wrapText="1"/>
    </xf>
    <xf numFmtId="0" fontId="9" fillId="0" borderId="53" xfId="3" applyFont="1" applyBorder="1" applyAlignment="1">
      <alignment horizontal="left" vertical="center" wrapText="1"/>
    </xf>
    <xf numFmtId="0" fontId="9" fillId="0" borderId="54" xfId="3" applyFont="1" applyBorder="1" applyAlignment="1">
      <alignment horizontal="left" vertical="center" wrapText="1"/>
    </xf>
    <xf numFmtId="0" fontId="9" fillId="0" borderId="0" xfId="3" applyFont="1" applyAlignment="1">
      <alignment vertical="center" wrapText="1"/>
    </xf>
    <xf numFmtId="0" fontId="9" fillId="0" borderId="28" xfId="3" applyFont="1" applyBorder="1" applyAlignment="1">
      <alignment vertical="center" wrapText="1"/>
    </xf>
    <xf numFmtId="0" fontId="20" fillId="0" borderId="0" xfId="3" applyFont="1" applyAlignment="1">
      <alignment horizontal="left" vertical="center" wrapText="1"/>
    </xf>
    <xf numFmtId="0" fontId="20" fillId="0" borderId="54" xfId="3" applyFont="1" applyBorder="1" applyAlignment="1">
      <alignment horizontal="left" vertical="center" wrapText="1"/>
    </xf>
    <xf numFmtId="0" fontId="20" fillId="0" borderId="0" xfId="3" applyFont="1" applyAlignment="1">
      <alignment vertical="center" wrapText="1"/>
    </xf>
    <xf numFmtId="0" fontId="20" fillId="0" borderId="28" xfId="3" applyFont="1" applyBorder="1" applyAlignment="1">
      <alignment vertical="center" wrapText="1"/>
    </xf>
    <xf numFmtId="0" fontId="11" fillId="0" borderId="27" xfId="3" applyFont="1" applyBorder="1" applyAlignment="1">
      <alignment horizontal="left" vertical="center" wrapText="1"/>
    </xf>
    <xf numFmtId="0" fontId="11" fillId="0" borderId="28" xfId="3" applyFont="1" applyBorder="1" applyAlignment="1">
      <alignment horizontal="left" vertical="center" wrapText="1"/>
    </xf>
    <xf numFmtId="0" fontId="27" fillId="0" borderId="53" xfId="3" applyFont="1" applyBorder="1" applyAlignment="1">
      <alignment horizontal="left" vertical="center" wrapText="1"/>
    </xf>
    <xf numFmtId="0" fontId="27" fillId="0" borderId="54" xfId="3" applyFont="1" applyBorder="1" applyAlignment="1">
      <alignment horizontal="left" vertical="center" wrapText="1"/>
    </xf>
    <xf numFmtId="0" fontId="11" fillId="0" borderId="53" xfId="3" applyFont="1" applyBorder="1" applyAlignment="1">
      <alignment horizontal="left" vertical="center" wrapText="1"/>
    </xf>
    <xf numFmtId="0" fontId="11" fillId="0" borderId="54" xfId="3" applyFont="1" applyBorder="1" applyAlignment="1">
      <alignment horizontal="left" vertical="center" wrapText="1"/>
    </xf>
    <xf numFmtId="0" fontId="15" fillId="0" borderId="29" xfId="3" applyFont="1" applyBorder="1" applyAlignment="1">
      <alignment horizontal="center" vertical="center" wrapText="1"/>
    </xf>
    <xf numFmtId="0" fontId="15" fillId="0" borderId="48" xfId="3" applyFont="1" applyBorder="1" applyAlignment="1">
      <alignment horizontal="left" vertical="center" wrapText="1" indent="2"/>
    </xf>
    <xf numFmtId="0" fontId="15" fillId="0" borderId="49" xfId="3" applyFont="1" applyBorder="1" applyAlignment="1">
      <alignment horizontal="left" vertical="center" wrapText="1" indent="2"/>
    </xf>
    <xf numFmtId="0" fontId="15" fillId="0" borderId="48" xfId="3" applyFont="1" applyBorder="1" applyAlignment="1">
      <alignment vertical="center" wrapText="1"/>
    </xf>
    <xf numFmtId="0" fontId="15" fillId="0" borderId="49" xfId="3" applyFont="1" applyBorder="1" applyAlignment="1">
      <alignment vertical="center" wrapText="1"/>
    </xf>
    <xf numFmtId="0" fontId="11" fillId="0" borderId="46" xfId="3" applyFont="1" applyBorder="1" applyAlignment="1">
      <alignment horizontal="left" vertical="center" wrapText="1"/>
    </xf>
    <xf numFmtId="0" fontId="11" fillId="0" borderId="47" xfId="3" applyFont="1" applyBorder="1" applyAlignment="1">
      <alignment horizontal="left" vertical="center" wrapText="1"/>
    </xf>
    <xf numFmtId="0" fontId="38" fillId="0" borderId="6" xfId="0" applyFont="1" applyBorder="1" applyAlignment="1">
      <alignment horizontal="right" vertical="top"/>
    </xf>
    <xf numFmtId="0" fontId="39" fillId="0" borderId="7" xfId="0" applyFont="1" applyBorder="1"/>
    <xf numFmtId="0" fontId="39" fillId="0" borderId="16" xfId="0" applyFont="1" applyBorder="1"/>
    <xf numFmtId="0" fontId="0" fillId="0" borderId="0" xfId="0"/>
    <xf numFmtId="0" fontId="39" fillId="0" borderId="28" xfId="0" applyFont="1" applyBorder="1"/>
    <xf numFmtId="0" fontId="8" fillId="0" borderId="10" xfId="0" applyFont="1" applyBorder="1" applyAlignment="1">
      <alignment horizontal="left"/>
    </xf>
    <xf numFmtId="0" fontId="39" fillId="0" borderId="11" xfId="0" applyFont="1" applyBorder="1"/>
    <xf numFmtId="0" fontId="39" fillId="0" borderId="12" xfId="0" applyFont="1" applyBorder="1"/>
    <xf numFmtId="0" fontId="39" fillId="0" borderId="13" xfId="0" applyFont="1" applyBorder="1"/>
    <xf numFmtId="0" fontId="8" fillId="0" borderId="10" xfId="0" applyFont="1" applyBorder="1" applyAlignment="1">
      <alignment horizontal="left" wrapText="1"/>
    </xf>
    <xf numFmtId="0" fontId="8" fillId="0" borderId="10" xfId="0" applyFont="1" applyBorder="1" applyAlignment="1">
      <alignment horizontal="right"/>
    </xf>
    <xf numFmtId="0" fontId="38" fillId="0" borderId="1" xfId="0" applyFont="1" applyBorder="1" applyAlignment="1">
      <alignment horizontal="center" vertical="center" wrapText="1"/>
    </xf>
    <xf numFmtId="0" fontId="39" fillId="0" borderId="2" xfId="0" applyFont="1" applyBorder="1"/>
    <xf numFmtId="0" fontId="39" fillId="0" borderId="3" xfId="0" applyFont="1" applyBorder="1"/>
    <xf numFmtId="0" fontId="38" fillId="0" borderId="4" xfId="0" applyFont="1" applyBorder="1" applyAlignment="1">
      <alignment horizontal="center" vertical="center" wrapText="1"/>
    </xf>
    <xf numFmtId="0" fontId="39" fillId="0" borderId="5" xfId="0" applyFont="1" applyBorder="1"/>
    <xf numFmtId="0" fontId="38" fillId="0" borderId="6" xfId="0" applyFont="1" applyBorder="1" applyAlignment="1">
      <alignment horizontal="center" vertical="center"/>
    </xf>
    <xf numFmtId="0" fontId="8" fillId="0" borderId="0" xfId="0" applyFont="1"/>
    <xf numFmtId="0" fontId="38" fillId="0" borderId="1" xfId="0" applyFont="1" applyBorder="1" applyAlignment="1">
      <alignment horizontal="center"/>
    </xf>
    <xf numFmtId="0" fontId="38" fillId="0" borderId="10" xfId="0" applyFont="1" applyBorder="1" applyAlignment="1">
      <alignment horizontal="center"/>
    </xf>
    <xf numFmtId="0" fontId="38" fillId="0" borderId="17" xfId="0" applyFont="1" applyBorder="1" applyAlignment="1">
      <alignment horizontal="center" vertical="center"/>
    </xf>
    <xf numFmtId="0" fontId="39" fillId="0" borderId="21" xfId="0" applyFont="1" applyBorder="1"/>
    <xf numFmtId="0" fontId="38" fillId="0" borderId="18" xfId="0" applyFont="1" applyBorder="1" applyAlignment="1">
      <alignment horizontal="center" vertical="center"/>
    </xf>
    <xf numFmtId="0" fontId="39" fillId="0" borderId="22" xfId="0" applyFont="1" applyBorder="1"/>
    <xf numFmtId="0" fontId="38" fillId="0" borderId="4" xfId="0" applyFont="1" applyBorder="1" applyAlignment="1">
      <alignment horizontal="center" vertical="center"/>
    </xf>
    <xf numFmtId="0" fontId="38" fillId="0" borderId="0" xfId="0" applyFont="1"/>
    <xf numFmtId="0" fontId="11" fillId="0" borderId="38" xfId="0" applyFont="1" applyBorder="1" applyAlignment="1">
      <alignment horizontal="right" vertical="center" wrapText="1"/>
    </xf>
    <xf numFmtId="0" fontId="11" fillId="0" borderId="57" xfId="0" applyFont="1" applyBorder="1" applyAlignment="1">
      <alignment horizontal="right" vertical="center" wrapText="1"/>
    </xf>
    <xf numFmtId="0" fontId="11" fillId="0" borderId="39" xfId="0" applyFont="1" applyBorder="1" applyAlignment="1">
      <alignment horizontal="right" vertical="center" wrapText="1"/>
    </xf>
    <xf numFmtId="0" fontId="11" fillId="0" borderId="40" xfId="0" applyFont="1" applyBorder="1" applyAlignment="1">
      <alignment horizontal="right" vertical="center" wrapText="1"/>
    </xf>
    <xf numFmtId="0" fontId="9" fillId="0" borderId="41" xfId="0" applyFont="1" applyBorder="1" applyAlignment="1">
      <alignment vertical="center" wrapText="1"/>
    </xf>
    <xf numFmtId="0" fontId="9" fillId="0" borderId="59" xfId="0" applyFont="1" applyBorder="1" applyAlignment="1">
      <alignment vertical="center" wrapText="1"/>
    </xf>
    <xf numFmtId="0" fontId="9" fillId="0" borderId="42" xfId="0" applyFont="1" applyBorder="1" applyAlignment="1">
      <alignment vertical="center" wrapText="1"/>
    </xf>
    <xf numFmtId="0" fontId="9" fillId="0" borderId="61" xfId="0" applyFont="1" applyBorder="1" applyAlignment="1">
      <alignment vertical="center" wrapText="1"/>
    </xf>
    <xf numFmtId="0" fontId="9" fillId="0" borderId="29" xfId="0" applyFont="1" applyBorder="1" applyAlignment="1">
      <alignment vertical="center" wrapText="1"/>
    </xf>
    <xf numFmtId="0" fontId="9" fillId="0" borderId="30" xfId="0" applyFont="1" applyBorder="1" applyAlignment="1">
      <alignment vertical="center" wrapText="1"/>
    </xf>
    <xf numFmtId="0" fontId="9" fillId="0" borderId="63" xfId="0" applyFont="1" applyBorder="1" applyAlignment="1">
      <alignment vertical="center" wrapText="1"/>
    </xf>
    <xf numFmtId="0" fontId="9" fillId="0" borderId="60" xfId="0" applyFont="1" applyBorder="1" applyAlignment="1">
      <alignment horizontal="center" vertical="center" wrapText="1"/>
    </xf>
    <xf numFmtId="0" fontId="9" fillId="0" borderId="59" xfId="0" applyFont="1" applyBorder="1" applyAlignment="1">
      <alignment horizontal="center" vertical="center" wrapText="1"/>
    </xf>
    <xf numFmtId="0" fontId="9" fillId="0" borderId="44" xfId="0" applyFont="1" applyBorder="1" applyAlignment="1">
      <alignment horizontal="center" vertical="center" wrapText="1"/>
    </xf>
    <xf numFmtId="0" fontId="9" fillId="0" borderId="62" xfId="0" applyFont="1" applyBorder="1" applyAlignment="1">
      <alignment horizontal="center" vertical="center" wrapText="1"/>
    </xf>
    <xf numFmtId="0" fontId="9" fillId="0" borderId="0" xfId="0" applyFont="1" applyAlignment="1">
      <alignment horizontal="center" vertical="center" wrapText="1"/>
    </xf>
    <xf numFmtId="0" fontId="9" fillId="0" borderId="28" xfId="0" applyFont="1" applyBorder="1" applyAlignment="1">
      <alignment horizontal="center" vertical="center" wrapText="1"/>
    </xf>
    <xf numFmtId="0" fontId="9" fillId="0" borderId="62" xfId="0" applyFont="1" applyBorder="1" applyAlignment="1">
      <alignment vertical="center" wrapText="1"/>
    </xf>
    <xf numFmtId="0" fontId="9" fillId="0" borderId="64"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31" xfId="0" applyFont="1" applyBorder="1" applyAlignment="1">
      <alignment horizontal="center" vertical="center" wrapText="1"/>
    </xf>
    <xf numFmtId="0" fontId="20" fillId="0" borderId="53" xfId="3" applyFont="1" applyBorder="1" applyAlignment="1">
      <alignment horizontal="left" vertical="center" wrapText="1"/>
    </xf>
    <xf numFmtId="0" fontId="31" fillId="0" borderId="53" xfId="0" applyFont="1" applyBorder="1" applyAlignment="1">
      <alignment horizontal="left" vertical="center" wrapText="1"/>
    </xf>
    <xf numFmtId="0" fontId="31" fillId="0" borderId="54" xfId="0" applyFont="1" applyBorder="1" applyAlignment="1">
      <alignment horizontal="left" vertical="center" wrapText="1"/>
    </xf>
    <xf numFmtId="0" fontId="33" fillId="0" borderId="53" xfId="0" applyFont="1" applyBorder="1" applyAlignment="1">
      <alignment horizontal="left" vertical="center" wrapText="1"/>
    </xf>
    <xf numFmtId="0" fontId="33" fillId="0" borderId="54" xfId="0" applyFont="1" applyBorder="1" applyAlignment="1">
      <alignment horizontal="left" vertical="center" wrapText="1"/>
    </xf>
    <xf numFmtId="0" fontId="28" fillId="0" borderId="53" xfId="0" applyFont="1" applyBorder="1" applyAlignment="1">
      <alignment horizontal="left" vertical="center" wrapText="1"/>
    </xf>
    <xf numFmtId="0" fontId="28" fillId="0" borderId="54" xfId="0" applyFont="1" applyBorder="1" applyAlignment="1">
      <alignment horizontal="left" vertical="center" wrapText="1"/>
    </xf>
    <xf numFmtId="0" fontId="49" fillId="0" borderId="53" xfId="0" applyFont="1" applyBorder="1" applyAlignment="1">
      <alignment horizontal="left" vertical="center" wrapText="1"/>
    </xf>
    <xf numFmtId="0" fontId="49" fillId="0" borderId="54" xfId="0" applyFont="1" applyBorder="1" applyAlignment="1">
      <alignment horizontal="left" vertical="center" wrapText="1"/>
    </xf>
    <xf numFmtId="0" fontId="9" fillId="0" borderId="27" xfId="0" applyFont="1" applyBorder="1" applyAlignment="1">
      <alignment horizontal="center" vertical="center" wrapText="1"/>
    </xf>
    <xf numFmtId="0" fontId="9" fillId="0" borderId="46" xfId="0" applyFont="1" applyBorder="1" applyAlignment="1">
      <alignment horizontal="left" vertical="center" wrapText="1" indent="2"/>
    </xf>
    <xf numFmtId="0" fontId="9" fillId="0" borderId="47" xfId="0" applyFont="1" applyBorder="1" applyAlignment="1">
      <alignment horizontal="left" vertical="center" wrapText="1" indent="2"/>
    </xf>
    <xf numFmtId="0" fontId="9" fillId="0" borderId="48" xfId="0" applyFont="1" applyBorder="1" applyAlignment="1">
      <alignment vertical="center" wrapText="1"/>
    </xf>
    <xf numFmtId="0" fontId="9" fillId="0" borderId="49" xfId="0" applyFont="1" applyBorder="1" applyAlignment="1">
      <alignment vertical="center" wrapText="1"/>
    </xf>
    <xf numFmtId="0" fontId="8" fillId="0" borderId="27" xfId="0" applyFont="1" applyBorder="1" applyAlignment="1">
      <alignment horizontal="center"/>
    </xf>
    <xf numFmtId="0" fontId="8" fillId="0" borderId="10" xfId="0" applyFont="1" applyBorder="1" applyAlignment="1">
      <alignment vertical="center" wrapText="1"/>
    </xf>
    <xf numFmtId="0" fontId="39" fillId="0" borderId="12" xfId="0" applyFont="1" applyBorder="1" applyAlignment="1">
      <alignment vertical="center"/>
    </xf>
    <xf numFmtId="0" fontId="8" fillId="0" borderId="10" xfId="0" applyFont="1" applyBorder="1" applyAlignment="1">
      <alignment horizontal="left" vertical="top" wrapText="1"/>
    </xf>
    <xf numFmtId="0" fontId="48" fillId="0" borderId="27" xfId="0" applyFont="1" applyBorder="1" applyAlignment="1">
      <alignment horizontal="center"/>
    </xf>
    <xf numFmtId="0" fontId="8" fillId="0" borderId="12" xfId="0" applyFont="1" applyBorder="1" applyAlignment="1">
      <alignment vertical="center"/>
    </xf>
    <xf numFmtId="0" fontId="38" fillId="0" borderId="10" xfId="0" applyFont="1" applyBorder="1" applyAlignment="1">
      <alignment vertical="center" wrapText="1"/>
    </xf>
    <xf numFmtId="0" fontId="38" fillId="0" borderId="12" xfId="0" applyFont="1" applyBorder="1" applyAlignment="1">
      <alignment vertical="center"/>
    </xf>
    <xf numFmtId="0" fontId="38" fillId="0" borderId="10" xfId="0" applyFont="1" applyBorder="1" applyAlignment="1">
      <alignment vertical="center"/>
    </xf>
    <xf numFmtId="0" fontId="38" fillId="0" borderId="12" xfId="0" applyFont="1" applyBorder="1" applyAlignment="1">
      <alignmen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8" fillId="0" borderId="15" xfId="0" applyFont="1" applyBorder="1" applyAlignment="1">
      <alignment horizontal="left"/>
    </xf>
    <xf numFmtId="9" fontId="8" fillId="0" borderId="15" xfId="0" applyNumberFormat="1" applyFont="1" applyBorder="1" applyAlignment="1">
      <alignment horizontal="right"/>
    </xf>
    <xf numFmtId="0" fontId="39" fillId="0" borderId="8" xfId="0" applyFont="1" applyBorder="1"/>
    <xf numFmtId="0" fontId="38" fillId="0" borderId="10" xfId="0" applyFont="1" applyBorder="1" applyAlignment="1">
      <alignment horizontal="left" vertical="center"/>
    </xf>
    <xf numFmtId="0" fontId="39" fillId="0" borderId="19" xfId="0" applyFont="1" applyBorder="1"/>
    <xf numFmtId="0" fontId="39" fillId="0" borderId="23" xfId="0" applyFont="1" applyBorder="1"/>
    <xf numFmtId="0" fontId="3" fillId="0" borderId="1" xfId="0" applyFont="1" applyBorder="1" applyAlignment="1">
      <alignment horizontal="center" vertical="center" wrapText="1"/>
    </xf>
    <xf numFmtId="0" fontId="4" fillId="0" borderId="2" xfId="0" applyFont="1" applyBorder="1"/>
    <xf numFmtId="0" fontId="4" fillId="0" borderId="3" xfId="0" applyFont="1" applyBorder="1"/>
    <xf numFmtId="0" fontId="3" fillId="0" borderId="4" xfId="0" applyFont="1" applyBorder="1" applyAlignment="1">
      <alignment horizontal="center" vertical="center" wrapText="1"/>
    </xf>
    <xf numFmtId="0" fontId="4" fillId="0" borderId="5" xfId="0" applyFont="1" applyBorder="1"/>
    <xf numFmtId="0" fontId="3" fillId="0" borderId="6" xfId="0" applyFont="1" applyBorder="1" applyAlignment="1">
      <alignment horizontal="center" vertical="center"/>
    </xf>
    <xf numFmtId="0" fontId="4" fillId="0" borderId="7" xfId="0" applyFont="1" applyBorder="1" applyAlignment="1">
      <alignment vertical="center"/>
    </xf>
    <xf numFmtId="0" fontId="4" fillId="0" borderId="8" xfId="0" applyFont="1" applyBorder="1" applyAlignment="1">
      <alignment vertical="center"/>
    </xf>
    <xf numFmtId="0" fontId="6" fillId="0" borderId="0" xfId="0" applyFont="1"/>
    <xf numFmtId="0" fontId="3" fillId="0" borderId="0" xfId="0" applyFont="1"/>
    <xf numFmtId="0" fontId="3" fillId="0" borderId="1" xfId="0" applyFont="1" applyBorder="1" applyAlignment="1">
      <alignment horizontal="center"/>
    </xf>
    <xf numFmtId="0" fontId="3" fillId="0" borderId="10" xfId="0" applyFont="1" applyBorder="1" applyAlignment="1">
      <alignment horizontal="center"/>
    </xf>
    <xf numFmtId="0" fontId="4" fillId="0" borderId="13" xfId="0" applyFont="1" applyBorder="1"/>
    <xf numFmtId="0" fontId="4" fillId="0" borderId="11" xfId="0" applyFont="1" applyBorder="1"/>
    <xf numFmtId="0" fontId="4" fillId="0" borderId="12" xfId="0" applyFont="1" applyBorder="1"/>
    <xf numFmtId="0" fontId="6" fillId="0" borderId="10" xfId="0" applyFont="1" applyBorder="1" applyAlignment="1">
      <alignment horizontal="left"/>
    </xf>
    <xf numFmtId="164" fontId="6" fillId="0" borderId="10" xfId="0" applyNumberFormat="1" applyFont="1" applyBorder="1" applyAlignment="1">
      <alignment horizontal="left"/>
    </xf>
    <xf numFmtId="0" fontId="6" fillId="0" borderId="10" xfId="0" applyFont="1" applyBorder="1" applyAlignment="1">
      <alignment horizontal="right"/>
    </xf>
    <xf numFmtId="0" fontId="6" fillId="0" borderId="27" xfId="0" applyFont="1" applyBorder="1" applyAlignment="1">
      <alignment horizontal="center"/>
    </xf>
    <xf numFmtId="0" fontId="4" fillId="0" borderId="28" xfId="0" applyFont="1" applyBorder="1"/>
    <xf numFmtId="0" fontId="7" fillId="0" borderId="27" xfId="0" applyFont="1" applyBorder="1" applyAlignment="1">
      <alignment horizontal="center"/>
    </xf>
    <xf numFmtId="0" fontId="6" fillId="0" borderId="15" xfId="0" applyFont="1" applyBorder="1" applyAlignment="1">
      <alignment horizontal="left"/>
    </xf>
    <xf numFmtId="0" fontId="4" fillId="0" borderId="7" xfId="0" applyFont="1" applyBorder="1"/>
    <xf numFmtId="0" fontId="4" fillId="0" borderId="16" xfId="0" applyFont="1" applyBorder="1"/>
    <xf numFmtId="9" fontId="6" fillId="0" borderId="15" xfId="0" applyNumberFormat="1" applyFont="1" applyBorder="1" applyAlignment="1">
      <alignment horizontal="right"/>
    </xf>
    <xf numFmtId="0" fontId="4" fillId="0" borderId="8" xfId="0" applyFont="1" applyBorder="1"/>
    <xf numFmtId="0" fontId="3" fillId="0" borderId="22" xfId="0" applyFont="1" applyBorder="1" applyAlignment="1">
      <alignment horizontal="left" vertical="top" wrapText="1"/>
    </xf>
    <xf numFmtId="0" fontId="4" fillId="0" borderId="23" xfId="0" applyFont="1" applyBorder="1"/>
    <xf numFmtId="0" fontId="6" fillId="0" borderId="10" xfId="0" applyFont="1" applyBorder="1" applyAlignment="1">
      <alignment horizontal="left" vertical="top" wrapText="1"/>
    </xf>
    <xf numFmtId="0" fontId="3" fillId="0" borderId="6" xfId="0" applyFont="1" applyBorder="1" applyAlignment="1">
      <alignment horizontal="right" vertical="top"/>
    </xf>
    <xf numFmtId="0" fontId="3" fillId="0" borderId="17" xfId="0" applyFont="1" applyBorder="1" applyAlignment="1">
      <alignment horizontal="center" vertical="center"/>
    </xf>
    <xf numFmtId="0" fontId="4" fillId="0" borderId="33" xfId="0" applyFont="1" applyBorder="1"/>
    <xf numFmtId="0" fontId="3" fillId="0" borderId="18" xfId="0" applyFont="1" applyBorder="1" applyAlignment="1">
      <alignment horizontal="center" vertical="center"/>
    </xf>
    <xf numFmtId="0" fontId="4" fillId="0" borderId="19" xfId="0" applyFont="1" applyBorder="1"/>
    <xf numFmtId="0" fontId="4" fillId="0" borderId="34" xfId="0" applyFont="1" applyBorder="1"/>
    <xf numFmtId="0" fontId="4" fillId="0" borderId="35" xfId="0" applyFont="1" applyBorder="1"/>
    <xf numFmtId="0" fontId="3" fillId="0" borderId="4" xfId="0" applyFont="1" applyBorder="1" applyAlignment="1">
      <alignment horizontal="center" vertical="center"/>
    </xf>
    <xf numFmtId="0" fontId="3" fillId="0" borderId="32" xfId="0" applyFont="1" applyBorder="1" applyAlignment="1">
      <alignment horizontal="left" vertical="center"/>
    </xf>
    <xf numFmtId="0" fontId="4" fillId="0" borderId="32" xfId="0" applyFont="1" applyBorder="1"/>
    <xf numFmtId="0" fontId="3" fillId="0" borderId="32" xfId="0" applyFont="1" applyBorder="1" applyAlignment="1">
      <alignment horizontal="left" vertical="top"/>
    </xf>
    <xf numFmtId="41" fontId="9" fillId="2" borderId="0" xfId="1" applyFont="1" applyFill="1"/>
    <xf numFmtId="41" fontId="10" fillId="4" borderId="0" xfId="1" applyFont="1" applyFill="1"/>
    <xf numFmtId="41" fontId="11" fillId="2" borderId="52" xfId="0" applyNumberFormat="1" applyFont="1" applyFill="1" applyBorder="1" applyAlignment="1">
      <alignment vertical="center" wrapText="1"/>
    </xf>
    <xf numFmtId="41" fontId="11" fillId="5" borderId="32" xfId="0" applyNumberFormat="1" applyFont="1" applyFill="1" applyBorder="1" applyAlignment="1">
      <alignment vertical="center" wrapText="1"/>
    </xf>
    <xf numFmtId="0" fontId="11" fillId="5" borderId="32" xfId="0" applyFont="1" applyFill="1" applyBorder="1" applyAlignment="1">
      <alignment vertical="center" wrapText="1"/>
    </xf>
    <xf numFmtId="0" fontId="14" fillId="0" borderId="46" xfId="3" applyFont="1" applyBorder="1" applyAlignment="1">
      <alignment horizontal="center" vertical="center" wrapText="1"/>
    </xf>
    <xf numFmtId="0" fontId="14" fillId="0" borderId="78" xfId="3" applyFont="1" applyBorder="1" applyAlignment="1">
      <alignment horizontal="center" vertical="center" wrapText="1"/>
    </xf>
    <xf numFmtId="0" fontId="14" fillId="0" borderId="47" xfId="3" applyFont="1" applyBorder="1" applyAlignment="1">
      <alignment horizontal="center" vertical="center" wrapText="1"/>
    </xf>
    <xf numFmtId="0" fontId="9" fillId="0" borderId="27" xfId="3" applyFont="1" applyBorder="1" applyAlignment="1">
      <alignment vertical="center" wrapText="1"/>
    </xf>
    <xf numFmtId="0" fontId="15" fillId="0" borderId="29" xfId="3" applyFont="1" applyBorder="1" applyAlignment="1">
      <alignment horizontal="left" vertical="center" wrapText="1" indent="8"/>
    </xf>
    <xf numFmtId="0" fontId="15" fillId="0" borderId="30" xfId="3" applyFont="1" applyBorder="1" applyAlignment="1">
      <alignment horizontal="left" vertical="center" wrapText="1" indent="8"/>
    </xf>
    <xf numFmtId="0" fontId="15" fillId="0" borderId="31" xfId="3" applyFont="1" applyBorder="1" applyAlignment="1">
      <alignment horizontal="left" vertical="center" wrapText="1" indent="8"/>
    </xf>
    <xf numFmtId="0" fontId="15" fillId="0" borderId="32" xfId="3" applyFont="1" applyBorder="1" applyAlignment="1">
      <alignment horizontal="left" vertical="center" wrapText="1" indent="4"/>
    </xf>
    <xf numFmtId="0" fontId="15" fillId="0" borderId="32" xfId="3" applyFont="1" applyBorder="1" applyAlignment="1">
      <alignment horizontal="center" vertical="center" wrapText="1"/>
    </xf>
    <xf numFmtId="0" fontId="15" fillId="0" borderId="32" xfId="3" applyFont="1" applyBorder="1" applyAlignment="1">
      <alignment horizontal="left" vertical="center" wrapText="1" indent="2"/>
    </xf>
    <xf numFmtId="0" fontId="15" fillId="0" borderId="32" xfId="3" applyFont="1" applyBorder="1" applyAlignment="1">
      <alignment vertical="center" wrapText="1"/>
    </xf>
    <xf numFmtId="41" fontId="16" fillId="0" borderId="32" xfId="3" applyNumberFormat="1" applyFont="1" applyBorder="1" applyAlignment="1">
      <alignment horizontal="right" vertical="center" wrapText="1"/>
    </xf>
    <xf numFmtId="0" fontId="16" fillId="0" borderId="32" xfId="3" applyFont="1" applyBorder="1" applyAlignment="1">
      <alignment horizontal="right" vertical="center" wrapText="1"/>
    </xf>
    <xf numFmtId="0" fontId="15" fillId="0" borderId="32" xfId="3" applyFont="1" applyBorder="1" applyAlignment="1">
      <alignment horizontal="right" vertical="center" wrapText="1"/>
    </xf>
    <xf numFmtId="0" fontId="14" fillId="0" borderId="32" xfId="3" applyFont="1" applyBorder="1" applyAlignment="1">
      <alignment horizontal="center" vertical="center" wrapText="1"/>
    </xf>
    <xf numFmtId="0" fontId="9" fillId="0" borderId="29" xfId="0" applyFont="1" applyBorder="1" applyAlignment="1">
      <alignment horizontal="left" vertical="center" wrapText="1" indent="8"/>
    </xf>
    <xf numFmtId="0" fontId="9" fillId="0" borderId="30" xfId="0" applyFont="1" applyBorder="1" applyAlignment="1">
      <alignment horizontal="left" vertical="center" wrapText="1" indent="8"/>
    </xf>
    <xf numFmtId="0" fontId="9" fillId="0" borderId="31" xfId="0" applyFont="1" applyBorder="1" applyAlignment="1">
      <alignment horizontal="left" vertical="center" wrapText="1" indent="8"/>
    </xf>
    <xf numFmtId="0" fontId="9" fillId="0" borderId="32" xfId="0" applyFont="1" applyBorder="1" applyAlignment="1">
      <alignment horizontal="center" vertical="center" wrapText="1"/>
    </xf>
    <xf numFmtId="0" fontId="9" fillId="0" borderId="32" xfId="0" applyFont="1" applyBorder="1" applyAlignment="1">
      <alignment horizontal="left" vertical="center" wrapText="1" indent="4"/>
    </xf>
    <xf numFmtId="0" fontId="9" fillId="0" borderId="32" xfId="0" applyFont="1" applyBorder="1" applyAlignment="1">
      <alignment horizontal="left" vertical="center" wrapText="1" indent="2"/>
    </xf>
    <xf numFmtId="0" fontId="9" fillId="0" borderId="32" xfId="0" applyFont="1" applyBorder="1" applyAlignment="1">
      <alignment horizontal="left" vertical="center" wrapText="1"/>
    </xf>
    <xf numFmtId="0" fontId="9" fillId="0" borderId="32" xfId="0" applyFont="1" applyBorder="1" applyAlignment="1">
      <alignment vertical="center" wrapText="1"/>
    </xf>
    <xf numFmtId="41" fontId="11" fillId="0" borderId="32" xfId="0" applyNumberFormat="1" applyFont="1" applyBorder="1" applyAlignment="1">
      <alignment vertical="center" wrapText="1"/>
    </xf>
    <xf numFmtId="0" fontId="11" fillId="0" borderId="32" xfId="0" applyFont="1" applyBorder="1" applyAlignment="1">
      <alignment vertical="center" wrapText="1"/>
    </xf>
    <xf numFmtId="0" fontId="9" fillId="0" borderId="32" xfId="0" applyFont="1" applyBorder="1" applyAlignment="1">
      <alignment horizontal="right" vertical="center" wrapText="1"/>
    </xf>
    <xf numFmtId="0" fontId="9" fillId="0" borderId="82" xfId="0" applyFont="1" applyBorder="1" applyAlignment="1">
      <alignment vertical="center" wrapText="1"/>
    </xf>
    <xf numFmtId="0" fontId="9" fillId="0" borderId="83" xfId="0" applyFont="1" applyBorder="1" applyAlignment="1">
      <alignment vertical="center" wrapText="1"/>
    </xf>
    <xf numFmtId="0" fontId="9" fillId="0" borderId="84" xfId="0" applyFont="1" applyBorder="1" applyAlignment="1">
      <alignment vertical="center" wrapText="1"/>
    </xf>
    <xf numFmtId="0" fontId="0" fillId="0" borderId="85" xfId="0" applyBorder="1" applyAlignment="1">
      <alignment vertical="center" wrapText="1"/>
    </xf>
    <xf numFmtId="0" fontId="0" fillId="0" borderId="74" xfId="0" applyBorder="1" applyAlignment="1">
      <alignment vertical="center" wrapText="1"/>
    </xf>
    <xf numFmtId="0" fontId="0" fillId="0" borderId="86" xfId="0" applyBorder="1" applyAlignment="1">
      <alignment vertical="center" wrapText="1"/>
    </xf>
    <xf numFmtId="9" fontId="9" fillId="0" borderId="82" xfId="0" applyNumberFormat="1" applyFont="1" applyBorder="1" applyAlignment="1">
      <alignment vertical="center" wrapText="1"/>
    </xf>
    <xf numFmtId="0" fontId="38" fillId="0" borderId="32" xfId="0" applyFont="1" applyBorder="1" applyAlignment="1">
      <alignment horizontal="center"/>
    </xf>
    <xf numFmtId="0" fontId="38" fillId="0" borderId="32" xfId="0" applyFont="1" applyBorder="1" applyAlignment="1">
      <alignment horizontal="center"/>
    </xf>
    <xf numFmtId="0" fontId="39" fillId="0" borderId="32" xfId="0" applyFont="1" applyBorder="1"/>
    <xf numFmtId="0" fontId="8" fillId="0" borderId="32" xfId="0" applyFont="1" applyBorder="1"/>
    <xf numFmtId="0" fontId="8" fillId="0" borderId="32" xfId="0" applyFont="1" applyBorder="1" applyAlignment="1">
      <alignment horizontal="left" vertical="center" wrapText="1"/>
    </xf>
    <xf numFmtId="9" fontId="8" fillId="0" borderId="32" xfId="0" applyNumberFormat="1" applyFont="1" applyBorder="1" applyAlignment="1">
      <alignment horizontal="right" vertical="center"/>
    </xf>
    <xf numFmtId="0" fontId="8" fillId="0" borderId="32" xfId="0" applyFont="1" applyBorder="1" applyAlignment="1">
      <alignment horizontal="left"/>
    </xf>
    <xf numFmtId="164" fontId="8" fillId="0" borderId="32" xfId="0" applyNumberFormat="1" applyFont="1" applyBorder="1" applyAlignment="1">
      <alignment horizontal="left"/>
    </xf>
    <xf numFmtId="0" fontId="8" fillId="0" borderId="32" xfId="0" applyFont="1" applyBorder="1" applyAlignment="1">
      <alignment horizontal="left" wrapText="1"/>
    </xf>
    <xf numFmtId="0" fontId="39" fillId="0" borderId="32" xfId="0" applyFont="1" applyBorder="1" applyAlignment="1">
      <alignment wrapText="1"/>
    </xf>
    <xf numFmtId="0" fontId="8" fillId="0" borderId="32" xfId="0" applyFont="1" applyBorder="1" applyAlignment="1">
      <alignment horizontal="right"/>
    </xf>
    <xf numFmtId="0" fontId="8" fillId="0" borderId="32" xfId="0" applyFont="1" applyBorder="1" applyAlignment="1">
      <alignment vertical="center"/>
    </xf>
    <xf numFmtId="0" fontId="39" fillId="0" borderId="32" xfId="0" applyFont="1" applyBorder="1" applyAlignment="1">
      <alignment vertical="center" wrapText="1"/>
    </xf>
    <xf numFmtId="0" fontId="39" fillId="0" borderId="32" xfId="0" applyFont="1" applyBorder="1" applyAlignment="1">
      <alignment horizontal="right" vertical="center"/>
    </xf>
    <xf numFmtId="0" fontId="9" fillId="0" borderId="32" xfId="0" applyFont="1" applyBorder="1" applyAlignment="1">
      <alignment vertical="center" wrapText="1"/>
    </xf>
    <xf numFmtId="0" fontId="9" fillId="0" borderId="82" xfId="0" applyFont="1" applyBorder="1" applyAlignment="1">
      <alignment horizontal="left" vertical="center" wrapText="1"/>
    </xf>
    <xf numFmtId="0" fontId="9" fillId="0" borderId="84" xfId="0" applyFont="1" applyBorder="1" applyAlignment="1">
      <alignment horizontal="left" vertical="center" wrapText="1"/>
    </xf>
    <xf numFmtId="0" fontId="9" fillId="0" borderId="87" xfId="0" applyFont="1" applyBorder="1" applyAlignment="1">
      <alignment horizontal="left" vertical="center" wrapText="1"/>
    </xf>
    <xf numFmtId="0" fontId="9" fillId="0" borderId="88" xfId="0" applyFont="1" applyBorder="1" applyAlignment="1">
      <alignment horizontal="left" vertical="center" wrapText="1"/>
    </xf>
    <xf numFmtId="0" fontId="9" fillId="0" borderId="83" xfId="0" applyFont="1" applyBorder="1" applyAlignment="1">
      <alignment horizontal="left" vertical="center" wrapText="1"/>
    </xf>
    <xf numFmtId="0" fontId="0" fillId="0" borderId="85" xfId="0" applyBorder="1" applyAlignment="1">
      <alignment horizontal="left" vertical="center" wrapText="1"/>
    </xf>
    <xf numFmtId="0" fontId="0" fillId="0" borderId="74" xfId="0" applyBorder="1" applyAlignment="1">
      <alignment horizontal="left" vertical="center" wrapText="1"/>
    </xf>
    <xf numFmtId="0" fontId="0" fillId="0" borderId="86" xfId="0" applyBorder="1" applyAlignment="1">
      <alignment horizontal="left" vertical="center" wrapText="1"/>
    </xf>
    <xf numFmtId="0" fontId="9" fillId="0" borderId="84" xfId="0" quotePrefix="1" applyFont="1" applyBorder="1" applyAlignment="1">
      <alignment horizontal="right" vertical="center" wrapText="1"/>
    </xf>
    <xf numFmtId="0" fontId="0" fillId="0" borderId="85" xfId="0" applyBorder="1" applyAlignment="1">
      <alignment horizontal="right" vertical="center" wrapText="1"/>
    </xf>
    <xf numFmtId="0" fontId="0" fillId="0" borderId="86" xfId="0" applyBorder="1" applyAlignment="1">
      <alignment horizontal="right" vertical="center" wrapText="1"/>
    </xf>
    <xf numFmtId="9" fontId="9" fillId="0" borderId="82" xfId="0" quotePrefix="1" applyNumberFormat="1" applyFont="1" applyBorder="1" applyAlignment="1">
      <alignment horizontal="right" vertical="center" wrapText="1"/>
    </xf>
    <xf numFmtId="9" fontId="8" fillId="0" borderId="10" xfId="0" applyNumberFormat="1" applyFont="1" applyBorder="1" applyAlignment="1">
      <alignment horizontal="right"/>
    </xf>
    <xf numFmtId="0" fontId="39" fillId="0" borderId="13" xfId="0" applyFont="1" applyBorder="1" applyAlignment="1">
      <alignment horizontal="right"/>
    </xf>
    <xf numFmtId="164" fontId="38" fillId="0" borderId="10" xfId="0" applyNumberFormat="1" applyFont="1" applyBorder="1" applyAlignment="1">
      <alignment horizontal="left"/>
    </xf>
    <xf numFmtId="0" fontId="50" fillId="0" borderId="13" xfId="0" applyFont="1" applyBorder="1"/>
    <xf numFmtId="41" fontId="0" fillId="6" borderId="0" xfId="1" applyFont="1" applyFill="1"/>
    <xf numFmtId="164" fontId="38" fillId="6" borderId="25" xfId="0" applyNumberFormat="1" applyFont="1" applyFill="1" applyBorder="1" applyAlignment="1">
      <alignment vertical="top"/>
    </xf>
    <xf numFmtId="0" fontId="11" fillId="0" borderId="32" xfId="0" applyFont="1" applyBorder="1" applyAlignment="1">
      <alignment horizontal="center" vertical="center" wrapText="1"/>
    </xf>
    <xf numFmtId="0" fontId="31" fillId="0" borderId="32" xfId="0" applyFont="1" applyBorder="1"/>
    <xf numFmtId="0" fontId="11" fillId="0" borderId="70" xfId="0" applyFont="1" applyBorder="1" applyAlignment="1">
      <alignment horizontal="center" vertical="center"/>
    </xf>
    <xf numFmtId="0" fontId="11" fillId="0" borderId="71" xfId="0" applyFont="1" applyBorder="1" applyAlignment="1">
      <alignment horizontal="center" vertical="center"/>
    </xf>
    <xf numFmtId="0" fontId="11" fillId="0" borderId="72" xfId="0" applyFont="1" applyBorder="1" applyAlignment="1">
      <alignment horizontal="center" vertical="center"/>
    </xf>
    <xf numFmtId="41" fontId="11" fillId="7" borderId="0" xfId="1" applyFont="1" applyFill="1"/>
    <xf numFmtId="0" fontId="31" fillId="0" borderId="0" xfId="0" applyFont="1"/>
    <xf numFmtId="41" fontId="30" fillId="0" borderId="0" xfId="0" applyNumberFormat="1" applyFont="1"/>
    <xf numFmtId="165" fontId="30" fillId="0" borderId="0" xfId="0" applyNumberFormat="1" applyFont="1"/>
    <xf numFmtId="169" fontId="31" fillId="0" borderId="0" xfId="0" applyNumberFormat="1" applyFont="1"/>
    <xf numFmtId="0" fontId="11" fillId="0" borderId="53" xfId="0" applyFont="1" applyBorder="1" applyAlignment="1">
      <alignment horizontal="left" vertical="top" wrapText="1"/>
    </xf>
    <xf numFmtId="0" fontId="11" fillId="0" borderId="54" xfId="0" applyFont="1" applyBorder="1" applyAlignment="1">
      <alignment horizontal="left" vertical="top" wrapText="1"/>
    </xf>
    <xf numFmtId="0" fontId="9" fillId="0" borderId="54" xfId="0" applyFont="1" applyBorder="1" applyAlignment="1">
      <alignment horizontal="center" vertical="center"/>
    </xf>
    <xf numFmtId="0" fontId="11" fillId="0" borderId="53" xfId="0" applyFont="1" applyBorder="1" applyAlignment="1">
      <alignment horizontal="left" vertical="top" wrapText="1"/>
    </xf>
    <xf numFmtId="0" fontId="11" fillId="0" borderId="54" xfId="0" applyFont="1" applyBorder="1" applyAlignment="1">
      <alignment horizontal="left" vertical="top" wrapText="1"/>
    </xf>
    <xf numFmtId="0" fontId="9" fillId="0" borderId="0" xfId="0" applyFont="1" applyAlignment="1">
      <alignment horizontal="left" vertical="top" wrapText="1"/>
    </xf>
    <xf numFmtId="41" fontId="9" fillId="0" borderId="28" xfId="1" applyFont="1" applyBorder="1" applyAlignment="1">
      <alignment horizontal="left" vertical="center" wrapText="1" indent="1"/>
    </xf>
    <xf numFmtId="0" fontId="51" fillId="0" borderId="0" xfId="0" applyFont="1" applyAlignment="1">
      <alignment vertical="center"/>
    </xf>
    <xf numFmtId="0" fontId="31" fillId="0" borderId="0" xfId="0" applyFont="1" applyAlignment="1">
      <alignment vertical="center" wrapText="1"/>
    </xf>
    <xf numFmtId="0" fontId="52" fillId="0" borderId="54" xfId="0" applyFont="1" applyBorder="1" applyAlignment="1">
      <alignment horizontal="center" vertical="center" wrapText="1"/>
    </xf>
    <xf numFmtId="4" fontId="52" fillId="0" borderId="54" xfId="0" applyNumberFormat="1" applyFont="1" applyBorder="1" applyAlignment="1">
      <alignment vertical="center"/>
    </xf>
    <xf numFmtId="0" fontId="11" fillId="0" borderId="0" xfId="0" applyFont="1" applyAlignment="1">
      <alignment horizontal="left" vertical="center"/>
    </xf>
    <xf numFmtId="0" fontId="31" fillId="0" borderId="0" xfId="0" applyFont="1" applyAlignment="1">
      <alignment vertical="center"/>
    </xf>
    <xf numFmtId="4" fontId="52" fillId="0" borderId="54" xfId="0" applyNumberFormat="1" applyFont="1" applyBorder="1"/>
    <xf numFmtId="0" fontId="11" fillId="0" borderId="0" xfId="0" applyFont="1" applyAlignment="1">
      <alignment vertical="center"/>
    </xf>
    <xf numFmtId="0" fontId="52" fillId="0" borderId="53" xfId="0" applyFont="1" applyBorder="1" applyAlignment="1">
      <alignment horizontal="left" vertical="center" wrapText="1"/>
    </xf>
    <xf numFmtId="0" fontId="52" fillId="0" borderId="0" xfId="0" applyFont="1" applyAlignment="1">
      <alignment horizontal="left" vertical="center" wrapText="1"/>
    </xf>
    <xf numFmtId="0" fontId="52" fillId="0" borderId="53" xfId="0" applyFont="1" applyBorder="1" applyAlignment="1">
      <alignment vertical="center"/>
    </xf>
    <xf numFmtId="0" fontId="31" fillId="0" borderId="0" xfId="0" applyFont="1" applyAlignment="1">
      <alignment vertical="center"/>
    </xf>
    <xf numFmtId="41" fontId="9" fillId="0" borderId="54" xfId="1" applyFont="1" applyBorder="1" applyAlignment="1">
      <alignment horizontal="left" vertical="center" wrapText="1" indent="1"/>
    </xf>
    <xf numFmtId="3" fontId="53" fillId="0" borderId="0" xfId="0" applyNumberFormat="1" applyFont="1"/>
    <xf numFmtId="0" fontId="11" fillId="0" borderId="46" xfId="0" applyFont="1" applyBorder="1" applyAlignment="1">
      <alignment horizontal="right" vertical="center" wrapText="1"/>
    </xf>
    <xf numFmtId="0" fontId="11" fillId="0" borderId="0" xfId="0" applyFont="1" applyAlignment="1">
      <alignment horizontal="right" vertical="center" wrapText="1"/>
    </xf>
    <xf numFmtId="0" fontId="11" fillId="0" borderId="78" xfId="0" applyFont="1" applyBorder="1" applyAlignment="1">
      <alignment horizontal="right" vertical="center" wrapText="1"/>
    </xf>
    <xf numFmtId="0" fontId="11" fillId="0" borderId="47" xfId="0" applyFont="1" applyBorder="1" applyAlignment="1">
      <alignment horizontal="right" vertical="center" wrapText="1"/>
    </xf>
    <xf numFmtId="41" fontId="11" fillId="0" borderId="28" xfId="0" applyNumberFormat="1" applyFont="1" applyBorder="1" applyAlignment="1">
      <alignment vertical="center" wrapText="1"/>
    </xf>
    <xf numFmtId="0" fontId="9" fillId="0" borderId="32" xfId="0" applyFont="1" applyBorder="1" applyAlignment="1">
      <alignment horizontal="center" vertical="top"/>
    </xf>
    <xf numFmtId="0" fontId="9" fillId="0" borderId="70" xfId="0" applyFont="1" applyBorder="1" applyAlignment="1">
      <alignment horizontal="center" vertical="top"/>
    </xf>
    <xf numFmtId="0" fontId="9" fillId="0" borderId="71" xfId="0" applyFont="1" applyBorder="1" applyAlignment="1">
      <alignment horizontal="center" vertical="top"/>
    </xf>
    <xf numFmtId="0" fontId="9" fillId="0" borderId="72" xfId="0" applyFont="1" applyBorder="1" applyAlignment="1">
      <alignment horizontal="center" vertical="top"/>
    </xf>
    <xf numFmtId="0" fontId="9" fillId="0" borderId="79" xfId="0" applyFont="1" applyBorder="1" applyAlignment="1">
      <alignment horizontal="center" vertical="center" wrapText="1"/>
    </xf>
    <xf numFmtId="0" fontId="9" fillId="0" borderId="77" xfId="0" applyFont="1" applyBorder="1"/>
    <xf numFmtId="164" fontId="9" fillId="0" borderId="32" xfId="0" applyNumberFormat="1" applyFont="1" applyBorder="1" applyAlignment="1">
      <alignment horizontal="center"/>
    </xf>
    <xf numFmtId="0" fontId="9" fillId="0" borderId="65" xfId="0" applyFont="1" applyBorder="1"/>
    <xf numFmtId="0" fontId="9" fillId="0" borderId="74" xfId="0" applyFont="1" applyBorder="1" applyAlignment="1">
      <alignment horizontal="center" vertical="center" wrapText="1"/>
    </xf>
    <xf numFmtId="0" fontId="9" fillId="0" borderId="75" xfId="0" applyFont="1" applyBorder="1" applyAlignment="1">
      <alignment horizontal="center" vertical="center" wrapText="1"/>
    </xf>
    <xf numFmtId="0" fontId="9" fillId="0" borderId="6" xfId="0" applyFont="1" applyBorder="1" applyAlignment="1">
      <alignment horizontal="center"/>
    </xf>
    <xf numFmtId="0" fontId="9" fillId="0" borderId="46" xfId="0" applyFont="1" applyBorder="1" applyAlignment="1">
      <alignment horizontal="center" vertical="center" wrapText="1"/>
    </xf>
    <xf numFmtId="0" fontId="9" fillId="0" borderId="78" xfId="0" applyFont="1" applyBorder="1" applyAlignment="1">
      <alignment horizontal="center" vertical="center" wrapText="1"/>
    </xf>
    <xf numFmtId="0" fontId="9" fillId="0" borderId="47" xfId="0" applyFont="1" applyBorder="1" applyAlignment="1">
      <alignment horizontal="center" vertical="center" wrapText="1"/>
    </xf>
    <xf numFmtId="0" fontId="9" fillId="0" borderId="27" xfId="0" applyFont="1" applyBorder="1" applyAlignment="1">
      <alignment horizontal="left" vertical="center" wrapText="1" indent="2"/>
    </xf>
    <xf numFmtId="0" fontId="9" fillId="0" borderId="28" xfId="0" applyFont="1" applyBorder="1" applyAlignment="1">
      <alignment horizontal="left" vertical="center" wrapText="1" indent="2"/>
    </xf>
    <xf numFmtId="0" fontId="9" fillId="0" borderId="31" xfId="0" applyFont="1" applyBorder="1" applyAlignment="1">
      <alignment vertical="center" wrapText="1"/>
    </xf>
    <xf numFmtId="41" fontId="11" fillId="2" borderId="32" xfId="0" applyNumberFormat="1" applyFont="1" applyFill="1" applyBorder="1" applyAlignment="1">
      <alignment vertical="center" wrapText="1"/>
    </xf>
    <xf numFmtId="0" fontId="11" fillId="2" borderId="32" xfId="0" applyFont="1" applyFill="1" applyBorder="1" applyAlignment="1">
      <alignment vertical="center" wrapText="1"/>
    </xf>
    <xf numFmtId="0" fontId="9" fillId="0" borderId="32" xfId="0" applyFont="1" applyBorder="1" applyAlignment="1">
      <alignment horizontal="left" vertical="center" wrapText="1" indent="8"/>
    </xf>
  </cellXfs>
  <cellStyles count="8">
    <cellStyle name="Comma [0]" xfId="1" builtinId="6"/>
    <cellStyle name="Comma [0] 2 2" xfId="4" xr:uid="{43E50C5C-E232-4BE2-A198-5AA7C82B7F5C}"/>
    <cellStyle name="Comma [0] 3" xfId="7" xr:uid="{BF77834F-7692-42FF-A55C-28ADD8264AD5}"/>
    <cellStyle name="Normal" xfId="0" builtinId="0"/>
    <cellStyle name="Normal 2" xfId="3" xr:uid="{95890A60-380A-4200-8308-89A5EA10A250}"/>
    <cellStyle name="Normal 3" xfId="5" xr:uid="{E1EB0311-096B-42E2-9127-3F18FD7800DC}"/>
    <cellStyle name="Normal 4" xfId="2" xr:uid="{F282E571-7C6B-4714-B8B9-56029F5D7DCB}"/>
    <cellStyle name="Normal 6" xfId="6" xr:uid="{27540799-E5E4-4BEA-865C-68EFDA4AB24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25204-13A9-4B5E-B8C5-22493216E335}">
  <dimension ref="A1:W1063"/>
  <sheetViews>
    <sheetView topLeftCell="A7" zoomScale="86" zoomScaleNormal="86" workbookViewId="0">
      <selection activeCell="B15" sqref="B15"/>
    </sheetView>
  </sheetViews>
  <sheetFormatPr defaultColWidth="14.42578125" defaultRowHeight="16.5"/>
  <cols>
    <col min="1" max="1" width="31.140625" style="39" customWidth="1"/>
    <col min="2" max="2" width="48.28515625" style="39" customWidth="1"/>
    <col min="3" max="3" width="10" style="39" customWidth="1"/>
    <col min="4" max="4" width="9.42578125" style="39" customWidth="1"/>
    <col min="5" max="5" width="19.7109375" style="39" customWidth="1"/>
    <col min="6" max="6" width="35.42578125" style="39" customWidth="1"/>
    <col min="7" max="23" width="8.7109375" style="39" customWidth="1"/>
    <col min="24" max="16384" width="14.42578125" style="39"/>
  </cols>
  <sheetData>
    <row r="1" spans="1:6" ht="44.25" customHeight="1">
      <c r="A1" s="496" t="s">
        <v>0</v>
      </c>
      <c r="B1" s="475"/>
      <c r="C1" s="475"/>
      <c r="D1" s="476"/>
      <c r="E1" s="497" t="s">
        <v>1</v>
      </c>
      <c r="F1" s="492"/>
    </row>
    <row r="2" spans="1:6" s="247" customFormat="1" ht="20.25" customHeight="1" thickBot="1">
      <c r="A2" s="498" t="s">
        <v>47</v>
      </c>
      <c r="B2" s="499"/>
      <c r="C2" s="499"/>
      <c r="D2" s="499"/>
      <c r="E2" s="499"/>
      <c r="F2" s="500"/>
    </row>
    <row r="3" spans="1:6">
      <c r="A3" s="248"/>
      <c r="B3" s="248"/>
      <c r="C3" s="248"/>
      <c r="D3" s="248"/>
      <c r="E3" s="248"/>
      <c r="F3" s="248"/>
    </row>
    <row r="4" spans="1:6" ht="18.75" customHeight="1">
      <c r="A4" s="39" t="s">
        <v>2</v>
      </c>
      <c r="B4" s="462" t="s">
        <v>3</v>
      </c>
      <c r="C4" s="462"/>
      <c r="D4" s="462"/>
      <c r="E4" s="462"/>
      <c r="F4" s="462"/>
    </row>
    <row r="5" spans="1:6" ht="18.75" customHeight="1">
      <c r="A5" s="39" t="s">
        <v>4</v>
      </c>
      <c r="B5" s="462" t="s">
        <v>5</v>
      </c>
      <c r="C5" s="462"/>
      <c r="D5" s="462"/>
      <c r="E5" s="462"/>
      <c r="F5" s="462"/>
    </row>
    <row r="6" spans="1:6" ht="14.25" customHeight="1">
      <c r="A6" s="39" t="s">
        <v>6</v>
      </c>
      <c r="B6" s="462" t="s">
        <v>15</v>
      </c>
      <c r="C6" s="462"/>
      <c r="D6" s="462"/>
      <c r="E6" s="462"/>
      <c r="F6" s="462"/>
    </row>
    <row r="7" spans="1:6" ht="16.5" customHeight="1">
      <c r="A7" s="39" t="s">
        <v>7</v>
      </c>
      <c r="B7" s="462" t="s">
        <v>225</v>
      </c>
      <c r="C7" s="462"/>
      <c r="D7" s="462"/>
      <c r="E7" s="462"/>
      <c r="F7" s="462"/>
    </row>
    <row r="8" spans="1:6" ht="16.5" customHeight="1">
      <c r="A8" s="39" t="s">
        <v>8</v>
      </c>
      <c r="B8" s="462" t="s">
        <v>226</v>
      </c>
      <c r="C8" s="462"/>
      <c r="D8" s="462"/>
      <c r="E8" s="462"/>
      <c r="F8" s="462"/>
    </row>
    <row r="9" spans="1:6" ht="36.75" customHeight="1">
      <c r="A9" s="39" t="s">
        <v>9</v>
      </c>
      <c r="B9" s="494" t="s">
        <v>227</v>
      </c>
      <c r="C9" s="495"/>
      <c r="D9" s="495"/>
      <c r="E9" s="495"/>
      <c r="F9" s="495"/>
    </row>
    <row r="10" spans="1:6" ht="14.25" customHeight="1">
      <c r="A10" s="39" t="s">
        <v>10</v>
      </c>
      <c r="B10" s="462" t="s">
        <v>468</v>
      </c>
      <c r="C10" s="462"/>
      <c r="D10" s="462"/>
      <c r="E10" s="462"/>
      <c r="F10" s="462"/>
    </row>
    <row r="11" spans="1:6" ht="14.25" customHeight="1">
      <c r="A11" s="39" t="s">
        <v>11</v>
      </c>
      <c r="B11" s="462" t="s">
        <v>228</v>
      </c>
      <c r="C11" s="462"/>
      <c r="D11" s="462"/>
      <c r="E11" s="462"/>
      <c r="F11" s="462"/>
    </row>
    <row r="12" spans="1:6" ht="14.25" customHeight="1">
      <c r="A12" s="39" t="s">
        <v>12</v>
      </c>
      <c r="B12" s="462" t="s">
        <v>229</v>
      </c>
      <c r="C12" s="462"/>
      <c r="D12" s="462"/>
      <c r="E12" s="462"/>
      <c r="F12" s="462"/>
    </row>
    <row r="13" spans="1:6" ht="14.25" customHeight="1">
      <c r="A13" s="39" t="s">
        <v>14</v>
      </c>
      <c r="B13" s="39" t="s">
        <v>15</v>
      </c>
    </row>
    <row r="14" spans="1:6" ht="14.25" customHeight="1">
      <c r="A14" s="39" t="s">
        <v>297</v>
      </c>
      <c r="B14" s="118">
        <v>60122000</v>
      </c>
    </row>
    <row r="15" spans="1:6" ht="14.25" customHeight="1">
      <c r="A15" s="39" t="s">
        <v>295</v>
      </c>
      <c r="B15" s="755">
        <v>60122000</v>
      </c>
    </row>
    <row r="16" spans="1:6" ht="14.25" customHeight="1">
      <c r="A16" s="39" t="s">
        <v>296</v>
      </c>
      <c r="B16" s="118">
        <f>(5%*B15)+B15</f>
        <v>63128100</v>
      </c>
    </row>
    <row r="17" spans="1:7" ht="17.25" thickBot="1">
      <c r="C17" s="249"/>
      <c r="D17" s="249"/>
      <c r="E17" s="249"/>
      <c r="F17" s="249"/>
    </row>
    <row r="18" spans="1:7">
      <c r="A18" s="491" t="s">
        <v>467</v>
      </c>
      <c r="B18" s="475"/>
      <c r="C18" s="475"/>
      <c r="D18" s="475"/>
      <c r="E18" s="475"/>
      <c r="F18" s="492"/>
    </row>
    <row r="19" spans="1:7" ht="14.25" customHeight="1">
      <c r="A19" s="250" t="s">
        <v>18</v>
      </c>
      <c r="B19" s="493" t="s">
        <v>19</v>
      </c>
      <c r="C19" s="486"/>
      <c r="D19" s="487"/>
      <c r="E19" s="493" t="s">
        <v>20</v>
      </c>
      <c r="F19" s="489"/>
    </row>
    <row r="20" spans="1:7" ht="33.75" customHeight="1">
      <c r="A20" s="443" t="s">
        <v>21</v>
      </c>
      <c r="B20" s="480" t="s">
        <v>466</v>
      </c>
      <c r="C20" s="481"/>
      <c r="D20" s="482"/>
      <c r="E20" s="483">
        <v>0.65</v>
      </c>
      <c r="F20" s="484"/>
    </row>
    <row r="21" spans="1:7" ht="20.25" customHeight="1">
      <c r="A21" s="251" t="s">
        <v>22</v>
      </c>
      <c r="B21" s="485" t="s">
        <v>230</v>
      </c>
      <c r="C21" s="486"/>
      <c r="D21" s="487"/>
      <c r="E21" s="488">
        <f>F27</f>
        <v>60121900</v>
      </c>
      <c r="F21" s="489"/>
    </row>
    <row r="22" spans="1:7" ht="49.5" customHeight="1">
      <c r="A22" s="443" t="s">
        <v>23</v>
      </c>
      <c r="B22" s="480" t="s">
        <v>472</v>
      </c>
      <c r="C22" s="481"/>
      <c r="D22" s="482"/>
      <c r="E22" s="490" t="s">
        <v>137</v>
      </c>
      <c r="F22" s="489"/>
    </row>
    <row r="23" spans="1:7" ht="102" customHeight="1" thickBot="1">
      <c r="A23" s="444" t="s">
        <v>24</v>
      </c>
      <c r="B23" s="455" t="s">
        <v>470</v>
      </c>
      <c r="C23" s="456"/>
      <c r="D23" s="457"/>
      <c r="E23" s="458" t="s">
        <v>471</v>
      </c>
      <c r="F23" s="459"/>
    </row>
    <row r="24" spans="1:7" ht="6" customHeight="1" thickBot="1">
      <c r="B24" s="249"/>
      <c r="C24" s="249"/>
      <c r="D24" s="249"/>
      <c r="E24" s="249"/>
      <c r="F24" s="249"/>
    </row>
    <row r="25" spans="1:7" ht="14.25" customHeight="1">
      <c r="A25" s="470" t="s">
        <v>25</v>
      </c>
      <c r="B25" s="472" t="s">
        <v>26</v>
      </c>
      <c r="C25" s="474" t="s">
        <v>27</v>
      </c>
      <c r="D25" s="475"/>
      <c r="E25" s="476"/>
      <c r="F25" s="252" t="s">
        <v>28</v>
      </c>
    </row>
    <row r="26" spans="1:7" ht="15.75" customHeight="1">
      <c r="A26" s="471"/>
      <c r="B26" s="473"/>
      <c r="C26" s="253" t="s">
        <v>29</v>
      </c>
      <c r="D26" s="253" t="s">
        <v>30</v>
      </c>
      <c r="E26" s="253" t="s">
        <v>31</v>
      </c>
      <c r="F26" s="254" t="s">
        <v>32</v>
      </c>
    </row>
    <row r="27" spans="1:7" ht="15.75" customHeight="1">
      <c r="A27" s="255">
        <v>5</v>
      </c>
      <c r="B27" s="256" t="s">
        <v>231</v>
      </c>
      <c r="C27" s="257"/>
      <c r="D27" s="257"/>
      <c r="E27" s="257"/>
      <c r="F27" s="258">
        <f>F32+F37+F43+F52+F85</f>
        <v>60121900</v>
      </c>
    </row>
    <row r="28" spans="1:7" ht="15.75" customHeight="1">
      <c r="A28" s="260" t="s">
        <v>66</v>
      </c>
      <c r="B28" s="256" t="s">
        <v>138</v>
      </c>
      <c r="C28" s="261"/>
      <c r="D28" s="261"/>
      <c r="E28" s="261"/>
      <c r="F28" s="262"/>
    </row>
    <row r="29" spans="1:7" ht="15.75" customHeight="1">
      <c r="A29" s="263">
        <v>37377</v>
      </c>
      <c r="B29" s="256" t="s">
        <v>69</v>
      </c>
      <c r="C29" s="261"/>
      <c r="D29" s="261"/>
      <c r="E29" s="261"/>
      <c r="F29" s="262"/>
    </row>
    <row r="30" spans="1:7" ht="15.75" customHeight="1">
      <c r="A30" s="260" t="s">
        <v>70</v>
      </c>
      <c r="B30" s="256" t="s">
        <v>71</v>
      </c>
      <c r="C30" s="261"/>
      <c r="D30" s="261"/>
      <c r="E30" s="261"/>
      <c r="F30" s="262"/>
      <c r="G30" s="259"/>
    </row>
    <row r="31" spans="1:7" ht="15.75" customHeight="1">
      <c r="A31" s="260" t="s">
        <v>232</v>
      </c>
      <c r="B31" s="256" t="s">
        <v>233</v>
      </c>
      <c r="C31" s="261"/>
      <c r="D31" s="261"/>
      <c r="E31" s="261"/>
      <c r="F31" s="262"/>
    </row>
    <row r="32" spans="1:7" ht="31.5" customHeight="1">
      <c r="A32" s="264" t="s">
        <v>258</v>
      </c>
      <c r="B32" s="256" t="s">
        <v>234</v>
      </c>
      <c r="C32" s="261"/>
      <c r="D32" s="261"/>
      <c r="E32" s="261"/>
      <c r="F32" s="265">
        <f>F35</f>
        <v>189900</v>
      </c>
    </row>
    <row r="33" spans="1:7" ht="36.75" customHeight="1">
      <c r="A33" s="266"/>
      <c r="B33" s="267" t="s">
        <v>259</v>
      </c>
      <c r="C33" s="261"/>
      <c r="D33" s="261"/>
      <c r="E33" s="261"/>
      <c r="F33" s="262"/>
    </row>
    <row r="34" spans="1:7" ht="17.25" customHeight="1">
      <c r="A34" s="266"/>
      <c r="B34" s="256" t="s">
        <v>235</v>
      </c>
      <c r="C34" s="261"/>
      <c r="D34" s="261"/>
      <c r="E34" s="261"/>
      <c r="F34" s="262"/>
    </row>
    <row r="35" spans="1:7" ht="27.6" customHeight="1">
      <c r="A35" s="264"/>
      <c r="B35" s="268" t="s">
        <v>236</v>
      </c>
      <c r="C35" s="261">
        <v>633</v>
      </c>
      <c r="D35" s="269" t="s">
        <v>237</v>
      </c>
      <c r="E35" s="270">
        <v>350</v>
      </c>
      <c r="F35" s="262">
        <f>C35*300</f>
        <v>189900</v>
      </c>
      <c r="G35" s="118"/>
    </row>
    <row r="36" spans="1:7" ht="24.95" customHeight="1">
      <c r="A36" s="271"/>
      <c r="B36" s="268"/>
      <c r="C36" s="261"/>
      <c r="D36" s="261"/>
      <c r="E36" s="261"/>
      <c r="F36" s="262"/>
    </row>
    <row r="37" spans="1:7" ht="15.75" customHeight="1">
      <c r="A37" s="264" t="s">
        <v>260</v>
      </c>
      <c r="B37" s="256" t="s">
        <v>238</v>
      </c>
      <c r="C37" s="261"/>
      <c r="D37" s="261"/>
      <c r="E37" s="261"/>
      <c r="F37" s="265">
        <f>SUM(F40:F41)</f>
        <v>5445000</v>
      </c>
    </row>
    <row r="38" spans="1:7" ht="43.5" customHeight="1">
      <c r="A38" s="266"/>
      <c r="B38" s="267" t="s">
        <v>261</v>
      </c>
      <c r="C38" s="261"/>
      <c r="D38" s="261"/>
      <c r="E38" s="261"/>
      <c r="F38" s="262"/>
    </row>
    <row r="39" spans="1:7" ht="33" customHeight="1">
      <c r="A39" s="266"/>
      <c r="B39" s="256" t="s">
        <v>239</v>
      </c>
      <c r="C39" s="261"/>
      <c r="D39" s="261"/>
      <c r="E39" s="261"/>
      <c r="F39" s="262"/>
    </row>
    <row r="40" spans="1:7" ht="27">
      <c r="A40" s="264"/>
      <c r="B40" s="268" t="s">
        <v>256</v>
      </c>
      <c r="C40" s="272">
        <v>110</v>
      </c>
      <c r="D40" s="269" t="s">
        <v>240</v>
      </c>
      <c r="E40" s="273">
        <v>33000</v>
      </c>
      <c r="F40" s="262">
        <f>C40*E40</f>
        <v>3630000</v>
      </c>
    </row>
    <row r="41" spans="1:7" ht="27">
      <c r="A41" s="264"/>
      <c r="B41" s="268" t="s">
        <v>257</v>
      </c>
      <c r="C41" s="272">
        <v>110</v>
      </c>
      <c r="D41" s="269" t="s">
        <v>240</v>
      </c>
      <c r="E41" s="273">
        <v>16500</v>
      </c>
      <c r="F41" s="262">
        <f>C41*E41</f>
        <v>1815000</v>
      </c>
    </row>
    <row r="42" spans="1:7" ht="15.75" customHeight="1">
      <c r="A42" s="271"/>
      <c r="B42" s="274"/>
      <c r="C42" s="261"/>
      <c r="D42" s="261"/>
      <c r="E42" s="261"/>
      <c r="F42" s="262"/>
    </row>
    <row r="43" spans="1:7" ht="15.75" customHeight="1">
      <c r="A43" s="260" t="s">
        <v>102</v>
      </c>
      <c r="B43" s="256" t="s">
        <v>103</v>
      </c>
      <c r="C43" s="256"/>
      <c r="D43" s="256"/>
      <c r="E43" s="256"/>
      <c r="F43" s="265">
        <f>F45</f>
        <v>7200000</v>
      </c>
    </row>
    <row r="44" spans="1:7" ht="15.75" customHeight="1">
      <c r="A44" s="260" t="s">
        <v>241</v>
      </c>
      <c r="B44" s="256" t="s">
        <v>105</v>
      </c>
      <c r="C44" s="256"/>
      <c r="D44" s="256"/>
      <c r="E44" s="256"/>
      <c r="F44" s="262"/>
    </row>
    <row r="45" spans="1:7" ht="33" customHeight="1">
      <c r="A45" s="264" t="s">
        <v>262</v>
      </c>
      <c r="B45" s="256" t="s">
        <v>242</v>
      </c>
      <c r="C45" s="256"/>
      <c r="D45" s="256"/>
      <c r="E45" s="256"/>
      <c r="F45" s="262">
        <f>SUM(F48:F51)</f>
        <v>7200000</v>
      </c>
    </row>
    <row r="46" spans="1:7" ht="32.25" customHeight="1">
      <c r="A46" s="266"/>
      <c r="B46" s="267" t="s">
        <v>263</v>
      </c>
      <c r="C46" s="267"/>
      <c r="D46" s="267"/>
      <c r="E46" s="267"/>
      <c r="F46" s="262"/>
    </row>
    <row r="47" spans="1:7" ht="18.75" customHeight="1">
      <c r="A47" s="266"/>
      <c r="B47" s="256" t="s">
        <v>243</v>
      </c>
      <c r="C47" s="256"/>
      <c r="D47" s="256"/>
      <c r="E47" s="256"/>
      <c r="F47" s="262"/>
    </row>
    <row r="48" spans="1:7" ht="48.6" customHeight="1">
      <c r="A48" s="264"/>
      <c r="B48" s="275" t="s">
        <v>264</v>
      </c>
      <c r="C48" s="269" t="s">
        <v>244</v>
      </c>
      <c r="D48" s="269" t="s">
        <v>245</v>
      </c>
      <c r="E48" s="273">
        <v>900000</v>
      </c>
      <c r="F48" s="262">
        <f>E48*4</f>
        <v>3600000</v>
      </c>
    </row>
    <row r="49" spans="1:6" ht="30" customHeight="1">
      <c r="A49" s="266"/>
      <c r="B49" s="256" t="s">
        <v>246</v>
      </c>
      <c r="C49" s="256"/>
      <c r="D49" s="256"/>
      <c r="E49" s="256"/>
      <c r="F49" s="262"/>
    </row>
    <row r="50" spans="1:6" ht="41.45" customHeight="1">
      <c r="A50" s="264"/>
      <c r="B50" s="275" t="s">
        <v>264</v>
      </c>
      <c r="C50" s="269" t="s">
        <v>244</v>
      </c>
      <c r="D50" s="269" t="s">
        <v>245</v>
      </c>
      <c r="E50" s="273">
        <v>900000</v>
      </c>
      <c r="F50" s="262">
        <f>E50*4</f>
        <v>3600000</v>
      </c>
    </row>
    <row r="51" spans="1:6" ht="17.45" customHeight="1">
      <c r="A51" s="276"/>
      <c r="B51" s="275"/>
      <c r="C51" s="269"/>
      <c r="D51" s="269"/>
      <c r="E51" s="273"/>
      <c r="F51" s="262"/>
    </row>
    <row r="52" spans="1:6" ht="20.100000000000001" customHeight="1">
      <c r="A52" s="260" t="s">
        <v>112</v>
      </c>
      <c r="B52" s="256" t="s">
        <v>113</v>
      </c>
      <c r="C52" s="256"/>
      <c r="D52" s="256"/>
      <c r="E52" s="256"/>
      <c r="F52" s="265">
        <f>F54</f>
        <v>12805000</v>
      </c>
    </row>
    <row r="53" spans="1:6" ht="20.100000000000001" customHeight="1">
      <c r="A53" s="260" t="s">
        <v>247</v>
      </c>
      <c r="B53" s="256" t="s">
        <v>115</v>
      </c>
      <c r="C53" s="256"/>
      <c r="D53" s="256"/>
      <c r="E53" s="256"/>
      <c r="F53" s="262"/>
    </row>
    <row r="54" spans="1:6" ht="27">
      <c r="A54" s="264" t="s">
        <v>265</v>
      </c>
      <c r="B54" s="256" t="s">
        <v>117</v>
      </c>
      <c r="C54" s="256"/>
      <c r="D54" s="256"/>
      <c r="E54" s="256"/>
      <c r="F54" s="262">
        <f>SUM(F57:F82)</f>
        <v>12805000</v>
      </c>
    </row>
    <row r="55" spans="1:6" ht="38.25" customHeight="1">
      <c r="A55" s="266"/>
      <c r="B55" s="267" t="s">
        <v>266</v>
      </c>
      <c r="C55" s="267"/>
      <c r="D55" s="267"/>
      <c r="E55" s="267"/>
      <c r="F55" s="262"/>
    </row>
    <row r="56" spans="1:6" ht="36" customHeight="1">
      <c r="A56" s="266"/>
      <c r="B56" s="256" t="s">
        <v>248</v>
      </c>
      <c r="C56" s="256"/>
      <c r="D56" s="256"/>
      <c r="E56" s="256"/>
      <c r="F56" s="262"/>
    </row>
    <row r="57" spans="1:6" ht="62.25" customHeight="1">
      <c r="A57" s="264"/>
      <c r="B57" s="275" t="s">
        <v>267</v>
      </c>
      <c r="C57" s="269" t="s">
        <v>249</v>
      </c>
      <c r="D57" s="269" t="s">
        <v>250</v>
      </c>
      <c r="E57" s="273">
        <v>245000</v>
      </c>
      <c r="F57" s="262">
        <f>E57*1</f>
        <v>245000</v>
      </c>
    </row>
    <row r="58" spans="1:6" ht="62.25" customHeight="1">
      <c r="A58" s="264"/>
      <c r="B58" s="275" t="s">
        <v>268</v>
      </c>
      <c r="C58" s="269" t="s">
        <v>249</v>
      </c>
      <c r="D58" s="269" t="s">
        <v>250</v>
      </c>
      <c r="E58" s="273">
        <v>135000</v>
      </c>
      <c r="F58" s="262">
        <f t="shared" ref="F58:F80" si="0">E58*1</f>
        <v>135000</v>
      </c>
    </row>
    <row r="59" spans="1:6" ht="62.25" customHeight="1">
      <c r="A59" s="264"/>
      <c r="B59" s="275" t="s">
        <v>269</v>
      </c>
      <c r="C59" s="269" t="s">
        <v>249</v>
      </c>
      <c r="D59" s="269" t="s">
        <v>250</v>
      </c>
      <c r="E59" s="273">
        <v>210000</v>
      </c>
      <c r="F59" s="262">
        <f t="shared" si="0"/>
        <v>210000</v>
      </c>
    </row>
    <row r="60" spans="1:6" ht="62.25" customHeight="1">
      <c r="A60" s="264"/>
      <c r="B60" s="275" t="s">
        <v>270</v>
      </c>
      <c r="C60" s="269" t="s">
        <v>249</v>
      </c>
      <c r="D60" s="269" t="s">
        <v>250</v>
      </c>
      <c r="E60" s="273">
        <v>255000</v>
      </c>
      <c r="F60" s="262">
        <f t="shared" si="0"/>
        <v>255000</v>
      </c>
    </row>
    <row r="61" spans="1:6" ht="62.25" customHeight="1">
      <c r="A61" s="264"/>
      <c r="B61" s="275" t="s">
        <v>271</v>
      </c>
      <c r="C61" s="269" t="s">
        <v>249</v>
      </c>
      <c r="D61" s="269" t="s">
        <v>250</v>
      </c>
      <c r="E61" s="273">
        <v>255000</v>
      </c>
      <c r="F61" s="262">
        <f t="shared" si="0"/>
        <v>255000</v>
      </c>
    </row>
    <row r="62" spans="1:6" ht="62.25" customHeight="1">
      <c r="A62" s="264"/>
      <c r="B62" s="275" t="s">
        <v>272</v>
      </c>
      <c r="C62" s="269" t="s">
        <v>249</v>
      </c>
      <c r="D62" s="269" t="s">
        <v>250</v>
      </c>
      <c r="E62" s="273">
        <v>160000</v>
      </c>
      <c r="F62" s="262">
        <f t="shared" si="0"/>
        <v>160000</v>
      </c>
    </row>
    <row r="63" spans="1:6" ht="62.25" customHeight="1">
      <c r="A63" s="264"/>
      <c r="B63" s="275" t="s">
        <v>273</v>
      </c>
      <c r="C63" s="269" t="s">
        <v>249</v>
      </c>
      <c r="D63" s="269" t="s">
        <v>250</v>
      </c>
      <c r="E63" s="273">
        <v>145000</v>
      </c>
      <c r="F63" s="262">
        <f t="shared" si="0"/>
        <v>145000</v>
      </c>
    </row>
    <row r="64" spans="1:6" ht="62.25" customHeight="1">
      <c r="A64" s="264"/>
      <c r="B64" s="275" t="s">
        <v>274</v>
      </c>
      <c r="C64" s="269" t="s">
        <v>249</v>
      </c>
      <c r="D64" s="269" t="s">
        <v>250</v>
      </c>
      <c r="E64" s="273">
        <v>210000</v>
      </c>
      <c r="F64" s="262">
        <f t="shared" si="0"/>
        <v>210000</v>
      </c>
    </row>
    <row r="65" spans="1:6" ht="62.25" customHeight="1">
      <c r="A65" s="264"/>
      <c r="B65" s="275" t="s">
        <v>275</v>
      </c>
      <c r="C65" s="269" t="s">
        <v>249</v>
      </c>
      <c r="D65" s="269" t="s">
        <v>250</v>
      </c>
      <c r="E65" s="273">
        <v>250000</v>
      </c>
      <c r="F65" s="262">
        <f t="shared" si="0"/>
        <v>250000</v>
      </c>
    </row>
    <row r="66" spans="1:6" ht="62.25" customHeight="1">
      <c r="A66" s="264"/>
      <c r="B66" s="275" t="s">
        <v>276</v>
      </c>
      <c r="C66" s="269" t="s">
        <v>251</v>
      </c>
      <c r="D66" s="269" t="s">
        <v>250</v>
      </c>
      <c r="E66" s="273">
        <v>185000</v>
      </c>
      <c r="F66" s="262">
        <f t="shared" si="0"/>
        <v>185000</v>
      </c>
    </row>
    <row r="67" spans="1:6" ht="62.25" customHeight="1">
      <c r="A67" s="264"/>
      <c r="B67" s="275" t="s">
        <v>277</v>
      </c>
      <c r="C67" s="269" t="s">
        <v>249</v>
      </c>
      <c r="D67" s="269" t="s">
        <v>250</v>
      </c>
      <c r="E67" s="273">
        <v>160000</v>
      </c>
      <c r="F67" s="262">
        <f t="shared" si="0"/>
        <v>160000</v>
      </c>
    </row>
    <row r="68" spans="1:6" ht="62.25" customHeight="1">
      <c r="A68" s="264"/>
      <c r="B68" s="275" t="s">
        <v>278</v>
      </c>
      <c r="C68" s="269" t="s">
        <v>249</v>
      </c>
      <c r="D68" s="269" t="s">
        <v>250</v>
      </c>
      <c r="E68" s="273">
        <v>185000</v>
      </c>
      <c r="F68" s="262">
        <f t="shared" si="0"/>
        <v>185000</v>
      </c>
    </row>
    <row r="69" spans="1:6" ht="62.25" customHeight="1">
      <c r="A69" s="264"/>
      <c r="B69" s="275" t="s">
        <v>279</v>
      </c>
      <c r="C69" s="269" t="s">
        <v>249</v>
      </c>
      <c r="D69" s="269" t="s">
        <v>250</v>
      </c>
      <c r="E69" s="273">
        <v>135000</v>
      </c>
      <c r="F69" s="262">
        <f t="shared" si="0"/>
        <v>135000</v>
      </c>
    </row>
    <row r="70" spans="1:6" ht="62.25" customHeight="1">
      <c r="A70" s="264"/>
      <c r="B70" s="275" t="s">
        <v>280</v>
      </c>
      <c r="C70" s="269" t="s">
        <v>249</v>
      </c>
      <c r="D70" s="269" t="s">
        <v>250</v>
      </c>
      <c r="E70" s="273">
        <v>95000</v>
      </c>
      <c r="F70" s="262">
        <f t="shared" si="0"/>
        <v>95000</v>
      </c>
    </row>
    <row r="71" spans="1:6" ht="62.25" customHeight="1">
      <c r="A71" s="264"/>
      <c r="B71" s="275" t="s">
        <v>281</v>
      </c>
      <c r="C71" s="269" t="s">
        <v>249</v>
      </c>
      <c r="D71" s="269" t="s">
        <v>250</v>
      </c>
      <c r="E71" s="273">
        <v>120000</v>
      </c>
      <c r="F71" s="262">
        <f t="shared" si="0"/>
        <v>120000</v>
      </c>
    </row>
    <row r="72" spans="1:6" ht="62.25" customHeight="1">
      <c r="A72" s="264"/>
      <c r="B72" s="275" t="s">
        <v>282</v>
      </c>
      <c r="C72" s="269" t="s">
        <v>249</v>
      </c>
      <c r="D72" s="269" t="s">
        <v>250</v>
      </c>
      <c r="E72" s="273">
        <v>90000</v>
      </c>
      <c r="F72" s="262">
        <f t="shared" si="0"/>
        <v>90000</v>
      </c>
    </row>
    <row r="73" spans="1:6" ht="62.25" customHeight="1">
      <c r="A73" s="264"/>
      <c r="B73" s="275" t="s">
        <v>283</v>
      </c>
      <c r="C73" s="269" t="s">
        <v>249</v>
      </c>
      <c r="D73" s="269" t="s">
        <v>250</v>
      </c>
      <c r="E73" s="273">
        <v>130000</v>
      </c>
      <c r="F73" s="262">
        <f t="shared" si="0"/>
        <v>130000</v>
      </c>
    </row>
    <row r="74" spans="1:6" ht="62.25" customHeight="1">
      <c r="A74" s="264"/>
      <c r="B74" s="275" t="s">
        <v>284</v>
      </c>
      <c r="C74" s="269" t="s">
        <v>249</v>
      </c>
      <c r="D74" s="269" t="s">
        <v>250</v>
      </c>
      <c r="E74" s="273">
        <v>145000</v>
      </c>
      <c r="F74" s="262">
        <f t="shared" si="0"/>
        <v>145000</v>
      </c>
    </row>
    <row r="75" spans="1:6" ht="62.25" customHeight="1">
      <c r="A75" s="264"/>
      <c r="B75" s="275" t="s">
        <v>285</v>
      </c>
      <c r="C75" s="269" t="s">
        <v>249</v>
      </c>
      <c r="D75" s="269" t="s">
        <v>250</v>
      </c>
      <c r="E75" s="273">
        <v>125000</v>
      </c>
      <c r="F75" s="262">
        <f t="shared" si="0"/>
        <v>125000</v>
      </c>
    </row>
    <row r="76" spans="1:6" ht="62.25" customHeight="1">
      <c r="A76" s="264"/>
      <c r="B76" s="275" t="s">
        <v>286</v>
      </c>
      <c r="C76" s="269" t="s">
        <v>249</v>
      </c>
      <c r="D76" s="269" t="s">
        <v>250</v>
      </c>
      <c r="E76" s="273">
        <v>220000</v>
      </c>
      <c r="F76" s="262">
        <f t="shared" si="0"/>
        <v>220000</v>
      </c>
    </row>
    <row r="77" spans="1:6" ht="62.25" customHeight="1">
      <c r="A77" s="264"/>
      <c r="B77" s="275" t="s">
        <v>287</v>
      </c>
      <c r="C77" s="269" t="s">
        <v>249</v>
      </c>
      <c r="D77" s="269" t="s">
        <v>250</v>
      </c>
      <c r="E77" s="273">
        <v>175000</v>
      </c>
      <c r="F77" s="262">
        <f t="shared" si="0"/>
        <v>175000</v>
      </c>
    </row>
    <row r="78" spans="1:6" ht="62.25" customHeight="1">
      <c r="A78" s="264"/>
      <c r="B78" s="275" t="s">
        <v>288</v>
      </c>
      <c r="C78" s="269" t="s">
        <v>249</v>
      </c>
      <c r="D78" s="269" t="s">
        <v>250</v>
      </c>
      <c r="E78" s="273">
        <v>200000</v>
      </c>
      <c r="F78" s="262">
        <f t="shared" si="0"/>
        <v>200000</v>
      </c>
    </row>
    <row r="79" spans="1:6" ht="62.25" customHeight="1">
      <c r="A79" s="264"/>
      <c r="B79" s="275" t="s">
        <v>289</v>
      </c>
      <c r="C79" s="269" t="s">
        <v>249</v>
      </c>
      <c r="D79" s="269" t="s">
        <v>250</v>
      </c>
      <c r="E79" s="273">
        <v>165000</v>
      </c>
      <c r="F79" s="262">
        <f t="shared" si="0"/>
        <v>165000</v>
      </c>
    </row>
    <row r="80" spans="1:6" ht="62.25" customHeight="1">
      <c r="A80" s="264"/>
      <c r="B80" s="275" t="s">
        <v>290</v>
      </c>
      <c r="C80" s="269" t="s">
        <v>249</v>
      </c>
      <c r="D80" s="269" t="s">
        <v>250</v>
      </c>
      <c r="E80" s="273">
        <v>140000</v>
      </c>
      <c r="F80" s="262">
        <f t="shared" si="0"/>
        <v>140000</v>
      </c>
    </row>
    <row r="81" spans="1:23" ht="41.45" customHeight="1">
      <c r="A81" s="266"/>
      <c r="B81" s="256" t="s">
        <v>252</v>
      </c>
      <c r="C81" s="256"/>
      <c r="D81" s="256"/>
      <c r="E81" s="256"/>
      <c r="F81" s="262"/>
    </row>
    <row r="82" spans="1:23" ht="41.45" customHeight="1">
      <c r="A82" s="264"/>
      <c r="B82" s="275" t="s">
        <v>291</v>
      </c>
      <c r="C82" s="272">
        <v>51</v>
      </c>
      <c r="D82" s="269" t="s">
        <v>240</v>
      </c>
      <c r="E82" s="273">
        <v>170000</v>
      </c>
      <c r="F82" s="262">
        <f>E82*C82</f>
        <v>8670000</v>
      </c>
    </row>
    <row r="83" spans="1:23" ht="15.6" customHeight="1">
      <c r="A83" s="277"/>
      <c r="B83" s="278"/>
      <c r="C83" s="279"/>
      <c r="D83" s="279"/>
      <c r="E83" s="280"/>
      <c r="F83" s="254"/>
    </row>
    <row r="84" spans="1:23" ht="23.45" customHeight="1">
      <c r="A84" s="277"/>
      <c r="B84" s="281"/>
      <c r="C84" s="282"/>
      <c r="D84" s="282"/>
      <c r="E84" s="283"/>
      <c r="F84" s="254"/>
    </row>
    <row r="85" spans="1:23" ht="41.45" customHeight="1">
      <c r="A85" s="264" t="s">
        <v>292</v>
      </c>
      <c r="B85" s="256" t="s">
        <v>253</v>
      </c>
      <c r="C85" s="256"/>
      <c r="D85" s="256"/>
      <c r="E85" s="256"/>
      <c r="F85" s="265">
        <f>F86</f>
        <v>34482000</v>
      </c>
    </row>
    <row r="86" spans="1:23" ht="41.45" customHeight="1">
      <c r="A86" s="266"/>
      <c r="B86" s="267" t="s">
        <v>293</v>
      </c>
      <c r="C86" s="267"/>
      <c r="D86" s="267"/>
      <c r="E86" s="267"/>
      <c r="F86" s="262">
        <f>SUM(F88:F91)</f>
        <v>34482000</v>
      </c>
    </row>
    <row r="87" spans="1:23" ht="41.45" customHeight="1">
      <c r="A87" s="266"/>
      <c r="B87" s="256" t="s">
        <v>254</v>
      </c>
      <c r="C87" s="256"/>
      <c r="D87" s="256"/>
      <c r="E87" s="256"/>
      <c r="F87" s="262"/>
    </row>
    <row r="88" spans="1:23" ht="57.6" customHeight="1">
      <c r="A88" s="264"/>
      <c r="B88" s="275" t="s">
        <v>294</v>
      </c>
      <c r="C88" s="272">
        <v>43</v>
      </c>
      <c r="D88" s="269" t="s">
        <v>240</v>
      </c>
      <c r="E88" s="273">
        <v>398000</v>
      </c>
      <c r="F88" s="262">
        <f>C88*E88</f>
        <v>17114000</v>
      </c>
    </row>
    <row r="89" spans="1:23" ht="18.75" customHeight="1">
      <c r="A89" s="276"/>
      <c r="B89" s="275"/>
      <c r="C89" s="272"/>
      <c r="D89" s="269"/>
      <c r="E89" s="273"/>
      <c r="F89" s="262"/>
    </row>
    <row r="90" spans="1:23" ht="30" customHeight="1">
      <c r="A90" s="276"/>
      <c r="B90" s="256" t="s">
        <v>255</v>
      </c>
      <c r="C90" s="256"/>
      <c r="D90" s="256"/>
      <c r="E90" s="256"/>
      <c r="F90" s="262"/>
    </row>
    <row r="91" spans="1:23" ht="58.5" customHeight="1">
      <c r="A91" s="276"/>
      <c r="B91" s="275" t="s">
        <v>294</v>
      </c>
      <c r="C91" s="272">
        <v>52</v>
      </c>
      <c r="D91" s="269" t="s">
        <v>240</v>
      </c>
      <c r="E91" s="273">
        <v>334000</v>
      </c>
      <c r="F91" s="262">
        <f>C91*E91</f>
        <v>17368000</v>
      </c>
    </row>
    <row r="92" spans="1:23" ht="29.45" customHeight="1">
      <c r="A92" s="277"/>
      <c r="B92" s="278"/>
      <c r="C92" s="279"/>
      <c r="D92" s="279"/>
      <c r="E92" s="280"/>
      <c r="F92" s="254"/>
    </row>
    <row r="93" spans="1:23" ht="15.75" customHeight="1" thickBot="1">
      <c r="A93" s="477" t="s">
        <v>33</v>
      </c>
      <c r="B93" s="478"/>
      <c r="C93" s="478"/>
      <c r="D93" s="478"/>
      <c r="E93" s="479"/>
      <c r="F93" s="284">
        <f>F27</f>
        <v>60121900</v>
      </c>
      <c r="G93" s="285"/>
      <c r="H93" s="285"/>
      <c r="I93" s="285"/>
      <c r="J93" s="285"/>
      <c r="K93" s="285"/>
      <c r="L93" s="285"/>
      <c r="M93" s="285"/>
      <c r="N93" s="285"/>
      <c r="O93" s="285"/>
      <c r="P93" s="285"/>
      <c r="Q93" s="285"/>
      <c r="R93" s="285"/>
      <c r="S93" s="285"/>
      <c r="T93" s="285"/>
      <c r="U93" s="285"/>
      <c r="V93" s="285"/>
      <c r="W93" s="285"/>
    </row>
    <row r="94" spans="1:23" ht="15.75" customHeight="1">
      <c r="A94" s="286"/>
      <c r="B94" s="287"/>
      <c r="C94" s="288"/>
      <c r="D94" s="289"/>
      <c r="E94" s="289"/>
      <c r="F94" s="290">
        <f>C94*E94</f>
        <v>0</v>
      </c>
    </row>
    <row r="95" spans="1:23" ht="15.75" customHeight="1">
      <c r="A95" s="251" t="s">
        <v>34</v>
      </c>
      <c r="B95" s="291"/>
      <c r="C95" s="460"/>
      <c r="D95" s="460"/>
      <c r="E95" s="460"/>
      <c r="F95" s="461"/>
    </row>
    <row r="96" spans="1:23" ht="15.75" customHeight="1" thickBot="1">
      <c r="A96" s="251" t="s">
        <v>35</v>
      </c>
      <c r="B96" s="291"/>
      <c r="C96" s="462"/>
      <c r="D96" s="462"/>
      <c r="E96" s="462"/>
      <c r="F96" s="463"/>
    </row>
    <row r="97" spans="1:6" ht="15.75" customHeight="1" thickTop="1">
      <c r="A97" s="251" t="s">
        <v>36</v>
      </c>
      <c r="B97" s="291"/>
      <c r="C97" s="464" t="s">
        <v>222</v>
      </c>
      <c r="D97" s="465"/>
      <c r="E97" s="465"/>
      <c r="F97" s="466"/>
    </row>
    <row r="98" spans="1:6" ht="15.75" customHeight="1">
      <c r="A98" s="251" t="s">
        <v>37</v>
      </c>
      <c r="B98" s="291"/>
      <c r="C98" s="467" t="s">
        <v>131</v>
      </c>
      <c r="D98" s="468"/>
      <c r="E98" s="468"/>
      <c r="F98" s="469"/>
    </row>
    <row r="99" spans="1:6" ht="15.75" customHeight="1">
      <c r="A99" s="251" t="s">
        <v>38</v>
      </c>
      <c r="B99" s="291"/>
      <c r="C99" s="446"/>
      <c r="D99" s="447"/>
      <c r="E99" s="447"/>
      <c r="F99" s="448"/>
    </row>
    <row r="100" spans="1:6" ht="15.75" customHeight="1">
      <c r="A100" s="251" t="s">
        <v>39</v>
      </c>
      <c r="B100" s="291"/>
      <c r="C100" s="446"/>
      <c r="D100" s="447"/>
      <c r="E100" s="447"/>
      <c r="F100" s="448"/>
    </row>
    <row r="101" spans="1:6" ht="15.75" customHeight="1">
      <c r="A101" s="251" t="s">
        <v>40</v>
      </c>
      <c r="B101" s="291"/>
      <c r="C101" s="449"/>
      <c r="D101" s="450"/>
      <c r="E101" s="450"/>
      <c r="F101" s="451"/>
    </row>
    <row r="102" spans="1:6" ht="15.75" customHeight="1">
      <c r="A102" s="251" t="s">
        <v>41</v>
      </c>
      <c r="B102" s="291"/>
      <c r="C102" s="452" t="s">
        <v>208</v>
      </c>
      <c r="D102" s="453"/>
      <c r="E102" s="453"/>
      <c r="F102" s="454"/>
    </row>
    <row r="103" spans="1:6" ht="15.75" customHeight="1">
      <c r="A103" s="251" t="s">
        <v>42</v>
      </c>
      <c r="B103" s="291"/>
      <c r="F103" s="292"/>
    </row>
    <row r="104" spans="1:6" ht="15.75" customHeight="1">
      <c r="A104" s="251" t="s">
        <v>43</v>
      </c>
      <c r="B104" s="291"/>
      <c r="F104" s="292"/>
    </row>
    <row r="105" spans="1:6" ht="15.75" customHeight="1">
      <c r="A105" s="251" t="s">
        <v>44</v>
      </c>
      <c r="B105" s="291"/>
      <c r="F105" s="292"/>
    </row>
    <row r="106" spans="1:6" ht="15.75" customHeight="1">
      <c r="A106" s="251" t="s">
        <v>45</v>
      </c>
      <c r="B106" s="291"/>
      <c r="F106" s="292"/>
    </row>
    <row r="107" spans="1:6" ht="15.75" customHeight="1" thickBot="1">
      <c r="A107" s="293" t="s">
        <v>28</v>
      </c>
      <c r="B107" s="294">
        <f>SUM(B95:B106)</f>
        <v>0</v>
      </c>
      <c r="C107" s="295"/>
      <c r="D107" s="295"/>
      <c r="E107" s="295"/>
      <c r="F107" s="296"/>
    </row>
    <row r="108" spans="1:6" ht="15.75" customHeight="1">
      <c r="F108" s="259"/>
    </row>
    <row r="109" spans="1:6" ht="15.75" customHeight="1">
      <c r="F109" s="259"/>
    </row>
    <row r="110" spans="1:6" ht="15.75" customHeight="1">
      <c r="F110" s="259"/>
    </row>
    <row r="111" spans="1:6" ht="15.75" customHeight="1">
      <c r="F111" s="259"/>
    </row>
    <row r="112" spans="1:6" ht="15.75" customHeight="1">
      <c r="F112" s="259"/>
    </row>
    <row r="113" spans="6:6" ht="15.75" customHeight="1">
      <c r="F113" s="259"/>
    </row>
    <row r="114" spans="6:6" ht="15.75" customHeight="1">
      <c r="F114" s="259"/>
    </row>
    <row r="115" spans="6:6" ht="15.75" customHeight="1">
      <c r="F115" s="259"/>
    </row>
    <row r="116" spans="6:6" ht="15.75" customHeight="1">
      <c r="F116" s="259"/>
    </row>
    <row r="117" spans="6:6" ht="15.75" customHeight="1">
      <c r="F117" s="259"/>
    </row>
    <row r="118" spans="6:6" ht="15.75" customHeight="1">
      <c r="F118" s="259"/>
    </row>
    <row r="119" spans="6:6" ht="15.75" customHeight="1">
      <c r="F119" s="259"/>
    </row>
    <row r="120" spans="6:6" ht="15.75" customHeight="1">
      <c r="F120" s="259"/>
    </row>
    <row r="121" spans="6:6" ht="15.75" customHeight="1">
      <c r="F121" s="259"/>
    </row>
    <row r="122" spans="6:6" ht="15.75" customHeight="1">
      <c r="F122" s="259"/>
    </row>
    <row r="123" spans="6:6" ht="15.75" customHeight="1">
      <c r="F123" s="259"/>
    </row>
    <row r="124" spans="6:6" ht="15.75" customHeight="1">
      <c r="F124" s="259"/>
    </row>
    <row r="125" spans="6:6" ht="15.75" customHeight="1">
      <c r="F125" s="259"/>
    </row>
    <row r="126" spans="6:6" ht="15.75" customHeight="1">
      <c r="F126" s="259"/>
    </row>
    <row r="127" spans="6:6" ht="15.75" customHeight="1">
      <c r="F127" s="259"/>
    </row>
    <row r="128" spans="6:6" ht="15.75" customHeight="1">
      <c r="F128" s="259"/>
    </row>
    <row r="129" spans="6:6" ht="15.75" customHeight="1">
      <c r="F129" s="259"/>
    </row>
    <row r="130" spans="6:6" ht="15.75" customHeight="1">
      <c r="F130" s="259"/>
    </row>
    <row r="131" spans="6:6" ht="15.75" customHeight="1">
      <c r="F131" s="259"/>
    </row>
    <row r="132" spans="6:6" ht="15.75" customHeight="1">
      <c r="F132" s="259"/>
    </row>
    <row r="133" spans="6:6" ht="15.75" customHeight="1">
      <c r="F133" s="259"/>
    </row>
    <row r="134" spans="6:6" ht="15.75" customHeight="1">
      <c r="F134" s="259"/>
    </row>
    <row r="135" spans="6:6" ht="15.75" customHeight="1">
      <c r="F135" s="259"/>
    </row>
    <row r="136" spans="6:6" ht="15.75" customHeight="1">
      <c r="F136" s="259"/>
    </row>
    <row r="137" spans="6:6" ht="15.75" customHeight="1">
      <c r="F137" s="259"/>
    </row>
    <row r="138" spans="6:6" ht="15.75" customHeight="1">
      <c r="F138" s="259"/>
    </row>
    <row r="139" spans="6:6" ht="15.75" customHeight="1">
      <c r="F139" s="259"/>
    </row>
    <row r="140" spans="6:6" ht="15.75" customHeight="1">
      <c r="F140" s="259"/>
    </row>
    <row r="141" spans="6:6" ht="15.75" customHeight="1">
      <c r="F141" s="259"/>
    </row>
    <row r="142" spans="6:6" ht="15.75" customHeight="1">
      <c r="F142" s="259"/>
    </row>
    <row r="143" spans="6:6" ht="15.75" customHeight="1">
      <c r="F143" s="259"/>
    </row>
    <row r="144" spans="6:6" ht="15.75" customHeight="1">
      <c r="F144" s="259"/>
    </row>
    <row r="145" spans="6:6" ht="15.75" customHeight="1">
      <c r="F145" s="259"/>
    </row>
    <row r="146" spans="6:6" ht="15.75" customHeight="1">
      <c r="F146" s="259"/>
    </row>
    <row r="147" spans="6:6" ht="15.75" customHeight="1">
      <c r="F147" s="259"/>
    </row>
    <row r="148" spans="6:6" ht="15.75" customHeight="1">
      <c r="F148" s="259"/>
    </row>
    <row r="149" spans="6:6" ht="15.75" customHeight="1">
      <c r="F149" s="259"/>
    </row>
    <row r="150" spans="6:6" ht="15.75" customHeight="1">
      <c r="F150" s="259"/>
    </row>
    <row r="151" spans="6:6" ht="15.75" customHeight="1">
      <c r="F151" s="259"/>
    </row>
    <row r="152" spans="6:6" ht="15.75" customHeight="1">
      <c r="F152" s="259"/>
    </row>
    <row r="153" spans="6:6" ht="15.75" customHeight="1">
      <c r="F153" s="259"/>
    </row>
    <row r="154" spans="6:6" ht="15.75" customHeight="1">
      <c r="F154" s="259"/>
    </row>
    <row r="155" spans="6:6" ht="15.75" customHeight="1">
      <c r="F155" s="259"/>
    </row>
    <row r="156" spans="6:6" ht="15.75" customHeight="1">
      <c r="F156" s="259"/>
    </row>
    <row r="157" spans="6:6" ht="15.75" customHeight="1">
      <c r="F157" s="259"/>
    </row>
    <row r="158" spans="6:6" ht="15.75" customHeight="1">
      <c r="F158" s="259"/>
    </row>
    <row r="159" spans="6:6" ht="15.75" customHeight="1">
      <c r="F159" s="259"/>
    </row>
    <row r="160" spans="6:6" ht="15.75" customHeight="1">
      <c r="F160" s="259"/>
    </row>
    <row r="161" spans="6:6" ht="15.75" customHeight="1">
      <c r="F161" s="259"/>
    </row>
    <row r="162" spans="6:6" ht="15.75" customHeight="1">
      <c r="F162" s="259"/>
    </row>
    <row r="163" spans="6:6" ht="15.75" customHeight="1">
      <c r="F163" s="259"/>
    </row>
    <row r="164" spans="6:6" ht="15.75" customHeight="1">
      <c r="F164" s="259"/>
    </row>
    <row r="165" spans="6:6" ht="15.75" customHeight="1">
      <c r="F165" s="259"/>
    </row>
    <row r="166" spans="6:6" ht="15.75" customHeight="1">
      <c r="F166" s="259"/>
    </row>
    <row r="167" spans="6:6" ht="15.75" customHeight="1">
      <c r="F167" s="259"/>
    </row>
    <row r="168" spans="6:6" ht="15.75" customHeight="1">
      <c r="F168" s="259"/>
    </row>
    <row r="169" spans="6:6" ht="15.75" customHeight="1">
      <c r="F169" s="259"/>
    </row>
    <row r="170" spans="6:6" ht="15.75" customHeight="1">
      <c r="F170" s="259"/>
    </row>
    <row r="171" spans="6:6" ht="15.75" customHeight="1">
      <c r="F171" s="259"/>
    </row>
    <row r="172" spans="6:6" ht="15.75" customHeight="1">
      <c r="F172" s="259"/>
    </row>
    <row r="173" spans="6:6" ht="15.75" customHeight="1">
      <c r="F173" s="259"/>
    </row>
    <row r="174" spans="6:6" ht="15.75" customHeight="1">
      <c r="F174" s="259"/>
    </row>
    <row r="175" spans="6:6" ht="15.75" customHeight="1">
      <c r="F175" s="259"/>
    </row>
    <row r="176" spans="6:6" ht="15.75" customHeight="1">
      <c r="F176" s="259"/>
    </row>
    <row r="177" spans="6:6" ht="15.75" customHeight="1">
      <c r="F177" s="259"/>
    </row>
    <row r="178" spans="6:6" ht="15.75" customHeight="1">
      <c r="F178" s="259"/>
    </row>
    <row r="179" spans="6:6" ht="15.75" customHeight="1">
      <c r="F179" s="259"/>
    </row>
    <row r="180" spans="6:6" ht="15.75" customHeight="1">
      <c r="F180" s="259"/>
    </row>
    <row r="181" spans="6:6" ht="15.75" customHeight="1">
      <c r="F181" s="259"/>
    </row>
    <row r="182" spans="6:6" ht="15.75" customHeight="1">
      <c r="F182" s="259"/>
    </row>
    <row r="183" spans="6:6" ht="15.75" customHeight="1">
      <c r="F183" s="259"/>
    </row>
    <row r="184" spans="6:6" ht="15.75" customHeight="1">
      <c r="F184" s="259"/>
    </row>
    <row r="185" spans="6:6" ht="15.75" customHeight="1">
      <c r="F185" s="259"/>
    </row>
    <row r="186" spans="6:6" ht="15.75" customHeight="1">
      <c r="F186" s="259"/>
    </row>
    <row r="187" spans="6:6" ht="15.75" customHeight="1">
      <c r="F187" s="259"/>
    </row>
    <row r="188" spans="6:6" ht="15.75" customHeight="1">
      <c r="F188" s="259"/>
    </row>
    <row r="189" spans="6:6" ht="15.75" customHeight="1">
      <c r="F189" s="259"/>
    </row>
    <row r="190" spans="6:6" ht="15.75" customHeight="1">
      <c r="F190" s="259"/>
    </row>
    <row r="191" spans="6:6" ht="15.75" customHeight="1">
      <c r="F191" s="259"/>
    </row>
    <row r="192" spans="6:6" ht="15.75" customHeight="1">
      <c r="F192" s="259"/>
    </row>
    <row r="193" spans="6:6" ht="15.75" customHeight="1">
      <c r="F193" s="259"/>
    </row>
    <row r="194" spans="6:6" ht="15.75" customHeight="1">
      <c r="F194" s="259"/>
    </row>
    <row r="195" spans="6:6" ht="15.75" customHeight="1">
      <c r="F195" s="259"/>
    </row>
    <row r="196" spans="6:6" ht="15.75" customHeight="1">
      <c r="F196" s="259"/>
    </row>
    <row r="197" spans="6:6" ht="15.75" customHeight="1">
      <c r="F197" s="259"/>
    </row>
    <row r="198" spans="6:6" ht="15.75" customHeight="1">
      <c r="F198" s="259"/>
    </row>
    <row r="199" spans="6:6" ht="15.75" customHeight="1">
      <c r="F199" s="259"/>
    </row>
    <row r="200" spans="6:6" ht="15.75" customHeight="1">
      <c r="F200" s="259"/>
    </row>
    <row r="201" spans="6:6" ht="15.75" customHeight="1">
      <c r="F201" s="259"/>
    </row>
    <row r="202" spans="6:6" ht="15.75" customHeight="1">
      <c r="F202" s="259"/>
    </row>
    <row r="203" spans="6:6" ht="15.75" customHeight="1">
      <c r="F203" s="259"/>
    </row>
    <row r="204" spans="6:6" ht="15.75" customHeight="1">
      <c r="F204" s="259"/>
    </row>
    <row r="205" spans="6:6" ht="15.75" customHeight="1">
      <c r="F205" s="259"/>
    </row>
    <row r="206" spans="6:6" ht="15.75" customHeight="1">
      <c r="F206" s="259"/>
    </row>
    <row r="207" spans="6:6" ht="15.75" customHeight="1">
      <c r="F207" s="259"/>
    </row>
    <row r="208" spans="6:6" ht="15.75" customHeight="1">
      <c r="F208" s="259"/>
    </row>
    <row r="209" spans="6:6" ht="15.75" customHeight="1">
      <c r="F209" s="259"/>
    </row>
    <row r="210" spans="6:6" ht="15.75" customHeight="1">
      <c r="F210" s="259"/>
    </row>
    <row r="211" spans="6:6" ht="15.75" customHeight="1">
      <c r="F211" s="259"/>
    </row>
    <row r="212" spans="6:6" ht="15.75" customHeight="1">
      <c r="F212" s="259"/>
    </row>
    <row r="213" spans="6:6" ht="15.75" customHeight="1">
      <c r="F213" s="259"/>
    </row>
    <row r="214" spans="6:6" ht="15.75" customHeight="1">
      <c r="F214" s="259"/>
    </row>
    <row r="215" spans="6:6" ht="15.75" customHeight="1">
      <c r="F215" s="259"/>
    </row>
    <row r="216" spans="6:6" ht="15.75" customHeight="1">
      <c r="F216" s="259"/>
    </row>
    <row r="217" spans="6:6" ht="15.75" customHeight="1">
      <c r="F217" s="259"/>
    </row>
    <row r="218" spans="6:6" ht="15.75" customHeight="1">
      <c r="F218" s="259"/>
    </row>
    <row r="219" spans="6:6" ht="15.75" customHeight="1">
      <c r="F219" s="259"/>
    </row>
    <row r="220" spans="6:6" ht="15.75" customHeight="1">
      <c r="F220" s="259"/>
    </row>
    <row r="221" spans="6:6" ht="15.75" customHeight="1">
      <c r="F221" s="259"/>
    </row>
    <row r="222" spans="6:6" ht="15.75" customHeight="1">
      <c r="F222" s="259"/>
    </row>
    <row r="223" spans="6:6" ht="15.75" customHeight="1">
      <c r="F223" s="259"/>
    </row>
    <row r="224" spans="6:6" ht="15.75" customHeight="1">
      <c r="F224" s="259"/>
    </row>
    <row r="225" spans="6:6" ht="15.75" customHeight="1">
      <c r="F225" s="259"/>
    </row>
    <row r="226" spans="6:6" ht="15.75" customHeight="1">
      <c r="F226" s="259"/>
    </row>
    <row r="227" spans="6:6" ht="15.75" customHeight="1">
      <c r="F227" s="259"/>
    </row>
    <row r="228" spans="6:6" ht="15.75" customHeight="1">
      <c r="F228" s="259"/>
    </row>
    <row r="229" spans="6:6" ht="15.75" customHeight="1">
      <c r="F229" s="259"/>
    </row>
    <row r="230" spans="6:6" ht="15.75" customHeight="1">
      <c r="F230" s="259"/>
    </row>
    <row r="231" spans="6:6" ht="15.75" customHeight="1">
      <c r="F231" s="259"/>
    </row>
    <row r="232" spans="6:6" ht="15.75" customHeight="1">
      <c r="F232" s="259"/>
    </row>
    <row r="233" spans="6:6" ht="15.75" customHeight="1">
      <c r="F233" s="259"/>
    </row>
    <row r="234" spans="6:6" ht="15.75" customHeight="1">
      <c r="F234" s="259"/>
    </row>
    <row r="235" spans="6:6" ht="15.75" customHeight="1">
      <c r="F235" s="259"/>
    </row>
    <row r="236" spans="6:6" ht="15.75" customHeight="1">
      <c r="F236" s="259"/>
    </row>
    <row r="237" spans="6:6" ht="15.75" customHeight="1">
      <c r="F237" s="259"/>
    </row>
    <row r="238" spans="6:6" ht="15.75" customHeight="1">
      <c r="F238" s="259"/>
    </row>
    <row r="239" spans="6:6" ht="15.75" customHeight="1">
      <c r="F239" s="259"/>
    </row>
    <row r="240" spans="6:6" ht="15.75" customHeight="1">
      <c r="F240" s="259"/>
    </row>
    <row r="241" spans="6:6" ht="15.75" customHeight="1">
      <c r="F241" s="259"/>
    </row>
    <row r="242" spans="6:6" ht="15.75" customHeight="1">
      <c r="F242" s="259"/>
    </row>
    <row r="243" spans="6:6" ht="15.75" customHeight="1">
      <c r="F243" s="259"/>
    </row>
    <row r="244" spans="6:6" ht="15.75" customHeight="1">
      <c r="F244" s="259"/>
    </row>
    <row r="245" spans="6:6" ht="15.75" customHeight="1">
      <c r="F245" s="259"/>
    </row>
    <row r="246" spans="6:6" ht="15.75" customHeight="1">
      <c r="F246" s="259"/>
    </row>
    <row r="247" spans="6:6" ht="15.75" customHeight="1">
      <c r="F247" s="259"/>
    </row>
    <row r="248" spans="6:6" ht="15.75" customHeight="1">
      <c r="F248" s="259"/>
    </row>
    <row r="249" spans="6:6" ht="15.75" customHeight="1">
      <c r="F249" s="259"/>
    </row>
    <row r="250" spans="6:6" ht="15.75" customHeight="1">
      <c r="F250" s="259"/>
    </row>
    <row r="251" spans="6:6" ht="15.75" customHeight="1">
      <c r="F251" s="259"/>
    </row>
    <row r="252" spans="6:6" ht="15.75" customHeight="1">
      <c r="F252" s="259"/>
    </row>
    <row r="253" spans="6:6" ht="15.75" customHeight="1">
      <c r="F253" s="259"/>
    </row>
    <row r="254" spans="6:6" ht="15.75" customHeight="1">
      <c r="F254" s="259"/>
    </row>
    <row r="255" spans="6:6" ht="15.75" customHeight="1">
      <c r="F255" s="259"/>
    </row>
    <row r="256" spans="6:6" ht="15.75" customHeight="1">
      <c r="F256" s="259"/>
    </row>
    <row r="257" spans="6:6" ht="15.75" customHeight="1">
      <c r="F257" s="259"/>
    </row>
    <row r="258" spans="6:6" ht="15.75" customHeight="1">
      <c r="F258" s="259"/>
    </row>
    <row r="259" spans="6:6" ht="15.75" customHeight="1">
      <c r="F259" s="259"/>
    </row>
    <row r="260" spans="6:6" ht="15.75" customHeight="1">
      <c r="F260" s="259"/>
    </row>
    <row r="261" spans="6:6" ht="15.75" customHeight="1">
      <c r="F261" s="259"/>
    </row>
    <row r="262" spans="6:6" ht="15.75" customHeight="1">
      <c r="F262" s="259"/>
    </row>
    <row r="263" spans="6:6" ht="15.75" customHeight="1">
      <c r="F263" s="259"/>
    </row>
    <row r="264" spans="6:6" ht="15.75" customHeight="1">
      <c r="F264" s="259"/>
    </row>
    <row r="265" spans="6:6" ht="15.75" customHeight="1">
      <c r="F265" s="259"/>
    </row>
    <row r="266" spans="6:6" ht="15.75" customHeight="1">
      <c r="F266" s="259"/>
    </row>
    <row r="267" spans="6:6" ht="15.75" customHeight="1">
      <c r="F267" s="259"/>
    </row>
    <row r="268" spans="6:6" ht="15.75" customHeight="1">
      <c r="F268" s="259"/>
    </row>
    <row r="269" spans="6:6" ht="15.75" customHeight="1">
      <c r="F269" s="259"/>
    </row>
    <row r="270" spans="6:6" ht="15.75" customHeight="1">
      <c r="F270" s="259"/>
    </row>
    <row r="271" spans="6:6" ht="15.75" customHeight="1">
      <c r="F271" s="259"/>
    </row>
    <row r="272" spans="6:6" ht="15.75" customHeight="1">
      <c r="F272" s="259"/>
    </row>
    <row r="273" spans="6:6" ht="15.75" customHeight="1">
      <c r="F273" s="259"/>
    </row>
    <row r="274" spans="6:6" ht="15.75" customHeight="1">
      <c r="F274" s="259"/>
    </row>
    <row r="275" spans="6:6" ht="15.75" customHeight="1">
      <c r="F275" s="259"/>
    </row>
    <row r="276" spans="6:6" ht="15.75" customHeight="1">
      <c r="F276" s="259"/>
    </row>
    <row r="277" spans="6:6" ht="15.75" customHeight="1">
      <c r="F277" s="259"/>
    </row>
    <row r="278" spans="6:6" ht="15.75" customHeight="1">
      <c r="F278" s="259"/>
    </row>
    <row r="279" spans="6:6" ht="15.75" customHeight="1">
      <c r="F279" s="259"/>
    </row>
    <row r="280" spans="6:6" ht="15.75" customHeight="1">
      <c r="F280" s="259"/>
    </row>
    <row r="281" spans="6:6" ht="15.75" customHeight="1">
      <c r="F281" s="259"/>
    </row>
    <row r="282" spans="6:6" ht="15.75" customHeight="1">
      <c r="F282" s="259"/>
    </row>
    <row r="283" spans="6:6" ht="15.75" customHeight="1">
      <c r="F283" s="259"/>
    </row>
    <row r="284" spans="6:6" ht="15.75" customHeight="1">
      <c r="F284" s="259"/>
    </row>
    <row r="285" spans="6:6" ht="15.75" customHeight="1">
      <c r="F285" s="259"/>
    </row>
    <row r="286" spans="6:6" ht="15.75" customHeight="1">
      <c r="F286" s="259"/>
    </row>
    <row r="287" spans="6:6" ht="15.75" customHeight="1">
      <c r="F287" s="259"/>
    </row>
    <row r="288" spans="6:6" ht="15.75" customHeight="1">
      <c r="F288" s="259"/>
    </row>
    <row r="289" spans="6:6" ht="15.75" customHeight="1">
      <c r="F289" s="259"/>
    </row>
    <row r="290" spans="6:6" ht="15.75" customHeight="1">
      <c r="F290" s="259"/>
    </row>
    <row r="291" spans="6:6" ht="15.75" customHeight="1">
      <c r="F291" s="259"/>
    </row>
    <row r="292" spans="6:6" ht="15.75" customHeight="1">
      <c r="F292" s="259"/>
    </row>
    <row r="293" spans="6:6" ht="15.75" customHeight="1">
      <c r="F293" s="259"/>
    </row>
    <row r="294" spans="6:6" ht="15.75" customHeight="1">
      <c r="F294" s="259"/>
    </row>
    <row r="295" spans="6:6" ht="15.75" customHeight="1">
      <c r="F295" s="259"/>
    </row>
    <row r="296" spans="6:6" ht="15.75" customHeight="1">
      <c r="F296" s="259"/>
    </row>
    <row r="297" spans="6:6" ht="15.75" customHeight="1">
      <c r="F297" s="259"/>
    </row>
    <row r="298" spans="6:6" ht="15.75" customHeight="1">
      <c r="F298" s="259"/>
    </row>
    <row r="299" spans="6:6" ht="15.75" customHeight="1">
      <c r="F299" s="259"/>
    </row>
    <row r="300" spans="6:6" ht="15.75" customHeight="1">
      <c r="F300" s="259"/>
    </row>
    <row r="301" spans="6:6" ht="15.75" customHeight="1">
      <c r="F301" s="259"/>
    </row>
    <row r="302" spans="6:6" ht="15.75" customHeight="1">
      <c r="F302" s="259"/>
    </row>
    <row r="303" spans="6:6" ht="15.75" customHeight="1">
      <c r="F303" s="259"/>
    </row>
    <row r="304" spans="6:6" ht="15.75" customHeight="1">
      <c r="F304" s="259"/>
    </row>
    <row r="305" spans="6:6" ht="15.75" customHeight="1">
      <c r="F305" s="259"/>
    </row>
    <row r="306" spans="6:6" ht="15.75" customHeight="1">
      <c r="F306" s="259"/>
    </row>
    <row r="307" spans="6:6" ht="15.75" customHeight="1">
      <c r="F307" s="259"/>
    </row>
    <row r="308" spans="6:6" ht="15.75" customHeight="1">
      <c r="F308" s="259"/>
    </row>
    <row r="309" spans="6:6" ht="15.75" customHeight="1">
      <c r="F309" s="259"/>
    </row>
    <row r="310" spans="6:6" ht="15.75" customHeight="1">
      <c r="F310" s="259"/>
    </row>
    <row r="311" spans="6:6" ht="15.75" customHeight="1">
      <c r="F311" s="259"/>
    </row>
    <row r="312" spans="6:6" ht="15.75" customHeight="1">
      <c r="F312" s="259"/>
    </row>
    <row r="313" spans="6:6" ht="15.75" customHeight="1">
      <c r="F313" s="259"/>
    </row>
    <row r="314" spans="6:6" ht="15.75" customHeight="1">
      <c r="F314" s="259"/>
    </row>
    <row r="315" spans="6:6" ht="15.75" customHeight="1">
      <c r="F315" s="259"/>
    </row>
    <row r="316" spans="6:6" ht="15.75" customHeight="1">
      <c r="F316" s="259"/>
    </row>
    <row r="317" spans="6:6" ht="15.75" customHeight="1">
      <c r="F317" s="259"/>
    </row>
    <row r="318" spans="6:6" ht="15.75" customHeight="1">
      <c r="F318" s="259"/>
    </row>
    <row r="319" spans="6:6" ht="15.75" customHeight="1">
      <c r="F319" s="259"/>
    </row>
    <row r="320" spans="6:6" ht="15.75" customHeight="1">
      <c r="F320" s="259"/>
    </row>
    <row r="321" spans="6:6" ht="15.75" customHeight="1">
      <c r="F321" s="259"/>
    </row>
    <row r="322" spans="6:6" ht="15.75" customHeight="1">
      <c r="F322" s="259"/>
    </row>
    <row r="323" spans="6:6" ht="15.75" customHeight="1">
      <c r="F323" s="259"/>
    </row>
    <row r="324" spans="6:6" ht="15.75" customHeight="1">
      <c r="F324" s="259"/>
    </row>
    <row r="325" spans="6:6" ht="15.75" customHeight="1">
      <c r="F325" s="259"/>
    </row>
    <row r="326" spans="6:6" ht="15.75" customHeight="1">
      <c r="F326" s="259"/>
    </row>
    <row r="327" spans="6:6" ht="15.75" customHeight="1">
      <c r="F327" s="259"/>
    </row>
    <row r="328" spans="6:6" ht="15.75" customHeight="1">
      <c r="F328" s="259"/>
    </row>
    <row r="329" spans="6:6" ht="15.75" customHeight="1">
      <c r="F329" s="259"/>
    </row>
    <row r="330" spans="6:6" ht="15.75" customHeight="1">
      <c r="F330" s="259"/>
    </row>
    <row r="331" spans="6:6" ht="15.75" customHeight="1">
      <c r="F331" s="259"/>
    </row>
    <row r="332" spans="6:6" ht="15.75" customHeight="1">
      <c r="F332" s="259"/>
    </row>
    <row r="333" spans="6:6" ht="15.75" customHeight="1">
      <c r="F333" s="259"/>
    </row>
    <row r="334" spans="6:6" ht="15.75" customHeight="1">
      <c r="F334" s="259"/>
    </row>
    <row r="335" spans="6:6" ht="15.75" customHeight="1">
      <c r="F335" s="259"/>
    </row>
    <row r="336" spans="6:6" ht="15.75" customHeight="1">
      <c r="F336" s="259"/>
    </row>
    <row r="337" spans="6:6" ht="15.75" customHeight="1">
      <c r="F337" s="259"/>
    </row>
    <row r="338" spans="6:6" ht="15.75" customHeight="1">
      <c r="F338" s="259"/>
    </row>
    <row r="339" spans="6:6" ht="15.75" customHeight="1">
      <c r="F339" s="259"/>
    </row>
    <row r="340" spans="6:6" ht="15.75" customHeight="1">
      <c r="F340" s="259"/>
    </row>
    <row r="341" spans="6:6" ht="15.75" customHeight="1">
      <c r="F341" s="259"/>
    </row>
    <row r="342" spans="6:6" ht="15.75" customHeight="1">
      <c r="F342" s="259"/>
    </row>
    <row r="343" spans="6:6" ht="15.75" customHeight="1">
      <c r="F343" s="259"/>
    </row>
    <row r="344" spans="6:6" ht="15.75" customHeight="1">
      <c r="F344" s="259"/>
    </row>
    <row r="345" spans="6:6" ht="15.75" customHeight="1">
      <c r="F345" s="259"/>
    </row>
    <row r="346" spans="6:6" ht="15.75" customHeight="1">
      <c r="F346" s="259"/>
    </row>
    <row r="347" spans="6:6" ht="15.75" customHeight="1">
      <c r="F347" s="259"/>
    </row>
    <row r="348" spans="6:6" ht="15.75" customHeight="1">
      <c r="F348" s="259"/>
    </row>
    <row r="349" spans="6:6" ht="15.75" customHeight="1">
      <c r="F349" s="259"/>
    </row>
    <row r="350" spans="6:6" ht="15.75" customHeight="1">
      <c r="F350" s="259"/>
    </row>
    <row r="351" spans="6:6" ht="15.75" customHeight="1">
      <c r="F351" s="259"/>
    </row>
    <row r="352" spans="6:6" ht="15.75" customHeight="1">
      <c r="F352" s="259"/>
    </row>
    <row r="353" spans="6:6" ht="15.75" customHeight="1">
      <c r="F353" s="259"/>
    </row>
    <row r="354" spans="6:6" ht="15.75" customHeight="1">
      <c r="F354" s="259"/>
    </row>
    <row r="355" spans="6:6" ht="15.75" customHeight="1">
      <c r="F355" s="259"/>
    </row>
    <row r="356" spans="6:6" ht="15.75" customHeight="1">
      <c r="F356" s="259"/>
    </row>
    <row r="357" spans="6:6" ht="15.75" customHeight="1">
      <c r="F357" s="259"/>
    </row>
    <row r="358" spans="6:6" ht="15.75" customHeight="1">
      <c r="F358" s="259"/>
    </row>
    <row r="359" spans="6:6" ht="15.75" customHeight="1">
      <c r="F359" s="259"/>
    </row>
    <row r="360" spans="6:6" ht="15.75" customHeight="1">
      <c r="F360" s="259"/>
    </row>
    <row r="361" spans="6:6" ht="15.75" customHeight="1">
      <c r="F361" s="259"/>
    </row>
    <row r="362" spans="6:6" ht="15.75" customHeight="1">
      <c r="F362" s="259"/>
    </row>
    <row r="363" spans="6:6" ht="15.75" customHeight="1">
      <c r="F363" s="259"/>
    </row>
    <row r="364" spans="6:6" ht="15.75" customHeight="1">
      <c r="F364" s="259"/>
    </row>
    <row r="365" spans="6:6" ht="15.75" customHeight="1">
      <c r="F365" s="259"/>
    </row>
    <row r="366" spans="6:6" ht="15.75" customHeight="1">
      <c r="F366" s="259"/>
    </row>
    <row r="367" spans="6:6" ht="15.75" customHeight="1">
      <c r="F367" s="259"/>
    </row>
    <row r="368" spans="6:6" ht="15.75" customHeight="1">
      <c r="F368" s="259"/>
    </row>
    <row r="369" spans="6:6" ht="15.75" customHeight="1">
      <c r="F369" s="259"/>
    </row>
    <row r="370" spans="6:6" ht="15.75" customHeight="1">
      <c r="F370" s="259"/>
    </row>
    <row r="371" spans="6:6" ht="15.75" customHeight="1">
      <c r="F371" s="259"/>
    </row>
    <row r="372" spans="6:6" ht="15.75" customHeight="1">
      <c r="F372" s="259"/>
    </row>
    <row r="373" spans="6:6" ht="15.75" customHeight="1">
      <c r="F373" s="259"/>
    </row>
    <row r="374" spans="6:6" ht="15.75" customHeight="1">
      <c r="F374" s="259"/>
    </row>
    <row r="375" spans="6:6" ht="15.75" customHeight="1">
      <c r="F375" s="259"/>
    </row>
    <row r="376" spans="6:6" ht="15.75" customHeight="1">
      <c r="F376" s="259"/>
    </row>
    <row r="377" spans="6:6" ht="15.75" customHeight="1">
      <c r="F377" s="259"/>
    </row>
    <row r="378" spans="6:6" ht="15.75" customHeight="1">
      <c r="F378" s="259"/>
    </row>
    <row r="379" spans="6:6" ht="15.75" customHeight="1">
      <c r="F379" s="259"/>
    </row>
    <row r="380" spans="6:6" ht="15.75" customHeight="1">
      <c r="F380" s="259"/>
    </row>
    <row r="381" spans="6:6" ht="15.75" customHeight="1">
      <c r="F381" s="259"/>
    </row>
    <row r="382" spans="6:6" ht="15.75" customHeight="1">
      <c r="F382" s="259"/>
    </row>
    <row r="383" spans="6:6" ht="15.75" customHeight="1">
      <c r="F383" s="259"/>
    </row>
    <row r="384" spans="6:6" ht="15.75" customHeight="1">
      <c r="F384" s="259"/>
    </row>
    <row r="385" spans="6:6" ht="15.75" customHeight="1">
      <c r="F385" s="259"/>
    </row>
    <row r="386" spans="6:6" ht="15.75" customHeight="1">
      <c r="F386" s="259"/>
    </row>
    <row r="387" spans="6:6" ht="15.75" customHeight="1">
      <c r="F387" s="259"/>
    </row>
    <row r="388" spans="6:6" ht="15.75" customHeight="1">
      <c r="F388" s="259"/>
    </row>
    <row r="389" spans="6:6" ht="15.75" customHeight="1">
      <c r="F389" s="259"/>
    </row>
    <row r="390" spans="6:6" ht="15.75" customHeight="1">
      <c r="F390" s="259"/>
    </row>
    <row r="391" spans="6:6" ht="15.75" customHeight="1">
      <c r="F391" s="259"/>
    </row>
    <row r="392" spans="6:6" ht="15.75" customHeight="1">
      <c r="F392" s="259"/>
    </row>
    <row r="393" spans="6:6" ht="15.75" customHeight="1">
      <c r="F393" s="259"/>
    </row>
    <row r="394" spans="6:6" ht="15.75" customHeight="1">
      <c r="F394" s="259"/>
    </row>
    <row r="395" spans="6:6" ht="15.75" customHeight="1">
      <c r="F395" s="259"/>
    </row>
    <row r="396" spans="6:6" ht="15.75" customHeight="1">
      <c r="F396" s="259"/>
    </row>
    <row r="397" spans="6:6" ht="15.75" customHeight="1">
      <c r="F397" s="259"/>
    </row>
    <row r="398" spans="6:6" ht="15.75" customHeight="1">
      <c r="F398" s="259"/>
    </row>
    <row r="399" spans="6:6" ht="15.75" customHeight="1">
      <c r="F399" s="259"/>
    </row>
    <row r="400" spans="6:6" ht="15.75" customHeight="1">
      <c r="F400" s="259"/>
    </row>
    <row r="401" spans="6:6" ht="15.75" customHeight="1">
      <c r="F401" s="259"/>
    </row>
    <row r="402" spans="6:6" ht="15.75" customHeight="1">
      <c r="F402" s="259"/>
    </row>
    <row r="403" spans="6:6" ht="15.75" customHeight="1">
      <c r="F403" s="259"/>
    </row>
    <row r="404" spans="6:6" ht="15.75" customHeight="1">
      <c r="F404" s="259"/>
    </row>
    <row r="405" spans="6:6" ht="15.75" customHeight="1">
      <c r="F405" s="259"/>
    </row>
    <row r="406" spans="6:6" ht="15.75" customHeight="1">
      <c r="F406" s="259"/>
    </row>
    <row r="407" spans="6:6" ht="15.75" customHeight="1">
      <c r="F407" s="259"/>
    </row>
    <row r="408" spans="6:6" ht="15.75" customHeight="1">
      <c r="F408" s="259"/>
    </row>
    <row r="409" spans="6:6" ht="15.75" customHeight="1">
      <c r="F409" s="259"/>
    </row>
    <row r="410" spans="6:6" ht="15.75" customHeight="1">
      <c r="F410" s="259"/>
    </row>
    <row r="411" spans="6:6" ht="15.75" customHeight="1">
      <c r="F411" s="259"/>
    </row>
    <row r="412" spans="6:6" ht="15.75" customHeight="1">
      <c r="F412" s="259"/>
    </row>
    <row r="413" spans="6:6" ht="15.75" customHeight="1">
      <c r="F413" s="259"/>
    </row>
    <row r="414" spans="6:6" ht="15.75" customHeight="1">
      <c r="F414" s="259"/>
    </row>
    <row r="415" spans="6:6" ht="15.75" customHeight="1">
      <c r="F415" s="259"/>
    </row>
    <row r="416" spans="6:6" ht="15.75" customHeight="1">
      <c r="F416" s="259"/>
    </row>
    <row r="417" spans="6:6" ht="15.75" customHeight="1">
      <c r="F417" s="259"/>
    </row>
    <row r="418" spans="6:6" ht="15.75" customHeight="1">
      <c r="F418" s="259"/>
    </row>
    <row r="419" spans="6:6" ht="15.75" customHeight="1">
      <c r="F419" s="259"/>
    </row>
    <row r="420" spans="6:6" ht="15.75" customHeight="1">
      <c r="F420" s="259"/>
    </row>
    <row r="421" spans="6:6" ht="15.75" customHeight="1">
      <c r="F421" s="259"/>
    </row>
    <row r="422" spans="6:6" ht="15.75" customHeight="1">
      <c r="F422" s="259"/>
    </row>
    <row r="423" spans="6:6" ht="15.75" customHeight="1">
      <c r="F423" s="259"/>
    </row>
    <row r="424" spans="6:6" ht="15.75" customHeight="1">
      <c r="F424" s="259"/>
    </row>
    <row r="425" spans="6:6" ht="15.75" customHeight="1">
      <c r="F425" s="259"/>
    </row>
    <row r="426" spans="6:6" ht="15.75" customHeight="1">
      <c r="F426" s="259"/>
    </row>
    <row r="427" spans="6:6" ht="15.75" customHeight="1">
      <c r="F427" s="259"/>
    </row>
    <row r="428" spans="6:6" ht="15.75" customHeight="1">
      <c r="F428" s="259"/>
    </row>
    <row r="429" spans="6:6" ht="15.75" customHeight="1">
      <c r="F429" s="259"/>
    </row>
    <row r="430" spans="6:6" ht="15.75" customHeight="1">
      <c r="F430" s="259"/>
    </row>
    <row r="431" spans="6:6" ht="15.75" customHeight="1">
      <c r="F431" s="259"/>
    </row>
    <row r="432" spans="6:6" ht="15.75" customHeight="1">
      <c r="F432" s="259"/>
    </row>
    <row r="433" spans="6:6" ht="15.75" customHeight="1">
      <c r="F433" s="259"/>
    </row>
    <row r="434" spans="6:6" ht="15.75" customHeight="1">
      <c r="F434" s="259"/>
    </row>
    <row r="435" spans="6:6" ht="15.75" customHeight="1">
      <c r="F435" s="259"/>
    </row>
    <row r="436" spans="6:6" ht="15.75" customHeight="1">
      <c r="F436" s="259"/>
    </row>
    <row r="437" spans="6:6" ht="15.75" customHeight="1">
      <c r="F437" s="259"/>
    </row>
    <row r="438" spans="6:6" ht="15.75" customHeight="1">
      <c r="F438" s="259"/>
    </row>
    <row r="439" spans="6:6" ht="15.75" customHeight="1">
      <c r="F439" s="259"/>
    </row>
    <row r="440" spans="6:6" ht="15.75" customHeight="1">
      <c r="F440" s="259"/>
    </row>
    <row r="441" spans="6:6" ht="15.75" customHeight="1">
      <c r="F441" s="259"/>
    </row>
    <row r="442" spans="6:6" ht="15.75" customHeight="1">
      <c r="F442" s="259"/>
    </row>
    <row r="443" spans="6:6" ht="15.75" customHeight="1">
      <c r="F443" s="259"/>
    </row>
    <row r="444" spans="6:6" ht="15.75" customHeight="1">
      <c r="F444" s="259"/>
    </row>
    <row r="445" spans="6:6" ht="15.75" customHeight="1">
      <c r="F445" s="259"/>
    </row>
    <row r="446" spans="6:6" ht="15.75" customHeight="1">
      <c r="F446" s="259"/>
    </row>
    <row r="447" spans="6:6" ht="15.75" customHeight="1">
      <c r="F447" s="259"/>
    </row>
    <row r="448" spans="6:6" ht="15.75" customHeight="1">
      <c r="F448" s="259"/>
    </row>
    <row r="449" spans="6:6" ht="15.75" customHeight="1">
      <c r="F449" s="259"/>
    </row>
    <row r="450" spans="6:6" ht="15.75" customHeight="1">
      <c r="F450" s="259"/>
    </row>
    <row r="451" spans="6:6" ht="15.75" customHeight="1">
      <c r="F451" s="259"/>
    </row>
    <row r="452" spans="6:6" ht="15.75" customHeight="1">
      <c r="F452" s="259"/>
    </row>
    <row r="453" spans="6:6" ht="15.75" customHeight="1">
      <c r="F453" s="259"/>
    </row>
    <row r="454" spans="6:6" ht="15.75" customHeight="1">
      <c r="F454" s="259"/>
    </row>
    <row r="455" spans="6:6" ht="15.75" customHeight="1">
      <c r="F455" s="259"/>
    </row>
    <row r="456" spans="6:6" ht="15.75" customHeight="1">
      <c r="F456" s="259"/>
    </row>
    <row r="457" spans="6:6" ht="15.75" customHeight="1">
      <c r="F457" s="259"/>
    </row>
    <row r="458" spans="6:6" ht="15.75" customHeight="1">
      <c r="F458" s="259"/>
    </row>
    <row r="459" spans="6:6" ht="15.75" customHeight="1">
      <c r="F459" s="259"/>
    </row>
    <row r="460" spans="6:6" ht="15.75" customHeight="1">
      <c r="F460" s="259"/>
    </row>
    <row r="461" spans="6:6" ht="15.75" customHeight="1">
      <c r="F461" s="259"/>
    </row>
    <row r="462" spans="6:6" ht="15.75" customHeight="1">
      <c r="F462" s="259"/>
    </row>
    <row r="463" spans="6:6" ht="15.75" customHeight="1">
      <c r="F463" s="259"/>
    </row>
    <row r="464" spans="6:6" ht="15.75" customHeight="1">
      <c r="F464" s="259"/>
    </row>
    <row r="465" spans="6:6" ht="15.75" customHeight="1">
      <c r="F465" s="259"/>
    </row>
    <row r="466" spans="6:6" ht="15.75" customHeight="1">
      <c r="F466" s="259"/>
    </row>
    <row r="467" spans="6:6" ht="15.75" customHeight="1">
      <c r="F467" s="259"/>
    </row>
    <row r="468" spans="6:6" ht="15.75" customHeight="1">
      <c r="F468" s="259"/>
    </row>
    <row r="469" spans="6:6" ht="15.75" customHeight="1">
      <c r="F469" s="259"/>
    </row>
    <row r="470" spans="6:6" ht="15.75" customHeight="1">
      <c r="F470" s="259"/>
    </row>
    <row r="471" spans="6:6" ht="15.75" customHeight="1">
      <c r="F471" s="259"/>
    </row>
    <row r="472" spans="6:6" ht="15.75" customHeight="1">
      <c r="F472" s="259"/>
    </row>
    <row r="473" spans="6:6" ht="15.75" customHeight="1">
      <c r="F473" s="259"/>
    </row>
    <row r="474" spans="6:6" ht="15.75" customHeight="1">
      <c r="F474" s="259"/>
    </row>
    <row r="475" spans="6:6" ht="15.75" customHeight="1">
      <c r="F475" s="259"/>
    </row>
    <row r="476" spans="6:6" ht="15.75" customHeight="1">
      <c r="F476" s="259"/>
    </row>
    <row r="477" spans="6:6" ht="15.75" customHeight="1">
      <c r="F477" s="259"/>
    </row>
    <row r="478" spans="6:6" ht="15.75" customHeight="1">
      <c r="F478" s="259"/>
    </row>
    <row r="479" spans="6:6" ht="15.75" customHeight="1">
      <c r="F479" s="259"/>
    </row>
    <row r="480" spans="6:6" ht="15.75" customHeight="1">
      <c r="F480" s="259"/>
    </row>
    <row r="481" spans="6:6" ht="15.75" customHeight="1">
      <c r="F481" s="259"/>
    </row>
    <row r="482" spans="6:6" ht="15.75" customHeight="1">
      <c r="F482" s="259"/>
    </row>
    <row r="483" spans="6:6" ht="15.75" customHeight="1">
      <c r="F483" s="259"/>
    </row>
    <row r="484" spans="6:6" ht="15.75" customHeight="1">
      <c r="F484" s="259"/>
    </row>
    <row r="485" spans="6:6" ht="15.75" customHeight="1">
      <c r="F485" s="259"/>
    </row>
    <row r="486" spans="6:6" ht="15.75" customHeight="1">
      <c r="F486" s="259"/>
    </row>
    <row r="487" spans="6:6" ht="15.75" customHeight="1">
      <c r="F487" s="259"/>
    </row>
    <row r="488" spans="6:6" ht="15.75" customHeight="1">
      <c r="F488" s="259"/>
    </row>
    <row r="489" spans="6:6" ht="15.75" customHeight="1">
      <c r="F489" s="259"/>
    </row>
    <row r="490" spans="6:6" ht="15.75" customHeight="1">
      <c r="F490" s="259"/>
    </row>
    <row r="491" spans="6:6" ht="15.75" customHeight="1">
      <c r="F491" s="259"/>
    </row>
    <row r="492" spans="6:6" ht="15.75" customHeight="1">
      <c r="F492" s="259"/>
    </row>
    <row r="493" spans="6:6" ht="15.75" customHeight="1">
      <c r="F493" s="259"/>
    </row>
    <row r="494" spans="6:6" ht="15.75" customHeight="1">
      <c r="F494" s="259"/>
    </row>
    <row r="495" spans="6:6" ht="15.75" customHeight="1">
      <c r="F495" s="259"/>
    </row>
    <row r="496" spans="6:6" ht="15.75" customHeight="1">
      <c r="F496" s="259"/>
    </row>
    <row r="497" spans="6:6" ht="15.75" customHeight="1">
      <c r="F497" s="259"/>
    </row>
    <row r="498" spans="6:6" ht="15.75" customHeight="1">
      <c r="F498" s="259"/>
    </row>
    <row r="499" spans="6:6" ht="15.75" customHeight="1">
      <c r="F499" s="259"/>
    </row>
    <row r="500" spans="6:6" ht="15.75" customHeight="1">
      <c r="F500" s="259"/>
    </row>
    <row r="501" spans="6:6" ht="15.75" customHeight="1">
      <c r="F501" s="259"/>
    </row>
    <row r="502" spans="6:6" ht="15.75" customHeight="1">
      <c r="F502" s="259"/>
    </row>
    <row r="503" spans="6:6" ht="15.75" customHeight="1">
      <c r="F503" s="259"/>
    </row>
    <row r="504" spans="6:6" ht="15.75" customHeight="1">
      <c r="F504" s="259"/>
    </row>
    <row r="505" spans="6:6" ht="15.75" customHeight="1">
      <c r="F505" s="259"/>
    </row>
    <row r="506" spans="6:6" ht="15.75" customHeight="1">
      <c r="F506" s="259"/>
    </row>
    <row r="507" spans="6:6" ht="15.75" customHeight="1">
      <c r="F507" s="259"/>
    </row>
    <row r="508" spans="6:6" ht="15.75" customHeight="1">
      <c r="F508" s="259"/>
    </row>
    <row r="509" spans="6:6" ht="15.75" customHeight="1">
      <c r="F509" s="259"/>
    </row>
    <row r="510" spans="6:6" ht="15.75" customHeight="1">
      <c r="F510" s="259"/>
    </row>
    <row r="511" spans="6:6" ht="15.75" customHeight="1">
      <c r="F511" s="259"/>
    </row>
    <row r="512" spans="6:6" ht="15.75" customHeight="1">
      <c r="F512" s="259"/>
    </row>
    <row r="513" spans="6:6" ht="15.75" customHeight="1">
      <c r="F513" s="259"/>
    </row>
    <row r="514" spans="6:6" ht="15.75" customHeight="1">
      <c r="F514" s="259"/>
    </row>
    <row r="515" spans="6:6" ht="15.75" customHeight="1">
      <c r="F515" s="259"/>
    </row>
    <row r="516" spans="6:6" ht="15.75" customHeight="1">
      <c r="F516" s="259"/>
    </row>
    <row r="517" spans="6:6" ht="15.75" customHeight="1">
      <c r="F517" s="259"/>
    </row>
    <row r="518" spans="6:6" ht="15.75" customHeight="1">
      <c r="F518" s="259"/>
    </row>
    <row r="519" spans="6:6" ht="15.75" customHeight="1">
      <c r="F519" s="259"/>
    </row>
    <row r="520" spans="6:6" ht="15.75" customHeight="1">
      <c r="F520" s="259"/>
    </row>
    <row r="521" spans="6:6" ht="15.75" customHeight="1">
      <c r="F521" s="259"/>
    </row>
    <row r="522" spans="6:6" ht="15.75" customHeight="1">
      <c r="F522" s="259"/>
    </row>
    <row r="523" spans="6:6" ht="15.75" customHeight="1">
      <c r="F523" s="259"/>
    </row>
    <row r="524" spans="6:6" ht="15.75" customHeight="1">
      <c r="F524" s="259"/>
    </row>
    <row r="525" spans="6:6" ht="15.75" customHeight="1">
      <c r="F525" s="259"/>
    </row>
    <row r="526" spans="6:6" ht="15.75" customHeight="1">
      <c r="F526" s="259"/>
    </row>
    <row r="527" spans="6:6" ht="15.75" customHeight="1">
      <c r="F527" s="259"/>
    </row>
    <row r="528" spans="6:6" ht="15.75" customHeight="1">
      <c r="F528" s="259"/>
    </row>
    <row r="529" spans="6:6" ht="15.75" customHeight="1">
      <c r="F529" s="259"/>
    </row>
    <row r="530" spans="6:6" ht="15.75" customHeight="1">
      <c r="F530" s="259"/>
    </row>
    <row r="531" spans="6:6" ht="15.75" customHeight="1">
      <c r="F531" s="259"/>
    </row>
    <row r="532" spans="6:6" ht="15.75" customHeight="1">
      <c r="F532" s="259"/>
    </row>
    <row r="533" spans="6:6" ht="15.75" customHeight="1">
      <c r="F533" s="259"/>
    </row>
    <row r="534" spans="6:6" ht="15.75" customHeight="1">
      <c r="F534" s="259"/>
    </row>
    <row r="535" spans="6:6" ht="15.75" customHeight="1">
      <c r="F535" s="259"/>
    </row>
    <row r="536" spans="6:6" ht="15.75" customHeight="1">
      <c r="F536" s="259"/>
    </row>
    <row r="537" spans="6:6" ht="15.75" customHeight="1">
      <c r="F537" s="259"/>
    </row>
    <row r="538" spans="6:6" ht="15.75" customHeight="1">
      <c r="F538" s="259"/>
    </row>
    <row r="539" spans="6:6" ht="15.75" customHeight="1">
      <c r="F539" s="259"/>
    </row>
    <row r="540" spans="6:6" ht="15.75" customHeight="1">
      <c r="F540" s="259"/>
    </row>
    <row r="541" spans="6:6" ht="15.75" customHeight="1">
      <c r="F541" s="259"/>
    </row>
    <row r="542" spans="6:6" ht="15.75" customHeight="1">
      <c r="F542" s="259"/>
    </row>
    <row r="543" spans="6:6" ht="15.75" customHeight="1">
      <c r="F543" s="259"/>
    </row>
    <row r="544" spans="6:6" ht="15.75" customHeight="1">
      <c r="F544" s="259"/>
    </row>
    <row r="545" spans="6:6" ht="15.75" customHeight="1">
      <c r="F545" s="259"/>
    </row>
    <row r="546" spans="6:6" ht="15.75" customHeight="1">
      <c r="F546" s="259"/>
    </row>
    <row r="547" spans="6:6" ht="15.75" customHeight="1">
      <c r="F547" s="259"/>
    </row>
    <row r="548" spans="6:6" ht="15.75" customHeight="1">
      <c r="F548" s="259"/>
    </row>
    <row r="549" spans="6:6" ht="15.75" customHeight="1">
      <c r="F549" s="259"/>
    </row>
    <row r="550" spans="6:6" ht="15.75" customHeight="1">
      <c r="F550" s="259"/>
    </row>
    <row r="551" spans="6:6" ht="15.75" customHeight="1">
      <c r="F551" s="259"/>
    </row>
    <row r="552" spans="6:6" ht="15.75" customHeight="1">
      <c r="F552" s="259"/>
    </row>
    <row r="553" spans="6:6" ht="15.75" customHeight="1">
      <c r="F553" s="259"/>
    </row>
    <row r="554" spans="6:6" ht="15.75" customHeight="1">
      <c r="F554" s="259"/>
    </row>
    <row r="555" spans="6:6" ht="15.75" customHeight="1">
      <c r="F555" s="259"/>
    </row>
    <row r="556" spans="6:6" ht="15.75" customHeight="1">
      <c r="F556" s="259"/>
    </row>
    <row r="557" spans="6:6" ht="15.75" customHeight="1">
      <c r="F557" s="259"/>
    </row>
    <row r="558" spans="6:6" ht="15.75" customHeight="1">
      <c r="F558" s="259"/>
    </row>
    <row r="559" spans="6:6" ht="15.75" customHeight="1">
      <c r="F559" s="259"/>
    </row>
    <row r="560" spans="6:6" ht="15.75" customHeight="1">
      <c r="F560" s="259"/>
    </row>
    <row r="561" spans="6:6" ht="15.75" customHeight="1">
      <c r="F561" s="259"/>
    </row>
    <row r="562" spans="6:6" ht="15.75" customHeight="1">
      <c r="F562" s="259"/>
    </row>
    <row r="563" spans="6:6" ht="15.75" customHeight="1">
      <c r="F563" s="259"/>
    </row>
    <row r="564" spans="6:6" ht="15.75" customHeight="1">
      <c r="F564" s="259"/>
    </row>
    <row r="565" spans="6:6" ht="15.75" customHeight="1">
      <c r="F565" s="259"/>
    </row>
    <row r="566" spans="6:6" ht="15.75" customHeight="1">
      <c r="F566" s="259"/>
    </row>
    <row r="567" spans="6:6" ht="15.75" customHeight="1">
      <c r="F567" s="259"/>
    </row>
    <row r="568" spans="6:6" ht="15.75" customHeight="1">
      <c r="F568" s="259"/>
    </row>
    <row r="569" spans="6:6" ht="15.75" customHeight="1">
      <c r="F569" s="259"/>
    </row>
    <row r="570" spans="6:6" ht="15.75" customHeight="1">
      <c r="F570" s="259"/>
    </row>
    <row r="571" spans="6:6" ht="15.75" customHeight="1">
      <c r="F571" s="259"/>
    </row>
    <row r="572" spans="6:6" ht="15.75" customHeight="1">
      <c r="F572" s="259"/>
    </row>
    <row r="573" spans="6:6" ht="15.75" customHeight="1">
      <c r="F573" s="259"/>
    </row>
    <row r="574" spans="6:6" ht="15.75" customHeight="1">
      <c r="F574" s="259"/>
    </row>
    <row r="575" spans="6:6" ht="15.75" customHeight="1">
      <c r="F575" s="259"/>
    </row>
    <row r="576" spans="6:6" ht="15.75" customHeight="1">
      <c r="F576" s="259"/>
    </row>
    <row r="577" spans="6:6" ht="15.75" customHeight="1">
      <c r="F577" s="259"/>
    </row>
    <row r="578" spans="6:6" ht="15.75" customHeight="1">
      <c r="F578" s="259"/>
    </row>
    <row r="579" spans="6:6" ht="15.75" customHeight="1">
      <c r="F579" s="259"/>
    </row>
    <row r="580" spans="6:6" ht="15.75" customHeight="1">
      <c r="F580" s="259"/>
    </row>
    <row r="581" spans="6:6" ht="15.75" customHeight="1">
      <c r="F581" s="259"/>
    </row>
    <row r="582" spans="6:6" ht="15.75" customHeight="1">
      <c r="F582" s="259"/>
    </row>
    <row r="583" spans="6:6" ht="15.75" customHeight="1">
      <c r="F583" s="259"/>
    </row>
    <row r="584" spans="6:6" ht="15.75" customHeight="1">
      <c r="F584" s="259"/>
    </row>
    <row r="585" spans="6:6" ht="15.75" customHeight="1">
      <c r="F585" s="259"/>
    </row>
    <row r="586" spans="6:6" ht="15.75" customHeight="1">
      <c r="F586" s="259"/>
    </row>
    <row r="587" spans="6:6" ht="15.75" customHeight="1">
      <c r="F587" s="259"/>
    </row>
    <row r="588" spans="6:6" ht="15.75" customHeight="1">
      <c r="F588" s="259"/>
    </row>
    <row r="589" spans="6:6" ht="15.75" customHeight="1">
      <c r="F589" s="259"/>
    </row>
    <row r="590" spans="6:6" ht="15.75" customHeight="1">
      <c r="F590" s="259"/>
    </row>
    <row r="591" spans="6:6" ht="15.75" customHeight="1">
      <c r="F591" s="259"/>
    </row>
    <row r="592" spans="6:6" ht="15.75" customHeight="1">
      <c r="F592" s="259"/>
    </row>
    <row r="593" spans="6:6" ht="15.75" customHeight="1">
      <c r="F593" s="259"/>
    </row>
    <row r="594" spans="6:6" ht="15.75" customHeight="1">
      <c r="F594" s="259"/>
    </row>
    <row r="595" spans="6:6" ht="15.75" customHeight="1">
      <c r="F595" s="259"/>
    </row>
    <row r="596" spans="6:6" ht="15.75" customHeight="1">
      <c r="F596" s="259"/>
    </row>
    <row r="597" spans="6:6" ht="15.75" customHeight="1">
      <c r="F597" s="259"/>
    </row>
    <row r="598" spans="6:6" ht="15.75" customHeight="1">
      <c r="F598" s="259"/>
    </row>
    <row r="599" spans="6:6" ht="15.75" customHeight="1">
      <c r="F599" s="259"/>
    </row>
    <row r="600" spans="6:6" ht="15.75" customHeight="1">
      <c r="F600" s="259"/>
    </row>
    <row r="601" spans="6:6" ht="15.75" customHeight="1">
      <c r="F601" s="259"/>
    </row>
    <row r="602" spans="6:6" ht="15.75" customHeight="1">
      <c r="F602" s="259"/>
    </row>
    <row r="603" spans="6:6" ht="15.75" customHeight="1">
      <c r="F603" s="259"/>
    </row>
    <row r="604" spans="6:6" ht="15.75" customHeight="1">
      <c r="F604" s="259"/>
    </row>
    <row r="605" spans="6:6" ht="15.75" customHeight="1">
      <c r="F605" s="259"/>
    </row>
    <row r="606" spans="6:6" ht="15.75" customHeight="1">
      <c r="F606" s="259"/>
    </row>
    <row r="607" spans="6:6" ht="15.75" customHeight="1">
      <c r="F607" s="259"/>
    </row>
    <row r="608" spans="6:6" ht="15.75" customHeight="1">
      <c r="F608" s="259"/>
    </row>
    <row r="609" spans="6:6" ht="15.75" customHeight="1">
      <c r="F609" s="259"/>
    </row>
    <row r="610" spans="6:6" ht="15.75" customHeight="1">
      <c r="F610" s="259"/>
    </row>
    <row r="611" spans="6:6" ht="15.75" customHeight="1">
      <c r="F611" s="259"/>
    </row>
    <row r="612" spans="6:6" ht="15.75" customHeight="1">
      <c r="F612" s="259"/>
    </row>
    <row r="613" spans="6:6" ht="15.75" customHeight="1">
      <c r="F613" s="259"/>
    </row>
    <row r="614" spans="6:6" ht="15.75" customHeight="1">
      <c r="F614" s="259"/>
    </row>
    <row r="615" spans="6:6" ht="15.75" customHeight="1">
      <c r="F615" s="259"/>
    </row>
    <row r="616" spans="6:6" ht="15.75" customHeight="1">
      <c r="F616" s="259"/>
    </row>
    <row r="617" spans="6:6" ht="15.75" customHeight="1">
      <c r="F617" s="259"/>
    </row>
    <row r="618" spans="6:6" ht="15.75" customHeight="1">
      <c r="F618" s="259"/>
    </row>
    <row r="619" spans="6:6" ht="15.75" customHeight="1">
      <c r="F619" s="259"/>
    </row>
    <row r="620" spans="6:6" ht="15.75" customHeight="1">
      <c r="F620" s="259"/>
    </row>
    <row r="621" spans="6:6" ht="15.75" customHeight="1">
      <c r="F621" s="259"/>
    </row>
    <row r="622" spans="6:6" ht="15.75" customHeight="1">
      <c r="F622" s="259"/>
    </row>
    <row r="623" spans="6:6" ht="15.75" customHeight="1">
      <c r="F623" s="259"/>
    </row>
    <row r="624" spans="6:6" ht="15.75" customHeight="1">
      <c r="F624" s="259"/>
    </row>
    <row r="625" spans="6:6" ht="15.75" customHeight="1">
      <c r="F625" s="259"/>
    </row>
    <row r="626" spans="6:6" ht="15.75" customHeight="1">
      <c r="F626" s="259"/>
    </row>
    <row r="627" spans="6:6" ht="15.75" customHeight="1">
      <c r="F627" s="259"/>
    </row>
    <row r="628" spans="6:6" ht="15.75" customHeight="1">
      <c r="F628" s="259"/>
    </row>
    <row r="629" spans="6:6" ht="15.75" customHeight="1">
      <c r="F629" s="259"/>
    </row>
    <row r="630" spans="6:6" ht="15.75" customHeight="1">
      <c r="F630" s="259"/>
    </row>
    <row r="631" spans="6:6" ht="15.75" customHeight="1">
      <c r="F631" s="259"/>
    </row>
    <row r="632" spans="6:6" ht="15.75" customHeight="1">
      <c r="F632" s="259"/>
    </row>
    <row r="633" spans="6:6" ht="15.75" customHeight="1">
      <c r="F633" s="259"/>
    </row>
    <row r="634" spans="6:6" ht="15.75" customHeight="1">
      <c r="F634" s="259"/>
    </row>
    <row r="635" spans="6:6" ht="15.75" customHeight="1">
      <c r="F635" s="259"/>
    </row>
    <row r="636" spans="6:6" ht="15.75" customHeight="1">
      <c r="F636" s="259"/>
    </row>
    <row r="637" spans="6:6" ht="15.75" customHeight="1">
      <c r="F637" s="259"/>
    </row>
    <row r="638" spans="6:6" ht="15.75" customHeight="1">
      <c r="F638" s="259"/>
    </row>
    <row r="639" spans="6:6" ht="15.75" customHeight="1">
      <c r="F639" s="259"/>
    </row>
    <row r="640" spans="6:6" ht="15.75" customHeight="1">
      <c r="F640" s="259"/>
    </row>
    <row r="641" spans="6:6" ht="15.75" customHeight="1">
      <c r="F641" s="259"/>
    </row>
    <row r="642" spans="6:6" ht="15.75" customHeight="1">
      <c r="F642" s="259"/>
    </row>
    <row r="643" spans="6:6" ht="15.75" customHeight="1">
      <c r="F643" s="259"/>
    </row>
    <row r="644" spans="6:6" ht="15.75" customHeight="1">
      <c r="F644" s="259"/>
    </row>
    <row r="645" spans="6:6" ht="15.75" customHeight="1">
      <c r="F645" s="259"/>
    </row>
    <row r="646" spans="6:6" ht="15.75" customHeight="1">
      <c r="F646" s="259"/>
    </row>
    <row r="647" spans="6:6" ht="15.75" customHeight="1">
      <c r="F647" s="259"/>
    </row>
    <row r="648" spans="6:6" ht="15.75" customHeight="1">
      <c r="F648" s="259"/>
    </row>
    <row r="649" spans="6:6" ht="15.75" customHeight="1">
      <c r="F649" s="259"/>
    </row>
    <row r="650" spans="6:6" ht="15.75" customHeight="1">
      <c r="F650" s="259"/>
    </row>
    <row r="651" spans="6:6" ht="15.75" customHeight="1">
      <c r="F651" s="259"/>
    </row>
    <row r="652" spans="6:6" ht="15.75" customHeight="1">
      <c r="F652" s="259"/>
    </row>
    <row r="653" spans="6:6" ht="15.75" customHeight="1">
      <c r="F653" s="259"/>
    </row>
    <row r="654" spans="6:6" ht="15.75" customHeight="1">
      <c r="F654" s="259"/>
    </row>
    <row r="655" spans="6:6" ht="15.75" customHeight="1">
      <c r="F655" s="259"/>
    </row>
    <row r="656" spans="6:6" ht="15.75" customHeight="1">
      <c r="F656" s="259"/>
    </row>
    <row r="657" spans="6:6" ht="15.75" customHeight="1">
      <c r="F657" s="259"/>
    </row>
    <row r="658" spans="6:6" ht="15.75" customHeight="1">
      <c r="F658" s="259"/>
    </row>
    <row r="659" spans="6:6" ht="15.75" customHeight="1">
      <c r="F659" s="259"/>
    </row>
    <row r="660" spans="6:6" ht="15.75" customHeight="1">
      <c r="F660" s="259"/>
    </row>
    <row r="661" spans="6:6" ht="15.75" customHeight="1">
      <c r="F661" s="259"/>
    </row>
    <row r="662" spans="6:6" ht="15.75" customHeight="1">
      <c r="F662" s="259"/>
    </row>
    <row r="663" spans="6:6" ht="15.75" customHeight="1">
      <c r="F663" s="259"/>
    </row>
    <row r="664" spans="6:6" ht="15.75" customHeight="1">
      <c r="F664" s="259"/>
    </row>
    <row r="665" spans="6:6" ht="15.75" customHeight="1">
      <c r="F665" s="259"/>
    </row>
    <row r="666" spans="6:6" ht="15.75" customHeight="1">
      <c r="F666" s="259"/>
    </row>
    <row r="667" spans="6:6" ht="15.75" customHeight="1">
      <c r="F667" s="259"/>
    </row>
    <row r="668" spans="6:6" ht="15.75" customHeight="1">
      <c r="F668" s="259"/>
    </row>
    <row r="669" spans="6:6" ht="15.75" customHeight="1">
      <c r="F669" s="259"/>
    </row>
    <row r="670" spans="6:6" ht="15.75" customHeight="1">
      <c r="F670" s="259"/>
    </row>
    <row r="671" spans="6:6" ht="15.75" customHeight="1">
      <c r="F671" s="259"/>
    </row>
    <row r="672" spans="6:6" ht="15.75" customHeight="1">
      <c r="F672" s="259"/>
    </row>
    <row r="673" spans="6:6" ht="15.75" customHeight="1">
      <c r="F673" s="259"/>
    </row>
    <row r="674" spans="6:6" ht="15.75" customHeight="1">
      <c r="F674" s="259"/>
    </row>
    <row r="675" spans="6:6" ht="15.75" customHeight="1">
      <c r="F675" s="259"/>
    </row>
    <row r="676" spans="6:6" ht="15.75" customHeight="1">
      <c r="F676" s="259"/>
    </row>
    <row r="677" spans="6:6" ht="15.75" customHeight="1">
      <c r="F677" s="259"/>
    </row>
    <row r="678" spans="6:6" ht="15.75" customHeight="1">
      <c r="F678" s="259"/>
    </row>
    <row r="679" spans="6:6" ht="15.75" customHeight="1">
      <c r="F679" s="259"/>
    </row>
    <row r="680" spans="6:6" ht="15.75" customHeight="1">
      <c r="F680" s="259"/>
    </row>
    <row r="681" spans="6:6" ht="15.75" customHeight="1">
      <c r="F681" s="259"/>
    </row>
    <row r="682" spans="6:6" ht="15.75" customHeight="1">
      <c r="F682" s="259"/>
    </row>
    <row r="683" spans="6:6" ht="15.75" customHeight="1">
      <c r="F683" s="259"/>
    </row>
    <row r="684" spans="6:6" ht="15.75" customHeight="1">
      <c r="F684" s="259"/>
    </row>
    <row r="685" spans="6:6" ht="15.75" customHeight="1">
      <c r="F685" s="259"/>
    </row>
    <row r="686" spans="6:6" ht="15.75" customHeight="1">
      <c r="F686" s="259"/>
    </row>
    <row r="687" spans="6:6" ht="15.75" customHeight="1">
      <c r="F687" s="259"/>
    </row>
    <row r="688" spans="6:6" ht="15.75" customHeight="1">
      <c r="F688" s="259"/>
    </row>
    <row r="689" spans="6:6" ht="15.75" customHeight="1">
      <c r="F689" s="259"/>
    </row>
    <row r="690" spans="6:6" ht="15.75" customHeight="1">
      <c r="F690" s="259"/>
    </row>
    <row r="691" spans="6:6" ht="15.75" customHeight="1">
      <c r="F691" s="259"/>
    </row>
    <row r="692" spans="6:6" ht="15.75" customHeight="1">
      <c r="F692" s="259"/>
    </row>
    <row r="693" spans="6:6" ht="15.75" customHeight="1">
      <c r="F693" s="259"/>
    </row>
    <row r="694" spans="6:6" ht="15.75" customHeight="1">
      <c r="F694" s="259"/>
    </row>
    <row r="695" spans="6:6" ht="15.75" customHeight="1">
      <c r="F695" s="259"/>
    </row>
    <row r="696" spans="6:6" ht="15.75" customHeight="1">
      <c r="F696" s="259"/>
    </row>
    <row r="697" spans="6:6" ht="15.75" customHeight="1">
      <c r="F697" s="259"/>
    </row>
    <row r="698" spans="6:6" ht="15.75" customHeight="1">
      <c r="F698" s="259"/>
    </row>
    <row r="699" spans="6:6" ht="15.75" customHeight="1">
      <c r="F699" s="259"/>
    </row>
    <row r="700" spans="6:6" ht="15.75" customHeight="1">
      <c r="F700" s="259"/>
    </row>
    <row r="701" spans="6:6" ht="15.75" customHeight="1">
      <c r="F701" s="259"/>
    </row>
    <row r="702" spans="6:6" ht="15.75" customHeight="1">
      <c r="F702" s="259"/>
    </row>
    <row r="703" spans="6:6" ht="15.75" customHeight="1">
      <c r="F703" s="259"/>
    </row>
    <row r="704" spans="6:6" ht="15.75" customHeight="1">
      <c r="F704" s="259"/>
    </row>
    <row r="705" spans="6:6" ht="15.75" customHeight="1">
      <c r="F705" s="259"/>
    </row>
    <row r="706" spans="6:6" ht="15.75" customHeight="1">
      <c r="F706" s="259"/>
    </row>
    <row r="707" spans="6:6" ht="15.75" customHeight="1">
      <c r="F707" s="259"/>
    </row>
    <row r="708" spans="6:6" ht="15.75" customHeight="1">
      <c r="F708" s="259"/>
    </row>
    <row r="709" spans="6:6" ht="15.75" customHeight="1">
      <c r="F709" s="259"/>
    </row>
    <row r="710" spans="6:6" ht="15.75" customHeight="1">
      <c r="F710" s="259"/>
    </row>
    <row r="711" spans="6:6" ht="15.75" customHeight="1">
      <c r="F711" s="259"/>
    </row>
    <row r="712" spans="6:6" ht="15.75" customHeight="1">
      <c r="F712" s="259"/>
    </row>
    <row r="713" spans="6:6" ht="15.75" customHeight="1">
      <c r="F713" s="259"/>
    </row>
    <row r="714" spans="6:6" ht="15.75" customHeight="1">
      <c r="F714" s="259"/>
    </row>
    <row r="715" spans="6:6" ht="15.75" customHeight="1">
      <c r="F715" s="259"/>
    </row>
    <row r="716" spans="6:6" ht="15.75" customHeight="1">
      <c r="F716" s="259"/>
    </row>
    <row r="717" spans="6:6" ht="15.75" customHeight="1">
      <c r="F717" s="259"/>
    </row>
    <row r="718" spans="6:6" ht="15.75" customHeight="1">
      <c r="F718" s="259"/>
    </row>
    <row r="719" spans="6:6" ht="15.75" customHeight="1">
      <c r="F719" s="259"/>
    </row>
    <row r="720" spans="6:6" ht="15.75" customHeight="1">
      <c r="F720" s="259"/>
    </row>
    <row r="721" spans="6:6" ht="15.75" customHeight="1">
      <c r="F721" s="259"/>
    </row>
    <row r="722" spans="6:6" ht="15.75" customHeight="1">
      <c r="F722" s="259"/>
    </row>
    <row r="723" spans="6:6" ht="15.75" customHeight="1">
      <c r="F723" s="259"/>
    </row>
    <row r="724" spans="6:6" ht="15.75" customHeight="1">
      <c r="F724" s="259"/>
    </row>
    <row r="725" spans="6:6" ht="15.75" customHeight="1">
      <c r="F725" s="259"/>
    </row>
    <row r="726" spans="6:6" ht="15.75" customHeight="1">
      <c r="F726" s="259"/>
    </row>
    <row r="727" spans="6:6" ht="15.75" customHeight="1">
      <c r="F727" s="259"/>
    </row>
    <row r="728" spans="6:6" ht="15.75" customHeight="1">
      <c r="F728" s="259"/>
    </row>
    <row r="729" spans="6:6" ht="15.75" customHeight="1">
      <c r="F729" s="259"/>
    </row>
    <row r="730" spans="6:6" ht="15.75" customHeight="1">
      <c r="F730" s="259"/>
    </row>
    <row r="731" spans="6:6" ht="15.75" customHeight="1">
      <c r="F731" s="259"/>
    </row>
    <row r="732" spans="6:6" ht="15.75" customHeight="1">
      <c r="F732" s="259"/>
    </row>
    <row r="733" spans="6:6" ht="15.75" customHeight="1">
      <c r="F733" s="259"/>
    </row>
    <row r="734" spans="6:6" ht="15.75" customHeight="1">
      <c r="F734" s="259"/>
    </row>
    <row r="735" spans="6:6" ht="15.75" customHeight="1">
      <c r="F735" s="259"/>
    </row>
    <row r="736" spans="6:6" ht="15.75" customHeight="1">
      <c r="F736" s="259"/>
    </row>
    <row r="737" spans="6:6" ht="15.75" customHeight="1">
      <c r="F737" s="259"/>
    </row>
    <row r="738" spans="6:6" ht="15.75" customHeight="1">
      <c r="F738" s="259"/>
    </row>
    <row r="739" spans="6:6" ht="15.75" customHeight="1">
      <c r="F739" s="259"/>
    </row>
    <row r="740" spans="6:6" ht="15.75" customHeight="1">
      <c r="F740" s="259"/>
    </row>
    <row r="741" spans="6:6" ht="15.75" customHeight="1">
      <c r="F741" s="259"/>
    </row>
    <row r="742" spans="6:6" ht="15.75" customHeight="1">
      <c r="F742" s="259"/>
    </row>
    <row r="743" spans="6:6" ht="15.75" customHeight="1">
      <c r="F743" s="259"/>
    </row>
    <row r="744" spans="6:6" ht="15.75" customHeight="1">
      <c r="F744" s="259"/>
    </row>
    <row r="745" spans="6:6" ht="15.75" customHeight="1">
      <c r="F745" s="259"/>
    </row>
    <row r="746" spans="6:6" ht="15.75" customHeight="1">
      <c r="F746" s="259"/>
    </row>
    <row r="747" spans="6:6" ht="15.75" customHeight="1">
      <c r="F747" s="259"/>
    </row>
    <row r="748" spans="6:6" ht="15.75" customHeight="1">
      <c r="F748" s="259"/>
    </row>
    <row r="749" spans="6:6" ht="15.75" customHeight="1">
      <c r="F749" s="259"/>
    </row>
    <row r="750" spans="6:6" ht="15.75" customHeight="1">
      <c r="F750" s="259"/>
    </row>
    <row r="751" spans="6:6" ht="15.75" customHeight="1">
      <c r="F751" s="259"/>
    </row>
    <row r="752" spans="6:6" ht="15.75" customHeight="1">
      <c r="F752" s="259"/>
    </row>
    <row r="753" spans="6:6" ht="15.75" customHeight="1">
      <c r="F753" s="259"/>
    </row>
    <row r="754" spans="6:6" ht="15.75" customHeight="1">
      <c r="F754" s="259"/>
    </row>
    <row r="755" spans="6:6" ht="15.75" customHeight="1">
      <c r="F755" s="259"/>
    </row>
    <row r="756" spans="6:6" ht="15.75" customHeight="1">
      <c r="F756" s="259"/>
    </row>
    <row r="757" spans="6:6" ht="15.75" customHeight="1">
      <c r="F757" s="259"/>
    </row>
    <row r="758" spans="6:6" ht="15.75" customHeight="1">
      <c r="F758" s="259"/>
    </row>
    <row r="759" spans="6:6" ht="15.75" customHeight="1">
      <c r="F759" s="259"/>
    </row>
    <row r="760" spans="6:6" ht="15.75" customHeight="1">
      <c r="F760" s="259"/>
    </row>
    <row r="761" spans="6:6" ht="15.75" customHeight="1">
      <c r="F761" s="259"/>
    </row>
    <row r="762" spans="6:6" ht="15.75" customHeight="1">
      <c r="F762" s="259"/>
    </row>
    <row r="763" spans="6:6" ht="15.75" customHeight="1">
      <c r="F763" s="259"/>
    </row>
    <row r="764" spans="6:6" ht="15.75" customHeight="1">
      <c r="F764" s="259"/>
    </row>
    <row r="765" spans="6:6" ht="15.75" customHeight="1">
      <c r="F765" s="259"/>
    </row>
    <row r="766" spans="6:6" ht="15.75" customHeight="1">
      <c r="F766" s="259"/>
    </row>
    <row r="767" spans="6:6" ht="15.75" customHeight="1">
      <c r="F767" s="259"/>
    </row>
    <row r="768" spans="6:6" ht="15.75" customHeight="1">
      <c r="F768" s="259"/>
    </row>
    <row r="769" spans="6:6" ht="15.75" customHeight="1">
      <c r="F769" s="259"/>
    </row>
    <row r="770" spans="6:6" ht="15.75" customHeight="1">
      <c r="F770" s="259"/>
    </row>
    <row r="771" spans="6:6" ht="15.75" customHeight="1">
      <c r="F771" s="259"/>
    </row>
    <row r="772" spans="6:6" ht="15.75" customHeight="1">
      <c r="F772" s="259"/>
    </row>
    <row r="773" spans="6:6" ht="15.75" customHeight="1">
      <c r="F773" s="259"/>
    </row>
    <row r="774" spans="6:6" ht="15.75" customHeight="1">
      <c r="F774" s="259"/>
    </row>
    <row r="775" spans="6:6" ht="15.75" customHeight="1">
      <c r="F775" s="259"/>
    </row>
    <row r="776" spans="6:6" ht="15.75" customHeight="1">
      <c r="F776" s="259"/>
    </row>
    <row r="777" spans="6:6" ht="15.75" customHeight="1">
      <c r="F777" s="259"/>
    </row>
    <row r="778" spans="6:6" ht="15.75" customHeight="1">
      <c r="F778" s="259"/>
    </row>
    <row r="779" spans="6:6" ht="15.75" customHeight="1">
      <c r="F779" s="259"/>
    </row>
    <row r="780" spans="6:6" ht="15.75" customHeight="1">
      <c r="F780" s="259"/>
    </row>
    <row r="781" spans="6:6" ht="15.75" customHeight="1">
      <c r="F781" s="259"/>
    </row>
    <row r="782" spans="6:6" ht="15.75" customHeight="1">
      <c r="F782" s="259"/>
    </row>
    <row r="783" spans="6:6" ht="15.75" customHeight="1">
      <c r="F783" s="259"/>
    </row>
    <row r="784" spans="6:6" ht="15.75" customHeight="1">
      <c r="F784" s="259"/>
    </row>
    <row r="785" spans="6:6" ht="15.75" customHeight="1">
      <c r="F785" s="259"/>
    </row>
    <row r="786" spans="6:6" ht="15.75" customHeight="1">
      <c r="F786" s="259"/>
    </row>
    <row r="787" spans="6:6" ht="15.75" customHeight="1">
      <c r="F787" s="259"/>
    </row>
    <row r="788" spans="6:6" ht="15.75" customHeight="1">
      <c r="F788" s="259"/>
    </row>
    <row r="789" spans="6:6" ht="15.75" customHeight="1">
      <c r="F789" s="259"/>
    </row>
    <row r="790" spans="6:6" ht="15.75" customHeight="1">
      <c r="F790" s="259"/>
    </row>
    <row r="791" spans="6:6" ht="15.75" customHeight="1">
      <c r="F791" s="259"/>
    </row>
    <row r="792" spans="6:6" ht="15.75" customHeight="1">
      <c r="F792" s="259"/>
    </row>
    <row r="793" spans="6:6" ht="15.75" customHeight="1">
      <c r="F793" s="259"/>
    </row>
    <row r="794" spans="6:6" ht="15.75" customHeight="1">
      <c r="F794" s="259"/>
    </row>
    <row r="795" spans="6:6" ht="15.75" customHeight="1">
      <c r="F795" s="259"/>
    </row>
    <row r="796" spans="6:6" ht="15.75" customHeight="1">
      <c r="F796" s="259"/>
    </row>
    <row r="797" spans="6:6" ht="15.75" customHeight="1">
      <c r="F797" s="259"/>
    </row>
    <row r="798" spans="6:6" ht="15.75" customHeight="1">
      <c r="F798" s="259"/>
    </row>
    <row r="799" spans="6:6" ht="15.75" customHeight="1">
      <c r="F799" s="259"/>
    </row>
    <row r="800" spans="6:6" ht="15.75" customHeight="1">
      <c r="F800" s="259"/>
    </row>
    <row r="801" spans="6:6" ht="15.75" customHeight="1">
      <c r="F801" s="259"/>
    </row>
    <row r="802" spans="6:6" ht="15.75" customHeight="1">
      <c r="F802" s="259"/>
    </row>
    <row r="803" spans="6:6" ht="15.75" customHeight="1">
      <c r="F803" s="259"/>
    </row>
    <row r="804" spans="6:6" ht="15.75" customHeight="1">
      <c r="F804" s="259"/>
    </row>
    <row r="805" spans="6:6" ht="15.75" customHeight="1">
      <c r="F805" s="259"/>
    </row>
    <row r="806" spans="6:6" ht="15.75" customHeight="1">
      <c r="F806" s="259"/>
    </row>
    <row r="807" spans="6:6" ht="15.75" customHeight="1">
      <c r="F807" s="259"/>
    </row>
    <row r="808" spans="6:6" ht="15.75" customHeight="1">
      <c r="F808" s="259"/>
    </row>
    <row r="809" spans="6:6" ht="15.75" customHeight="1">
      <c r="F809" s="259"/>
    </row>
    <row r="810" spans="6:6" ht="15.75" customHeight="1">
      <c r="F810" s="259"/>
    </row>
    <row r="811" spans="6:6" ht="15.75" customHeight="1">
      <c r="F811" s="259"/>
    </row>
    <row r="812" spans="6:6" ht="15.75" customHeight="1">
      <c r="F812" s="259"/>
    </row>
    <row r="813" spans="6:6" ht="15.75" customHeight="1">
      <c r="F813" s="259"/>
    </row>
    <row r="814" spans="6:6" ht="15.75" customHeight="1">
      <c r="F814" s="259"/>
    </row>
    <row r="815" spans="6:6" ht="15.75" customHeight="1">
      <c r="F815" s="259"/>
    </row>
    <row r="816" spans="6:6" ht="15.75" customHeight="1">
      <c r="F816" s="259"/>
    </row>
    <row r="817" spans="6:6" ht="15.75" customHeight="1">
      <c r="F817" s="259"/>
    </row>
    <row r="818" spans="6:6" ht="15.75" customHeight="1">
      <c r="F818" s="259"/>
    </row>
    <row r="819" spans="6:6" ht="15.75" customHeight="1">
      <c r="F819" s="259"/>
    </row>
    <row r="820" spans="6:6" ht="15.75" customHeight="1">
      <c r="F820" s="259"/>
    </row>
    <row r="821" spans="6:6" ht="15.75" customHeight="1">
      <c r="F821" s="259"/>
    </row>
    <row r="822" spans="6:6" ht="15.75" customHeight="1">
      <c r="F822" s="259"/>
    </row>
    <row r="823" spans="6:6" ht="15.75" customHeight="1">
      <c r="F823" s="259"/>
    </row>
    <row r="824" spans="6:6" ht="15.75" customHeight="1">
      <c r="F824" s="259"/>
    </row>
    <row r="825" spans="6:6" ht="15.75" customHeight="1">
      <c r="F825" s="259"/>
    </row>
    <row r="826" spans="6:6" ht="15.75" customHeight="1">
      <c r="F826" s="259"/>
    </row>
    <row r="827" spans="6:6" ht="15.75" customHeight="1">
      <c r="F827" s="259"/>
    </row>
    <row r="828" spans="6:6" ht="15.75" customHeight="1">
      <c r="F828" s="259"/>
    </row>
    <row r="829" spans="6:6" ht="15.75" customHeight="1">
      <c r="F829" s="259"/>
    </row>
    <row r="830" spans="6:6" ht="15.75" customHeight="1">
      <c r="F830" s="259"/>
    </row>
    <row r="831" spans="6:6" ht="15.75" customHeight="1">
      <c r="F831" s="259"/>
    </row>
    <row r="832" spans="6:6" ht="15.75" customHeight="1">
      <c r="F832" s="259"/>
    </row>
    <row r="833" spans="6:6" ht="15.75" customHeight="1">
      <c r="F833" s="259"/>
    </row>
    <row r="834" spans="6:6" ht="15.75" customHeight="1">
      <c r="F834" s="259"/>
    </row>
    <row r="835" spans="6:6" ht="15.75" customHeight="1">
      <c r="F835" s="259"/>
    </row>
    <row r="836" spans="6:6" ht="15.75" customHeight="1">
      <c r="F836" s="259"/>
    </row>
    <row r="837" spans="6:6" ht="15.75" customHeight="1">
      <c r="F837" s="259"/>
    </row>
    <row r="838" spans="6:6" ht="15.75" customHeight="1">
      <c r="F838" s="259"/>
    </row>
    <row r="839" spans="6:6" ht="15.75" customHeight="1">
      <c r="F839" s="259"/>
    </row>
    <row r="840" spans="6:6" ht="15.75" customHeight="1">
      <c r="F840" s="259"/>
    </row>
    <row r="841" spans="6:6" ht="15.75" customHeight="1">
      <c r="F841" s="259"/>
    </row>
    <row r="842" spans="6:6" ht="15.75" customHeight="1">
      <c r="F842" s="259"/>
    </row>
    <row r="843" spans="6:6" ht="15.75" customHeight="1">
      <c r="F843" s="259"/>
    </row>
    <row r="844" spans="6:6" ht="15.75" customHeight="1">
      <c r="F844" s="259"/>
    </row>
    <row r="845" spans="6:6" ht="15.75" customHeight="1">
      <c r="F845" s="259"/>
    </row>
    <row r="846" spans="6:6" ht="15.75" customHeight="1">
      <c r="F846" s="259"/>
    </row>
    <row r="847" spans="6:6" ht="15.75" customHeight="1">
      <c r="F847" s="259"/>
    </row>
    <row r="848" spans="6:6" ht="15.75" customHeight="1">
      <c r="F848" s="259"/>
    </row>
    <row r="849" spans="6:6" ht="15.75" customHeight="1">
      <c r="F849" s="259"/>
    </row>
    <row r="850" spans="6:6" ht="15.75" customHeight="1">
      <c r="F850" s="259"/>
    </row>
    <row r="851" spans="6:6" ht="15.75" customHeight="1">
      <c r="F851" s="259"/>
    </row>
    <row r="852" spans="6:6" ht="15.75" customHeight="1">
      <c r="F852" s="259"/>
    </row>
    <row r="853" spans="6:6" ht="15.75" customHeight="1">
      <c r="F853" s="259"/>
    </row>
    <row r="854" spans="6:6" ht="15.75" customHeight="1">
      <c r="F854" s="259"/>
    </row>
    <row r="855" spans="6:6" ht="15.75" customHeight="1">
      <c r="F855" s="259"/>
    </row>
    <row r="856" spans="6:6" ht="15.75" customHeight="1">
      <c r="F856" s="259"/>
    </row>
    <row r="857" spans="6:6" ht="15.75" customHeight="1">
      <c r="F857" s="259"/>
    </row>
    <row r="858" spans="6:6" ht="15.75" customHeight="1">
      <c r="F858" s="259"/>
    </row>
    <row r="859" spans="6:6" ht="15.75" customHeight="1">
      <c r="F859" s="259"/>
    </row>
    <row r="860" spans="6:6" ht="15.75" customHeight="1">
      <c r="F860" s="259"/>
    </row>
    <row r="861" spans="6:6" ht="15.75" customHeight="1">
      <c r="F861" s="259"/>
    </row>
    <row r="862" spans="6:6" ht="15.75" customHeight="1">
      <c r="F862" s="259"/>
    </row>
    <row r="863" spans="6:6" ht="15.75" customHeight="1">
      <c r="F863" s="259"/>
    </row>
    <row r="864" spans="6:6" ht="15.75" customHeight="1">
      <c r="F864" s="259"/>
    </row>
    <row r="865" spans="6:6" ht="15.75" customHeight="1">
      <c r="F865" s="259"/>
    </row>
    <row r="866" spans="6:6" ht="15.75" customHeight="1">
      <c r="F866" s="259"/>
    </row>
    <row r="867" spans="6:6" ht="15.75" customHeight="1">
      <c r="F867" s="259"/>
    </row>
    <row r="868" spans="6:6" ht="15.75" customHeight="1">
      <c r="F868" s="259"/>
    </row>
    <row r="869" spans="6:6" ht="15.75" customHeight="1">
      <c r="F869" s="259"/>
    </row>
    <row r="870" spans="6:6" ht="15.75" customHeight="1">
      <c r="F870" s="259"/>
    </row>
    <row r="871" spans="6:6" ht="15.75" customHeight="1">
      <c r="F871" s="259"/>
    </row>
    <row r="872" spans="6:6" ht="15.75" customHeight="1">
      <c r="F872" s="259"/>
    </row>
    <row r="873" spans="6:6" ht="15.75" customHeight="1">
      <c r="F873" s="259"/>
    </row>
    <row r="874" spans="6:6" ht="15.75" customHeight="1">
      <c r="F874" s="259"/>
    </row>
    <row r="875" spans="6:6" ht="15.75" customHeight="1">
      <c r="F875" s="259"/>
    </row>
    <row r="876" spans="6:6" ht="15.75" customHeight="1">
      <c r="F876" s="259"/>
    </row>
    <row r="877" spans="6:6" ht="15.75" customHeight="1">
      <c r="F877" s="259"/>
    </row>
    <row r="878" spans="6:6" ht="15.75" customHeight="1">
      <c r="F878" s="259"/>
    </row>
    <row r="879" spans="6:6" ht="15.75" customHeight="1">
      <c r="F879" s="259"/>
    </row>
    <row r="880" spans="6:6" ht="15.75" customHeight="1">
      <c r="F880" s="259"/>
    </row>
    <row r="881" spans="6:6" ht="15.75" customHeight="1">
      <c r="F881" s="259"/>
    </row>
    <row r="882" spans="6:6" ht="15.75" customHeight="1">
      <c r="F882" s="259"/>
    </row>
    <row r="883" spans="6:6" ht="15.75" customHeight="1">
      <c r="F883" s="259"/>
    </row>
    <row r="884" spans="6:6" ht="15.75" customHeight="1">
      <c r="F884" s="259"/>
    </row>
    <row r="885" spans="6:6" ht="15.75" customHeight="1">
      <c r="F885" s="259"/>
    </row>
    <row r="886" spans="6:6" ht="15.75" customHeight="1">
      <c r="F886" s="259"/>
    </row>
    <row r="887" spans="6:6" ht="15.75" customHeight="1">
      <c r="F887" s="259"/>
    </row>
    <row r="888" spans="6:6" ht="15.75" customHeight="1">
      <c r="F888" s="259"/>
    </row>
    <row r="889" spans="6:6" ht="15.75" customHeight="1">
      <c r="F889" s="259"/>
    </row>
    <row r="890" spans="6:6" ht="15.75" customHeight="1">
      <c r="F890" s="259"/>
    </row>
    <row r="891" spans="6:6" ht="15.75" customHeight="1">
      <c r="F891" s="259"/>
    </row>
    <row r="892" spans="6:6" ht="15.75" customHeight="1">
      <c r="F892" s="259"/>
    </row>
    <row r="893" spans="6:6" ht="15.75" customHeight="1">
      <c r="F893" s="259"/>
    </row>
    <row r="894" spans="6:6" ht="15.75" customHeight="1">
      <c r="F894" s="259"/>
    </row>
    <row r="895" spans="6:6" ht="15.75" customHeight="1">
      <c r="F895" s="259"/>
    </row>
    <row r="896" spans="6:6" ht="15.75" customHeight="1">
      <c r="F896" s="259"/>
    </row>
    <row r="897" spans="6:6" ht="15.75" customHeight="1">
      <c r="F897" s="259"/>
    </row>
    <row r="898" spans="6:6" ht="15.75" customHeight="1">
      <c r="F898" s="259"/>
    </row>
    <row r="899" spans="6:6" ht="15.75" customHeight="1">
      <c r="F899" s="259"/>
    </row>
    <row r="900" spans="6:6" ht="15.75" customHeight="1">
      <c r="F900" s="259"/>
    </row>
    <row r="901" spans="6:6" ht="15.75" customHeight="1">
      <c r="F901" s="259"/>
    </row>
    <row r="902" spans="6:6" ht="15.75" customHeight="1">
      <c r="F902" s="259"/>
    </row>
    <row r="903" spans="6:6" ht="15.75" customHeight="1">
      <c r="F903" s="259"/>
    </row>
    <row r="904" spans="6:6" ht="15.75" customHeight="1">
      <c r="F904" s="259"/>
    </row>
    <row r="905" spans="6:6" ht="15.75" customHeight="1">
      <c r="F905" s="259"/>
    </row>
    <row r="906" spans="6:6" ht="15.75" customHeight="1">
      <c r="F906" s="259"/>
    </row>
    <row r="907" spans="6:6" ht="15.75" customHeight="1">
      <c r="F907" s="259"/>
    </row>
    <row r="908" spans="6:6" ht="15.75" customHeight="1">
      <c r="F908" s="259"/>
    </row>
    <row r="909" spans="6:6" ht="15.75" customHeight="1">
      <c r="F909" s="259"/>
    </row>
    <row r="910" spans="6:6" ht="15.75" customHeight="1">
      <c r="F910" s="259"/>
    </row>
    <row r="911" spans="6:6" ht="15.75" customHeight="1">
      <c r="F911" s="259"/>
    </row>
    <row r="912" spans="6:6" ht="15.75" customHeight="1">
      <c r="F912" s="259"/>
    </row>
    <row r="913" spans="6:6" ht="15.75" customHeight="1">
      <c r="F913" s="259"/>
    </row>
    <row r="914" spans="6:6" ht="15.75" customHeight="1">
      <c r="F914" s="259"/>
    </row>
    <row r="915" spans="6:6" ht="15.75" customHeight="1">
      <c r="F915" s="259"/>
    </row>
    <row r="916" spans="6:6" ht="15.75" customHeight="1">
      <c r="F916" s="259"/>
    </row>
    <row r="917" spans="6:6" ht="15.75" customHeight="1">
      <c r="F917" s="259"/>
    </row>
    <row r="918" spans="6:6" ht="15.75" customHeight="1">
      <c r="F918" s="259"/>
    </row>
    <row r="919" spans="6:6" ht="15.75" customHeight="1">
      <c r="F919" s="259"/>
    </row>
    <row r="920" spans="6:6" ht="15.75" customHeight="1">
      <c r="F920" s="259"/>
    </row>
    <row r="921" spans="6:6" ht="15.75" customHeight="1">
      <c r="F921" s="259"/>
    </row>
    <row r="922" spans="6:6" ht="15.75" customHeight="1">
      <c r="F922" s="259"/>
    </row>
    <row r="923" spans="6:6" ht="15.75" customHeight="1">
      <c r="F923" s="259"/>
    </row>
    <row r="924" spans="6:6" ht="15.75" customHeight="1">
      <c r="F924" s="259"/>
    </row>
    <row r="925" spans="6:6" ht="15.75" customHeight="1">
      <c r="F925" s="259"/>
    </row>
    <row r="926" spans="6:6" ht="15.75" customHeight="1">
      <c r="F926" s="259"/>
    </row>
    <row r="927" spans="6:6" ht="15.75" customHeight="1">
      <c r="F927" s="259"/>
    </row>
    <row r="928" spans="6:6" ht="15.75" customHeight="1">
      <c r="F928" s="259"/>
    </row>
    <row r="929" spans="6:6" ht="15.75" customHeight="1">
      <c r="F929" s="259"/>
    </row>
    <row r="930" spans="6:6" ht="15.75" customHeight="1">
      <c r="F930" s="259"/>
    </row>
    <row r="931" spans="6:6" ht="15.75" customHeight="1">
      <c r="F931" s="259"/>
    </row>
    <row r="932" spans="6:6" ht="15.75" customHeight="1">
      <c r="F932" s="259"/>
    </row>
    <row r="933" spans="6:6" ht="15.75" customHeight="1">
      <c r="F933" s="259"/>
    </row>
    <row r="934" spans="6:6" ht="15.75" customHeight="1">
      <c r="F934" s="259"/>
    </row>
    <row r="935" spans="6:6" ht="15.75" customHeight="1">
      <c r="F935" s="259"/>
    </row>
    <row r="936" spans="6:6" ht="15.75" customHeight="1">
      <c r="F936" s="259"/>
    </row>
    <row r="937" spans="6:6" ht="15.75" customHeight="1">
      <c r="F937" s="259"/>
    </row>
    <row r="938" spans="6:6" ht="15.75" customHeight="1">
      <c r="F938" s="259"/>
    </row>
    <row r="939" spans="6:6" ht="15.75" customHeight="1">
      <c r="F939" s="259"/>
    </row>
    <row r="940" spans="6:6" ht="15.75" customHeight="1">
      <c r="F940" s="259"/>
    </row>
    <row r="941" spans="6:6" ht="15.75" customHeight="1">
      <c r="F941" s="259"/>
    </row>
    <row r="942" spans="6:6" ht="15.75" customHeight="1">
      <c r="F942" s="259"/>
    </row>
    <row r="943" spans="6:6" ht="15.75" customHeight="1">
      <c r="F943" s="259"/>
    </row>
    <row r="944" spans="6:6" ht="15.75" customHeight="1">
      <c r="F944" s="259"/>
    </row>
    <row r="945" spans="6:6" ht="15.75" customHeight="1">
      <c r="F945" s="259"/>
    </row>
    <row r="946" spans="6:6" ht="15.75" customHeight="1">
      <c r="F946" s="259"/>
    </row>
    <row r="947" spans="6:6" ht="15.75" customHeight="1">
      <c r="F947" s="259"/>
    </row>
    <row r="948" spans="6:6" ht="15.75" customHeight="1">
      <c r="F948" s="259"/>
    </row>
    <row r="949" spans="6:6" ht="15.75" customHeight="1">
      <c r="F949" s="259"/>
    </row>
    <row r="950" spans="6:6" ht="15.75" customHeight="1">
      <c r="F950" s="259"/>
    </row>
    <row r="951" spans="6:6" ht="15.75" customHeight="1">
      <c r="F951" s="259"/>
    </row>
    <row r="952" spans="6:6" ht="15.75" customHeight="1">
      <c r="F952" s="259"/>
    </row>
    <row r="953" spans="6:6" ht="15.75" customHeight="1">
      <c r="F953" s="259"/>
    </row>
    <row r="954" spans="6:6" ht="15.75" customHeight="1">
      <c r="F954" s="259"/>
    </row>
    <row r="955" spans="6:6" ht="15.75" customHeight="1">
      <c r="F955" s="259"/>
    </row>
    <row r="956" spans="6:6" ht="15.75" customHeight="1">
      <c r="F956" s="259"/>
    </row>
    <row r="957" spans="6:6" ht="15.75" customHeight="1">
      <c r="F957" s="259"/>
    </row>
    <row r="958" spans="6:6" ht="15.75" customHeight="1">
      <c r="F958" s="259"/>
    </row>
    <row r="959" spans="6:6" ht="15.75" customHeight="1">
      <c r="F959" s="259"/>
    </row>
    <row r="960" spans="6:6" ht="15.75" customHeight="1">
      <c r="F960" s="259"/>
    </row>
    <row r="961" spans="6:6" ht="15.75" customHeight="1">
      <c r="F961" s="259"/>
    </row>
    <row r="962" spans="6:6" ht="15.75" customHeight="1">
      <c r="F962" s="259"/>
    </row>
    <row r="963" spans="6:6" ht="15.75" customHeight="1">
      <c r="F963" s="259"/>
    </row>
    <row r="964" spans="6:6" ht="15.75" customHeight="1">
      <c r="F964" s="259"/>
    </row>
    <row r="965" spans="6:6" ht="15.75" customHeight="1">
      <c r="F965" s="259"/>
    </row>
    <row r="966" spans="6:6" ht="15.75" customHeight="1">
      <c r="F966" s="259"/>
    </row>
    <row r="967" spans="6:6" ht="15.75" customHeight="1">
      <c r="F967" s="259"/>
    </row>
    <row r="968" spans="6:6" ht="15.75" customHeight="1">
      <c r="F968" s="259"/>
    </row>
    <row r="969" spans="6:6" ht="15.75" customHeight="1">
      <c r="F969" s="259"/>
    </row>
    <row r="970" spans="6:6" ht="15.75" customHeight="1">
      <c r="F970" s="259"/>
    </row>
    <row r="971" spans="6:6" ht="15.75" customHeight="1">
      <c r="F971" s="259"/>
    </row>
    <row r="972" spans="6:6" ht="15.75" customHeight="1">
      <c r="F972" s="259"/>
    </row>
    <row r="973" spans="6:6" ht="15.75" customHeight="1">
      <c r="F973" s="259"/>
    </row>
    <row r="974" spans="6:6" ht="15.75" customHeight="1">
      <c r="F974" s="259"/>
    </row>
    <row r="975" spans="6:6" ht="15.75" customHeight="1">
      <c r="F975" s="259"/>
    </row>
    <row r="976" spans="6:6" ht="15.75" customHeight="1">
      <c r="F976" s="259"/>
    </row>
    <row r="977" spans="6:6" ht="15.75" customHeight="1">
      <c r="F977" s="259"/>
    </row>
    <row r="978" spans="6:6" ht="15.75" customHeight="1">
      <c r="F978" s="259"/>
    </row>
    <row r="979" spans="6:6" ht="15.75" customHeight="1">
      <c r="F979" s="259"/>
    </row>
    <row r="980" spans="6:6" ht="15.75" customHeight="1">
      <c r="F980" s="259"/>
    </row>
    <row r="981" spans="6:6" ht="15.75" customHeight="1">
      <c r="F981" s="259"/>
    </row>
    <row r="982" spans="6:6" ht="15.75" customHeight="1">
      <c r="F982" s="259"/>
    </row>
    <row r="983" spans="6:6" ht="15.75" customHeight="1">
      <c r="F983" s="259"/>
    </row>
    <row r="984" spans="6:6" ht="15.75" customHeight="1">
      <c r="F984" s="259"/>
    </row>
    <row r="985" spans="6:6" ht="15.75" customHeight="1">
      <c r="F985" s="259"/>
    </row>
    <row r="986" spans="6:6" ht="15.75" customHeight="1">
      <c r="F986" s="259"/>
    </row>
    <row r="987" spans="6:6" ht="15.75" customHeight="1">
      <c r="F987" s="259"/>
    </row>
    <row r="988" spans="6:6" ht="15.75" customHeight="1">
      <c r="F988" s="259"/>
    </row>
    <row r="989" spans="6:6" ht="15.75" customHeight="1">
      <c r="F989" s="259"/>
    </row>
    <row r="990" spans="6:6" ht="15.75" customHeight="1">
      <c r="F990" s="259"/>
    </row>
    <row r="991" spans="6:6" ht="15.75" customHeight="1">
      <c r="F991" s="259"/>
    </row>
    <row r="992" spans="6:6" ht="15.75" customHeight="1">
      <c r="F992" s="259"/>
    </row>
    <row r="993" spans="6:6" ht="15.75" customHeight="1">
      <c r="F993" s="259"/>
    </row>
    <row r="994" spans="6:6" ht="15.75" customHeight="1">
      <c r="F994" s="259"/>
    </row>
    <row r="995" spans="6:6" ht="15.75" customHeight="1">
      <c r="F995" s="259"/>
    </row>
    <row r="996" spans="6:6" ht="15.75" customHeight="1">
      <c r="F996" s="259"/>
    </row>
    <row r="997" spans="6:6" ht="15.75" customHeight="1">
      <c r="F997" s="259"/>
    </row>
    <row r="998" spans="6:6" ht="15.75" customHeight="1">
      <c r="F998" s="259"/>
    </row>
    <row r="999" spans="6:6" ht="15.75" customHeight="1">
      <c r="F999" s="259"/>
    </row>
    <row r="1000" spans="6:6" ht="15.75" customHeight="1">
      <c r="F1000" s="259"/>
    </row>
    <row r="1001" spans="6:6" ht="15.75" customHeight="1">
      <c r="F1001" s="259"/>
    </row>
    <row r="1002" spans="6:6" ht="15.75" customHeight="1">
      <c r="F1002" s="259"/>
    </row>
    <row r="1003" spans="6:6" ht="15.75" customHeight="1">
      <c r="F1003" s="259"/>
    </row>
    <row r="1004" spans="6:6" ht="15.75" customHeight="1">
      <c r="F1004" s="259"/>
    </row>
    <row r="1005" spans="6:6" ht="15.75" customHeight="1">
      <c r="F1005" s="259"/>
    </row>
    <row r="1006" spans="6:6" ht="15.75" customHeight="1">
      <c r="F1006" s="259"/>
    </row>
    <row r="1007" spans="6:6" ht="15.75" customHeight="1">
      <c r="F1007" s="259"/>
    </row>
    <row r="1008" spans="6:6" ht="15.75" customHeight="1">
      <c r="F1008" s="259"/>
    </row>
    <row r="1009" spans="6:6" ht="15.75" customHeight="1">
      <c r="F1009" s="259"/>
    </row>
    <row r="1010" spans="6:6" ht="15.75" customHeight="1">
      <c r="F1010" s="259"/>
    </row>
    <row r="1011" spans="6:6" ht="15.75" customHeight="1">
      <c r="F1011" s="259"/>
    </row>
    <row r="1012" spans="6:6" ht="15.75" customHeight="1">
      <c r="F1012" s="259"/>
    </row>
    <row r="1013" spans="6:6" ht="15.75" customHeight="1">
      <c r="F1013" s="259"/>
    </row>
    <row r="1014" spans="6:6" ht="15.75" customHeight="1">
      <c r="F1014" s="259"/>
    </row>
    <row r="1015" spans="6:6" ht="15.75" customHeight="1">
      <c r="F1015" s="259"/>
    </row>
    <row r="1016" spans="6:6" ht="15.75" customHeight="1">
      <c r="F1016" s="259"/>
    </row>
    <row r="1017" spans="6:6" ht="15.75" customHeight="1">
      <c r="F1017" s="259"/>
    </row>
    <row r="1018" spans="6:6" ht="15.75" customHeight="1">
      <c r="F1018" s="259"/>
    </row>
    <row r="1019" spans="6:6" ht="15.75" customHeight="1">
      <c r="F1019" s="259"/>
    </row>
    <row r="1020" spans="6:6" ht="15.75" customHeight="1">
      <c r="F1020" s="259"/>
    </row>
    <row r="1021" spans="6:6" ht="15.75" customHeight="1">
      <c r="F1021" s="259"/>
    </row>
    <row r="1022" spans="6:6" ht="15.75" customHeight="1">
      <c r="F1022" s="259"/>
    </row>
    <row r="1023" spans="6:6" ht="15.75" customHeight="1">
      <c r="F1023" s="259"/>
    </row>
    <row r="1024" spans="6:6" ht="15.75" customHeight="1">
      <c r="F1024" s="259"/>
    </row>
    <row r="1025" spans="6:6" ht="15.75" customHeight="1">
      <c r="F1025" s="259"/>
    </row>
    <row r="1026" spans="6:6" ht="15.75" customHeight="1">
      <c r="F1026" s="259"/>
    </row>
    <row r="1027" spans="6:6" ht="15.75" customHeight="1">
      <c r="F1027" s="259"/>
    </row>
    <row r="1028" spans="6:6" ht="15.75" customHeight="1">
      <c r="F1028" s="259"/>
    </row>
    <row r="1029" spans="6:6" ht="15.75" customHeight="1">
      <c r="F1029" s="259"/>
    </row>
    <row r="1030" spans="6:6" ht="15.75" customHeight="1">
      <c r="F1030" s="259"/>
    </row>
    <row r="1031" spans="6:6" ht="15.75" customHeight="1">
      <c r="F1031" s="259"/>
    </row>
    <row r="1032" spans="6:6" ht="15.75" customHeight="1">
      <c r="F1032" s="259"/>
    </row>
    <row r="1033" spans="6:6" ht="15.75" customHeight="1">
      <c r="F1033" s="259"/>
    </row>
    <row r="1034" spans="6:6" ht="15.75" customHeight="1">
      <c r="F1034" s="259"/>
    </row>
    <row r="1035" spans="6:6" ht="15.75" customHeight="1">
      <c r="F1035" s="259"/>
    </row>
    <row r="1036" spans="6:6" ht="15.75" customHeight="1">
      <c r="F1036" s="259"/>
    </row>
    <row r="1037" spans="6:6" ht="15.75" customHeight="1">
      <c r="F1037" s="259"/>
    </row>
    <row r="1038" spans="6:6" ht="15.75" customHeight="1">
      <c r="F1038" s="259"/>
    </row>
    <row r="1039" spans="6:6" ht="15.75" customHeight="1">
      <c r="F1039" s="259"/>
    </row>
    <row r="1040" spans="6:6" ht="15.75" customHeight="1">
      <c r="F1040" s="259"/>
    </row>
    <row r="1041" spans="6:6" ht="15.75" customHeight="1">
      <c r="F1041" s="259"/>
    </row>
    <row r="1042" spans="6:6" ht="15.75" customHeight="1">
      <c r="F1042" s="259"/>
    </row>
    <row r="1043" spans="6:6" ht="15.75" customHeight="1">
      <c r="F1043" s="259"/>
    </row>
    <row r="1044" spans="6:6" ht="15.75" customHeight="1">
      <c r="F1044" s="259"/>
    </row>
    <row r="1045" spans="6:6" ht="15.75" customHeight="1">
      <c r="F1045" s="259"/>
    </row>
    <row r="1046" spans="6:6" ht="15.75" customHeight="1">
      <c r="F1046" s="259"/>
    </row>
    <row r="1047" spans="6:6" ht="15.75" customHeight="1">
      <c r="F1047" s="259"/>
    </row>
    <row r="1048" spans="6:6" ht="15.75" customHeight="1">
      <c r="F1048" s="259"/>
    </row>
    <row r="1049" spans="6:6" ht="15.75" customHeight="1">
      <c r="F1049" s="259"/>
    </row>
    <row r="1050" spans="6:6" ht="15.75" customHeight="1">
      <c r="F1050" s="259"/>
    </row>
    <row r="1051" spans="6:6" ht="15.75" customHeight="1">
      <c r="F1051" s="259"/>
    </row>
    <row r="1052" spans="6:6" ht="15.75" customHeight="1">
      <c r="F1052" s="259"/>
    </row>
    <row r="1053" spans="6:6" ht="15.75" customHeight="1">
      <c r="F1053" s="259"/>
    </row>
    <row r="1054" spans="6:6" ht="15.75" customHeight="1">
      <c r="F1054" s="259"/>
    </row>
    <row r="1055" spans="6:6" ht="15.75" customHeight="1">
      <c r="F1055" s="259"/>
    </row>
    <row r="1056" spans="6:6" ht="15.75" customHeight="1">
      <c r="F1056" s="259"/>
    </row>
    <row r="1057" spans="6:6" ht="15.75" customHeight="1">
      <c r="F1057" s="259"/>
    </row>
    <row r="1058" spans="6:6" ht="15.75" customHeight="1">
      <c r="F1058" s="259"/>
    </row>
    <row r="1059" spans="6:6" ht="15.75" customHeight="1">
      <c r="F1059" s="259"/>
    </row>
    <row r="1060" spans="6:6" ht="15.75" customHeight="1">
      <c r="F1060" s="259"/>
    </row>
    <row r="1061" spans="6:6" ht="15.75" customHeight="1">
      <c r="F1061" s="259"/>
    </row>
    <row r="1062" spans="6:6" ht="15.75" customHeight="1">
      <c r="F1062" s="259"/>
    </row>
    <row r="1063" spans="6:6" ht="15" customHeight="1"/>
  </sheetData>
  <mergeCells count="35">
    <mergeCell ref="B6:F6"/>
    <mergeCell ref="B7:F7"/>
    <mergeCell ref="B8:F8"/>
    <mergeCell ref="B9:F9"/>
    <mergeCell ref="A1:D1"/>
    <mergeCell ref="E1:F1"/>
    <mergeCell ref="A2:F2"/>
    <mergeCell ref="B4:F4"/>
    <mergeCell ref="B5:F5"/>
    <mergeCell ref="B10:F10"/>
    <mergeCell ref="B11:F11"/>
    <mergeCell ref="B12:F12"/>
    <mergeCell ref="A18:F18"/>
    <mergeCell ref="B19:D19"/>
    <mergeCell ref="E19:F19"/>
    <mergeCell ref="A25:A26"/>
    <mergeCell ref="B25:B26"/>
    <mergeCell ref="C25:E25"/>
    <mergeCell ref="A93:E93"/>
    <mergeCell ref="B20:D20"/>
    <mergeCell ref="E20:F20"/>
    <mergeCell ref="B21:D21"/>
    <mergeCell ref="E21:F21"/>
    <mergeCell ref="B22:D22"/>
    <mergeCell ref="E22:F22"/>
    <mergeCell ref="C100:F100"/>
    <mergeCell ref="C101:F101"/>
    <mergeCell ref="C102:F102"/>
    <mergeCell ref="B23:D23"/>
    <mergeCell ref="E23:F23"/>
    <mergeCell ref="C95:F95"/>
    <mergeCell ref="C96:F96"/>
    <mergeCell ref="C97:F97"/>
    <mergeCell ref="C98:F98"/>
    <mergeCell ref="C99:F9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81FA0-1206-44DE-B7CA-C3934C625ED3}">
  <dimension ref="A1:R86"/>
  <sheetViews>
    <sheetView topLeftCell="A13" workbookViewId="0">
      <selection activeCell="C20" sqref="C20:J20"/>
    </sheetView>
  </sheetViews>
  <sheetFormatPr defaultRowHeight="16.5"/>
  <cols>
    <col min="1" max="1" width="18.5703125" style="39" customWidth="1"/>
    <col min="2" max="2" width="5.140625" style="39" customWidth="1"/>
    <col min="3" max="3" width="28.7109375" style="39" customWidth="1"/>
    <col min="4" max="4" width="9.140625" style="39"/>
    <col min="5" max="5" width="6.42578125" style="39" customWidth="1"/>
    <col min="6" max="6" width="10.42578125" style="39" customWidth="1"/>
    <col min="7" max="7" width="10.5703125" style="39" customWidth="1"/>
    <col min="8" max="8" width="3.5703125" style="39" customWidth="1"/>
    <col min="9" max="9" width="4" style="39" customWidth="1"/>
    <col min="10" max="10" width="13.140625" style="39" customWidth="1"/>
    <col min="11" max="11" width="11" style="39" bestFit="1" customWidth="1"/>
    <col min="12" max="12" width="10" style="39" bestFit="1" customWidth="1"/>
    <col min="13" max="13" width="11" style="39" bestFit="1" customWidth="1"/>
    <col min="14" max="14" width="10" style="39" bestFit="1" customWidth="1"/>
    <col min="15" max="16384" width="9.140625" style="39"/>
  </cols>
  <sheetData>
    <row r="1" spans="1:10" ht="52.5" customHeight="1">
      <c r="A1" s="504" t="s">
        <v>0</v>
      </c>
      <c r="B1" s="505"/>
      <c r="C1" s="505"/>
      <c r="D1" s="505"/>
      <c r="E1" s="504" t="s">
        <v>1</v>
      </c>
      <c r="F1" s="504"/>
      <c r="G1" s="504"/>
      <c r="H1" s="504"/>
      <c r="I1" s="504"/>
      <c r="J1" s="504"/>
    </row>
    <row r="2" spans="1:10">
      <c r="A2" s="523" t="s">
        <v>47</v>
      </c>
      <c r="B2" s="524"/>
      <c r="C2" s="524"/>
      <c r="D2" s="524"/>
      <c r="E2" s="524"/>
      <c r="F2" s="524"/>
      <c r="G2" s="524"/>
      <c r="H2" s="524"/>
      <c r="I2" s="524"/>
      <c r="J2" s="525"/>
    </row>
    <row r="4" spans="1:10">
      <c r="A4" s="37" t="s">
        <v>2</v>
      </c>
      <c r="B4" s="37" t="s">
        <v>52</v>
      </c>
      <c r="C4" s="38"/>
      <c r="D4" s="38"/>
      <c r="E4" s="38"/>
      <c r="F4" s="38"/>
    </row>
    <row r="5" spans="1:10">
      <c r="A5" s="37" t="s">
        <v>4</v>
      </c>
      <c r="B5" s="37" t="s">
        <v>53</v>
      </c>
      <c r="C5" s="38"/>
      <c r="D5" s="38"/>
      <c r="E5" s="38"/>
      <c r="F5" s="38"/>
    </row>
    <row r="6" spans="1:10">
      <c r="A6" s="37" t="s">
        <v>6</v>
      </c>
      <c r="B6" s="37" t="s">
        <v>54</v>
      </c>
      <c r="C6" s="38"/>
      <c r="D6" s="38"/>
      <c r="E6" s="38"/>
      <c r="F6" s="38"/>
    </row>
    <row r="7" spans="1:10">
      <c r="A7" s="37" t="s">
        <v>7</v>
      </c>
      <c r="B7" s="37" t="s">
        <v>55</v>
      </c>
      <c r="C7" s="38"/>
      <c r="D7" s="38"/>
      <c r="E7" s="38"/>
      <c r="F7" s="38"/>
    </row>
    <row r="8" spans="1:10">
      <c r="A8" s="37" t="s">
        <v>8</v>
      </c>
      <c r="B8" s="37" t="s">
        <v>56</v>
      </c>
      <c r="C8" s="38"/>
      <c r="D8" s="38"/>
      <c r="E8" s="38"/>
      <c r="F8" s="38"/>
    </row>
    <row r="9" spans="1:10">
      <c r="A9" s="37" t="s">
        <v>9</v>
      </c>
      <c r="B9" s="37" t="s">
        <v>135</v>
      </c>
      <c r="C9" s="38"/>
      <c r="D9" s="38"/>
      <c r="E9" s="38"/>
      <c r="F9" s="38"/>
    </row>
    <row r="10" spans="1:10">
      <c r="A10" s="37" t="s">
        <v>10</v>
      </c>
      <c r="B10" s="37" t="s">
        <v>57</v>
      </c>
      <c r="C10" s="38"/>
      <c r="D10" s="38"/>
      <c r="E10" s="38"/>
      <c r="F10" s="38"/>
    </row>
    <row r="11" spans="1:10">
      <c r="A11" s="37" t="s">
        <v>11</v>
      </c>
      <c r="B11" s="37" t="s">
        <v>58</v>
      </c>
      <c r="C11" s="38"/>
      <c r="D11" s="38"/>
      <c r="E11" s="38"/>
      <c r="F11" s="38"/>
    </row>
    <row r="12" spans="1:10">
      <c r="A12" s="37" t="s">
        <v>12</v>
      </c>
      <c r="B12" s="37" t="s">
        <v>133</v>
      </c>
      <c r="C12" s="38"/>
      <c r="D12" s="38"/>
      <c r="E12" s="38"/>
      <c r="F12" s="38"/>
    </row>
    <row r="13" spans="1:10">
      <c r="A13" s="37" t="s">
        <v>14</v>
      </c>
      <c r="B13" s="37" t="s">
        <v>136</v>
      </c>
      <c r="C13" s="38"/>
      <c r="D13" s="38"/>
      <c r="E13" s="38"/>
      <c r="F13" s="38"/>
    </row>
    <row r="14" spans="1:10">
      <c r="A14" s="37" t="s">
        <v>46</v>
      </c>
      <c r="B14" s="37" t="s">
        <v>59</v>
      </c>
      <c r="C14" s="40">
        <v>29631000</v>
      </c>
      <c r="D14" s="38"/>
      <c r="E14" s="38"/>
      <c r="F14" s="38"/>
    </row>
    <row r="15" spans="1:10">
      <c r="A15" s="37" t="s">
        <v>48</v>
      </c>
      <c r="B15" s="37" t="s">
        <v>59</v>
      </c>
      <c r="C15" s="754">
        <f>I22</f>
        <v>59264000</v>
      </c>
      <c r="D15" s="38"/>
      <c r="E15" s="38"/>
      <c r="F15" s="38"/>
    </row>
    <row r="16" spans="1:10">
      <c r="A16" s="37" t="s">
        <v>49</v>
      </c>
      <c r="B16" s="37" t="s">
        <v>59</v>
      </c>
      <c r="C16" s="169">
        <f>(5%*C15)+C15</f>
        <v>62227200</v>
      </c>
      <c r="D16" s="38"/>
      <c r="E16" s="38"/>
      <c r="F16" s="38"/>
    </row>
    <row r="17" spans="1:18">
      <c r="A17" s="42"/>
      <c r="L17" s="43"/>
      <c r="M17" s="43"/>
      <c r="N17" s="43"/>
      <c r="O17" s="43"/>
      <c r="P17" s="43"/>
      <c r="Q17" s="43"/>
    </row>
    <row r="18" spans="1:18" ht="14.25" customHeight="1">
      <c r="A18" s="544" t="s">
        <v>60</v>
      </c>
      <c r="B18" s="544"/>
      <c r="C18" s="544"/>
      <c r="D18" s="544"/>
      <c r="E18" s="544"/>
      <c r="F18" s="544"/>
      <c r="G18" s="544"/>
      <c r="H18" s="544"/>
      <c r="I18" s="544"/>
      <c r="J18" s="544"/>
      <c r="L18" s="43"/>
      <c r="M18" s="43"/>
      <c r="N18" s="43"/>
      <c r="O18" s="43"/>
      <c r="P18" s="43"/>
      <c r="Q18" s="43"/>
    </row>
    <row r="19" spans="1:18" ht="14.25" customHeight="1">
      <c r="A19" s="557" t="s">
        <v>18</v>
      </c>
      <c r="B19" s="557"/>
      <c r="C19" s="558" t="s">
        <v>19</v>
      </c>
      <c r="D19" s="558"/>
      <c r="E19" s="558"/>
      <c r="F19" s="558"/>
      <c r="G19" s="558"/>
      <c r="H19" s="558"/>
      <c r="I19" s="559" t="s">
        <v>20</v>
      </c>
      <c r="J19" s="559"/>
      <c r="L19" s="43"/>
      <c r="M19" s="43"/>
      <c r="N19" s="43"/>
      <c r="O19" s="43"/>
      <c r="P19" s="43"/>
      <c r="Q19" s="43"/>
    </row>
    <row r="20" spans="1:18" ht="14.25" customHeight="1">
      <c r="A20" s="560" t="s">
        <v>21</v>
      </c>
      <c r="B20" s="560"/>
      <c r="C20" s="541" t="s">
        <v>466</v>
      </c>
      <c r="D20" s="541"/>
      <c r="E20" s="541"/>
      <c r="F20" s="541"/>
      <c r="G20" s="541"/>
      <c r="H20" s="541"/>
      <c r="I20" s="561">
        <v>0.65</v>
      </c>
      <c r="J20" s="541"/>
      <c r="L20" s="43"/>
      <c r="M20" s="43"/>
      <c r="N20" s="43"/>
      <c r="O20" s="43"/>
      <c r="P20" s="43"/>
      <c r="Q20" s="43"/>
    </row>
    <row r="21" spans="1:18" ht="14.25" customHeight="1">
      <c r="A21" s="560"/>
      <c r="B21" s="560"/>
      <c r="C21" s="560"/>
      <c r="D21" s="560"/>
      <c r="E21" s="560"/>
      <c r="F21" s="560"/>
      <c r="G21" s="560"/>
      <c r="H21" s="560"/>
      <c r="I21" s="561"/>
      <c r="J21" s="561"/>
      <c r="L21" s="43"/>
      <c r="M21" s="43"/>
      <c r="N21" s="43"/>
      <c r="O21" s="43"/>
      <c r="P21" s="43"/>
      <c r="Q21" s="43"/>
    </row>
    <row r="22" spans="1:18" ht="21" customHeight="1">
      <c r="A22" s="541" t="s">
        <v>22</v>
      </c>
      <c r="B22" s="541"/>
      <c r="C22" s="541" t="s">
        <v>61</v>
      </c>
      <c r="D22" s="541"/>
      <c r="E22" s="541"/>
      <c r="F22" s="541"/>
      <c r="G22" s="541"/>
      <c r="H22" s="541"/>
      <c r="I22" s="555">
        <v>59264000</v>
      </c>
      <c r="J22" s="556"/>
      <c r="L22" s="43"/>
      <c r="M22" s="43"/>
      <c r="N22" s="43"/>
      <c r="O22" s="43"/>
      <c r="P22" s="43"/>
      <c r="Q22" s="43"/>
    </row>
    <row r="23" spans="1:18" ht="33" customHeight="1">
      <c r="A23" s="541" t="s">
        <v>23</v>
      </c>
      <c r="B23" s="541"/>
      <c r="C23" s="541" t="s">
        <v>476</v>
      </c>
      <c r="D23" s="541"/>
      <c r="E23" s="541"/>
      <c r="F23" s="541"/>
      <c r="G23" s="541"/>
      <c r="H23" s="541"/>
      <c r="I23" s="543" t="s">
        <v>137</v>
      </c>
      <c r="J23" s="543"/>
      <c r="L23" s="43"/>
      <c r="M23" s="43"/>
      <c r="N23" s="43"/>
      <c r="O23" s="43"/>
      <c r="P23" s="43"/>
      <c r="Q23" s="43"/>
    </row>
    <row r="24" spans="1:18" ht="75.75" customHeight="1">
      <c r="A24" s="541" t="s">
        <v>24</v>
      </c>
      <c r="B24" s="541"/>
      <c r="C24" s="541" t="s">
        <v>470</v>
      </c>
      <c r="D24" s="541"/>
      <c r="E24" s="541"/>
      <c r="F24" s="541"/>
      <c r="G24" s="541"/>
      <c r="H24" s="541"/>
      <c r="I24" s="542" t="s">
        <v>471</v>
      </c>
      <c r="J24" s="543"/>
      <c r="L24" s="43"/>
      <c r="M24" s="140"/>
      <c r="N24" s="43"/>
      <c r="O24" s="43"/>
      <c r="P24" s="43"/>
      <c r="Q24" s="43"/>
    </row>
    <row r="25" spans="1:18">
      <c r="A25" s="544" t="s">
        <v>63</v>
      </c>
      <c r="B25" s="544"/>
      <c r="C25" s="544"/>
      <c r="D25" s="544"/>
      <c r="E25" s="544"/>
      <c r="F25" s="544"/>
      <c r="G25" s="544"/>
      <c r="H25" s="544"/>
      <c r="I25" s="544"/>
      <c r="J25" s="544"/>
      <c r="L25" s="43"/>
      <c r="M25" s="141"/>
      <c r="N25" s="142"/>
      <c r="O25" s="43"/>
      <c r="P25" s="43"/>
      <c r="Q25" s="43"/>
    </row>
    <row r="26" spans="1:18" ht="17.25" thickBot="1">
      <c r="A26" s="44"/>
      <c r="B26" s="545"/>
      <c r="C26" s="546"/>
      <c r="D26" s="547" t="s">
        <v>27</v>
      </c>
      <c r="E26" s="548"/>
      <c r="F26" s="548"/>
      <c r="G26" s="548"/>
      <c r="H26" s="548"/>
      <c r="I26" s="549"/>
      <c r="J26" s="45"/>
      <c r="L26" s="43"/>
      <c r="M26" s="43"/>
      <c r="N26" s="43"/>
      <c r="O26" s="43"/>
      <c r="P26" s="43"/>
      <c r="Q26" s="43"/>
    </row>
    <row r="27" spans="1:18" ht="17.25" thickBot="1">
      <c r="A27" s="46" t="s">
        <v>25</v>
      </c>
      <c r="B27" s="550" t="s">
        <v>26</v>
      </c>
      <c r="C27" s="503"/>
      <c r="D27" s="551" t="s">
        <v>29</v>
      </c>
      <c r="E27" s="552"/>
      <c r="F27" s="49" t="s">
        <v>30</v>
      </c>
      <c r="G27" s="49" t="s">
        <v>31</v>
      </c>
      <c r="H27" s="553" t="s">
        <v>64</v>
      </c>
      <c r="I27" s="554"/>
      <c r="J27" s="50" t="s">
        <v>28</v>
      </c>
      <c r="L27" s="143"/>
      <c r="M27" s="143"/>
      <c r="N27" s="143"/>
      <c r="O27" s="143"/>
      <c r="P27" s="143"/>
      <c r="Q27" s="143"/>
      <c r="R27" s="143"/>
    </row>
    <row r="28" spans="1:18">
      <c r="A28" s="144">
        <v>5</v>
      </c>
      <c r="B28" s="539" t="s">
        <v>65</v>
      </c>
      <c r="C28" s="540"/>
      <c r="D28" s="47"/>
      <c r="E28" s="48"/>
      <c r="F28" s="55"/>
      <c r="G28" s="55"/>
      <c r="H28" s="56"/>
      <c r="I28" s="57"/>
      <c r="J28" s="756">
        <f>J30+J52</f>
        <v>59264000</v>
      </c>
      <c r="K28" s="145">
        <f>I22-J28</f>
        <v>0</v>
      </c>
      <c r="L28" s="60"/>
      <c r="M28" s="60"/>
      <c r="N28" s="143"/>
      <c r="O28" s="60"/>
      <c r="P28" s="143"/>
      <c r="Q28" s="143"/>
      <c r="R28" s="143"/>
    </row>
    <row r="29" spans="1:18">
      <c r="A29" s="146" t="s">
        <v>66</v>
      </c>
      <c r="B29" s="506" t="s">
        <v>138</v>
      </c>
      <c r="C29" s="532"/>
      <c r="D29" s="147"/>
      <c r="E29" s="148"/>
      <c r="F29" s="67"/>
      <c r="G29" s="67"/>
      <c r="H29" s="68"/>
      <c r="I29" s="69"/>
      <c r="J29" s="70"/>
      <c r="L29" s="143"/>
      <c r="M29" s="60"/>
      <c r="N29" s="143"/>
      <c r="O29" s="60"/>
      <c r="P29" s="143"/>
      <c r="Q29" s="143"/>
      <c r="R29" s="143"/>
    </row>
    <row r="30" spans="1:18">
      <c r="A30" s="122" t="s">
        <v>68</v>
      </c>
      <c r="B30" s="506" t="s">
        <v>69</v>
      </c>
      <c r="C30" s="532"/>
      <c r="D30" s="123"/>
      <c r="E30" s="117"/>
      <c r="F30" s="76"/>
      <c r="G30" s="76"/>
      <c r="H30" s="77"/>
      <c r="I30" s="45"/>
      <c r="J30" s="70">
        <f>J31+J44</f>
        <v>31644000</v>
      </c>
      <c r="L30" s="143"/>
      <c r="M30" s="143"/>
      <c r="N30" s="143"/>
      <c r="O30" s="143"/>
      <c r="P30" s="143"/>
      <c r="Q30" s="143"/>
      <c r="R30" s="143"/>
    </row>
    <row r="31" spans="1:18">
      <c r="A31" s="122" t="s">
        <v>70</v>
      </c>
      <c r="B31" s="506" t="s">
        <v>71</v>
      </c>
      <c r="C31" s="532"/>
      <c r="D31" s="123"/>
      <c r="E31" s="117"/>
      <c r="F31" s="76"/>
      <c r="G31" s="76"/>
      <c r="H31" s="77"/>
      <c r="I31" s="45"/>
      <c r="J31" s="70">
        <f>J32+J38</f>
        <v>6344000</v>
      </c>
      <c r="L31" s="143"/>
      <c r="M31" s="60"/>
      <c r="N31" s="149"/>
      <c r="O31" s="143"/>
      <c r="P31" s="143"/>
      <c r="Q31" s="143"/>
      <c r="R31" s="143"/>
    </row>
    <row r="32" spans="1:18">
      <c r="A32" s="122" t="s">
        <v>72</v>
      </c>
      <c r="B32" s="506" t="s">
        <v>73</v>
      </c>
      <c r="C32" s="532"/>
      <c r="D32" s="123"/>
      <c r="E32" s="117"/>
      <c r="F32" s="76"/>
      <c r="G32" s="76"/>
      <c r="H32" s="77"/>
      <c r="I32" s="45"/>
      <c r="J32" s="70">
        <f>J33</f>
        <v>899000</v>
      </c>
      <c r="L32" s="143"/>
      <c r="M32" s="60"/>
      <c r="N32" s="143"/>
      <c r="O32" s="143"/>
      <c r="P32" s="143"/>
      <c r="Q32" s="143"/>
      <c r="R32" s="143"/>
    </row>
    <row r="33" spans="1:18" ht="26.25" customHeight="1">
      <c r="A33" s="122" t="s">
        <v>97</v>
      </c>
      <c r="B33" s="506" t="s">
        <v>98</v>
      </c>
      <c r="C33" s="532"/>
      <c r="D33" s="123"/>
      <c r="E33" s="117"/>
      <c r="F33" s="76"/>
      <c r="G33" s="76"/>
      <c r="H33" s="77"/>
      <c r="I33" s="45"/>
      <c r="J33" s="70">
        <f>J34+J35+J36</f>
        <v>899000</v>
      </c>
      <c r="L33" s="150"/>
      <c r="M33" s="143"/>
      <c r="N33" s="143"/>
      <c r="O33" s="143"/>
      <c r="P33" s="143"/>
      <c r="Q33" s="143"/>
      <c r="R33" s="143"/>
    </row>
    <row r="34" spans="1:18">
      <c r="A34" s="44"/>
      <c r="B34" s="508" t="s">
        <v>139</v>
      </c>
      <c r="C34" s="509"/>
      <c r="D34" s="123">
        <f>1500+854</f>
        <v>2354</v>
      </c>
      <c r="E34" s="116"/>
      <c r="F34" s="117" t="s">
        <v>100</v>
      </c>
      <c r="G34" s="86">
        <v>350</v>
      </c>
      <c r="H34" s="77"/>
      <c r="I34" s="45"/>
      <c r="J34" s="87">
        <f>D34*G34</f>
        <v>823900</v>
      </c>
      <c r="L34" s="143"/>
      <c r="M34" s="143"/>
      <c r="N34" s="143"/>
      <c r="O34" s="143"/>
      <c r="P34" s="143"/>
      <c r="Q34" s="143"/>
      <c r="R34" s="143"/>
    </row>
    <row r="35" spans="1:18">
      <c r="A35" s="44"/>
      <c r="B35" s="508" t="s">
        <v>101</v>
      </c>
      <c r="C35" s="509"/>
      <c r="D35" s="123">
        <v>5</v>
      </c>
      <c r="E35" s="116"/>
      <c r="F35" s="117" t="s">
        <v>84</v>
      </c>
      <c r="G35" s="86">
        <v>15000</v>
      </c>
      <c r="H35" s="77"/>
      <c r="I35" s="45"/>
      <c r="J35" s="87">
        <f>D35*G35</f>
        <v>75000</v>
      </c>
      <c r="L35" s="60"/>
      <c r="M35" s="143"/>
      <c r="N35" s="143"/>
      <c r="O35" s="143"/>
      <c r="P35" s="143"/>
      <c r="Q35" s="143"/>
      <c r="R35" s="143"/>
    </row>
    <row r="36" spans="1:18" ht="15.75" customHeight="1">
      <c r="A36" s="156"/>
      <c r="B36" s="526" t="s">
        <v>396</v>
      </c>
      <c r="C36" s="527"/>
      <c r="D36" s="239">
        <v>1</v>
      </c>
      <c r="E36" s="240"/>
      <c r="F36" s="241"/>
      <c r="G36" s="373">
        <v>100</v>
      </c>
      <c r="H36" s="242"/>
      <c r="I36" s="243"/>
      <c r="J36" s="245">
        <f>G36</f>
        <v>100</v>
      </c>
      <c r="L36" s="143"/>
      <c r="M36" s="143"/>
      <c r="N36" s="143"/>
      <c r="O36" s="143"/>
      <c r="P36" s="143"/>
      <c r="Q36" s="143"/>
      <c r="R36" s="143"/>
    </row>
    <row r="37" spans="1:18" ht="15.75" customHeight="1">
      <c r="A37" s="156"/>
      <c r="B37" s="371"/>
      <c r="C37" s="372"/>
      <c r="D37" s="151"/>
      <c r="E37" s="152"/>
      <c r="F37" s="153"/>
      <c r="G37" s="158"/>
      <c r="H37" s="154"/>
      <c r="I37" s="155"/>
      <c r="J37" s="157"/>
      <c r="L37" s="143"/>
      <c r="M37" s="143"/>
      <c r="N37" s="143"/>
      <c r="O37" s="143"/>
      <c r="P37" s="143"/>
      <c r="Q37" s="143"/>
      <c r="R37" s="143"/>
    </row>
    <row r="38" spans="1:18" ht="20.25" customHeight="1">
      <c r="A38" s="397" t="s">
        <v>379</v>
      </c>
      <c r="B38" s="536" t="s">
        <v>423</v>
      </c>
      <c r="C38" s="537"/>
      <c r="D38" s="398"/>
      <c r="E38" s="399"/>
      <c r="F38" s="400"/>
      <c r="G38" s="401"/>
      <c r="H38" s="195"/>
      <c r="I38" s="395"/>
      <c r="J38" s="402">
        <f>J39</f>
        <v>5445000</v>
      </c>
      <c r="L38" s="43"/>
      <c r="M38" s="43"/>
      <c r="N38" s="43"/>
      <c r="O38" s="43"/>
      <c r="P38" s="43"/>
      <c r="Q38" s="43"/>
    </row>
    <row r="39" spans="1:18" ht="38.25" customHeight="1">
      <c r="A39" s="397"/>
      <c r="B39" s="536" t="s">
        <v>444</v>
      </c>
      <c r="C39" s="538"/>
      <c r="D39" s="398"/>
      <c r="E39" s="399"/>
      <c r="F39" s="400"/>
      <c r="G39" s="401"/>
      <c r="H39" s="195"/>
      <c r="I39" s="395"/>
      <c r="J39" s="403">
        <f>J40</f>
        <v>5445000</v>
      </c>
      <c r="L39" s="43"/>
      <c r="M39" s="43"/>
      <c r="N39" s="43"/>
      <c r="O39" s="43"/>
      <c r="P39" s="43"/>
      <c r="Q39" s="43"/>
    </row>
    <row r="40" spans="1:18" ht="29.25" customHeight="1">
      <c r="A40" s="397"/>
      <c r="B40" s="536" t="s">
        <v>445</v>
      </c>
      <c r="C40" s="537"/>
      <c r="D40" s="398"/>
      <c r="E40" s="399"/>
      <c r="F40" s="400"/>
      <c r="G40" s="401"/>
      <c r="H40" s="195"/>
      <c r="I40" s="395"/>
      <c r="J40" s="403">
        <f>SUM(J41:J42)</f>
        <v>5445000</v>
      </c>
      <c r="L40" s="43"/>
      <c r="M40" s="43"/>
      <c r="N40" s="43"/>
      <c r="O40" s="43"/>
      <c r="P40" s="43"/>
      <c r="Q40" s="43"/>
    </row>
    <row r="41" spans="1:18" ht="32.25" customHeight="1">
      <c r="A41" s="397"/>
      <c r="B41" s="528" t="s">
        <v>442</v>
      </c>
      <c r="C41" s="529"/>
      <c r="D41" s="398">
        <v>110</v>
      </c>
      <c r="E41" s="165"/>
      <c r="F41" s="399" t="s">
        <v>240</v>
      </c>
      <c r="G41" s="404">
        <v>33000</v>
      </c>
      <c r="H41" s="195"/>
      <c r="I41" s="395"/>
      <c r="J41" s="403">
        <f>D41*G41</f>
        <v>3630000</v>
      </c>
      <c r="L41" s="43"/>
      <c r="M41" s="43"/>
      <c r="N41" s="43"/>
      <c r="O41" s="43"/>
      <c r="P41" s="43"/>
      <c r="Q41" s="43"/>
    </row>
    <row r="42" spans="1:18" ht="37.5" customHeight="1">
      <c r="A42" s="397"/>
      <c r="B42" s="530" t="s">
        <v>443</v>
      </c>
      <c r="C42" s="531"/>
      <c r="D42" s="398">
        <v>110</v>
      </c>
      <c r="E42" s="165"/>
      <c r="F42" s="399" t="s">
        <v>240</v>
      </c>
      <c r="G42" s="404">
        <v>16500</v>
      </c>
      <c r="H42" s="195"/>
      <c r="I42" s="395"/>
      <c r="J42" s="403">
        <f>D42*G42</f>
        <v>1815000</v>
      </c>
      <c r="L42" s="43"/>
      <c r="M42" s="43"/>
      <c r="N42" s="43"/>
      <c r="O42" s="43"/>
      <c r="P42" s="43"/>
      <c r="Q42" s="43"/>
    </row>
    <row r="43" spans="1:18" ht="15.75" customHeight="1">
      <c r="A43" s="397"/>
      <c r="B43" s="195"/>
      <c r="C43" s="190"/>
      <c r="D43" s="398"/>
      <c r="E43" s="165"/>
      <c r="F43" s="405"/>
      <c r="G43" s="404"/>
      <c r="H43" s="195"/>
      <c r="I43" s="395"/>
      <c r="J43" s="406"/>
      <c r="L43" s="43"/>
      <c r="M43" s="43"/>
      <c r="N43" s="43"/>
      <c r="O43" s="43"/>
      <c r="P43" s="43"/>
      <c r="Q43" s="43"/>
    </row>
    <row r="44" spans="1:18">
      <c r="A44" s="122" t="s">
        <v>102</v>
      </c>
      <c r="B44" s="506" t="s">
        <v>103</v>
      </c>
      <c r="C44" s="532"/>
      <c r="D44" s="123"/>
      <c r="E44" s="117"/>
      <c r="F44" s="76"/>
      <c r="G44" s="76"/>
      <c r="H44" s="77"/>
      <c r="I44" s="45"/>
      <c r="J44" s="70">
        <f>J45</f>
        <v>25300000</v>
      </c>
      <c r="L44" s="143"/>
      <c r="M44" s="143"/>
      <c r="N44" s="143"/>
      <c r="O44" s="143"/>
      <c r="P44" s="143"/>
      <c r="Q44" s="143"/>
      <c r="R44" s="143"/>
    </row>
    <row r="45" spans="1:18">
      <c r="A45" s="122" t="s">
        <v>104</v>
      </c>
      <c r="B45" s="506" t="s">
        <v>105</v>
      </c>
      <c r="C45" s="532"/>
      <c r="D45" s="123"/>
      <c r="E45" s="117"/>
      <c r="F45" s="76"/>
      <c r="G45" s="76"/>
      <c r="H45" s="77"/>
      <c r="I45" s="45"/>
      <c r="J45" s="70">
        <f>J46+J77</f>
        <v>25300000</v>
      </c>
      <c r="L45" s="143"/>
      <c r="M45" s="143"/>
      <c r="N45" s="143"/>
      <c r="O45" s="143"/>
      <c r="P45" s="143"/>
      <c r="Q45" s="143"/>
      <c r="R45" s="143"/>
    </row>
    <row r="46" spans="1:18" ht="33" customHeight="1">
      <c r="A46" s="391" t="s">
        <v>106</v>
      </c>
      <c r="B46" s="533" t="s">
        <v>107</v>
      </c>
      <c r="C46" s="507"/>
      <c r="D46" s="120"/>
      <c r="E46" s="117"/>
      <c r="F46" s="76"/>
      <c r="G46" s="76"/>
      <c r="H46" s="77"/>
      <c r="I46" s="45"/>
      <c r="J46" s="70">
        <f>J48+J50</f>
        <v>5400000</v>
      </c>
      <c r="L46" s="143"/>
      <c r="M46" s="143"/>
      <c r="N46" s="143"/>
      <c r="O46" s="143"/>
      <c r="P46" s="143"/>
      <c r="Q46" s="143"/>
      <c r="R46" s="143"/>
    </row>
    <row r="47" spans="1:18" ht="27" customHeight="1">
      <c r="A47" s="391"/>
      <c r="B47" s="534" t="s">
        <v>441</v>
      </c>
      <c r="C47" s="535"/>
      <c r="D47" s="120"/>
      <c r="E47" s="117"/>
      <c r="F47" s="76"/>
      <c r="G47" s="76"/>
      <c r="H47" s="77"/>
      <c r="I47" s="45"/>
      <c r="J47" s="70"/>
      <c r="L47" s="143"/>
      <c r="M47" s="143"/>
      <c r="N47" s="143"/>
      <c r="O47" s="143"/>
      <c r="P47" s="143"/>
      <c r="Q47" s="143"/>
      <c r="R47" s="143"/>
    </row>
    <row r="48" spans="1:18" ht="29.25" customHeight="1">
      <c r="A48" s="116"/>
      <c r="B48" s="528" t="s">
        <v>143</v>
      </c>
      <c r="C48" s="522"/>
      <c r="D48" s="120" t="s">
        <v>144</v>
      </c>
      <c r="E48" s="117">
        <v>2</v>
      </c>
      <c r="F48" s="76" t="s">
        <v>109</v>
      </c>
      <c r="G48" s="86">
        <v>900000</v>
      </c>
      <c r="H48" s="77"/>
      <c r="I48" s="45"/>
      <c r="J48" s="119">
        <f>1*2*900000</f>
        <v>1800000</v>
      </c>
      <c r="L48" s="43"/>
      <c r="M48" s="43"/>
      <c r="N48" s="43"/>
      <c r="O48" s="43"/>
      <c r="P48" s="43"/>
      <c r="Q48" s="43"/>
    </row>
    <row r="49" spans="1:17" ht="29.25" customHeight="1">
      <c r="A49" s="116"/>
      <c r="B49" s="534" t="s">
        <v>383</v>
      </c>
      <c r="C49" s="535"/>
      <c r="D49" s="120"/>
      <c r="E49" s="117"/>
      <c r="F49" s="76"/>
      <c r="G49" s="86"/>
      <c r="H49" s="77"/>
      <c r="I49" s="45"/>
      <c r="J49" s="119"/>
      <c r="L49" s="43"/>
      <c r="M49" s="43"/>
      <c r="N49" s="43"/>
      <c r="O49" s="43"/>
      <c r="P49" s="43"/>
      <c r="Q49" s="43"/>
    </row>
    <row r="50" spans="1:17" ht="29.25" customHeight="1">
      <c r="A50" s="116"/>
      <c r="B50" s="528" t="s">
        <v>143</v>
      </c>
      <c r="C50" s="522"/>
      <c r="D50" s="120" t="s">
        <v>394</v>
      </c>
      <c r="E50" s="117">
        <v>2</v>
      </c>
      <c r="F50" s="76" t="s">
        <v>109</v>
      </c>
      <c r="G50" s="86">
        <v>900000</v>
      </c>
      <c r="H50" s="77"/>
      <c r="I50" s="45"/>
      <c r="J50" s="119">
        <f>2*2*900000</f>
        <v>3600000</v>
      </c>
      <c r="L50" s="43"/>
      <c r="M50" s="43"/>
      <c r="N50" s="43"/>
      <c r="O50" s="43"/>
      <c r="P50" s="43"/>
      <c r="Q50" s="43"/>
    </row>
    <row r="51" spans="1:17" ht="18" customHeight="1">
      <c r="A51" s="165"/>
      <c r="B51" s="121"/>
      <c r="C51" s="81"/>
      <c r="D51" s="120"/>
      <c r="E51" s="74"/>
      <c r="F51" s="393"/>
      <c r="G51" s="394"/>
      <c r="H51" s="195"/>
      <c r="I51" s="395"/>
      <c r="J51" s="396"/>
      <c r="L51" s="43"/>
      <c r="M51" s="43"/>
      <c r="N51" s="43"/>
      <c r="O51" s="43"/>
      <c r="P51" s="43"/>
      <c r="Q51" s="43"/>
    </row>
    <row r="52" spans="1:17">
      <c r="A52" s="392" t="s">
        <v>112</v>
      </c>
      <c r="B52" s="533" t="s">
        <v>113</v>
      </c>
      <c r="C52" s="507"/>
      <c r="D52" s="120"/>
      <c r="E52" s="117"/>
      <c r="F52" s="76"/>
      <c r="G52" s="76"/>
      <c r="H52" s="77"/>
      <c r="I52" s="45"/>
      <c r="J52" s="70">
        <f>J53</f>
        <v>27620000</v>
      </c>
      <c r="L52" s="43"/>
      <c r="M52" s="43"/>
      <c r="N52" s="43"/>
      <c r="O52" s="43"/>
      <c r="P52" s="43"/>
      <c r="Q52" s="43"/>
    </row>
    <row r="53" spans="1:17">
      <c r="A53" s="392" t="s">
        <v>114</v>
      </c>
      <c r="B53" s="533" t="s">
        <v>115</v>
      </c>
      <c r="C53" s="507"/>
      <c r="D53" s="120"/>
      <c r="E53" s="117"/>
      <c r="F53" s="76"/>
      <c r="G53" s="76"/>
      <c r="H53" s="77"/>
      <c r="I53" s="45"/>
      <c r="J53" s="70">
        <f>J54+J77</f>
        <v>27620000</v>
      </c>
      <c r="L53" s="43"/>
      <c r="M53" s="43"/>
      <c r="N53" s="43"/>
      <c r="O53" s="43"/>
      <c r="P53" s="43"/>
      <c r="Q53" s="43"/>
    </row>
    <row r="54" spans="1:17">
      <c r="A54" s="392" t="s">
        <v>116</v>
      </c>
      <c r="B54" s="533" t="s">
        <v>117</v>
      </c>
      <c r="C54" s="507"/>
      <c r="D54" s="120"/>
      <c r="E54" s="117"/>
      <c r="F54" s="76"/>
      <c r="G54" s="76"/>
      <c r="H54" s="77"/>
      <c r="I54" s="45"/>
      <c r="J54" s="70">
        <f>SUM(J56:J75)</f>
        <v>7720000</v>
      </c>
      <c r="L54" s="43"/>
      <c r="M54" s="43"/>
      <c r="N54" s="43"/>
      <c r="O54" s="43"/>
      <c r="P54" s="43"/>
      <c r="Q54" s="43"/>
    </row>
    <row r="55" spans="1:17" ht="28.5" customHeight="1">
      <c r="A55" s="392"/>
      <c r="B55" s="534" t="s">
        <v>145</v>
      </c>
      <c r="C55" s="535"/>
      <c r="D55" s="120"/>
      <c r="E55" s="117"/>
      <c r="F55" s="76"/>
      <c r="G55" s="76"/>
      <c r="H55" s="77"/>
      <c r="I55" s="45"/>
      <c r="J55" s="70"/>
      <c r="L55" s="43"/>
      <c r="M55" s="43"/>
      <c r="N55" s="43"/>
      <c r="O55" s="43"/>
      <c r="P55" s="43"/>
      <c r="Q55" s="43"/>
    </row>
    <row r="56" spans="1:17" ht="27" customHeight="1">
      <c r="A56" s="122"/>
      <c r="B56" s="508" t="s">
        <v>119</v>
      </c>
      <c r="C56" s="522"/>
      <c r="D56" s="120">
        <v>24</v>
      </c>
      <c r="E56" s="117"/>
      <c r="F56" s="76" t="s">
        <v>111</v>
      </c>
      <c r="G56" s="86">
        <v>170000</v>
      </c>
      <c r="H56" s="77"/>
      <c r="I56" s="45"/>
      <c r="J56" s="87">
        <f>D56*G56</f>
        <v>4080000</v>
      </c>
      <c r="L56" s="43"/>
      <c r="M56" s="43"/>
      <c r="N56" s="43"/>
      <c r="O56" s="43"/>
      <c r="P56" s="43"/>
      <c r="Q56" s="43"/>
    </row>
    <row r="57" spans="1:17" ht="27.75" customHeight="1">
      <c r="A57" s="122"/>
      <c r="B57" s="508" t="s">
        <v>384</v>
      </c>
      <c r="C57" s="522"/>
      <c r="D57" s="120"/>
      <c r="E57" s="74"/>
      <c r="F57" s="75"/>
      <c r="G57" s="86"/>
      <c r="H57" s="77"/>
      <c r="I57" s="45"/>
      <c r="J57" s="87">
        <f>SUM(J59:J75)</f>
        <v>1820000</v>
      </c>
      <c r="L57" s="43"/>
      <c r="M57" s="43"/>
      <c r="N57" s="43"/>
      <c r="O57" s="43"/>
      <c r="P57" s="43"/>
      <c r="Q57" s="43"/>
    </row>
    <row r="58" spans="1:17" ht="16.5" customHeight="1">
      <c r="A58" s="122"/>
      <c r="B58" s="506" t="s">
        <v>146</v>
      </c>
      <c r="C58" s="507"/>
      <c r="D58" s="120"/>
      <c r="E58" s="74"/>
      <c r="F58" s="75"/>
      <c r="G58" s="86"/>
      <c r="H58" s="77"/>
      <c r="I58" s="45"/>
      <c r="J58" s="87"/>
      <c r="L58" s="43"/>
      <c r="M58" s="43"/>
      <c r="N58" s="43"/>
      <c r="O58" s="43"/>
      <c r="P58" s="43"/>
      <c r="Q58" s="43"/>
    </row>
    <row r="59" spans="1:17" ht="15" customHeight="1">
      <c r="A59" s="122"/>
      <c r="B59" s="164">
        <v>1</v>
      </c>
      <c r="C59" s="165" t="s">
        <v>167</v>
      </c>
      <c r="D59" s="370">
        <v>1</v>
      </c>
      <c r="E59" s="74"/>
      <c r="F59" s="75" t="s">
        <v>147</v>
      </c>
      <c r="G59" s="86">
        <v>245000</v>
      </c>
      <c r="H59" s="77"/>
      <c r="I59" s="45"/>
      <c r="J59" s="87">
        <f>D59*G59</f>
        <v>245000</v>
      </c>
      <c r="L59" s="43"/>
      <c r="M59" s="43"/>
      <c r="N59" s="43"/>
      <c r="O59" s="43"/>
      <c r="P59" s="43"/>
      <c r="Q59" s="43"/>
    </row>
    <row r="60" spans="1:17" ht="15" customHeight="1">
      <c r="A60" s="122"/>
      <c r="B60" s="164">
        <v>2</v>
      </c>
      <c r="C60" s="165" t="s">
        <v>385</v>
      </c>
      <c r="D60" s="370">
        <v>1</v>
      </c>
      <c r="E60" s="74"/>
      <c r="F60" s="75" t="s">
        <v>147</v>
      </c>
      <c r="G60" s="86">
        <v>170000</v>
      </c>
      <c r="H60" s="77"/>
      <c r="I60" s="45"/>
      <c r="J60" s="87">
        <f>D60*G60</f>
        <v>170000</v>
      </c>
      <c r="L60" s="43"/>
      <c r="M60" s="43"/>
      <c r="N60" s="43"/>
      <c r="O60" s="43"/>
      <c r="P60" s="43"/>
      <c r="Q60" s="43"/>
    </row>
    <row r="61" spans="1:17" ht="15" customHeight="1">
      <c r="A61" s="122"/>
      <c r="B61" s="506" t="s">
        <v>148</v>
      </c>
      <c r="C61" s="507"/>
      <c r="D61" s="370"/>
      <c r="E61" s="74"/>
      <c r="F61" s="75"/>
      <c r="G61" s="86"/>
      <c r="H61" s="77"/>
      <c r="I61" s="45"/>
      <c r="J61" s="87"/>
      <c r="L61" s="43"/>
      <c r="M61" s="43"/>
      <c r="N61" s="43"/>
      <c r="O61" s="43"/>
      <c r="P61" s="43"/>
      <c r="Q61" s="43"/>
    </row>
    <row r="62" spans="1:17" ht="15" customHeight="1">
      <c r="A62" s="122"/>
      <c r="B62" s="164">
        <v>1</v>
      </c>
      <c r="C62" s="165" t="s">
        <v>386</v>
      </c>
      <c r="D62" s="370">
        <v>1</v>
      </c>
      <c r="E62" s="74"/>
      <c r="F62" s="75" t="s">
        <v>147</v>
      </c>
      <c r="G62" s="86">
        <v>160000</v>
      </c>
      <c r="H62" s="77"/>
      <c r="I62" s="45"/>
      <c r="J62" s="87">
        <f>D62*G62</f>
        <v>160000</v>
      </c>
      <c r="L62" s="43"/>
      <c r="M62" s="43"/>
      <c r="N62" s="43"/>
      <c r="O62" s="43"/>
      <c r="P62" s="43"/>
      <c r="Q62" s="43"/>
    </row>
    <row r="63" spans="1:17" ht="15" customHeight="1">
      <c r="A63" s="122"/>
      <c r="B63" s="164">
        <v>2</v>
      </c>
      <c r="C63" s="165" t="s">
        <v>387</v>
      </c>
      <c r="D63" s="370">
        <v>1</v>
      </c>
      <c r="E63" s="74"/>
      <c r="F63" s="75" t="s">
        <v>147</v>
      </c>
      <c r="G63" s="86">
        <v>145000</v>
      </c>
      <c r="H63" s="77"/>
      <c r="I63" s="45"/>
      <c r="J63" s="87">
        <f>D63*G63</f>
        <v>145000</v>
      </c>
      <c r="L63" s="43"/>
      <c r="M63" s="43"/>
      <c r="N63" s="43"/>
      <c r="O63" s="43"/>
      <c r="P63" s="43"/>
      <c r="Q63" s="43"/>
    </row>
    <row r="64" spans="1:17" ht="15" customHeight="1">
      <c r="A64" s="122"/>
      <c r="B64" s="506" t="s">
        <v>149</v>
      </c>
      <c r="C64" s="507"/>
      <c r="D64" s="370"/>
      <c r="E64" s="74"/>
      <c r="F64" s="75"/>
      <c r="G64" s="86"/>
      <c r="H64" s="77"/>
      <c r="I64" s="45"/>
      <c r="J64" s="87"/>
      <c r="L64" s="43"/>
      <c r="M64" s="43"/>
      <c r="N64" s="43"/>
      <c r="O64" s="43"/>
      <c r="P64" s="43"/>
      <c r="Q64" s="43"/>
    </row>
    <row r="65" spans="1:17" ht="15" customHeight="1">
      <c r="A65" s="122"/>
      <c r="B65" s="164">
        <v>1</v>
      </c>
      <c r="C65" s="165" t="s">
        <v>388</v>
      </c>
      <c r="D65" s="370">
        <v>1</v>
      </c>
      <c r="E65" s="74"/>
      <c r="F65" s="75" t="s">
        <v>147</v>
      </c>
      <c r="G65" s="86">
        <v>165000</v>
      </c>
      <c r="H65" s="77"/>
      <c r="I65" s="45"/>
      <c r="J65" s="87">
        <f>D65*G65</f>
        <v>165000</v>
      </c>
      <c r="L65" s="43"/>
      <c r="M65" s="43"/>
      <c r="N65" s="43"/>
      <c r="O65" s="43"/>
      <c r="P65" s="43"/>
      <c r="Q65" s="43"/>
    </row>
    <row r="66" spans="1:17" ht="15" customHeight="1">
      <c r="A66" s="122"/>
      <c r="B66" s="164">
        <v>2</v>
      </c>
      <c r="C66" s="165" t="s">
        <v>150</v>
      </c>
      <c r="D66" s="370">
        <v>1</v>
      </c>
      <c r="E66" s="74"/>
      <c r="F66" s="75" t="s">
        <v>147</v>
      </c>
      <c r="G66" s="86">
        <v>125000</v>
      </c>
      <c r="H66" s="77"/>
      <c r="I66" s="45"/>
      <c r="J66" s="87">
        <f>D66*G66</f>
        <v>125000</v>
      </c>
      <c r="L66" s="43"/>
      <c r="M66" s="43"/>
      <c r="N66" s="43"/>
      <c r="O66" s="43"/>
      <c r="P66" s="43"/>
      <c r="Q66" s="43"/>
    </row>
    <row r="67" spans="1:17" ht="15" customHeight="1">
      <c r="A67" s="122"/>
      <c r="B67" s="506" t="s">
        <v>151</v>
      </c>
      <c r="C67" s="507"/>
      <c r="D67" s="370"/>
      <c r="E67" s="74"/>
      <c r="F67" s="75"/>
      <c r="G67" s="86"/>
      <c r="H67" s="77"/>
      <c r="I67" s="45"/>
      <c r="J67" s="87"/>
      <c r="L67" s="43"/>
      <c r="M67" s="43"/>
      <c r="N67" s="43"/>
      <c r="O67" s="43"/>
      <c r="P67" s="43"/>
      <c r="Q67" s="43"/>
    </row>
    <row r="68" spans="1:17" ht="15" customHeight="1">
      <c r="A68" s="122"/>
      <c r="B68" s="164">
        <v>1</v>
      </c>
      <c r="C68" s="165" t="s">
        <v>389</v>
      </c>
      <c r="D68" s="370">
        <v>1</v>
      </c>
      <c r="E68" s="74"/>
      <c r="F68" s="75" t="s">
        <v>147</v>
      </c>
      <c r="G68" s="86">
        <v>145000</v>
      </c>
      <c r="H68" s="77"/>
      <c r="I68" s="45"/>
      <c r="J68" s="87">
        <f>D68*G68</f>
        <v>145000</v>
      </c>
      <c r="L68" s="43"/>
      <c r="M68" s="43"/>
      <c r="N68" s="43"/>
      <c r="O68" s="43"/>
      <c r="P68" s="43"/>
      <c r="Q68" s="43"/>
    </row>
    <row r="69" spans="1:17" ht="15" customHeight="1">
      <c r="A69" s="122"/>
      <c r="B69" s="164">
        <v>2</v>
      </c>
      <c r="C69" s="165" t="s">
        <v>183</v>
      </c>
      <c r="D69" s="370">
        <v>1</v>
      </c>
      <c r="E69" s="74"/>
      <c r="F69" s="75" t="s">
        <v>147</v>
      </c>
      <c r="G69" s="86">
        <v>130000</v>
      </c>
      <c r="H69" s="77"/>
      <c r="I69" s="45"/>
      <c r="J69" s="87">
        <f>D69*G69</f>
        <v>130000</v>
      </c>
      <c r="L69" s="43"/>
      <c r="M69" s="43"/>
      <c r="N69" s="43"/>
      <c r="O69" s="43"/>
      <c r="P69" s="43"/>
      <c r="Q69" s="43"/>
    </row>
    <row r="70" spans="1:17" ht="15" customHeight="1">
      <c r="A70" s="122"/>
      <c r="B70" s="506" t="s">
        <v>152</v>
      </c>
      <c r="C70" s="507"/>
      <c r="D70" s="370"/>
      <c r="E70" s="74"/>
      <c r="F70" s="75"/>
      <c r="G70" s="86"/>
      <c r="H70" s="77"/>
      <c r="I70" s="45"/>
      <c r="J70" s="87"/>
      <c r="L70" s="43"/>
      <c r="M70" s="43"/>
      <c r="N70" s="43"/>
      <c r="O70" s="43"/>
      <c r="P70" s="43"/>
      <c r="Q70" s="43"/>
    </row>
    <row r="71" spans="1:17" ht="15" customHeight="1">
      <c r="A71" s="122"/>
      <c r="B71" s="164">
        <v>1</v>
      </c>
      <c r="C71" s="165" t="s">
        <v>390</v>
      </c>
      <c r="D71" s="370">
        <v>1</v>
      </c>
      <c r="E71" s="74"/>
      <c r="F71" s="75" t="s">
        <v>147</v>
      </c>
      <c r="G71" s="86">
        <v>120000</v>
      </c>
      <c r="H71" s="77"/>
      <c r="I71" s="45"/>
      <c r="J71" s="87">
        <f>D71*G71</f>
        <v>120000</v>
      </c>
      <c r="L71" s="43"/>
      <c r="M71" s="43"/>
      <c r="N71" s="43"/>
      <c r="O71" s="43"/>
      <c r="P71" s="43"/>
      <c r="Q71" s="43"/>
    </row>
    <row r="72" spans="1:17" ht="15" customHeight="1">
      <c r="A72" s="122"/>
      <c r="B72" s="164">
        <v>2</v>
      </c>
      <c r="C72" s="165" t="s">
        <v>391</v>
      </c>
      <c r="D72" s="370">
        <v>1</v>
      </c>
      <c r="E72" s="74"/>
      <c r="F72" s="75" t="s">
        <v>147</v>
      </c>
      <c r="G72" s="86">
        <v>95000</v>
      </c>
      <c r="H72" s="77"/>
      <c r="I72" s="45"/>
      <c r="J72" s="87">
        <f>D72*G72</f>
        <v>95000</v>
      </c>
      <c r="L72" s="43"/>
      <c r="M72" s="43"/>
      <c r="N72" s="43"/>
      <c r="O72" s="43"/>
      <c r="P72" s="43"/>
      <c r="Q72" s="43"/>
    </row>
    <row r="73" spans="1:17" ht="15" customHeight="1">
      <c r="A73" s="122"/>
      <c r="B73" s="506" t="s">
        <v>154</v>
      </c>
      <c r="C73" s="507"/>
      <c r="D73" s="370"/>
      <c r="E73" s="74"/>
      <c r="F73" s="75"/>
      <c r="G73" s="86"/>
      <c r="H73" s="77"/>
      <c r="I73" s="45"/>
      <c r="J73" s="87"/>
      <c r="L73" s="43"/>
      <c r="M73" s="43"/>
      <c r="N73" s="43"/>
      <c r="O73" s="43"/>
      <c r="P73" s="43"/>
      <c r="Q73" s="43"/>
    </row>
    <row r="74" spans="1:17" ht="15" customHeight="1">
      <c r="A74" s="122"/>
      <c r="B74" s="164">
        <v>1</v>
      </c>
      <c r="C74" s="165" t="s">
        <v>393</v>
      </c>
      <c r="D74" s="370">
        <v>1</v>
      </c>
      <c r="E74" s="74"/>
      <c r="F74" s="75" t="s">
        <v>147</v>
      </c>
      <c r="G74" s="86">
        <v>155000</v>
      </c>
      <c r="H74" s="77"/>
      <c r="I74" s="45"/>
      <c r="J74" s="87">
        <f t="shared" ref="J74:J75" si="0">D74*G74</f>
        <v>155000</v>
      </c>
      <c r="L74" s="43"/>
      <c r="M74" s="43"/>
      <c r="N74" s="43"/>
      <c r="O74" s="43"/>
      <c r="P74" s="43"/>
      <c r="Q74" s="43"/>
    </row>
    <row r="75" spans="1:17" ht="15" customHeight="1">
      <c r="A75" s="122"/>
      <c r="B75" s="164">
        <v>2</v>
      </c>
      <c r="C75" s="165" t="s">
        <v>392</v>
      </c>
      <c r="D75" s="370">
        <v>1</v>
      </c>
      <c r="E75" s="74"/>
      <c r="F75" s="75" t="s">
        <v>147</v>
      </c>
      <c r="G75" s="86">
        <v>165000</v>
      </c>
      <c r="H75" s="77"/>
      <c r="I75" s="45"/>
      <c r="J75" s="87">
        <f t="shared" si="0"/>
        <v>165000</v>
      </c>
      <c r="L75" s="43"/>
      <c r="M75" s="43"/>
      <c r="N75" s="43"/>
      <c r="O75" s="43"/>
      <c r="P75" s="43"/>
      <c r="Q75" s="43"/>
    </row>
    <row r="76" spans="1:17" ht="15" customHeight="1">
      <c r="A76" s="122"/>
      <c r="B76" s="193"/>
      <c r="C76" s="165"/>
      <c r="D76" s="370"/>
      <c r="E76" s="74"/>
      <c r="F76" s="75"/>
      <c r="G76" s="86"/>
      <c r="H76" s="77"/>
      <c r="I76" s="45"/>
      <c r="J76" s="87"/>
      <c r="L76" s="43"/>
      <c r="M76" s="43"/>
      <c r="N76" s="43"/>
      <c r="O76" s="43"/>
      <c r="P76" s="43"/>
      <c r="Q76" s="43"/>
    </row>
    <row r="77" spans="1:17" ht="30" customHeight="1">
      <c r="A77" s="122" t="s">
        <v>110</v>
      </c>
      <c r="B77" s="506" t="s">
        <v>224</v>
      </c>
      <c r="C77" s="507"/>
      <c r="D77" s="120"/>
      <c r="E77" s="117"/>
      <c r="F77" s="76"/>
      <c r="G77" s="86"/>
      <c r="H77" s="77"/>
      <c r="I77" s="45"/>
      <c r="J77" s="70">
        <f>J78</f>
        <v>19900000</v>
      </c>
      <c r="L77" s="43"/>
      <c r="M77" s="43"/>
      <c r="N77" s="43"/>
      <c r="O77" s="43"/>
      <c r="P77" s="43"/>
      <c r="Q77" s="43"/>
    </row>
    <row r="78" spans="1:17" ht="35.25" customHeight="1">
      <c r="A78" s="122"/>
      <c r="B78" s="508" t="s">
        <v>395</v>
      </c>
      <c r="C78" s="509"/>
      <c r="D78" s="123">
        <v>50</v>
      </c>
      <c r="E78" s="117"/>
      <c r="F78" s="76" t="s">
        <v>111</v>
      </c>
      <c r="G78" s="86">
        <v>398000</v>
      </c>
      <c r="H78" s="77"/>
      <c r="I78" s="45"/>
      <c r="J78" s="119">
        <f>D78*G78</f>
        <v>19900000</v>
      </c>
      <c r="L78" s="43"/>
      <c r="M78" s="43"/>
      <c r="N78" s="43"/>
      <c r="O78" s="43"/>
      <c r="P78" s="43"/>
      <c r="Q78" s="43"/>
    </row>
    <row r="79" spans="1:17" ht="15" customHeight="1" thickBot="1">
      <c r="A79" s="138"/>
      <c r="B79" s="508"/>
      <c r="C79" s="509"/>
      <c r="D79" s="167"/>
      <c r="E79" s="168"/>
      <c r="F79" s="136"/>
      <c r="G79" s="136"/>
      <c r="H79" s="130"/>
      <c r="I79" s="137"/>
      <c r="J79" s="138"/>
      <c r="L79" s="43"/>
      <c r="M79" s="43"/>
      <c r="N79" s="43"/>
      <c r="O79" s="43"/>
      <c r="P79" s="43"/>
      <c r="Q79" s="43"/>
    </row>
    <row r="80" spans="1:17" ht="17.25" thickBot="1">
      <c r="A80" s="510" t="s">
        <v>129</v>
      </c>
      <c r="B80" s="511"/>
      <c r="C80" s="511"/>
      <c r="D80" s="511"/>
      <c r="E80" s="511"/>
      <c r="F80" s="511"/>
      <c r="G80" s="511"/>
      <c r="H80" s="511"/>
      <c r="I80" s="512"/>
      <c r="J80" s="194">
        <f>J30</f>
        <v>31644000</v>
      </c>
      <c r="L80" s="43"/>
      <c r="M80" s="43"/>
      <c r="N80" s="43"/>
      <c r="O80" s="43"/>
      <c r="P80" s="43"/>
      <c r="Q80" s="43"/>
    </row>
    <row r="81" spans="1:10" ht="17.25" thickTop="1">
      <c r="A81" s="513"/>
      <c r="B81" s="514"/>
      <c r="C81" s="514"/>
      <c r="D81" s="515"/>
      <c r="E81" s="464" t="s">
        <v>130</v>
      </c>
      <c r="F81" s="465"/>
      <c r="G81" s="465"/>
      <c r="H81" s="465"/>
      <c r="I81" s="465"/>
      <c r="J81" s="466"/>
    </row>
    <row r="82" spans="1:10" ht="13.5" customHeight="1">
      <c r="A82" s="516"/>
      <c r="B82" s="517"/>
      <c r="C82" s="517"/>
      <c r="D82" s="518"/>
      <c r="E82" s="467" t="s">
        <v>131</v>
      </c>
      <c r="F82" s="468"/>
      <c r="G82" s="468"/>
      <c r="H82" s="468"/>
      <c r="I82" s="468"/>
      <c r="J82" s="469"/>
    </row>
    <row r="83" spans="1:10" ht="13.5" customHeight="1">
      <c r="A83" s="516"/>
      <c r="B83" s="517"/>
      <c r="C83" s="517"/>
      <c r="D83" s="518"/>
      <c r="E83" s="446"/>
      <c r="F83" s="447"/>
      <c r="G83" s="447"/>
      <c r="H83" s="447"/>
      <c r="I83" s="447"/>
      <c r="J83" s="448"/>
    </row>
    <row r="84" spans="1:10" ht="13.5" customHeight="1">
      <c r="A84" s="516"/>
      <c r="B84" s="517"/>
      <c r="C84" s="517"/>
      <c r="D84" s="518"/>
      <c r="E84" s="446"/>
      <c r="F84" s="447"/>
      <c r="G84" s="447"/>
      <c r="H84" s="447"/>
      <c r="I84" s="447"/>
      <c r="J84" s="448"/>
    </row>
    <row r="85" spans="1:10" ht="13.5" customHeight="1">
      <c r="A85" s="516"/>
      <c r="B85" s="517"/>
      <c r="C85" s="517"/>
      <c r="D85" s="518"/>
      <c r="E85" s="449"/>
      <c r="F85" s="450"/>
      <c r="G85" s="450"/>
      <c r="H85" s="450"/>
      <c r="I85" s="450"/>
      <c r="J85" s="451"/>
    </row>
    <row r="86" spans="1:10" ht="13.5" customHeight="1" thickBot="1">
      <c r="A86" s="519"/>
      <c r="B86" s="520"/>
      <c r="C86" s="520"/>
      <c r="D86" s="521"/>
      <c r="E86" s="501" t="s">
        <v>132</v>
      </c>
      <c r="F86" s="502"/>
      <c r="G86" s="502"/>
      <c r="H86" s="502"/>
      <c r="I86" s="502"/>
      <c r="J86" s="503"/>
    </row>
  </sheetData>
  <mergeCells count="71">
    <mergeCell ref="A18:J18"/>
    <mergeCell ref="A19:B19"/>
    <mergeCell ref="C19:H19"/>
    <mergeCell ref="I19:J19"/>
    <mergeCell ref="A20:B21"/>
    <mergeCell ref="C20:H20"/>
    <mergeCell ref="I20:J20"/>
    <mergeCell ref="C21:H21"/>
    <mergeCell ref="I21:J21"/>
    <mergeCell ref="B27:C27"/>
    <mergeCell ref="D27:E27"/>
    <mergeCell ref="H27:I27"/>
    <mergeCell ref="A22:B22"/>
    <mergeCell ref="C22:H22"/>
    <mergeCell ref="I22:J22"/>
    <mergeCell ref="A23:B23"/>
    <mergeCell ref="C23:H23"/>
    <mergeCell ref="I23:J23"/>
    <mergeCell ref="A24:B24"/>
    <mergeCell ref="C24:H24"/>
    <mergeCell ref="I24:J24"/>
    <mergeCell ref="A25:J25"/>
    <mergeCell ref="B26:C26"/>
    <mergeCell ref="D26:I26"/>
    <mergeCell ref="B78:C78"/>
    <mergeCell ref="B41:C41"/>
    <mergeCell ref="B42:C42"/>
    <mergeCell ref="B44:C44"/>
    <mergeCell ref="B45:C45"/>
    <mergeCell ref="B46:C46"/>
    <mergeCell ref="B47:C47"/>
    <mergeCell ref="B64:C64"/>
    <mergeCell ref="B52:C52"/>
    <mergeCell ref="B53:C53"/>
    <mergeCell ref="B54:C54"/>
    <mergeCell ref="B48:C48"/>
    <mergeCell ref="B49:C49"/>
    <mergeCell ref="B50:C50"/>
    <mergeCell ref="B55:C55"/>
    <mergeCell ref="B58:C58"/>
    <mergeCell ref="B61:C61"/>
    <mergeCell ref="A2:J2"/>
    <mergeCell ref="B36:C36"/>
    <mergeCell ref="B77:C77"/>
    <mergeCell ref="B38:C38"/>
    <mergeCell ref="B40:C40"/>
    <mergeCell ref="B39:C39"/>
    <mergeCell ref="B35:C35"/>
    <mergeCell ref="B29:C29"/>
    <mergeCell ref="B30:C30"/>
    <mergeCell ref="B31:C31"/>
    <mergeCell ref="B32:C32"/>
    <mergeCell ref="B33:C33"/>
    <mergeCell ref="B34:C34"/>
    <mergeCell ref="B28:C28"/>
    <mergeCell ref="E85:J85"/>
    <mergeCell ref="E86:J86"/>
    <mergeCell ref="A1:D1"/>
    <mergeCell ref="E1:J1"/>
    <mergeCell ref="B67:C67"/>
    <mergeCell ref="B70:C70"/>
    <mergeCell ref="B73:C73"/>
    <mergeCell ref="B79:C79"/>
    <mergeCell ref="A80:I80"/>
    <mergeCell ref="A81:D86"/>
    <mergeCell ref="E81:J81"/>
    <mergeCell ref="E82:J82"/>
    <mergeCell ref="E83:J83"/>
    <mergeCell ref="E84:J84"/>
    <mergeCell ref="B56:C56"/>
    <mergeCell ref="B57:C57"/>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9B3FE-AA78-4522-9CE8-A86401540CC7}">
  <dimension ref="A1:Q103"/>
  <sheetViews>
    <sheetView workbookViewId="0">
      <selection activeCell="C22" sqref="C22:J23"/>
    </sheetView>
  </sheetViews>
  <sheetFormatPr defaultRowHeight="16.5"/>
  <cols>
    <col min="1" max="1" width="19.140625" style="39" customWidth="1"/>
    <col min="2" max="2" width="15.42578125" style="39" customWidth="1"/>
    <col min="3" max="3" width="26.7109375" style="39" customWidth="1"/>
    <col min="4" max="4" width="11" style="39" customWidth="1"/>
    <col min="5" max="5" width="6.42578125" style="39" customWidth="1"/>
    <col min="6" max="6" width="10" style="39" customWidth="1"/>
    <col min="7" max="7" width="10.5703125" style="39" customWidth="1"/>
    <col min="8" max="8" width="3.5703125" style="39" customWidth="1"/>
    <col min="9" max="9" width="4" style="39" customWidth="1"/>
    <col min="10" max="10" width="18.85546875" style="39" customWidth="1"/>
    <col min="11" max="11" width="15" style="39" customWidth="1"/>
    <col min="12" max="12" width="31.42578125" style="39" customWidth="1"/>
    <col min="13" max="13" width="11" style="39" bestFit="1" customWidth="1"/>
    <col min="14" max="14" width="9.140625" style="39"/>
    <col min="15" max="15" width="12" style="39" bestFit="1" customWidth="1"/>
    <col min="16" max="16384" width="9.140625" style="39"/>
  </cols>
  <sheetData>
    <row r="1" spans="1:10" ht="55.5" customHeight="1">
      <c r="A1" s="504" t="s">
        <v>0</v>
      </c>
      <c r="B1" s="505"/>
      <c r="C1" s="505"/>
      <c r="D1" s="505"/>
      <c r="E1" s="504" t="s">
        <v>1</v>
      </c>
      <c r="F1" s="504"/>
      <c r="G1" s="504"/>
      <c r="H1" s="504"/>
      <c r="I1" s="504"/>
      <c r="J1" s="504"/>
    </row>
    <row r="2" spans="1:10" ht="28.5" customHeight="1">
      <c r="A2" s="523" t="s">
        <v>47</v>
      </c>
      <c r="B2" s="524"/>
      <c r="C2" s="524"/>
      <c r="D2" s="524"/>
      <c r="E2" s="524"/>
      <c r="F2" s="524"/>
      <c r="G2" s="524"/>
      <c r="H2" s="524"/>
      <c r="I2" s="524"/>
      <c r="J2" s="525"/>
    </row>
    <row r="4" spans="1:10">
      <c r="A4" s="37" t="s">
        <v>2</v>
      </c>
      <c r="B4" s="37" t="s">
        <v>52</v>
      </c>
      <c r="C4" s="38"/>
      <c r="D4" s="38"/>
      <c r="E4" s="38"/>
      <c r="F4" s="38"/>
    </row>
    <row r="5" spans="1:10">
      <c r="A5" s="37" t="s">
        <v>4</v>
      </c>
      <c r="B5" s="37" t="s">
        <v>53</v>
      </c>
      <c r="C5" s="38"/>
      <c r="D5" s="38"/>
      <c r="E5" s="38"/>
      <c r="F5" s="38"/>
    </row>
    <row r="6" spans="1:10">
      <c r="A6" s="37" t="s">
        <v>6</v>
      </c>
      <c r="B6" s="37" t="s">
        <v>54</v>
      </c>
      <c r="C6" s="38"/>
      <c r="D6" s="38"/>
      <c r="E6" s="38"/>
      <c r="F6" s="38"/>
    </row>
    <row r="7" spans="1:10">
      <c r="A7" s="37" t="s">
        <v>7</v>
      </c>
      <c r="B7" s="37" t="s">
        <v>55</v>
      </c>
      <c r="C7" s="38"/>
      <c r="D7" s="38"/>
      <c r="E7" s="38"/>
      <c r="F7" s="38"/>
    </row>
    <row r="8" spans="1:10">
      <c r="A8" s="37" t="s">
        <v>8</v>
      </c>
      <c r="B8" s="37" t="s">
        <v>209</v>
      </c>
      <c r="C8" s="38"/>
      <c r="D8" s="38"/>
      <c r="E8" s="38"/>
      <c r="F8" s="38"/>
    </row>
    <row r="9" spans="1:10">
      <c r="A9" s="37" t="s">
        <v>9</v>
      </c>
      <c r="B9" s="37" t="s">
        <v>210</v>
      </c>
      <c r="C9" s="38"/>
      <c r="D9" s="38"/>
      <c r="E9" s="38"/>
      <c r="F9" s="38"/>
    </row>
    <row r="10" spans="1:10">
      <c r="A10" s="37" t="s">
        <v>10</v>
      </c>
      <c r="B10" s="37" t="s">
        <v>57</v>
      </c>
      <c r="C10" s="38"/>
      <c r="D10" s="38"/>
      <c r="E10" s="38"/>
      <c r="F10" s="38"/>
    </row>
    <row r="11" spans="1:10">
      <c r="A11" s="37" t="s">
        <v>11</v>
      </c>
      <c r="B11" s="37" t="s">
        <v>58</v>
      </c>
      <c r="C11" s="38"/>
      <c r="D11" s="38"/>
      <c r="E11" s="38"/>
      <c r="F11" s="38"/>
    </row>
    <row r="12" spans="1:10">
      <c r="A12" s="37" t="s">
        <v>12</v>
      </c>
      <c r="B12" s="37" t="s">
        <v>133</v>
      </c>
      <c r="C12" s="38"/>
      <c r="D12" s="38"/>
      <c r="E12" s="38"/>
      <c r="F12" s="38"/>
    </row>
    <row r="13" spans="1:10">
      <c r="A13" s="37" t="s">
        <v>14</v>
      </c>
      <c r="B13" s="37" t="s">
        <v>211</v>
      </c>
      <c r="C13" s="38"/>
      <c r="D13" s="38"/>
      <c r="E13" s="38"/>
      <c r="F13" s="38"/>
    </row>
    <row r="14" spans="1:10">
      <c r="A14" s="37" t="s">
        <v>46</v>
      </c>
      <c r="B14" s="37" t="s">
        <v>59</v>
      </c>
      <c r="C14" s="139">
        <v>490880516</v>
      </c>
      <c r="D14" s="38"/>
      <c r="E14" s="38"/>
      <c r="F14" s="38"/>
    </row>
    <row r="15" spans="1:10">
      <c r="A15" s="37" t="s">
        <v>48</v>
      </c>
      <c r="B15" s="37" t="s">
        <v>59</v>
      </c>
      <c r="C15" s="297">
        <v>258493750</v>
      </c>
      <c r="D15" s="38"/>
      <c r="E15" s="38"/>
      <c r="F15" s="38"/>
    </row>
    <row r="16" spans="1:10">
      <c r="A16" s="37" t="s">
        <v>134</v>
      </c>
      <c r="B16" s="37" t="s">
        <v>59</v>
      </c>
      <c r="C16" s="41">
        <f>(5%*C15)+C15</f>
        <v>271418437.5</v>
      </c>
      <c r="D16" s="38"/>
      <c r="E16" s="38"/>
      <c r="F16" s="38"/>
    </row>
    <row r="17" spans="1:17">
      <c r="A17" s="42"/>
      <c r="L17" s="43"/>
      <c r="M17" s="43"/>
      <c r="N17" s="43"/>
      <c r="O17" s="43"/>
      <c r="P17" s="43"/>
      <c r="Q17" s="43"/>
    </row>
    <row r="18" spans="1:17">
      <c r="A18" s="544" t="s">
        <v>60</v>
      </c>
      <c r="B18" s="544"/>
      <c r="C18" s="544"/>
      <c r="D18" s="544"/>
      <c r="E18" s="544"/>
      <c r="F18" s="544"/>
      <c r="G18" s="544"/>
      <c r="H18" s="544"/>
      <c r="I18" s="544"/>
      <c r="J18" s="544"/>
      <c r="L18" s="43"/>
      <c r="M18" s="43"/>
      <c r="N18" s="43"/>
      <c r="O18" s="43"/>
      <c r="P18" s="43"/>
      <c r="Q18" s="43"/>
    </row>
    <row r="19" spans="1:17">
      <c r="A19" s="557" t="s">
        <v>18</v>
      </c>
      <c r="B19" s="557"/>
      <c r="C19" s="558" t="s">
        <v>19</v>
      </c>
      <c r="D19" s="558"/>
      <c r="E19" s="558"/>
      <c r="F19" s="558"/>
      <c r="G19" s="558"/>
      <c r="H19" s="558"/>
      <c r="I19" s="559" t="s">
        <v>20</v>
      </c>
      <c r="J19" s="559"/>
      <c r="L19" s="43"/>
      <c r="M19" s="43"/>
      <c r="N19" s="43"/>
      <c r="O19" s="43"/>
      <c r="P19" s="43"/>
      <c r="Q19" s="43"/>
    </row>
    <row r="20" spans="1:17" ht="14.25" customHeight="1">
      <c r="A20" s="560" t="s">
        <v>21</v>
      </c>
      <c r="B20" s="560"/>
      <c r="C20" s="541" t="s">
        <v>466</v>
      </c>
      <c r="D20" s="541"/>
      <c r="E20" s="541"/>
      <c r="F20" s="541"/>
      <c r="G20" s="541"/>
      <c r="H20" s="541"/>
      <c r="I20" s="561">
        <v>0.65</v>
      </c>
      <c r="J20" s="541"/>
      <c r="L20" s="43"/>
      <c r="M20" s="43"/>
      <c r="N20" s="43"/>
      <c r="O20" s="43"/>
      <c r="P20" s="43"/>
      <c r="Q20" s="43"/>
    </row>
    <row r="21" spans="1:17">
      <c r="A21" s="541" t="s">
        <v>22</v>
      </c>
      <c r="B21" s="541"/>
      <c r="C21" s="541" t="s">
        <v>61</v>
      </c>
      <c r="D21" s="541"/>
      <c r="E21" s="541"/>
      <c r="F21" s="541"/>
      <c r="G21" s="541"/>
      <c r="H21" s="541"/>
      <c r="I21" s="757">
        <f>J27</f>
        <v>258493750</v>
      </c>
      <c r="J21" s="758"/>
      <c r="L21" s="43"/>
      <c r="M21" s="43" t="s">
        <v>62</v>
      </c>
      <c r="N21" s="43"/>
      <c r="O21" s="43"/>
      <c r="P21" s="43"/>
      <c r="Q21" s="43"/>
    </row>
    <row r="22" spans="1:17" ht="38.25" customHeight="1">
      <c r="A22" s="541" t="s">
        <v>23</v>
      </c>
      <c r="B22" s="541"/>
      <c r="C22" s="541" t="s">
        <v>475</v>
      </c>
      <c r="D22" s="541"/>
      <c r="E22" s="541"/>
      <c r="F22" s="541"/>
      <c r="G22" s="541"/>
      <c r="H22" s="541"/>
      <c r="I22" s="543" t="s">
        <v>474</v>
      </c>
      <c r="J22" s="543"/>
      <c r="L22" s="43"/>
      <c r="M22" s="43"/>
      <c r="N22" s="43"/>
      <c r="O22" s="43"/>
      <c r="P22" s="43"/>
      <c r="Q22" s="43"/>
    </row>
    <row r="23" spans="1:17" ht="79.5" customHeight="1">
      <c r="A23" s="445" t="s">
        <v>24</v>
      </c>
      <c r="B23" s="445"/>
      <c r="C23" s="541" t="s">
        <v>470</v>
      </c>
      <c r="D23" s="541"/>
      <c r="E23" s="541"/>
      <c r="F23" s="541"/>
      <c r="G23" s="541"/>
      <c r="H23" s="541"/>
      <c r="I23" s="542" t="s">
        <v>473</v>
      </c>
      <c r="J23" s="543"/>
      <c r="L23" s="43"/>
      <c r="M23" s="43"/>
      <c r="N23" s="43"/>
      <c r="O23" s="43"/>
      <c r="P23" s="43"/>
      <c r="Q23" s="43"/>
    </row>
    <row r="24" spans="1:17">
      <c r="A24" s="544" t="s">
        <v>63</v>
      </c>
      <c r="B24" s="544"/>
      <c r="C24" s="544"/>
      <c r="D24" s="544"/>
      <c r="E24" s="544"/>
      <c r="F24" s="544"/>
      <c r="G24" s="544"/>
      <c r="H24" s="544"/>
      <c r="I24" s="544"/>
      <c r="J24" s="544"/>
      <c r="L24" s="43"/>
      <c r="M24" s="43"/>
      <c r="N24" s="43"/>
      <c r="O24" s="43"/>
      <c r="P24" s="41"/>
      <c r="Q24" s="43"/>
    </row>
    <row r="25" spans="1:17" ht="17.25" thickBot="1">
      <c r="A25" s="44"/>
      <c r="B25" s="545"/>
      <c r="C25" s="546"/>
      <c r="D25" s="547" t="s">
        <v>27</v>
      </c>
      <c r="E25" s="548"/>
      <c r="F25" s="548"/>
      <c r="G25" s="548"/>
      <c r="H25" s="548"/>
      <c r="I25" s="549"/>
      <c r="J25" s="45"/>
      <c r="L25" s="43"/>
      <c r="M25" s="43"/>
      <c r="N25" s="43"/>
      <c r="O25" s="43"/>
      <c r="P25" s="43"/>
      <c r="Q25" s="43"/>
    </row>
    <row r="26" spans="1:17" ht="17.25" thickBot="1">
      <c r="A26" s="46" t="s">
        <v>25</v>
      </c>
      <c r="B26" s="586" t="s">
        <v>26</v>
      </c>
      <c r="C26" s="587"/>
      <c r="D26" s="588" t="s">
        <v>29</v>
      </c>
      <c r="E26" s="589"/>
      <c r="F26" s="49" t="s">
        <v>30</v>
      </c>
      <c r="G26" s="49" t="s">
        <v>31</v>
      </c>
      <c r="H26" s="553" t="s">
        <v>64</v>
      </c>
      <c r="I26" s="554"/>
      <c r="J26" s="50" t="s">
        <v>28</v>
      </c>
      <c r="L26" s="43"/>
      <c r="M26" s="43"/>
      <c r="N26" s="43"/>
      <c r="O26" s="43"/>
      <c r="P26" s="43"/>
      <c r="Q26" s="43"/>
    </row>
    <row r="27" spans="1:17">
      <c r="A27" s="51">
        <v>5</v>
      </c>
      <c r="B27" s="584" t="s">
        <v>65</v>
      </c>
      <c r="C27" s="585"/>
      <c r="D27" s="52"/>
      <c r="E27" s="53"/>
      <c r="F27" s="54"/>
      <c r="G27" s="55"/>
      <c r="H27" s="56"/>
      <c r="I27" s="57"/>
      <c r="J27" s="246">
        <f>J28</f>
        <v>258493750</v>
      </c>
      <c r="K27" s="59">
        <f>C15-J27</f>
        <v>0</v>
      </c>
      <c r="L27" s="60">
        <f>K27/G40</f>
        <v>0</v>
      </c>
      <c r="M27" s="61"/>
      <c r="N27" s="43"/>
      <c r="O27" s="60"/>
      <c r="P27" s="43"/>
      <c r="Q27" s="43"/>
    </row>
    <row r="28" spans="1:17">
      <c r="A28" s="62" t="s">
        <v>66</v>
      </c>
      <c r="B28" s="572" t="s">
        <v>67</v>
      </c>
      <c r="C28" s="507"/>
      <c r="D28" s="64"/>
      <c r="E28" s="65"/>
      <c r="F28" s="66"/>
      <c r="G28" s="67"/>
      <c r="H28" s="68"/>
      <c r="I28" s="69"/>
      <c r="J28" s="70">
        <f>J29</f>
        <v>258493750</v>
      </c>
      <c r="K28" s="71"/>
      <c r="L28" s="43"/>
      <c r="M28" s="61"/>
      <c r="N28" s="43"/>
      <c r="O28" s="61"/>
      <c r="P28" s="43"/>
      <c r="Q28" s="43"/>
    </row>
    <row r="29" spans="1:17">
      <c r="A29" s="72" t="s">
        <v>68</v>
      </c>
      <c r="B29" s="572" t="s">
        <v>69</v>
      </c>
      <c r="C29" s="507"/>
      <c r="D29" s="73"/>
      <c r="E29" s="74"/>
      <c r="F29" s="75"/>
      <c r="G29" s="76"/>
      <c r="H29" s="77"/>
      <c r="I29" s="45"/>
      <c r="J29" s="70">
        <f>J30+J59</f>
        <v>258493750</v>
      </c>
      <c r="K29" s="71"/>
      <c r="L29" s="43"/>
      <c r="M29" s="43"/>
      <c r="N29" s="43"/>
      <c r="O29" s="43"/>
      <c r="P29" s="43"/>
      <c r="Q29" s="43"/>
    </row>
    <row r="30" spans="1:17">
      <c r="A30" s="72" t="s">
        <v>70</v>
      </c>
      <c r="B30" s="572" t="s">
        <v>71</v>
      </c>
      <c r="C30" s="507"/>
      <c r="D30" s="73"/>
      <c r="E30" s="74"/>
      <c r="F30" s="75"/>
      <c r="G30" s="76"/>
      <c r="H30" s="77"/>
      <c r="I30" s="45"/>
      <c r="J30" s="70">
        <f>J31</f>
        <v>20665750</v>
      </c>
      <c r="L30" s="43"/>
      <c r="M30" s="61"/>
      <c r="N30" s="78"/>
      <c r="O30" s="43"/>
      <c r="P30" s="43"/>
      <c r="Q30" s="43"/>
    </row>
    <row r="31" spans="1:17">
      <c r="A31" s="72" t="s">
        <v>72</v>
      </c>
      <c r="B31" s="572" t="s">
        <v>73</v>
      </c>
      <c r="C31" s="507"/>
      <c r="D31" s="73"/>
      <c r="E31" s="74"/>
      <c r="F31" s="75"/>
      <c r="G31" s="76"/>
      <c r="H31" s="77"/>
      <c r="I31" s="45"/>
      <c r="J31" s="70">
        <f>J32+J43+J46+J50+J54</f>
        <v>20665750</v>
      </c>
      <c r="L31" s="43"/>
      <c r="M31" s="61"/>
      <c r="N31" s="43"/>
      <c r="O31" s="43"/>
      <c r="P31" s="43"/>
      <c r="Q31" s="43"/>
    </row>
    <row r="32" spans="1:17">
      <c r="A32" s="72" t="s">
        <v>74</v>
      </c>
      <c r="B32" s="572" t="s">
        <v>75</v>
      </c>
      <c r="C32" s="507"/>
      <c r="D32" s="73"/>
      <c r="E32" s="74"/>
      <c r="F32" s="75"/>
      <c r="G32" s="76"/>
      <c r="H32" s="77"/>
      <c r="I32" s="45"/>
      <c r="J32" s="79">
        <f>SUM(J33:J41)</f>
        <v>3669250</v>
      </c>
      <c r="K32" s="71"/>
      <c r="L32" s="43"/>
      <c r="M32" s="61"/>
      <c r="N32" s="43"/>
      <c r="O32" s="43"/>
      <c r="P32" s="43"/>
      <c r="Q32" s="43"/>
    </row>
    <row r="33" spans="1:17" ht="15.75" customHeight="1">
      <c r="A33" s="72"/>
      <c r="B33" s="571" t="s">
        <v>76</v>
      </c>
      <c r="C33" s="522"/>
      <c r="D33" s="73">
        <v>2</v>
      </c>
      <c r="E33" s="74"/>
      <c r="F33" s="75" t="s">
        <v>77</v>
      </c>
      <c r="G33" s="82">
        <v>293725</v>
      </c>
      <c r="H33" s="77"/>
      <c r="I33" s="45"/>
      <c r="J33" s="83">
        <f>D33*G33</f>
        <v>587450</v>
      </c>
      <c r="L33" s="43"/>
      <c r="M33" s="61"/>
      <c r="N33" s="43"/>
      <c r="O33" s="43"/>
      <c r="P33" s="43"/>
      <c r="Q33" s="43"/>
    </row>
    <row r="34" spans="1:17" ht="15.75" customHeight="1">
      <c r="A34" s="72"/>
      <c r="B34" s="571" t="s">
        <v>78</v>
      </c>
      <c r="C34" s="522"/>
      <c r="D34" s="73">
        <v>12</v>
      </c>
      <c r="E34" s="74"/>
      <c r="F34" s="75" t="s">
        <v>79</v>
      </c>
      <c r="G34" s="82">
        <v>64200</v>
      </c>
      <c r="H34" s="77"/>
      <c r="I34" s="45"/>
      <c r="J34" s="83">
        <f t="shared" ref="J34:J41" si="0">D34*G34</f>
        <v>770400</v>
      </c>
      <c r="L34" s="43"/>
      <c r="M34" s="61"/>
      <c r="N34" s="43"/>
      <c r="O34" s="43"/>
      <c r="P34" s="43"/>
      <c r="Q34" s="43"/>
    </row>
    <row r="35" spans="1:17" ht="15.75" customHeight="1">
      <c r="A35" s="72"/>
      <c r="B35" s="571" t="s">
        <v>80</v>
      </c>
      <c r="C35" s="522"/>
      <c r="D35" s="73">
        <v>12</v>
      </c>
      <c r="E35" s="74"/>
      <c r="F35" s="75" t="s">
        <v>79</v>
      </c>
      <c r="G35" s="82">
        <v>64675</v>
      </c>
      <c r="H35" s="77"/>
      <c r="I35" s="45"/>
      <c r="J35" s="83">
        <f t="shared" si="0"/>
        <v>776100</v>
      </c>
      <c r="L35" s="43"/>
      <c r="M35" s="61"/>
      <c r="N35" s="43"/>
      <c r="O35" s="43"/>
      <c r="P35" s="43"/>
      <c r="Q35" s="43"/>
    </row>
    <row r="36" spans="1:17" ht="15.75" customHeight="1">
      <c r="A36" s="72"/>
      <c r="B36" s="571" t="s">
        <v>81</v>
      </c>
      <c r="C36" s="522"/>
      <c r="D36" s="73">
        <v>6</v>
      </c>
      <c r="E36" s="74"/>
      <c r="F36" s="75" t="s">
        <v>79</v>
      </c>
      <c r="G36" s="82">
        <v>22300</v>
      </c>
      <c r="H36" s="77"/>
      <c r="I36" s="45"/>
      <c r="J36" s="83">
        <f t="shared" si="0"/>
        <v>133800</v>
      </c>
      <c r="L36" s="43"/>
      <c r="M36" s="61"/>
      <c r="N36" s="43"/>
      <c r="O36" s="43"/>
      <c r="P36" s="43"/>
      <c r="Q36" s="43"/>
    </row>
    <row r="37" spans="1:17" ht="15.75" customHeight="1">
      <c r="A37" s="72"/>
      <c r="B37" s="571" t="s">
        <v>215</v>
      </c>
      <c r="C37" s="522"/>
      <c r="D37" s="73">
        <v>12</v>
      </c>
      <c r="E37" s="74"/>
      <c r="F37" s="75" t="s">
        <v>140</v>
      </c>
      <c r="G37" s="82">
        <v>16200</v>
      </c>
      <c r="H37" s="77"/>
      <c r="I37" s="45"/>
      <c r="J37" s="83">
        <f t="shared" si="0"/>
        <v>194400</v>
      </c>
      <c r="L37" s="43"/>
      <c r="M37" s="61"/>
      <c r="N37" s="43"/>
      <c r="O37" s="43"/>
      <c r="P37" s="43"/>
      <c r="Q37" s="43"/>
    </row>
    <row r="38" spans="1:17" ht="15.75" customHeight="1">
      <c r="A38" s="72"/>
      <c r="B38" s="571" t="s">
        <v>83</v>
      </c>
      <c r="C38" s="522"/>
      <c r="D38" s="73">
        <v>2</v>
      </c>
      <c r="E38" s="74"/>
      <c r="F38" s="75" t="s">
        <v>86</v>
      </c>
      <c r="G38" s="82">
        <v>183350</v>
      </c>
      <c r="H38" s="77"/>
      <c r="I38" s="45"/>
      <c r="J38" s="83">
        <f t="shared" si="0"/>
        <v>366700</v>
      </c>
      <c r="L38" s="43"/>
      <c r="M38" s="61"/>
      <c r="N38" s="43"/>
      <c r="O38" s="43"/>
      <c r="P38" s="43"/>
      <c r="Q38" s="43"/>
    </row>
    <row r="39" spans="1:17" ht="15.75" customHeight="1">
      <c r="A39" s="72"/>
      <c r="B39" s="80" t="s">
        <v>85</v>
      </c>
      <c r="C39" s="81"/>
      <c r="D39" s="73">
        <v>4</v>
      </c>
      <c r="E39" s="74"/>
      <c r="F39" s="75" t="s">
        <v>86</v>
      </c>
      <c r="G39" s="82">
        <v>138775</v>
      </c>
      <c r="H39" s="77"/>
      <c r="I39" s="45"/>
      <c r="J39" s="83">
        <f t="shared" si="0"/>
        <v>555100</v>
      </c>
      <c r="L39" s="43"/>
      <c r="M39" s="61"/>
      <c r="N39" s="43"/>
      <c r="O39" s="43"/>
      <c r="P39" s="43"/>
      <c r="Q39" s="43"/>
    </row>
    <row r="40" spans="1:17" ht="15.75" customHeight="1">
      <c r="A40" s="72"/>
      <c r="B40" s="571" t="s">
        <v>87</v>
      </c>
      <c r="C40" s="522"/>
      <c r="D40" s="73">
        <v>7</v>
      </c>
      <c r="E40" s="74"/>
      <c r="F40" s="75" t="s">
        <v>84</v>
      </c>
      <c r="G40" s="82">
        <v>23775</v>
      </c>
      <c r="H40" s="77"/>
      <c r="I40" s="45"/>
      <c r="J40" s="83">
        <f t="shared" si="0"/>
        <v>166425</v>
      </c>
      <c r="L40" s="43"/>
      <c r="M40" s="61"/>
      <c r="N40" s="43"/>
      <c r="O40" s="43"/>
      <c r="P40" s="43"/>
      <c r="Q40" s="43"/>
    </row>
    <row r="41" spans="1:17" ht="15.75" customHeight="1">
      <c r="A41" s="72"/>
      <c r="B41" s="571" t="s">
        <v>88</v>
      </c>
      <c r="C41" s="522"/>
      <c r="D41" s="73">
        <v>5</v>
      </c>
      <c r="E41" s="74"/>
      <c r="F41" s="75" t="s">
        <v>84</v>
      </c>
      <c r="G41" s="82">
        <f>G40</f>
        <v>23775</v>
      </c>
      <c r="H41" s="77"/>
      <c r="I41" s="45"/>
      <c r="J41" s="83">
        <f t="shared" si="0"/>
        <v>118875</v>
      </c>
      <c r="L41" s="43"/>
      <c r="M41" s="61"/>
      <c r="N41" s="43"/>
      <c r="O41" s="43"/>
      <c r="P41" s="43"/>
      <c r="Q41" s="43"/>
    </row>
    <row r="42" spans="1:17">
      <c r="A42" s="72"/>
      <c r="B42" s="576"/>
      <c r="C42" s="577"/>
      <c r="D42" s="73"/>
      <c r="E42" s="74"/>
      <c r="F42" s="75"/>
      <c r="G42" s="82"/>
      <c r="H42" s="77"/>
      <c r="I42" s="45"/>
      <c r="J42" s="87"/>
      <c r="L42" s="43"/>
      <c r="M42" s="61"/>
      <c r="N42" s="43"/>
      <c r="O42" s="43"/>
      <c r="P42" s="43"/>
      <c r="Q42" s="43"/>
    </row>
    <row r="43" spans="1:17">
      <c r="A43" s="72" t="s">
        <v>212</v>
      </c>
      <c r="B43" s="63" t="s">
        <v>89</v>
      </c>
      <c r="C43" s="85"/>
      <c r="D43" s="73"/>
      <c r="E43" s="74"/>
      <c r="F43" s="75"/>
      <c r="G43" s="82"/>
      <c r="H43" s="77"/>
      <c r="I43" s="45"/>
      <c r="J43" s="79">
        <f>J44</f>
        <v>1500000</v>
      </c>
      <c r="L43" s="43"/>
      <c r="M43" s="61"/>
      <c r="N43" s="43"/>
      <c r="O43" s="43"/>
      <c r="P43" s="43"/>
      <c r="Q43" s="43"/>
    </row>
    <row r="44" spans="1:17" ht="17.25" customHeight="1">
      <c r="A44" s="72"/>
      <c r="B44" s="576" t="s">
        <v>90</v>
      </c>
      <c r="C44" s="577"/>
      <c r="D44" s="73">
        <v>150</v>
      </c>
      <c r="E44" s="74"/>
      <c r="F44" s="75" t="s">
        <v>84</v>
      </c>
      <c r="G44" s="82">
        <v>10000</v>
      </c>
      <c r="H44" s="77"/>
      <c r="I44" s="45"/>
      <c r="J44" s="87">
        <f t="shared" ref="J44" si="1">D44*G44</f>
        <v>1500000</v>
      </c>
      <c r="L44" s="43"/>
      <c r="M44" s="61"/>
      <c r="N44" s="43"/>
      <c r="O44" s="43"/>
      <c r="P44" s="43"/>
      <c r="Q44" s="43"/>
    </row>
    <row r="45" spans="1:17">
      <c r="A45" s="72"/>
      <c r="B45" s="84"/>
      <c r="C45" s="85"/>
      <c r="D45" s="73"/>
      <c r="E45" s="74"/>
      <c r="F45" s="75"/>
      <c r="G45" s="82"/>
      <c r="H45" s="77"/>
      <c r="I45" s="45"/>
      <c r="J45" s="87"/>
      <c r="L45" s="43"/>
      <c r="M45" s="61"/>
      <c r="N45" s="43"/>
      <c r="O45" s="43"/>
      <c r="P45" s="43"/>
      <c r="Q45" s="43"/>
    </row>
    <row r="46" spans="1:17" ht="26.25" customHeight="1">
      <c r="A46" s="88" t="s">
        <v>91</v>
      </c>
      <c r="B46" s="578" t="s">
        <v>92</v>
      </c>
      <c r="C46" s="579"/>
      <c r="D46" s="89"/>
      <c r="E46" s="90"/>
      <c r="F46" s="91"/>
      <c r="G46" s="91"/>
      <c r="H46" s="92"/>
      <c r="I46" s="93"/>
      <c r="J46" s="94">
        <f>J47+J48</f>
        <v>6453000</v>
      </c>
      <c r="L46" s="43"/>
      <c r="M46" s="61"/>
      <c r="N46" s="43"/>
      <c r="O46" s="43"/>
      <c r="P46" s="43"/>
      <c r="Q46" s="43"/>
    </row>
    <row r="47" spans="1:17" ht="15.75" customHeight="1">
      <c r="A47" s="88"/>
      <c r="B47" s="580" t="s">
        <v>213</v>
      </c>
      <c r="C47" s="581"/>
      <c r="D47" s="89">
        <v>40</v>
      </c>
      <c r="E47" s="90"/>
      <c r="F47" s="91" t="s">
        <v>93</v>
      </c>
      <c r="G47" s="82">
        <v>87875</v>
      </c>
      <c r="H47" s="92"/>
      <c r="I47" s="93"/>
      <c r="J47" s="97">
        <f>D47*G47</f>
        <v>3515000</v>
      </c>
      <c r="L47" s="43"/>
      <c r="M47" s="61"/>
      <c r="N47" s="43"/>
      <c r="O47" s="43"/>
      <c r="P47" s="43"/>
      <c r="Q47" s="43"/>
    </row>
    <row r="48" spans="1:17" ht="15.75" customHeight="1">
      <c r="A48" s="88"/>
      <c r="B48" s="580" t="s">
        <v>214</v>
      </c>
      <c r="C48" s="581"/>
      <c r="D48" s="89">
        <v>40</v>
      </c>
      <c r="E48" s="90"/>
      <c r="F48" s="91" t="s">
        <v>93</v>
      </c>
      <c r="G48" s="82">
        <v>73450</v>
      </c>
      <c r="H48" s="92"/>
      <c r="I48" s="93"/>
      <c r="J48" s="97">
        <f>D48*G48</f>
        <v>2938000</v>
      </c>
      <c r="L48" s="43"/>
      <c r="M48" s="61"/>
      <c r="N48" s="43"/>
      <c r="O48" s="43"/>
      <c r="P48" s="43"/>
      <c r="Q48" s="43"/>
    </row>
    <row r="49" spans="1:17" ht="15.75" customHeight="1">
      <c r="A49" s="88"/>
      <c r="B49" s="98"/>
      <c r="C49" s="99"/>
      <c r="D49" s="100"/>
      <c r="E49" s="101"/>
      <c r="F49" s="102"/>
      <c r="G49" s="82"/>
      <c r="H49" s="92"/>
      <c r="I49" s="93"/>
      <c r="J49" s="97"/>
      <c r="L49" s="43"/>
      <c r="M49" s="61"/>
      <c r="N49" s="43"/>
      <c r="O49" s="43"/>
      <c r="P49" s="43"/>
      <c r="Q49" s="43"/>
    </row>
    <row r="50" spans="1:17" ht="28.5" customHeight="1">
      <c r="A50" s="88" t="s">
        <v>94</v>
      </c>
      <c r="B50" s="578" t="s">
        <v>95</v>
      </c>
      <c r="C50" s="579"/>
      <c r="D50" s="89"/>
      <c r="E50" s="90"/>
      <c r="F50" s="91"/>
      <c r="G50" s="91"/>
      <c r="H50" s="92"/>
      <c r="I50" s="93"/>
      <c r="J50" s="94">
        <f>J51</f>
        <v>6930000</v>
      </c>
      <c r="K50" s="71"/>
      <c r="L50" s="43"/>
      <c r="M50" s="61"/>
      <c r="N50" s="43"/>
      <c r="O50" s="43"/>
      <c r="P50" s="43"/>
      <c r="Q50" s="43"/>
    </row>
    <row r="51" spans="1:17">
      <c r="A51" s="88"/>
      <c r="B51" s="580" t="s">
        <v>216</v>
      </c>
      <c r="C51" s="581"/>
      <c r="D51" s="89">
        <v>44</v>
      </c>
      <c r="E51" s="90"/>
      <c r="F51" s="91" t="s">
        <v>79</v>
      </c>
      <c r="G51" s="82">
        <v>157500</v>
      </c>
      <c r="H51" s="92"/>
      <c r="I51" s="93"/>
      <c r="J51" s="97">
        <f t="shared" ref="J51" si="2">D51*G51</f>
        <v>6930000</v>
      </c>
      <c r="L51" s="43"/>
      <c r="M51" s="61"/>
      <c r="N51" s="43"/>
      <c r="O51" s="43"/>
      <c r="P51" s="43"/>
      <c r="Q51" s="43"/>
    </row>
    <row r="52" spans="1:17">
      <c r="A52" s="88"/>
      <c r="B52" s="582"/>
      <c r="C52" s="583"/>
      <c r="D52" s="105"/>
      <c r="E52" s="106"/>
      <c r="F52" s="107"/>
      <c r="G52" s="108"/>
      <c r="H52" s="109"/>
      <c r="I52" s="110"/>
      <c r="J52" s="97"/>
      <c r="L52" s="43"/>
      <c r="M52" s="61"/>
      <c r="N52" s="43"/>
      <c r="O52" s="43"/>
      <c r="P52" s="43"/>
      <c r="Q52" s="43"/>
    </row>
    <row r="53" spans="1:17">
      <c r="A53" s="88"/>
      <c r="B53" s="111"/>
      <c r="C53" s="112"/>
      <c r="D53" s="113"/>
      <c r="E53" s="114"/>
      <c r="F53" s="115"/>
      <c r="G53" s="108"/>
      <c r="H53" s="109"/>
      <c r="I53" s="110"/>
      <c r="J53" s="97"/>
      <c r="L53" s="43"/>
      <c r="M53" s="61"/>
      <c r="N53" s="43"/>
      <c r="O53" s="43"/>
      <c r="P53" s="43"/>
      <c r="Q53" s="43"/>
    </row>
    <row r="54" spans="1:17" ht="34.5" customHeight="1">
      <c r="A54" s="72" t="s">
        <v>97</v>
      </c>
      <c r="B54" s="572" t="s">
        <v>98</v>
      </c>
      <c r="C54" s="507"/>
      <c r="D54" s="73"/>
      <c r="E54" s="74"/>
      <c r="F54" s="75"/>
      <c r="G54" s="76"/>
      <c r="H54" s="77"/>
      <c r="I54" s="45"/>
      <c r="J54" s="70">
        <f>SUM(J55:J57)</f>
        <v>2113500</v>
      </c>
      <c r="L54" s="43"/>
      <c r="M54" s="43"/>
      <c r="N54" s="43"/>
      <c r="O54" s="43"/>
      <c r="P54" s="43"/>
      <c r="Q54" s="43"/>
    </row>
    <row r="55" spans="1:17">
      <c r="A55" s="77"/>
      <c r="B55" s="571" t="s">
        <v>99</v>
      </c>
      <c r="C55" s="522"/>
      <c r="D55" s="73">
        <f>5824</f>
        <v>5824</v>
      </c>
      <c r="E55" s="116"/>
      <c r="F55" s="117" t="s">
        <v>100</v>
      </c>
      <c r="G55" s="82">
        <v>350</v>
      </c>
      <c r="H55" s="77"/>
      <c r="I55" s="45"/>
      <c r="J55" s="87">
        <f>D55*G55</f>
        <v>2038400</v>
      </c>
      <c r="K55" s="118"/>
      <c r="L55" s="60"/>
      <c r="M55" s="43"/>
      <c r="N55" s="43"/>
      <c r="O55" s="43"/>
      <c r="P55" s="43"/>
      <c r="Q55" s="43"/>
    </row>
    <row r="56" spans="1:17">
      <c r="A56" s="77"/>
      <c r="B56" s="571" t="s">
        <v>101</v>
      </c>
      <c r="C56" s="522"/>
      <c r="D56" s="73">
        <v>5</v>
      </c>
      <c r="E56" s="116"/>
      <c r="F56" s="117" t="s">
        <v>84</v>
      </c>
      <c r="G56" s="82">
        <v>15000</v>
      </c>
      <c r="H56" s="77"/>
      <c r="I56" s="45"/>
      <c r="J56" s="87">
        <f>D56*G56</f>
        <v>75000</v>
      </c>
      <c r="L56" s="43"/>
      <c r="M56" s="43"/>
      <c r="N56" s="43"/>
      <c r="O56" s="43"/>
      <c r="P56" s="43"/>
      <c r="Q56" s="43"/>
    </row>
    <row r="57" spans="1:17">
      <c r="A57" s="77"/>
      <c r="B57" s="571" t="s">
        <v>96</v>
      </c>
      <c r="C57" s="522"/>
      <c r="D57" s="73">
        <v>1</v>
      </c>
      <c r="E57" s="116"/>
      <c r="F57" s="117"/>
      <c r="G57" s="82">
        <v>100</v>
      </c>
      <c r="H57" s="77"/>
      <c r="I57" s="45"/>
      <c r="J57" s="83">
        <f>G57</f>
        <v>100</v>
      </c>
      <c r="L57" s="60"/>
      <c r="M57" s="43"/>
      <c r="N57" s="43"/>
      <c r="O57" s="43"/>
      <c r="P57" s="43"/>
      <c r="Q57" s="43"/>
    </row>
    <row r="58" spans="1:17">
      <c r="A58" s="77"/>
      <c r="B58" s="80"/>
      <c r="C58" s="81"/>
      <c r="D58" s="73"/>
      <c r="E58" s="116"/>
      <c r="F58" s="117"/>
      <c r="G58" s="82"/>
      <c r="H58" s="77"/>
      <c r="I58" s="45"/>
      <c r="J58" s="83"/>
      <c r="L58" s="60"/>
      <c r="M58" s="43"/>
      <c r="N58" s="43"/>
      <c r="O58" s="43"/>
      <c r="P58" s="43"/>
      <c r="Q58" s="43"/>
    </row>
    <row r="59" spans="1:17" ht="16.5" customHeight="1">
      <c r="A59" s="72" t="s">
        <v>102</v>
      </c>
      <c r="B59" s="572" t="s">
        <v>103</v>
      </c>
      <c r="C59" s="507"/>
      <c r="D59" s="73"/>
      <c r="E59" s="74"/>
      <c r="F59" s="75"/>
      <c r="G59" s="76"/>
      <c r="H59" s="77"/>
      <c r="I59" s="45"/>
      <c r="J59" s="70">
        <f>J60</f>
        <v>237828000</v>
      </c>
      <c r="L59" s="43"/>
      <c r="M59" s="43"/>
      <c r="N59" s="43"/>
      <c r="O59" s="43"/>
      <c r="P59" s="43"/>
      <c r="Q59" s="43"/>
    </row>
    <row r="60" spans="1:17" ht="16.5" customHeight="1">
      <c r="A60" s="72" t="s">
        <v>104</v>
      </c>
      <c r="B60" s="572" t="s">
        <v>105</v>
      </c>
      <c r="C60" s="507"/>
      <c r="D60" s="73"/>
      <c r="E60" s="74"/>
      <c r="F60" s="75"/>
      <c r="G60" s="76"/>
      <c r="H60" s="77"/>
      <c r="I60" s="45"/>
      <c r="J60" s="70">
        <f>J61+J83+J64</f>
        <v>237828000</v>
      </c>
      <c r="L60" s="43"/>
      <c r="M60" s="43"/>
      <c r="N60" s="43"/>
      <c r="O60" s="43"/>
      <c r="P60" s="43"/>
      <c r="Q60" s="43"/>
    </row>
    <row r="61" spans="1:17" ht="32.25" customHeight="1">
      <c r="A61" s="72" t="s">
        <v>106</v>
      </c>
      <c r="B61" s="572" t="s">
        <v>107</v>
      </c>
      <c r="C61" s="507"/>
      <c r="D61" s="73"/>
      <c r="E61" s="74"/>
      <c r="F61" s="75"/>
      <c r="G61" s="76"/>
      <c r="H61" s="77"/>
      <c r="I61" s="45"/>
      <c r="J61" s="70">
        <f>J62</f>
        <v>9000000</v>
      </c>
      <c r="L61" s="43"/>
      <c r="M61" s="43"/>
      <c r="N61" s="43"/>
      <c r="O61" s="43"/>
      <c r="P61" s="43"/>
      <c r="Q61" s="43"/>
    </row>
    <row r="62" spans="1:17" ht="29.25" customHeight="1">
      <c r="A62" s="72"/>
      <c r="B62" s="571" t="s">
        <v>108</v>
      </c>
      <c r="C62" s="522"/>
      <c r="D62" s="73">
        <v>5</v>
      </c>
      <c r="E62" s="74">
        <v>2</v>
      </c>
      <c r="F62" s="75" t="s">
        <v>109</v>
      </c>
      <c r="G62" s="86">
        <v>900000</v>
      </c>
      <c r="H62" s="77"/>
      <c r="I62" s="45"/>
      <c r="J62" s="119">
        <f>D62*E62*G62</f>
        <v>9000000</v>
      </c>
      <c r="L62" s="43"/>
      <c r="M62" s="43"/>
      <c r="N62" s="43"/>
      <c r="O62" s="43"/>
      <c r="P62" s="43"/>
      <c r="Q62" s="43"/>
    </row>
    <row r="63" spans="1:17" ht="16.5" customHeight="1">
      <c r="A63" s="72"/>
      <c r="B63" s="80"/>
      <c r="C63" s="81"/>
      <c r="D63" s="73"/>
      <c r="E63" s="74"/>
      <c r="F63" s="75"/>
      <c r="G63" s="86"/>
      <c r="H63" s="77"/>
      <c r="I63" s="45"/>
      <c r="J63" s="119"/>
      <c r="L63" s="43"/>
      <c r="M63" s="43"/>
      <c r="N63" s="43"/>
      <c r="O63" s="43"/>
      <c r="P63" s="43"/>
      <c r="Q63" s="43"/>
    </row>
    <row r="64" spans="1:17">
      <c r="A64" s="72" t="s">
        <v>112</v>
      </c>
      <c r="B64" s="572" t="s">
        <v>113</v>
      </c>
      <c r="C64" s="507"/>
      <c r="D64" s="73"/>
      <c r="E64" s="74"/>
      <c r="F64" s="75"/>
      <c r="G64" s="76"/>
      <c r="H64" s="77"/>
      <c r="I64" s="45"/>
      <c r="J64" s="70">
        <f>J65</f>
        <v>228828000</v>
      </c>
      <c r="K64" s="71"/>
      <c r="L64" s="43"/>
      <c r="M64" s="43"/>
      <c r="N64" s="43"/>
      <c r="O64" s="43"/>
      <c r="P64" s="43"/>
      <c r="Q64" s="43"/>
    </row>
    <row r="65" spans="1:17">
      <c r="A65" s="72" t="s">
        <v>114</v>
      </c>
      <c r="B65" s="572" t="s">
        <v>115</v>
      </c>
      <c r="C65" s="507"/>
      <c r="D65" s="73"/>
      <c r="E65" s="74"/>
      <c r="F65" s="75"/>
      <c r="G65" s="76"/>
      <c r="H65" s="77"/>
      <c r="I65" s="45"/>
      <c r="J65" s="70">
        <f>J66+J71+J84</f>
        <v>228828000</v>
      </c>
      <c r="M65" s="43"/>
      <c r="N65" s="43"/>
      <c r="O65" s="43"/>
      <c r="P65" s="43"/>
      <c r="Q65" s="43"/>
    </row>
    <row r="66" spans="1:17">
      <c r="A66" s="72" t="s">
        <v>116</v>
      </c>
      <c r="B66" s="572" t="s">
        <v>117</v>
      </c>
      <c r="C66" s="507"/>
      <c r="D66" s="73"/>
      <c r="E66" s="74"/>
      <c r="F66" s="75"/>
      <c r="G66" s="76"/>
      <c r="H66" s="77"/>
      <c r="I66" s="45"/>
      <c r="J66" s="70">
        <f>J67</f>
        <v>23600000</v>
      </c>
      <c r="M66" s="43"/>
      <c r="N66" s="43"/>
      <c r="O66" s="43"/>
      <c r="P66" s="43"/>
      <c r="Q66" s="43"/>
    </row>
    <row r="67" spans="1:17" ht="33" customHeight="1">
      <c r="A67" s="72"/>
      <c r="B67" s="575" t="s">
        <v>118</v>
      </c>
      <c r="C67" s="535"/>
      <c r="D67" s="73"/>
      <c r="E67" s="74"/>
      <c r="F67" s="75"/>
      <c r="G67" s="76"/>
      <c r="H67" s="77"/>
      <c r="I67" s="45"/>
      <c r="J67" s="70">
        <f>J68+J69</f>
        <v>23600000</v>
      </c>
      <c r="M67" s="43"/>
      <c r="N67" s="43"/>
      <c r="O67" s="43"/>
      <c r="P67" s="43"/>
      <c r="Q67" s="43"/>
    </row>
    <row r="68" spans="1:17" ht="29.25" customHeight="1">
      <c r="A68" s="72"/>
      <c r="B68" s="571" t="s">
        <v>119</v>
      </c>
      <c r="C68" s="522"/>
      <c r="D68" s="73">
        <v>120</v>
      </c>
      <c r="E68" s="74"/>
      <c r="F68" s="75" t="s">
        <v>111</v>
      </c>
      <c r="G68" s="86">
        <v>170000</v>
      </c>
      <c r="H68" s="77"/>
      <c r="I68" s="45"/>
      <c r="J68" s="87">
        <f>D68*G68</f>
        <v>20400000</v>
      </c>
      <c r="M68" s="43"/>
      <c r="N68" s="43"/>
      <c r="O68" s="43"/>
      <c r="P68" s="43"/>
      <c r="Q68" s="43"/>
    </row>
    <row r="69" spans="1:17" ht="21" customHeight="1">
      <c r="A69" s="72"/>
      <c r="B69" s="571" t="s">
        <v>120</v>
      </c>
      <c r="C69" s="522"/>
      <c r="D69" s="73">
        <v>32</v>
      </c>
      <c r="E69" s="74"/>
      <c r="F69" s="75" t="s">
        <v>121</v>
      </c>
      <c r="G69" s="86">
        <v>100000</v>
      </c>
      <c r="H69" s="77"/>
      <c r="I69" s="45"/>
      <c r="J69" s="87">
        <f>D69*G69</f>
        <v>3200000</v>
      </c>
      <c r="M69" s="43"/>
      <c r="N69" s="43"/>
      <c r="O69" s="43"/>
      <c r="P69" s="43"/>
      <c r="Q69" s="43"/>
    </row>
    <row r="70" spans="1:17" ht="15.75" customHeight="1">
      <c r="A70" s="72"/>
      <c r="B70" s="80"/>
      <c r="C70" s="81"/>
      <c r="D70" s="73"/>
      <c r="E70" s="74"/>
      <c r="F70" s="75"/>
      <c r="G70" s="86"/>
      <c r="H70" s="77"/>
      <c r="I70" s="45"/>
      <c r="J70" s="87"/>
      <c r="L70" s="43"/>
      <c r="M70" s="43"/>
      <c r="N70" s="43"/>
      <c r="O70" s="43"/>
      <c r="P70" s="43"/>
      <c r="Q70" s="43"/>
    </row>
    <row r="71" spans="1:17" ht="18" customHeight="1">
      <c r="A71" s="72" t="s">
        <v>122</v>
      </c>
      <c r="B71" s="572" t="s">
        <v>123</v>
      </c>
      <c r="C71" s="507"/>
      <c r="D71" s="73"/>
      <c r="E71" s="74"/>
      <c r="F71" s="75"/>
      <c r="G71" s="86"/>
      <c r="H71" s="77"/>
      <c r="I71" s="45"/>
      <c r="J71" s="79">
        <f>J72+J76+J80</f>
        <v>53980000</v>
      </c>
      <c r="L71" s="43"/>
      <c r="M71" s="43"/>
      <c r="N71" s="43"/>
      <c r="O71" s="43"/>
      <c r="P71" s="43"/>
      <c r="Q71" s="43"/>
    </row>
    <row r="72" spans="1:17" ht="27" customHeight="1">
      <c r="A72" s="72"/>
      <c r="B72" s="572" t="s">
        <v>124</v>
      </c>
      <c r="C72" s="507"/>
      <c r="D72" s="73"/>
      <c r="E72" s="74"/>
      <c r="F72" s="75"/>
      <c r="G72" s="86"/>
      <c r="H72" s="77"/>
      <c r="I72" s="45"/>
      <c r="J72" s="79">
        <f>J73+J74</f>
        <v>14360000</v>
      </c>
      <c r="L72" s="43"/>
      <c r="M72" s="43"/>
      <c r="N72" s="43"/>
      <c r="O72" s="43"/>
      <c r="P72" s="43"/>
      <c r="Q72" s="43"/>
    </row>
    <row r="73" spans="1:17" ht="14.25" customHeight="1">
      <c r="A73" s="72"/>
      <c r="B73" s="571" t="s">
        <v>125</v>
      </c>
      <c r="C73" s="522"/>
      <c r="D73" s="73">
        <v>1</v>
      </c>
      <c r="E73" s="74"/>
      <c r="F73" s="75" t="s">
        <v>126</v>
      </c>
      <c r="G73" s="86">
        <v>600000</v>
      </c>
      <c r="H73" s="77"/>
      <c r="I73" s="45"/>
      <c r="J73" s="87">
        <f>D73*G73</f>
        <v>600000</v>
      </c>
      <c r="K73" s="71"/>
      <c r="L73" s="43"/>
      <c r="M73" s="43"/>
      <c r="N73" s="43"/>
      <c r="O73" s="43"/>
      <c r="P73" s="43"/>
      <c r="Q73" s="43"/>
    </row>
    <row r="74" spans="1:17" ht="14.25" customHeight="1">
      <c r="A74" s="72"/>
      <c r="B74" s="571" t="s">
        <v>127</v>
      </c>
      <c r="C74" s="522"/>
      <c r="D74" s="73" t="s">
        <v>220</v>
      </c>
      <c r="E74" s="74">
        <v>8</v>
      </c>
      <c r="F74" s="75" t="s">
        <v>221</v>
      </c>
      <c r="G74" s="86">
        <v>430000</v>
      </c>
      <c r="H74" s="77"/>
      <c r="I74" s="45"/>
      <c r="J74" s="87">
        <f>4*8*430000</f>
        <v>13760000</v>
      </c>
      <c r="K74" s="71"/>
      <c r="L74" s="43"/>
      <c r="M74" s="43"/>
      <c r="N74" s="43"/>
      <c r="O74" s="43"/>
      <c r="P74" s="43"/>
      <c r="Q74" s="43"/>
    </row>
    <row r="75" spans="1:17" ht="14.25" customHeight="1">
      <c r="A75" s="72"/>
      <c r="B75" s="80"/>
      <c r="C75" s="81"/>
      <c r="D75" s="73"/>
      <c r="E75" s="74"/>
      <c r="F75" s="75"/>
      <c r="G75" s="86"/>
      <c r="H75" s="77"/>
      <c r="I75" s="45"/>
      <c r="J75" s="87"/>
      <c r="K75" s="71"/>
      <c r="L75" s="43"/>
      <c r="M75" s="43"/>
      <c r="N75" s="43"/>
      <c r="O75" s="43"/>
      <c r="P75" s="43"/>
      <c r="Q75" s="43"/>
    </row>
    <row r="76" spans="1:17" ht="26.25" customHeight="1">
      <c r="A76" s="72"/>
      <c r="B76" s="572" t="s">
        <v>128</v>
      </c>
      <c r="C76" s="507"/>
      <c r="D76" s="73"/>
      <c r="E76" s="74"/>
      <c r="F76" s="75"/>
      <c r="G76" s="86"/>
      <c r="H76" s="77"/>
      <c r="I76" s="45"/>
      <c r="J76" s="79">
        <f>J77+J78</f>
        <v>38160000</v>
      </c>
      <c r="L76" s="43"/>
      <c r="M76" s="43"/>
      <c r="N76" s="43"/>
      <c r="O76" s="43"/>
      <c r="P76" s="43"/>
      <c r="Q76" s="43"/>
    </row>
    <row r="77" spans="1:17" ht="14.25" customHeight="1">
      <c r="A77" s="72"/>
      <c r="B77" s="571" t="s">
        <v>125</v>
      </c>
      <c r="C77" s="522"/>
      <c r="D77" s="73">
        <v>1</v>
      </c>
      <c r="E77" s="74" t="s">
        <v>111</v>
      </c>
      <c r="F77" s="75" t="s">
        <v>223</v>
      </c>
      <c r="G77" s="86">
        <v>300000</v>
      </c>
      <c r="H77" s="77"/>
      <c r="I77" s="45"/>
      <c r="J77" s="87">
        <f>1*24*300000</f>
        <v>7200000</v>
      </c>
      <c r="L77" s="43"/>
      <c r="M77" s="43"/>
      <c r="N77" s="43"/>
      <c r="O77" s="43"/>
      <c r="P77" s="43"/>
      <c r="Q77" s="43"/>
    </row>
    <row r="78" spans="1:17" ht="14.25" customHeight="1">
      <c r="A78" s="72"/>
      <c r="B78" s="571" t="s">
        <v>127</v>
      </c>
      <c r="C78" s="522"/>
      <c r="D78" s="73">
        <v>3</v>
      </c>
      <c r="E78" s="74" t="s">
        <v>111</v>
      </c>
      <c r="F78" s="75" t="s">
        <v>223</v>
      </c>
      <c r="G78" s="86">
        <v>430000</v>
      </c>
      <c r="H78" s="77"/>
      <c r="I78" s="45"/>
      <c r="J78" s="87">
        <f>3*24*430000</f>
        <v>30960000</v>
      </c>
      <c r="L78" s="43"/>
      <c r="M78" s="43"/>
      <c r="N78" s="43"/>
      <c r="O78" s="43"/>
      <c r="P78" s="43"/>
      <c r="Q78" s="43"/>
    </row>
    <row r="79" spans="1:17" ht="14.25" customHeight="1">
      <c r="A79" s="72"/>
      <c r="B79" s="80"/>
      <c r="C79" s="81"/>
      <c r="D79" s="73"/>
      <c r="E79" s="74"/>
      <c r="F79" s="75"/>
      <c r="G79" s="86"/>
      <c r="H79" s="77"/>
      <c r="I79" s="45"/>
      <c r="J79" s="87"/>
      <c r="L79" s="43"/>
      <c r="M79" s="43"/>
      <c r="N79" s="43"/>
      <c r="O79" s="43"/>
      <c r="P79" s="43"/>
      <c r="Q79" s="43"/>
    </row>
    <row r="80" spans="1:17" ht="27" customHeight="1">
      <c r="A80" s="72"/>
      <c r="B80" s="572" t="s">
        <v>219</v>
      </c>
      <c r="C80" s="507"/>
      <c r="D80" s="125"/>
      <c r="E80" s="126"/>
      <c r="F80" s="127"/>
      <c r="G80" s="128"/>
      <c r="H80" s="72"/>
      <c r="I80" s="129"/>
      <c r="J80" s="79">
        <f>SUM(J81:J82)</f>
        <v>1460000</v>
      </c>
      <c r="L80" s="43"/>
      <c r="M80" s="43"/>
      <c r="N80" s="43"/>
      <c r="O80" s="43"/>
      <c r="P80" s="43"/>
      <c r="Q80" s="43"/>
    </row>
    <row r="81" spans="1:17" ht="16.5" customHeight="1">
      <c r="A81" s="72"/>
      <c r="B81" s="571" t="s">
        <v>125</v>
      </c>
      <c r="C81" s="522"/>
      <c r="D81" s="73">
        <v>2</v>
      </c>
      <c r="E81" s="74"/>
      <c r="F81" s="75" t="s">
        <v>111</v>
      </c>
      <c r="G81" s="86">
        <v>300000</v>
      </c>
      <c r="H81" s="77"/>
      <c r="I81" s="45"/>
      <c r="J81" s="87">
        <f>D81*G81</f>
        <v>600000</v>
      </c>
      <c r="L81" s="43"/>
      <c r="M81" s="43"/>
      <c r="N81" s="43"/>
      <c r="O81" s="43"/>
      <c r="P81" s="43"/>
      <c r="Q81" s="43"/>
    </row>
    <row r="82" spans="1:17" ht="16.5" customHeight="1">
      <c r="A82" s="72"/>
      <c r="B82" s="571" t="s">
        <v>127</v>
      </c>
      <c r="C82" s="522"/>
      <c r="D82" s="73">
        <v>2</v>
      </c>
      <c r="E82" s="74"/>
      <c r="F82" s="75" t="s">
        <v>111</v>
      </c>
      <c r="G82" s="86">
        <v>430000</v>
      </c>
      <c r="H82" s="77"/>
      <c r="I82" s="45"/>
      <c r="J82" s="87">
        <f>D82*G82</f>
        <v>860000</v>
      </c>
      <c r="L82" s="43"/>
      <c r="M82" s="43"/>
      <c r="N82" s="43"/>
      <c r="O82" s="43"/>
      <c r="P82" s="43"/>
      <c r="Q82" s="43"/>
    </row>
    <row r="83" spans="1:17" ht="18" customHeight="1">
      <c r="A83" s="122"/>
      <c r="B83" s="506"/>
      <c r="C83" s="532"/>
      <c r="D83" s="123"/>
      <c r="E83" s="74"/>
      <c r="F83" s="75"/>
      <c r="G83" s="86"/>
      <c r="H83" s="77"/>
      <c r="I83" s="45"/>
      <c r="J83" s="70"/>
      <c r="L83" s="43"/>
      <c r="M83" s="43"/>
      <c r="N83" s="43"/>
      <c r="O83" s="43"/>
      <c r="P83" s="43"/>
      <c r="Q83" s="43"/>
    </row>
    <row r="84" spans="1:17" ht="28.5" customHeight="1">
      <c r="A84" s="122" t="s">
        <v>110</v>
      </c>
      <c r="B84" s="506" t="s">
        <v>224</v>
      </c>
      <c r="C84" s="532"/>
      <c r="D84" s="123"/>
      <c r="E84" s="74"/>
      <c r="F84" s="75"/>
      <c r="G84" s="86"/>
      <c r="H84" s="77"/>
      <c r="I84" s="45"/>
      <c r="J84" s="70">
        <f>SUM(J85)</f>
        <v>151248000</v>
      </c>
      <c r="L84" s="43"/>
      <c r="M84" s="43"/>
      <c r="N84" s="43"/>
      <c r="O84" s="43"/>
      <c r="P84" s="43"/>
      <c r="Q84" s="43"/>
    </row>
    <row r="85" spans="1:17" ht="29.25" customHeight="1">
      <c r="A85" s="122"/>
      <c r="B85" s="508" t="s">
        <v>217</v>
      </c>
      <c r="C85" s="509"/>
      <c r="D85" s="123">
        <v>92</v>
      </c>
      <c r="E85" s="117" t="s">
        <v>111</v>
      </c>
      <c r="F85" s="76" t="s">
        <v>218</v>
      </c>
      <c r="G85" s="86">
        <v>822000</v>
      </c>
      <c r="H85" s="77"/>
      <c r="I85" s="45"/>
      <c r="J85" s="119">
        <f>92*2*822000</f>
        <v>151248000</v>
      </c>
      <c r="L85" s="43"/>
      <c r="M85" s="43"/>
      <c r="N85" s="43"/>
      <c r="O85" s="43"/>
      <c r="P85" s="43"/>
      <c r="Q85" s="43"/>
    </row>
    <row r="86" spans="1:17" ht="22.5" customHeight="1">
      <c r="A86" s="77"/>
      <c r="B86" s="573"/>
      <c r="C86" s="574"/>
      <c r="D86" s="73"/>
      <c r="E86" s="116"/>
      <c r="F86" s="117"/>
      <c r="G86" s="86"/>
      <c r="H86" s="77"/>
      <c r="I86" s="45"/>
      <c r="J86" s="119"/>
      <c r="L86" s="43"/>
      <c r="M86" s="43"/>
      <c r="N86" s="43"/>
      <c r="O86" s="43"/>
      <c r="P86" s="43"/>
      <c r="Q86" s="43"/>
    </row>
    <row r="87" spans="1:17" ht="16.5" customHeight="1">
      <c r="A87" s="72"/>
      <c r="B87" s="80"/>
      <c r="C87" s="81"/>
      <c r="D87" s="73"/>
      <c r="E87" s="74"/>
      <c r="F87" s="75"/>
      <c r="G87" s="86"/>
      <c r="H87" s="77"/>
      <c r="I87" s="45"/>
      <c r="J87" s="87"/>
      <c r="L87" s="43"/>
      <c r="M87" s="43"/>
      <c r="N87" s="43"/>
      <c r="O87" s="43"/>
      <c r="P87" s="43"/>
      <c r="Q87" s="43"/>
    </row>
    <row r="88" spans="1:17" ht="9.75" customHeight="1" thickBot="1">
      <c r="A88" s="130"/>
      <c r="B88" s="131"/>
      <c r="C88" s="132"/>
      <c r="D88" s="133"/>
      <c r="E88" s="134"/>
      <c r="F88" s="135"/>
      <c r="G88" s="136"/>
      <c r="H88" s="130"/>
      <c r="I88" s="137"/>
      <c r="J88" s="138"/>
      <c r="L88" s="43"/>
      <c r="M88" s="43"/>
      <c r="N88" s="43"/>
      <c r="O88" s="43"/>
      <c r="P88" s="43"/>
      <c r="Q88" s="43"/>
    </row>
    <row r="89" spans="1:17">
      <c r="A89" s="566" t="s">
        <v>129</v>
      </c>
      <c r="B89" s="567"/>
      <c r="C89" s="567"/>
      <c r="D89" s="567"/>
      <c r="E89" s="567"/>
      <c r="F89" s="568"/>
      <c r="G89" s="568"/>
      <c r="H89" s="568"/>
      <c r="I89" s="569"/>
      <c r="J89" s="369">
        <f>J27</f>
        <v>258493750</v>
      </c>
      <c r="K89" s="71"/>
      <c r="L89" s="43"/>
      <c r="M89" s="43"/>
      <c r="N89" s="43"/>
      <c r="O89" s="43"/>
      <c r="P89" s="43"/>
      <c r="Q89" s="43"/>
    </row>
    <row r="90" spans="1:17" ht="17.25" customHeight="1">
      <c r="A90" s="368"/>
      <c r="B90" s="563"/>
      <c r="C90" s="564"/>
      <c r="D90" s="565"/>
      <c r="E90" s="558" t="s">
        <v>222</v>
      </c>
      <c r="F90" s="558"/>
      <c r="G90" s="558"/>
      <c r="H90" s="558"/>
      <c r="I90" s="558"/>
      <c r="J90" s="570"/>
    </row>
    <row r="91" spans="1:17" ht="16.5" customHeight="1">
      <c r="A91" s="365" t="s">
        <v>34</v>
      </c>
      <c r="B91" s="562"/>
      <c r="C91" s="562"/>
      <c r="D91" s="562"/>
      <c r="E91" s="468" t="s">
        <v>131</v>
      </c>
      <c r="F91" s="468"/>
      <c r="G91" s="468"/>
      <c r="H91" s="468"/>
      <c r="I91" s="468"/>
      <c r="J91" s="469"/>
    </row>
    <row r="92" spans="1:17" ht="17.25">
      <c r="A92" s="366" t="s">
        <v>35</v>
      </c>
      <c r="B92" s="562"/>
      <c r="C92" s="562"/>
      <c r="D92" s="562"/>
      <c r="E92" s="447"/>
      <c r="F92" s="447"/>
      <c r="G92" s="447"/>
      <c r="H92" s="447"/>
      <c r="I92" s="447"/>
      <c r="J92" s="448"/>
    </row>
    <row r="93" spans="1:17" ht="17.25">
      <c r="A93" s="366" t="s">
        <v>36</v>
      </c>
      <c r="B93" s="562"/>
      <c r="C93" s="562"/>
      <c r="D93" s="562"/>
      <c r="E93" s="447"/>
      <c r="F93" s="447"/>
      <c r="G93" s="447"/>
      <c r="H93" s="447"/>
      <c r="I93" s="447"/>
      <c r="J93" s="448"/>
    </row>
    <row r="94" spans="1:17" ht="17.25">
      <c r="A94" s="366" t="s">
        <v>37</v>
      </c>
      <c r="B94" s="562"/>
      <c r="C94" s="562"/>
      <c r="D94" s="562"/>
      <c r="E94" s="450"/>
      <c r="F94" s="450"/>
      <c r="G94" s="450"/>
      <c r="H94" s="450"/>
      <c r="I94" s="450"/>
      <c r="J94" s="451"/>
    </row>
    <row r="95" spans="1:17" ht="17.25" customHeight="1">
      <c r="A95" s="366" t="s">
        <v>38</v>
      </c>
      <c r="B95" s="562"/>
      <c r="C95" s="562"/>
      <c r="D95" s="562"/>
      <c r="E95" s="453" t="s">
        <v>208</v>
      </c>
      <c r="F95" s="453"/>
      <c r="G95" s="453"/>
      <c r="H95" s="453"/>
      <c r="I95" s="453"/>
      <c r="J95" s="454"/>
    </row>
    <row r="96" spans="1:17">
      <c r="A96" s="366" t="s">
        <v>39</v>
      </c>
      <c r="B96" s="562"/>
      <c r="C96" s="562"/>
      <c r="D96" s="562"/>
    </row>
    <row r="97" spans="1:4">
      <c r="A97" s="366" t="s">
        <v>40</v>
      </c>
      <c r="B97" s="562"/>
      <c r="C97" s="562"/>
      <c r="D97" s="562"/>
    </row>
    <row r="98" spans="1:4">
      <c r="A98" s="366" t="s">
        <v>41</v>
      </c>
      <c r="B98" s="562"/>
      <c r="C98" s="562"/>
      <c r="D98" s="562"/>
    </row>
    <row r="99" spans="1:4">
      <c r="A99" s="366" t="s">
        <v>42</v>
      </c>
      <c r="B99" s="562"/>
      <c r="C99" s="562"/>
      <c r="D99" s="562"/>
    </row>
    <row r="100" spans="1:4">
      <c r="A100" s="366" t="s">
        <v>43</v>
      </c>
      <c r="B100" s="562"/>
      <c r="C100" s="562"/>
      <c r="D100" s="562"/>
    </row>
    <row r="101" spans="1:4">
      <c r="A101" s="366" t="s">
        <v>44</v>
      </c>
      <c r="B101" s="562"/>
      <c r="C101" s="562"/>
      <c r="D101" s="562"/>
    </row>
    <row r="102" spans="1:4">
      <c r="A102" s="366" t="s">
        <v>45</v>
      </c>
      <c r="B102" s="562"/>
      <c r="C102" s="562"/>
      <c r="D102" s="562"/>
    </row>
    <row r="103" spans="1:4" ht="17.25" thickBot="1">
      <c r="A103" s="367" t="s">
        <v>28</v>
      </c>
      <c r="B103" s="562"/>
      <c r="C103" s="562"/>
      <c r="D103" s="562"/>
    </row>
  </sheetData>
  <mergeCells count="95">
    <mergeCell ref="A18:J18"/>
    <mergeCell ref="A19:B19"/>
    <mergeCell ref="C19:H19"/>
    <mergeCell ref="I19:J19"/>
    <mergeCell ref="A20:B20"/>
    <mergeCell ref="C20:H20"/>
    <mergeCell ref="I20:J20"/>
    <mergeCell ref="B26:C26"/>
    <mergeCell ref="D26:E26"/>
    <mergeCell ref="H26:I26"/>
    <mergeCell ref="A21:B21"/>
    <mergeCell ref="C21:H21"/>
    <mergeCell ref="I21:J21"/>
    <mergeCell ref="A22:B22"/>
    <mergeCell ref="C22:H22"/>
    <mergeCell ref="I22:J22"/>
    <mergeCell ref="C23:H23"/>
    <mergeCell ref="I23:J23"/>
    <mergeCell ref="A24:J24"/>
    <mergeCell ref="B25:C25"/>
    <mergeCell ref="D25:I25"/>
    <mergeCell ref="B38:C38"/>
    <mergeCell ref="B27:C27"/>
    <mergeCell ref="B28:C28"/>
    <mergeCell ref="B29:C29"/>
    <mergeCell ref="B30:C30"/>
    <mergeCell ref="B31:C31"/>
    <mergeCell ref="B32:C32"/>
    <mergeCell ref="B33:C33"/>
    <mergeCell ref="B34:C34"/>
    <mergeCell ref="B35:C35"/>
    <mergeCell ref="B36:C36"/>
    <mergeCell ref="B37:C37"/>
    <mergeCell ref="B55:C55"/>
    <mergeCell ref="B40:C40"/>
    <mergeCell ref="B41:C41"/>
    <mergeCell ref="B42:C42"/>
    <mergeCell ref="B44:C44"/>
    <mergeCell ref="B46:C46"/>
    <mergeCell ref="B47:C47"/>
    <mergeCell ref="B48:C48"/>
    <mergeCell ref="B50:C50"/>
    <mergeCell ref="B51:C51"/>
    <mergeCell ref="B52:C52"/>
    <mergeCell ref="B54:C54"/>
    <mergeCell ref="B83:C83"/>
    <mergeCell ref="B84:C84"/>
    <mergeCell ref="B85:C85"/>
    <mergeCell ref="B86:C86"/>
    <mergeCell ref="B56:C56"/>
    <mergeCell ref="B57:C57"/>
    <mergeCell ref="B59:C59"/>
    <mergeCell ref="B60:C60"/>
    <mergeCell ref="B61:C61"/>
    <mergeCell ref="B62:C62"/>
    <mergeCell ref="B67:C67"/>
    <mergeCell ref="B68:C68"/>
    <mergeCell ref="B69:C69"/>
    <mergeCell ref="B64:C64"/>
    <mergeCell ref="B65:C65"/>
    <mergeCell ref="B66:C66"/>
    <mergeCell ref="B80:C80"/>
    <mergeCell ref="B81:C81"/>
    <mergeCell ref="B82:C82"/>
    <mergeCell ref="B71:C71"/>
    <mergeCell ref="B72:C72"/>
    <mergeCell ref="B73:C73"/>
    <mergeCell ref="B74:C74"/>
    <mergeCell ref="B76:C76"/>
    <mergeCell ref="B77:C77"/>
    <mergeCell ref="E94:J94"/>
    <mergeCell ref="E95:J95"/>
    <mergeCell ref="A1:D1"/>
    <mergeCell ref="E1:J1"/>
    <mergeCell ref="A2:J2"/>
    <mergeCell ref="B91:D91"/>
    <mergeCell ref="B92:D92"/>
    <mergeCell ref="B93:D93"/>
    <mergeCell ref="B94:D94"/>
    <mergeCell ref="B95:D95"/>
    <mergeCell ref="A89:I89"/>
    <mergeCell ref="E90:J90"/>
    <mergeCell ref="E91:J91"/>
    <mergeCell ref="E92:J92"/>
    <mergeCell ref="E93:J93"/>
    <mergeCell ref="B78:C78"/>
    <mergeCell ref="B102:D102"/>
    <mergeCell ref="B103:D103"/>
    <mergeCell ref="B90:D90"/>
    <mergeCell ref="B96:D96"/>
    <mergeCell ref="B97:D97"/>
    <mergeCell ref="B98:D98"/>
    <mergeCell ref="B99:D99"/>
    <mergeCell ref="B100:D100"/>
    <mergeCell ref="B101:D101"/>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AA1B5-5BF2-46A6-A670-C30FD621A9F4}">
  <dimension ref="A1:Q197"/>
  <sheetViews>
    <sheetView tabSelected="1" topLeftCell="A4" workbookViewId="0">
      <selection activeCell="B33" sqref="B33:C33"/>
    </sheetView>
  </sheetViews>
  <sheetFormatPr defaultColWidth="9.140625" defaultRowHeight="12.75"/>
  <cols>
    <col min="1" max="1" width="19.140625" style="38" customWidth="1"/>
    <col min="2" max="2" width="15.42578125" style="38" customWidth="1"/>
    <col min="3" max="3" width="30.7109375" style="38" customWidth="1"/>
    <col min="4" max="4" width="11" style="38" customWidth="1"/>
    <col min="5" max="5" width="6.42578125" style="38" customWidth="1"/>
    <col min="6" max="6" width="10" style="38" customWidth="1"/>
    <col min="7" max="7" width="12.7109375" style="38" customWidth="1"/>
    <col min="8" max="8" width="3.5703125" style="38" customWidth="1"/>
    <col min="9" max="9" width="4" style="38" customWidth="1"/>
    <col min="10" max="10" width="18.85546875" style="38" customWidth="1"/>
    <col min="11" max="11" width="15" style="38" hidden="1" customWidth="1"/>
    <col min="12" max="12" width="31.42578125" style="38" customWidth="1"/>
    <col min="13" max="13" width="11" style="38" customWidth="1"/>
    <col min="14" max="14" width="9.140625" style="38"/>
    <col min="15" max="15" width="12" style="38" customWidth="1"/>
    <col min="16" max="16384" width="9.140625" style="38"/>
  </cols>
  <sheetData>
    <row r="1" spans="1:10" ht="55.5" customHeight="1">
      <c r="A1" s="825" t="s">
        <v>0</v>
      </c>
      <c r="B1" s="826"/>
      <c r="C1" s="826"/>
      <c r="D1" s="826"/>
      <c r="E1" s="825" t="s">
        <v>1</v>
      </c>
      <c r="F1" s="825"/>
      <c r="G1" s="825"/>
      <c r="H1" s="825"/>
      <c r="I1" s="825"/>
      <c r="J1" s="825"/>
    </row>
    <row r="2" spans="1:10" ht="28.5" customHeight="1">
      <c r="A2" s="827" t="s">
        <v>47</v>
      </c>
      <c r="B2" s="828"/>
      <c r="C2" s="828"/>
      <c r="D2" s="828"/>
      <c r="E2" s="828"/>
      <c r="F2" s="828"/>
      <c r="G2" s="828"/>
      <c r="H2" s="828"/>
      <c r="I2" s="828"/>
      <c r="J2" s="829"/>
    </row>
    <row r="4" spans="1:10">
      <c r="A4" s="37" t="s">
        <v>2</v>
      </c>
      <c r="B4" s="37" t="s">
        <v>52</v>
      </c>
    </row>
    <row r="5" spans="1:10">
      <c r="A5" s="37" t="s">
        <v>4</v>
      </c>
      <c r="B5" s="37" t="s">
        <v>53</v>
      </c>
    </row>
    <row r="6" spans="1:10">
      <c r="A6" s="37" t="s">
        <v>6</v>
      </c>
      <c r="B6" s="37" t="s">
        <v>54</v>
      </c>
    </row>
    <row r="7" spans="1:10">
      <c r="A7" s="37" t="s">
        <v>7</v>
      </c>
      <c r="B7" s="37" t="s">
        <v>55</v>
      </c>
    </row>
    <row r="8" spans="1:10">
      <c r="A8" s="37" t="s">
        <v>8</v>
      </c>
      <c r="B8" s="37" t="s">
        <v>209</v>
      </c>
    </row>
    <row r="9" spans="1:10">
      <c r="A9" s="37" t="s">
        <v>9</v>
      </c>
      <c r="B9" s="37" t="s">
        <v>210</v>
      </c>
    </row>
    <row r="10" spans="1:10">
      <c r="A10" s="37" t="s">
        <v>10</v>
      </c>
      <c r="B10" s="37" t="s">
        <v>57</v>
      </c>
    </row>
    <row r="11" spans="1:10">
      <c r="A11" s="37" t="s">
        <v>11</v>
      </c>
      <c r="B11" s="37" t="s">
        <v>58</v>
      </c>
    </row>
    <row r="12" spans="1:10">
      <c r="A12" s="37" t="s">
        <v>12</v>
      </c>
      <c r="B12" s="37" t="s">
        <v>133</v>
      </c>
    </row>
    <row r="13" spans="1:10">
      <c r="A13" s="37" t="s">
        <v>14</v>
      </c>
      <c r="B13" s="37" t="s">
        <v>211</v>
      </c>
    </row>
    <row r="14" spans="1:10">
      <c r="A14" s="37" t="s">
        <v>46</v>
      </c>
      <c r="B14" s="37" t="s">
        <v>59</v>
      </c>
      <c r="C14" s="139">
        <v>490880516</v>
      </c>
    </row>
    <row r="15" spans="1:10">
      <c r="A15" s="37" t="s">
        <v>48</v>
      </c>
      <c r="B15" s="37" t="s">
        <v>59</v>
      </c>
      <c r="C15" s="830">
        <v>856481250</v>
      </c>
    </row>
    <row r="16" spans="1:10">
      <c r="A16" s="37" t="s">
        <v>134</v>
      </c>
      <c r="B16" s="37" t="s">
        <v>59</v>
      </c>
      <c r="C16" s="41">
        <f>(5%*C15)+C15</f>
        <v>899305312.5</v>
      </c>
    </row>
    <row r="17" spans="1:17" ht="13.5" thickBot="1">
      <c r="A17" s="170"/>
      <c r="L17" s="171"/>
      <c r="M17" s="171"/>
      <c r="N17" s="171"/>
      <c r="O17" s="171"/>
      <c r="P17" s="171"/>
      <c r="Q17" s="171"/>
    </row>
    <row r="18" spans="1:17">
      <c r="A18" s="872" t="s">
        <v>60</v>
      </c>
      <c r="B18" s="873"/>
      <c r="C18" s="873"/>
      <c r="D18" s="873"/>
      <c r="E18" s="873"/>
      <c r="F18" s="873"/>
      <c r="G18" s="873"/>
      <c r="H18" s="873"/>
      <c r="I18" s="873"/>
      <c r="J18" s="874"/>
      <c r="L18" s="171"/>
      <c r="M18" s="171"/>
      <c r="N18" s="171"/>
      <c r="O18" s="171"/>
      <c r="P18" s="171"/>
      <c r="Q18" s="171"/>
    </row>
    <row r="19" spans="1:17">
      <c r="A19" s="778" t="s">
        <v>18</v>
      </c>
      <c r="B19" s="778"/>
      <c r="C19" s="777" t="s">
        <v>19</v>
      </c>
      <c r="D19" s="777"/>
      <c r="E19" s="777"/>
      <c r="F19" s="777"/>
      <c r="G19" s="777"/>
      <c r="H19" s="777"/>
      <c r="I19" s="779" t="s">
        <v>20</v>
      </c>
      <c r="J19" s="779"/>
      <c r="L19" s="171"/>
      <c r="M19" s="171"/>
      <c r="N19" s="171"/>
      <c r="O19" s="171"/>
      <c r="P19" s="171"/>
      <c r="Q19" s="171"/>
    </row>
    <row r="20" spans="1:17" ht="20.25" customHeight="1">
      <c r="A20" s="780" t="s">
        <v>21</v>
      </c>
      <c r="B20" s="780"/>
      <c r="C20" s="541" t="s">
        <v>466</v>
      </c>
      <c r="D20" s="541"/>
      <c r="E20" s="541"/>
      <c r="F20" s="541"/>
      <c r="G20" s="541"/>
      <c r="H20" s="541"/>
      <c r="I20" s="561">
        <v>0.65</v>
      </c>
      <c r="J20" s="541"/>
      <c r="L20" s="171"/>
      <c r="M20" s="171"/>
      <c r="N20" s="171"/>
      <c r="O20" s="171"/>
      <c r="P20" s="171"/>
      <c r="Q20" s="171"/>
    </row>
    <row r="21" spans="1:17" ht="20.25" customHeight="1">
      <c r="A21" s="781" t="s">
        <v>22</v>
      </c>
      <c r="B21" s="781"/>
      <c r="C21" s="781" t="s">
        <v>61</v>
      </c>
      <c r="D21" s="781"/>
      <c r="E21" s="781"/>
      <c r="F21" s="781"/>
      <c r="G21" s="781"/>
      <c r="H21" s="781"/>
      <c r="I21" s="878">
        <f>J27</f>
        <v>856481250</v>
      </c>
      <c r="J21" s="879"/>
      <c r="L21" s="171"/>
      <c r="M21" s="171"/>
      <c r="N21" s="171"/>
      <c r="O21" s="171"/>
      <c r="P21" s="171"/>
      <c r="Q21" s="171"/>
    </row>
    <row r="22" spans="1:17" ht="40.5" customHeight="1">
      <c r="A22" s="781" t="s">
        <v>23</v>
      </c>
      <c r="B22" s="781"/>
      <c r="C22" s="541" t="s">
        <v>475</v>
      </c>
      <c r="D22" s="541"/>
      <c r="E22" s="541"/>
      <c r="F22" s="541"/>
      <c r="G22" s="541"/>
      <c r="H22" s="541"/>
      <c r="I22" s="543" t="s">
        <v>474</v>
      </c>
      <c r="J22" s="543"/>
      <c r="L22" s="171"/>
      <c r="M22" s="171"/>
      <c r="N22" s="171"/>
      <c r="O22" s="171"/>
      <c r="P22" s="171"/>
      <c r="Q22" s="171"/>
    </row>
    <row r="23" spans="1:17" ht="73.5" customHeight="1">
      <c r="A23" s="806" t="s">
        <v>24</v>
      </c>
      <c r="B23" s="806"/>
      <c r="C23" s="541" t="s">
        <v>470</v>
      </c>
      <c r="D23" s="541"/>
      <c r="E23" s="541"/>
      <c r="F23" s="541"/>
      <c r="G23" s="541"/>
      <c r="H23" s="541"/>
      <c r="I23" s="542" t="s">
        <v>473</v>
      </c>
      <c r="J23" s="543"/>
      <c r="L23" s="171"/>
      <c r="M23" s="171"/>
      <c r="N23" s="171"/>
      <c r="O23" s="171"/>
      <c r="P23" s="171"/>
      <c r="Q23" s="171"/>
    </row>
    <row r="24" spans="1:17">
      <c r="A24" s="777" t="s">
        <v>63</v>
      </c>
      <c r="B24" s="777"/>
      <c r="C24" s="777"/>
      <c r="D24" s="777"/>
      <c r="E24" s="777"/>
      <c r="F24" s="777"/>
      <c r="G24" s="777"/>
      <c r="H24" s="777"/>
      <c r="I24" s="777"/>
      <c r="J24" s="777"/>
      <c r="L24" s="171"/>
      <c r="M24" s="831"/>
      <c r="N24" s="171"/>
      <c r="O24" s="171"/>
      <c r="P24" s="41"/>
      <c r="Q24" s="171"/>
    </row>
    <row r="25" spans="1:17">
      <c r="A25" s="806"/>
      <c r="B25" s="781"/>
      <c r="C25" s="781"/>
      <c r="D25" s="880" t="s">
        <v>27</v>
      </c>
      <c r="E25" s="880"/>
      <c r="F25" s="880"/>
      <c r="G25" s="880"/>
      <c r="H25" s="880"/>
      <c r="I25" s="880"/>
      <c r="J25" s="806"/>
      <c r="L25" s="171"/>
      <c r="M25" s="171"/>
      <c r="N25" s="171"/>
      <c r="O25" s="171"/>
      <c r="P25" s="171"/>
      <c r="Q25" s="171"/>
    </row>
    <row r="26" spans="1:17" ht="13.5" thickBot="1">
      <c r="A26" s="136" t="s">
        <v>25</v>
      </c>
      <c r="B26" s="691" t="s">
        <v>26</v>
      </c>
      <c r="C26" s="677"/>
      <c r="D26" s="875" t="s">
        <v>29</v>
      </c>
      <c r="E26" s="876"/>
      <c r="F26" s="135" t="s">
        <v>30</v>
      </c>
      <c r="G26" s="135" t="s">
        <v>31</v>
      </c>
      <c r="H26" s="669" t="s">
        <v>64</v>
      </c>
      <c r="I26" s="877"/>
      <c r="J26" s="172" t="s">
        <v>28</v>
      </c>
      <c r="L26" s="171"/>
      <c r="M26" s="171"/>
      <c r="N26" s="171"/>
      <c r="O26" s="171"/>
      <c r="P26" s="171"/>
      <c r="Q26" s="171"/>
    </row>
    <row r="27" spans="1:17">
      <c r="A27" s="431">
        <v>5</v>
      </c>
      <c r="B27" s="584" t="s">
        <v>65</v>
      </c>
      <c r="C27" s="585"/>
      <c r="D27" s="173"/>
      <c r="E27" s="174"/>
      <c r="F27" s="175"/>
      <c r="G27" s="176"/>
      <c r="H27" s="177"/>
      <c r="I27" s="178"/>
      <c r="J27" s="246">
        <f>J28</f>
        <v>856481250</v>
      </c>
      <c r="K27" s="70">
        <f>C15-J27</f>
        <v>0</v>
      </c>
      <c r="L27" s="420"/>
      <c r="M27" s="832"/>
      <c r="N27" s="171"/>
      <c r="O27" s="420"/>
      <c r="P27" s="171"/>
      <c r="Q27" s="171"/>
    </row>
    <row r="28" spans="1:17">
      <c r="A28" s="62" t="s">
        <v>66</v>
      </c>
      <c r="B28" s="572" t="s">
        <v>67</v>
      </c>
      <c r="C28" s="507"/>
      <c r="D28" s="73"/>
      <c r="E28" s="74"/>
      <c r="F28" s="75"/>
      <c r="G28" s="76"/>
      <c r="H28" s="437"/>
      <c r="I28" s="439"/>
      <c r="J28" s="70">
        <f>J29</f>
        <v>856481250</v>
      </c>
      <c r="K28" s="179"/>
      <c r="L28" s="171"/>
      <c r="M28" s="832"/>
      <c r="N28" s="171"/>
      <c r="O28" s="832"/>
      <c r="P28" s="171"/>
      <c r="Q28" s="171"/>
    </row>
    <row r="29" spans="1:17">
      <c r="A29" s="72" t="s">
        <v>68</v>
      </c>
      <c r="B29" s="572" t="s">
        <v>69</v>
      </c>
      <c r="C29" s="507"/>
      <c r="D29" s="73"/>
      <c r="E29" s="74"/>
      <c r="F29" s="75"/>
      <c r="G29" s="76"/>
      <c r="H29" s="437"/>
      <c r="I29" s="439"/>
      <c r="J29" s="70">
        <f>J30+J80+J138+J145+J150+J154+J157+J179</f>
        <v>856481250</v>
      </c>
      <c r="K29" s="179"/>
      <c r="L29" s="171"/>
      <c r="M29" s="831"/>
      <c r="N29" s="171"/>
      <c r="O29" s="171"/>
      <c r="P29" s="171"/>
      <c r="Q29" s="171"/>
    </row>
    <row r="30" spans="1:17">
      <c r="A30" s="72" t="s">
        <v>70</v>
      </c>
      <c r="B30" s="572" t="s">
        <v>71</v>
      </c>
      <c r="C30" s="507"/>
      <c r="D30" s="73"/>
      <c r="E30" s="74"/>
      <c r="F30" s="75"/>
      <c r="G30" s="76"/>
      <c r="H30" s="437"/>
      <c r="I30" s="439"/>
      <c r="J30" s="70">
        <f>J31</f>
        <v>78645195</v>
      </c>
      <c r="L30" s="171"/>
      <c r="M30" s="832"/>
      <c r="N30" s="833"/>
      <c r="O30" s="171"/>
      <c r="P30" s="171"/>
      <c r="Q30" s="171"/>
    </row>
    <row r="31" spans="1:17">
      <c r="A31" s="72" t="s">
        <v>72</v>
      </c>
      <c r="B31" s="572" t="s">
        <v>73</v>
      </c>
      <c r="C31" s="507"/>
      <c r="D31" s="73"/>
      <c r="E31" s="74"/>
      <c r="F31" s="75"/>
      <c r="G31" s="76"/>
      <c r="H31" s="437"/>
      <c r="I31" s="439"/>
      <c r="J31" s="70">
        <f>J32+J64+J67+J71+J75+J119+J125</f>
        <v>78645195</v>
      </c>
      <c r="L31" s="171"/>
      <c r="M31" s="832"/>
      <c r="N31" s="171"/>
      <c r="O31" s="171"/>
      <c r="P31" s="171"/>
      <c r="Q31" s="171"/>
    </row>
    <row r="32" spans="1:17">
      <c r="A32" s="72" t="s">
        <v>74</v>
      </c>
      <c r="B32" s="572" t="s">
        <v>75</v>
      </c>
      <c r="C32" s="507"/>
      <c r="D32" s="73"/>
      <c r="E32" s="74"/>
      <c r="F32" s="75"/>
      <c r="G32" s="76"/>
      <c r="H32" s="437"/>
      <c r="I32" s="439"/>
      <c r="J32" s="79">
        <f>SUM(J33:J61)</f>
        <v>8971200</v>
      </c>
      <c r="K32" s="179"/>
      <c r="L32" s="171"/>
      <c r="M32" s="832"/>
      <c r="N32" s="171"/>
      <c r="O32" s="171"/>
      <c r="P32" s="171"/>
      <c r="Q32" s="171"/>
    </row>
    <row r="33" spans="1:17" ht="15.75" customHeight="1">
      <c r="A33" s="72"/>
      <c r="B33" s="571" t="s">
        <v>76</v>
      </c>
      <c r="C33" s="522"/>
      <c r="D33" s="73">
        <v>6</v>
      </c>
      <c r="E33" s="74"/>
      <c r="F33" s="75" t="s">
        <v>77</v>
      </c>
      <c r="G33" s="82">
        <v>293725</v>
      </c>
      <c r="H33" s="437"/>
      <c r="I33" s="439"/>
      <c r="J33" s="83">
        <f t="shared" ref="J33:J61" si="0">D33*G33</f>
        <v>1762350</v>
      </c>
      <c r="L33" s="171"/>
      <c r="M33" s="832"/>
      <c r="N33" s="171"/>
      <c r="O33" s="171"/>
      <c r="P33" s="171"/>
      <c r="Q33" s="171"/>
    </row>
    <row r="34" spans="1:17" ht="15.75" customHeight="1">
      <c r="A34" s="72"/>
      <c r="B34" s="571" t="s">
        <v>78</v>
      </c>
      <c r="C34" s="522"/>
      <c r="D34" s="73">
        <v>12</v>
      </c>
      <c r="E34" s="74"/>
      <c r="F34" s="75" t="s">
        <v>79</v>
      </c>
      <c r="G34" s="82">
        <v>64200</v>
      </c>
      <c r="H34" s="437"/>
      <c r="I34" s="439"/>
      <c r="J34" s="83">
        <f t="shared" si="0"/>
        <v>770400</v>
      </c>
      <c r="L34" s="171"/>
      <c r="M34" s="832"/>
      <c r="N34" s="171"/>
      <c r="O34" s="171"/>
      <c r="P34" s="171"/>
      <c r="Q34" s="171"/>
    </row>
    <row r="35" spans="1:17" ht="15.75" customHeight="1">
      <c r="A35" s="72"/>
      <c r="B35" s="571" t="s">
        <v>80</v>
      </c>
      <c r="C35" s="522"/>
      <c r="D35" s="73">
        <v>6</v>
      </c>
      <c r="E35" s="74"/>
      <c r="F35" s="75" t="s">
        <v>79</v>
      </c>
      <c r="G35" s="82">
        <v>64675</v>
      </c>
      <c r="H35" s="437"/>
      <c r="I35" s="439"/>
      <c r="J35" s="83">
        <f t="shared" si="0"/>
        <v>388050</v>
      </c>
      <c r="L35" s="834"/>
      <c r="M35" s="832"/>
      <c r="N35" s="171"/>
      <c r="O35" s="171"/>
      <c r="P35" s="171"/>
      <c r="Q35" s="171"/>
    </row>
    <row r="36" spans="1:17" ht="15.75" customHeight="1">
      <c r="A36" s="72"/>
      <c r="B36" s="571" t="s">
        <v>81</v>
      </c>
      <c r="C36" s="522"/>
      <c r="D36" s="73">
        <v>6</v>
      </c>
      <c r="E36" s="74"/>
      <c r="F36" s="75" t="s">
        <v>79</v>
      </c>
      <c r="G36" s="82">
        <v>22300</v>
      </c>
      <c r="H36" s="437"/>
      <c r="I36" s="439"/>
      <c r="J36" s="83">
        <f t="shared" si="0"/>
        <v>133800</v>
      </c>
      <c r="L36" s="171"/>
      <c r="M36" s="832"/>
      <c r="N36" s="171"/>
      <c r="O36" s="171"/>
      <c r="P36" s="171"/>
      <c r="Q36" s="171"/>
    </row>
    <row r="37" spans="1:17" ht="15.75" customHeight="1">
      <c r="A37" s="72"/>
      <c r="B37" s="571" t="s">
        <v>215</v>
      </c>
      <c r="C37" s="522"/>
      <c r="D37" s="73">
        <v>12</v>
      </c>
      <c r="E37" s="74"/>
      <c r="F37" s="75" t="s">
        <v>140</v>
      </c>
      <c r="G37" s="82">
        <v>16200</v>
      </c>
      <c r="H37" s="437"/>
      <c r="I37" s="439"/>
      <c r="J37" s="83">
        <f t="shared" si="0"/>
        <v>194400</v>
      </c>
      <c r="L37" s="171"/>
      <c r="M37" s="832"/>
      <c r="N37" s="171"/>
      <c r="O37" s="171"/>
      <c r="P37" s="171"/>
      <c r="Q37" s="171"/>
    </row>
    <row r="38" spans="1:17" ht="15.75" customHeight="1">
      <c r="A38" s="72"/>
      <c r="B38" s="571" t="s">
        <v>484</v>
      </c>
      <c r="C38" s="522"/>
      <c r="D38" s="73">
        <v>6</v>
      </c>
      <c r="E38" s="74"/>
      <c r="F38" s="75" t="s">
        <v>140</v>
      </c>
      <c r="G38" s="82">
        <v>39025</v>
      </c>
      <c r="H38" s="437"/>
      <c r="I38" s="439"/>
      <c r="J38" s="83">
        <f t="shared" si="0"/>
        <v>234150</v>
      </c>
      <c r="L38" s="171"/>
      <c r="M38" s="832"/>
      <c r="N38" s="171"/>
      <c r="O38" s="171"/>
      <c r="P38" s="171"/>
      <c r="Q38" s="171"/>
    </row>
    <row r="39" spans="1:17" ht="15.75" customHeight="1">
      <c r="A39" s="72"/>
      <c r="B39" s="571" t="s">
        <v>83</v>
      </c>
      <c r="C39" s="522"/>
      <c r="D39" s="73">
        <v>2</v>
      </c>
      <c r="E39" s="74"/>
      <c r="F39" s="75" t="s">
        <v>86</v>
      </c>
      <c r="G39" s="82">
        <v>183350</v>
      </c>
      <c r="H39" s="437"/>
      <c r="I39" s="439"/>
      <c r="J39" s="83">
        <f t="shared" si="0"/>
        <v>366700</v>
      </c>
      <c r="L39" s="171"/>
      <c r="M39" s="832"/>
      <c r="N39" s="171"/>
      <c r="O39" s="171"/>
      <c r="P39" s="171"/>
      <c r="Q39" s="171"/>
    </row>
    <row r="40" spans="1:17" ht="15.75" customHeight="1">
      <c r="A40" s="72"/>
      <c r="B40" s="423" t="s">
        <v>85</v>
      </c>
      <c r="C40" s="424"/>
      <c r="D40" s="73">
        <v>4</v>
      </c>
      <c r="E40" s="74"/>
      <c r="F40" s="75" t="s">
        <v>86</v>
      </c>
      <c r="G40" s="82">
        <v>138775</v>
      </c>
      <c r="H40" s="437"/>
      <c r="I40" s="439"/>
      <c r="J40" s="83">
        <f t="shared" si="0"/>
        <v>555100</v>
      </c>
      <c r="L40" s="171"/>
      <c r="M40" s="832"/>
      <c r="N40" s="171"/>
      <c r="O40" s="171"/>
      <c r="P40" s="171"/>
      <c r="Q40" s="171"/>
    </row>
    <row r="41" spans="1:17" ht="15.75" customHeight="1">
      <c r="A41" s="72"/>
      <c r="B41" s="571" t="s">
        <v>485</v>
      </c>
      <c r="C41" s="522"/>
      <c r="D41" s="73">
        <v>6</v>
      </c>
      <c r="E41" s="74"/>
      <c r="F41" s="75" t="s">
        <v>84</v>
      </c>
      <c r="G41" s="82">
        <v>24525</v>
      </c>
      <c r="H41" s="437"/>
      <c r="I41" s="439"/>
      <c r="J41" s="83">
        <f t="shared" si="0"/>
        <v>147150</v>
      </c>
      <c r="L41" s="171"/>
      <c r="M41" s="832"/>
      <c r="N41" s="171"/>
      <c r="O41" s="171"/>
      <c r="P41" s="171"/>
      <c r="Q41" s="171"/>
    </row>
    <row r="42" spans="1:17" ht="15.75" customHeight="1">
      <c r="A42" s="72"/>
      <c r="B42" s="571" t="s">
        <v>88</v>
      </c>
      <c r="C42" s="522"/>
      <c r="D42" s="73">
        <v>6</v>
      </c>
      <c r="E42" s="74"/>
      <c r="F42" s="75" t="s">
        <v>84</v>
      </c>
      <c r="G42" s="82">
        <f>G41</f>
        <v>24525</v>
      </c>
      <c r="H42" s="437"/>
      <c r="I42" s="439"/>
      <c r="J42" s="83">
        <f t="shared" si="0"/>
        <v>147150</v>
      </c>
      <c r="L42" s="171"/>
      <c r="M42" s="832"/>
      <c r="N42" s="171"/>
      <c r="O42" s="171"/>
      <c r="P42" s="171"/>
      <c r="Q42" s="171"/>
    </row>
    <row r="43" spans="1:17" ht="15.75" customHeight="1">
      <c r="A43" s="72"/>
      <c r="B43" s="423" t="s">
        <v>486</v>
      </c>
      <c r="C43" s="424"/>
      <c r="D43" s="73">
        <v>4</v>
      </c>
      <c r="E43" s="74"/>
      <c r="F43" s="75" t="s">
        <v>84</v>
      </c>
      <c r="G43" s="82">
        <v>19275</v>
      </c>
      <c r="H43" s="437"/>
      <c r="I43" s="439"/>
      <c r="J43" s="83">
        <f t="shared" si="0"/>
        <v>77100</v>
      </c>
      <c r="L43" s="171"/>
      <c r="M43" s="832"/>
      <c r="N43" s="171"/>
      <c r="O43" s="171"/>
      <c r="P43" s="171"/>
      <c r="Q43" s="171"/>
    </row>
    <row r="44" spans="1:17" ht="15.75" customHeight="1">
      <c r="A44" s="72"/>
      <c r="B44" s="423" t="s">
        <v>487</v>
      </c>
      <c r="C44" s="424"/>
      <c r="D44" s="73">
        <v>6</v>
      </c>
      <c r="E44" s="74"/>
      <c r="F44" s="75" t="s">
        <v>488</v>
      </c>
      <c r="G44" s="82">
        <v>76125</v>
      </c>
      <c r="H44" s="437"/>
      <c r="I44" s="439"/>
      <c r="J44" s="83">
        <f t="shared" si="0"/>
        <v>456750</v>
      </c>
      <c r="L44" s="171"/>
      <c r="M44" s="832"/>
      <c r="N44" s="171"/>
      <c r="O44" s="171"/>
      <c r="P44" s="171"/>
      <c r="Q44" s="171"/>
    </row>
    <row r="45" spans="1:17" ht="15.75" customHeight="1">
      <c r="A45" s="72"/>
      <c r="B45" s="423" t="s">
        <v>489</v>
      </c>
      <c r="C45" s="424"/>
      <c r="D45" s="73">
        <v>3</v>
      </c>
      <c r="E45" s="74"/>
      <c r="F45" s="75" t="s">
        <v>488</v>
      </c>
      <c r="G45" s="82">
        <v>17950</v>
      </c>
      <c r="H45" s="437"/>
      <c r="I45" s="439"/>
      <c r="J45" s="83">
        <f t="shared" si="0"/>
        <v>53850</v>
      </c>
      <c r="L45" s="171"/>
      <c r="M45" s="832"/>
      <c r="N45" s="171"/>
      <c r="O45" s="171"/>
      <c r="P45" s="171"/>
      <c r="Q45" s="171"/>
    </row>
    <row r="46" spans="1:17" ht="15.75" customHeight="1">
      <c r="A46" s="72"/>
      <c r="B46" s="423" t="s">
        <v>490</v>
      </c>
      <c r="C46" s="424"/>
      <c r="D46" s="73">
        <v>6</v>
      </c>
      <c r="E46" s="74"/>
      <c r="F46" s="75" t="s">
        <v>488</v>
      </c>
      <c r="G46" s="82">
        <v>23500</v>
      </c>
      <c r="H46" s="437"/>
      <c r="I46" s="439"/>
      <c r="J46" s="83">
        <f t="shared" si="0"/>
        <v>141000</v>
      </c>
      <c r="L46" s="171"/>
      <c r="M46" s="832"/>
      <c r="N46" s="171"/>
      <c r="O46" s="171"/>
      <c r="P46" s="171"/>
      <c r="Q46" s="171"/>
    </row>
    <row r="47" spans="1:17" ht="15.75" customHeight="1">
      <c r="A47" s="72"/>
      <c r="B47" s="423" t="s">
        <v>491</v>
      </c>
      <c r="C47" s="424"/>
      <c r="D47" s="73">
        <v>6</v>
      </c>
      <c r="E47" s="74"/>
      <c r="F47" s="75" t="s">
        <v>84</v>
      </c>
      <c r="G47" s="82">
        <v>36350</v>
      </c>
      <c r="H47" s="437"/>
      <c r="I47" s="439"/>
      <c r="J47" s="83">
        <f t="shared" si="0"/>
        <v>218100</v>
      </c>
      <c r="L47" s="171"/>
      <c r="M47" s="832"/>
      <c r="N47" s="171"/>
      <c r="O47" s="171"/>
      <c r="P47" s="171"/>
      <c r="Q47" s="171"/>
    </row>
    <row r="48" spans="1:17" ht="15.75" customHeight="1">
      <c r="A48" s="72"/>
      <c r="B48" s="423" t="s">
        <v>492</v>
      </c>
      <c r="C48" s="424"/>
      <c r="D48" s="73">
        <v>6</v>
      </c>
      <c r="E48" s="74"/>
      <c r="F48" s="75" t="s">
        <v>86</v>
      </c>
      <c r="G48" s="82">
        <v>163750</v>
      </c>
      <c r="H48" s="437"/>
      <c r="I48" s="439"/>
      <c r="J48" s="83">
        <f t="shared" si="0"/>
        <v>982500</v>
      </c>
      <c r="L48" s="171"/>
      <c r="M48" s="832"/>
      <c r="N48" s="171"/>
      <c r="O48" s="171"/>
      <c r="P48" s="171"/>
      <c r="Q48" s="171"/>
    </row>
    <row r="49" spans="1:17" ht="15.75" customHeight="1">
      <c r="A49" s="72"/>
      <c r="B49" s="423" t="s">
        <v>493</v>
      </c>
      <c r="C49" s="424"/>
      <c r="D49" s="73">
        <v>2</v>
      </c>
      <c r="E49" s="74"/>
      <c r="F49" s="75" t="s">
        <v>84</v>
      </c>
      <c r="G49" s="82">
        <v>16200</v>
      </c>
      <c r="H49" s="437"/>
      <c r="I49" s="439"/>
      <c r="J49" s="83">
        <f t="shared" si="0"/>
        <v>32400</v>
      </c>
      <c r="L49" s="171"/>
      <c r="M49" s="832"/>
      <c r="N49" s="171"/>
      <c r="O49" s="171"/>
      <c r="P49" s="171"/>
      <c r="Q49" s="171"/>
    </row>
    <row r="50" spans="1:17" ht="15.75" customHeight="1">
      <c r="A50" s="72"/>
      <c r="B50" s="571" t="s">
        <v>494</v>
      </c>
      <c r="C50" s="522"/>
      <c r="D50" s="73">
        <v>3</v>
      </c>
      <c r="E50" s="74"/>
      <c r="F50" s="75" t="s">
        <v>488</v>
      </c>
      <c r="G50" s="82">
        <v>15400</v>
      </c>
      <c r="H50" s="437"/>
      <c r="I50" s="439"/>
      <c r="J50" s="83">
        <f t="shared" si="0"/>
        <v>46200</v>
      </c>
      <c r="L50" s="171"/>
      <c r="M50" s="832"/>
      <c r="N50" s="171"/>
      <c r="O50" s="171"/>
      <c r="P50" s="171"/>
      <c r="Q50" s="171"/>
    </row>
    <row r="51" spans="1:17" ht="15.75" customHeight="1">
      <c r="A51" s="72"/>
      <c r="B51" s="571" t="s">
        <v>495</v>
      </c>
      <c r="C51" s="522"/>
      <c r="D51" s="73">
        <v>12</v>
      </c>
      <c r="E51" s="74"/>
      <c r="F51" s="75" t="s">
        <v>86</v>
      </c>
      <c r="G51" s="82">
        <v>75850</v>
      </c>
      <c r="H51" s="437"/>
      <c r="I51" s="439"/>
      <c r="J51" s="83">
        <f t="shared" si="0"/>
        <v>910200</v>
      </c>
      <c r="L51" s="171"/>
      <c r="M51" s="832"/>
      <c r="N51" s="171"/>
      <c r="O51" s="171"/>
      <c r="P51" s="171"/>
      <c r="Q51" s="171"/>
    </row>
    <row r="52" spans="1:17" ht="15.75" customHeight="1">
      <c r="A52" s="72"/>
      <c r="B52" s="571" t="s">
        <v>496</v>
      </c>
      <c r="C52" s="522"/>
      <c r="D52" s="73">
        <v>2</v>
      </c>
      <c r="E52" s="74"/>
      <c r="F52" s="75" t="s">
        <v>140</v>
      </c>
      <c r="G52" s="82">
        <v>41625</v>
      </c>
      <c r="H52" s="437"/>
      <c r="I52" s="439"/>
      <c r="J52" s="83">
        <f t="shared" si="0"/>
        <v>83250</v>
      </c>
      <c r="L52" s="171"/>
      <c r="M52" s="832"/>
      <c r="N52" s="171"/>
      <c r="O52" s="171"/>
      <c r="P52" s="171"/>
      <c r="Q52" s="171"/>
    </row>
    <row r="53" spans="1:17" ht="15.75" customHeight="1">
      <c r="A53" s="72"/>
      <c r="B53" s="571" t="s">
        <v>497</v>
      </c>
      <c r="C53" s="522"/>
      <c r="D53" s="73">
        <v>2</v>
      </c>
      <c r="E53" s="74"/>
      <c r="F53" s="75" t="s">
        <v>140</v>
      </c>
      <c r="G53" s="82">
        <v>31450</v>
      </c>
      <c r="H53" s="437"/>
      <c r="I53" s="439"/>
      <c r="J53" s="83">
        <f t="shared" si="0"/>
        <v>62900</v>
      </c>
      <c r="L53" s="171"/>
      <c r="M53" s="832"/>
      <c r="N53" s="171"/>
      <c r="O53" s="171"/>
      <c r="P53" s="171"/>
      <c r="Q53" s="171"/>
    </row>
    <row r="54" spans="1:17" ht="15.75" customHeight="1">
      <c r="A54" s="72"/>
      <c r="B54" s="571" t="s">
        <v>498</v>
      </c>
      <c r="C54" s="522"/>
      <c r="D54" s="73">
        <v>2</v>
      </c>
      <c r="E54" s="74"/>
      <c r="F54" s="75" t="s">
        <v>84</v>
      </c>
      <c r="G54" s="82">
        <v>25625</v>
      </c>
      <c r="H54" s="437"/>
      <c r="I54" s="439"/>
      <c r="J54" s="83">
        <f t="shared" si="0"/>
        <v>51250</v>
      </c>
      <c r="L54" s="171"/>
      <c r="M54" s="832"/>
      <c r="N54" s="171"/>
      <c r="O54" s="171"/>
      <c r="P54" s="171"/>
      <c r="Q54" s="171"/>
    </row>
    <row r="55" spans="1:17" ht="15.75" customHeight="1">
      <c r="A55" s="72"/>
      <c r="B55" s="423" t="s">
        <v>499</v>
      </c>
      <c r="C55" s="424"/>
      <c r="D55" s="73">
        <v>12</v>
      </c>
      <c r="E55" s="74"/>
      <c r="F55" s="75" t="s">
        <v>488</v>
      </c>
      <c r="G55" s="82">
        <v>8600</v>
      </c>
      <c r="H55" s="437"/>
      <c r="I55" s="439"/>
      <c r="J55" s="83">
        <f t="shared" si="0"/>
        <v>103200</v>
      </c>
      <c r="L55" s="171"/>
      <c r="M55" s="832"/>
      <c r="N55" s="171"/>
      <c r="O55" s="171"/>
      <c r="P55" s="171"/>
      <c r="Q55" s="171"/>
    </row>
    <row r="56" spans="1:17" ht="15.75" customHeight="1">
      <c r="A56" s="72"/>
      <c r="B56" s="571" t="s">
        <v>500</v>
      </c>
      <c r="C56" s="522"/>
      <c r="D56" s="73">
        <v>6</v>
      </c>
      <c r="E56" s="74"/>
      <c r="F56" s="75" t="s">
        <v>84</v>
      </c>
      <c r="G56" s="82">
        <v>22200</v>
      </c>
      <c r="H56" s="437"/>
      <c r="I56" s="439"/>
      <c r="J56" s="83">
        <f t="shared" si="0"/>
        <v>133200</v>
      </c>
      <c r="L56" s="171"/>
      <c r="M56" s="832"/>
      <c r="N56" s="171"/>
      <c r="O56" s="171"/>
      <c r="P56" s="171"/>
      <c r="Q56" s="171"/>
    </row>
    <row r="57" spans="1:17" ht="15.75" customHeight="1">
      <c r="A57" s="72"/>
      <c r="B57" s="571" t="s">
        <v>501</v>
      </c>
      <c r="C57" s="522"/>
      <c r="D57" s="73">
        <v>12</v>
      </c>
      <c r="E57" s="74"/>
      <c r="F57" s="75" t="s">
        <v>86</v>
      </c>
      <c r="G57" s="82">
        <v>21825</v>
      </c>
      <c r="H57" s="437"/>
      <c r="I57" s="439"/>
      <c r="J57" s="83">
        <f t="shared" si="0"/>
        <v>261900</v>
      </c>
      <c r="L57" s="171"/>
      <c r="M57" s="832"/>
      <c r="N57" s="171"/>
      <c r="O57" s="171"/>
      <c r="P57" s="171"/>
      <c r="Q57" s="171"/>
    </row>
    <row r="58" spans="1:17" ht="15.75" customHeight="1">
      <c r="A58" s="72"/>
      <c r="B58" s="571" t="s">
        <v>502</v>
      </c>
      <c r="C58" s="522"/>
      <c r="D58" s="73">
        <v>6</v>
      </c>
      <c r="E58" s="74"/>
      <c r="F58" s="75" t="s">
        <v>503</v>
      </c>
      <c r="G58" s="82">
        <v>14800</v>
      </c>
      <c r="H58" s="437"/>
      <c r="I58" s="439"/>
      <c r="J58" s="83">
        <f t="shared" si="0"/>
        <v>88800</v>
      </c>
      <c r="L58" s="171"/>
      <c r="M58" s="832"/>
      <c r="N58" s="171"/>
      <c r="O58" s="171"/>
      <c r="P58" s="171"/>
      <c r="Q58" s="171"/>
    </row>
    <row r="59" spans="1:17" ht="15.75" customHeight="1">
      <c r="A59" s="72"/>
      <c r="B59" s="571" t="s">
        <v>504</v>
      </c>
      <c r="C59" s="522"/>
      <c r="D59" s="73">
        <v>2</v>
      </c>
      <c r="E59" s="74"/>
      <c r="F59" s="75" t="s">
        <v>488</v>
      </c>
      <c r="G59" s="82">
        <v>12125</v>
      </c>
      <c r="H59" s="437"/>
      <c r="I59" s="439"/>
      <c r="J59" s="83">
        <f t="shared" si="0"/>
        <v>24250</v>
      </c>
      <c r="L59" s="171"/>
      <c r="M59" s="832"/>
      <c r="N59" s="171"/>
      <c r="O59" s="171"/>
      <c r="P59" s="171"/>
      <c r="Q59" s="171"/>
    </row>
    <row r="60" spans="1:17" ht="15.75" customHeight="1">
      <c r="A60" s="72"/>
      <c r="B60" s="571" t="s">
        <v>505</v>
      </c>
      <c r="C60" s="522"/>
      <c r="D60" s="73">
        <v>12</v>
      </c>
      <c r="E60" s="74"/>
      <c r="F60" s="75" t="s">
        <v>84</v>
      </c>
      <c r="G60" s="82">
        <v>20450</v>
      </c>
      <c r="H60" s="437"/>
      <c r="I60" s="439"/>
      <c r="J60" s="83">
        <f t="shared" si="0"/>
        <v>245400</v>
      </c>
      <c r="L60" s="171"/>
      <c r="M60" s="832"/>
      <c r="N60" s="171"/>
      <c r="O60" s="171"/>
      <c r="P60" s="171"/>
      <c r="Q60" s="171"/>
    </row>
    <row r="61" spans="1:17" ht="15.75" customHeight="1">
      <c r="A61" s="72"/>
      <c r="B61" s="423" t="s">
        <v>506</v>
      </c>
      <c r="C61" s="424"/>
      <c r="D61" s="73">
        <v>12</v>
      </c>
      <c r="E61" s="74"/>
      <c r="F61" s="75" t="s">
        <v>84</v>
      </c>
      <c r="G61" s="82">
        <v>24975</v>
      </c>
      <c r="H61" s="437"/>
      <c r="I61" s="439"/>
      <c r="J61" s="83">
        <f t="shared" si="0"/>
        <v>299700</v>
      </c>
      <c r="L61" s="171"/>
      <c r="M61" s="832"/>
      <c r="N61" s="171"/>
      <c r="O61" s="171"/>
      <c r="P61" s="171"/>
      <c r="Q61" s="171"/>
    </row>
    <row r="62" spans="1:17" ht="15.75" customHeight="1">
      <c r="A62" s="72"/>
      <c r="B62" s="423"/>
      <c r="C62" s="424"/>
      <c r="D62" s="73"/>
      <c r="E62" s="74"/>
      <c r="F62" s="75"/>
      <c r="G62" s="82"/>
      <c r="H62" s="437"/>
      <c r="I62" s="439"/>
      <c r="J62" s="83"/>
      <c r="L62" s="171"/>
      <c r="M62" s="832"/>
      <c r="N62" s="171"/>
      <c r="O62" s="171"/>
      <c r="P62" s="171"/>
      <c r="Q62" s="171"/>
    </row>
    <row r="63" spans="1:17">
      <c r="A63" s="72"/>
      <c r="B63" s="576"/>
      <c r="C63" s="577"/>
      <c r="D63" s="73"/>
      <c r="E63" s="74"/>
      <c r="F63" s="75"/>
      <c r="G63" s="82"/>
      <c r="H63" s="437"/>
      <c r="I63" s="439"/>
      <c r="J63" s="87"/>
      <c r="L63" s="171"/>
      <c r="M63" s="832"/>
      <c r="N63" s="171"/>
      <c r="O63" s="171"/>
      <c r="P63" s="171"/>
      <c r="Q63" s="171"/>
    </row>
    <row r="64" spans="1:17">
      <c r="A64" s="72" t="s">
        <v>212</v>
      </c>
      <c r="B64" s="425" t="s">
        <v>89</v>
      </c>
      <c r="C64" s="428"/>
      <c r="D64" s="73"/>
      <c r="E64" s="74"/>
      <c r="F64" s="75"/>
      <c r="G64" s="82"/>
      <c r="H64" s="437"/>
      <c r="I64" s="439"/>
      <c r="J64" s="79">
        <f>J65</f>
        <v>1500000</v>
      </c>
      <c r="L64" s="171"/>
      <c r="M64" s="832"/>
      <c r="N64" s="171"/>
      <c r="O64" s="171"/>
      <c r="P64" s="171"/>
      <c r="Q64" s="171"/>
    </row>
    <row r="65" spans="1:17" ht="17.25" customHeight="1">
      <c r="A65" s="72"/>
      <c r="B65" s="576" t="s">
        <v>90</v>
      </c>
      <c r="C65" s="577"/>
      <c r="D65" s="73">
        <v>150</v>
      </c>
      <c r="E65" s="74"/>
      <c r="F65" s="75" t="s">
        <v>84</v>
      </c>
      <c r="G65" s="82">
        <v>10000</v>
      </c>
      <c r="H65" s="437"/>
      <c r="I65" s="439"/>
      <c r="J65" s="87">
        <f t="shared" ref="J65:J69" si="1">D65*G65</f>
        <v>1500000</v>
      </c>
      <c r="L65" s="171"/>
      <c r="M65" s="832"/>
      <c r="N65" s="171"/>
      <c r="O65" s="171"/>
      <c r="P65" s="171"/>
      <c r="Q65" s="171"/>
    </row>
    <row r="66" spans="1:17">
      <c r="A66" s="72"/>
      <c r="B66" s="427"/>
      <c r="C66" s="428"/>
      <c r="D66" s="73"/>
      <c r="E66" s="74"/>
      <c r="F66" s="75"/>
      <c r="G66" s="82"/>
      <c r="H66" s="437"/>
      <c r="I66" s="439"/>
      <c r="J66" s="87"/>
      <c r="L66" s="171"/>
      <c r="M66" s="832"/>
      <c r="N66" s="171"/>
      <c r="O66" s="171"/>
      <c r="P66" s="171"/>
      <c r="Q66" s="171"/>
    </row>
    <row r="67" spans="1:17" ht="26.25" customHeight="1">
      <c r="A67" s="88" t="s">
        <v>91</v>
      </c>
      <c r="B67" s="578" t="s">
        <v>92</v>
      </c>
      <c r="C67" s="579"/>
      <c r="D67" s="89"/>
      <c r="E67" s="90"/>
      <c r="F67" s="91"/>
      <c r="G67" s="91"/>
      <c r="H67" s="92"/>
      <c r="I67" s="93"/>
      <c r="J67" s="94">
        <f>J68+J69</f>
        <v>8210500</v>
      </c>
      <c r="L67" s="171"/>
      <c r="M67" s="832"/>
      <c r="N67" s="171"/>
      <c r="O67" s="171"/>
      <c r="P67" s="171"/>
      <c r="Q67" s="171"/>
    </row>
    <row r="68" spans="1:17" ht="15.75" customHeight="1">
      <c r="A68" s="88"/>
      <c r="B68" s="580" t="s">
        <v>213</v>
      </c>
      <c r="C68" s="581"/>
      <c r="D68" s="89">
        <v>60</v>
      </c>
      <c r="E68" s="90"/>
      <c r="F68" s="91" t="s">
        <v>93</v>
      </c>
      <c r="G68" s="82">
        <v>87875</v>
      </c>
      <c r="H68" s="92"/>
      <c r="I68" s="93"/>
      <c r="J68" s="97">
        <f t="shared" si="1"/>
        <v>5272500</v>
      </c>
      <c r="L68" s="171"/>
      <c r="M68" s="832"/>
      <c r="N68" s="171"/>
      <c r="O68" s="171"/>
      <c r="P68" s="171"/>
      <c r="Q68" s="171"/>
    </row>
    <row r="69" spans="1:17" ht="15.75" customHeight="1">
      <c r="A69" s="88"/>
      <c r="B69" s="580" t="s">
        <v>214</v>
      </c>
      <c r="C69" s="581"/>
      <c r="D69" s="89">
        <v>40</v>
      </c>
      <c r="E69" s="90"/>
      <c r="F69" s="91" t="s">
        <v>93</v>
      </c>
      <c r="G69" s="82">
        <v>73450</v>
      </c>
      <c r="H69" s="92"/>
      <c r="I69" s="93"/>
      <c r="J69" s="97">
        <f t="shared" si="1"/>
        <v>2938000</v>
      </c>
      <c r="L69" s="171"/>
      <c r="M69" s="832"/>
      <c r="N69" s="171"/>
      <c r="O69" s="171"/>
      <c r="P69" s="171"/>
      <c r="Q69" s="171"/>
    </row>
    <row r="70" spans="1:17" ht="15.75" customHeight="1">
      <c r="A70" s="88"/>
      <c r="B70" s="98"/>
      <c r="C70" s="99"/>
      <c r="D70" s="100"/>
      <c r="E70" s="101"/>
      <c r="F70" s="102"/>
      <c r="G70" s="82"/>
      <c r="H70" s="92"/>
      <c r="I70" s="93"/>
      <c r="J70" s="97"/>
      <c r="L70" s="171"/>
      <c r="M70" s="832"/>
      <c r="N70" s="171"/>
      <c r="O70" s="171"/>
      <c r="P70" s="171"/>
      <c r="Q70" s="171"/>
    </row>
    <row r="71" spans="1:17" ht="28.5" customHeight="1">
      <c r="A71" s="88" t="s">
        <v>94</v>
      </c>
      <c r="B71" s="578" t="s">
        <v>95</v>
      </c>
      <c r="C71" s="579"/>
      <c r="D71" s="89"/>
      <c r="E71" s="90"/>
      <c r="F71" s="91"/>
      <c r="G71" s="91"/>
      <c r="H71" s="92"/>
      <c r="I71" s="93"/>
      <c r="J71" s="94">
        <f>J72</f>
        <v>7560000</v>
      </c>
      <c r="K71" s="179"/>
      <c r="L71" s="171"/>
      <c r="M71" s="832"/>
      <c r="N71" s="171"/>
      <c r="O71" s="171"/>
      <c r="P71" s="171"/>
      <c r="Q71" s="171"/>
    </row>
    <row r="72" spans="1:17">
      <c r="A72" s="88"/>
      <c r="B72" s="580" t="s">
        <v>216</v>
      </c>
      <c r="C72" s="581"/>
      <c r="D72" s="89">
        <v>48</v>
      </c>
      <c r="E72" s="90"/>
      <c r="F72" s="91" t="s">
        <v>79</v>
      </c>
      <c r="G72" s="82">
        <v>157500</v>
      </c>
      <c r="H72" s="92"/>
      <c r="I72" s="93"/>
      <c r="J72" s="97">
        <f>D72*G72</f>
        <v>7560000</v>
      </c>
      <c r="L72" s="171"/>
      <c r="M72" s="832"/>
      <c r="N72" s="171"/>
      <c r="O72" s="171"/>
      <c r="P72" s="171"/>
      <c r="Q72" s="171"/>
    </row>
    <row r="73" spans="1:17">
      <c r="A73" s="88"/>
      <c r="B73" s="582"/>
      <c r="C73" s="583"/>
      <c r="D73" s="105"/>
      <c r="E73" s="106"/>
      <c r="F73" s="107"/>
      <c r="G73" s="108"/>
      <c r="H73" s="109"/>
      <c r="I73" s="436"/>
      <c r="J73" s="97"/>
      <c r="L73" s="171"/>
      <c r="M73" s="832"/>
      <c r="N73" s="171"/>
      <c r="O73" s="171"/>
      <c r="P73" s="171"/>
      <c r="Q73" s="171"/>
    </row>
    <row r="74" spans="1:17">
      <c r="A74" s="88"/>
      <c r="B74" s="111"/>
      <c r="C74" s="435"/>
      <c r="D74" s="113"/>
      <c r="E74" s="114"/>
      <c r="F74" s="115"/>
      <c r="G74" s="108"/>
      <c r="H74" s="109"/>
      <c r="I74" s="436"/>
      <c r="J74" s="97"/>
      <c r="L74" s="171"/>
      <c r="M74" s="832"/>
      <c r="N74" s="171"/>
      <c r="O74" s="171"/>
      <c r="P74" s="171"/>
      <c r="Q74" s="171"/>
    </row>
    <row r="75" spans="1:17" ht="27" customHeight="1">
      <c r="A75" s="72" t="s">
        <v>97</v>
      </c>
      <c r="B75" s="572" t="s">
        <v>98</v>
      </c>
      <c r="C75" s="507"/>
      <c r="D75" s="73"/>
      <c r="E75" s="74"/>
      <c r="F75" s="75"/>
      <c r="G75" s="76"/>
      <c r="H75" s="437"/>
      <c r="I75" s="439"/>
      <c r="J75" s="70">
        <f>SUM(J76:J78)</f>
        <v>2412995</v>
      </c>
      <c r="L75" s="171"/>
      <c r="M75" s="171"/>
      <c r="N75" s="171"/>
      <c r="O75" s="171"/>
      <c r="P75" s="171"/>
      <c r="Q75" s="171"/>
    </row>
    <row r="76" spans="1:17">
      <c r="A76" s="437"/>
      <c r="B76" s="571" t="s">
        <v>99</v>
      </c>
      <c r="C76" s="522"/>
      <c r="D76" s="73">
        <v>5501</v>
      </c>
      <c r="E76" s="165"/>
      <c r="F76" s="117" t="s">
        <v>100</v>
      </c>
      <c r="G76" s="82">
        <v>425</v>
      </c>
      <c r="H76" s="437"/>
      <c r="I76" s="439"/>
      <c r="J76" s="87">
        <f>D76*G76</f>
        <v>2337925</v>
      </c>
      <c r="K76" s="40"/>
      <c r="L76" s="420"/>
      <c r="M76" s="171"/>
      <c r="N76" s="171"/>
      <c r="O76" s="171"/>
      <c r="P76" s="171"/>
      <c r="Q76" s="171"/>
    </row>
    <row r="77" spans="1:17">
      <c r="A77" s="437"/>
      <c r="B77" s="571" t="s">
        <v>101</v>
      </c>
      <c r="C77" s="522"/>
      <c r="D77" s="73">
        <v>5</v>
      </c>
      <c r="E77" s="165"/>
      <c r="F77" s="117" t="s">
        <v>84</v>
      </c>
      <c r="G77" s="82">
        <v>15000</v>
      </c>
      <c r="H77" s="437"/>
      <c r="I77" s="439"/>
      <c r="J77" s="87">
        <f>D77*G77</f>
        <v>75000</v>
      </c>
      <c r="L77" s="171"/>
      <c r="M77" s="171"/>
      <c r="N77" s="171"/>
      <c r="O77" s="171"/>
      <c r="P77" s="171"/>
      <c r="Q77" s="171"/>
    </row>
    <row r="78" spans="1:17">
      <c r="A78" s="437"/>
      <c r="B78" s="571" t="s">
        <v>96</v>
      </c>
      <c r="C78" s="522"/>
      <c r="D78" s="73">
        <v>1</v>
      </c>
      <c r="E78" s="165"/>
      <c r="F78" s="117"/>
      <c r="G78" s="82">
        <v>70</v>
      </c>
      <c r="H78" s="437"/>
      <c r="I78" s="439"/>
      <c r="J78" s="83">
        <f>G78</f>
        <v>70</v>
      </c>
      <c r="L78" s="420"/>
      <c r="M78" s="171"/>
      <c r="N78" s="171"/>
      <c r="O78" s="171"/>
      <c r="P78" s="171"/>
      <c r="Q78" s="171"/>
    </row>
    <row r="79" spans="1:17">
      <c r="A79" s="437"/>
      <c r="B79" s="423"/>
      <c r="C79" s="424"/>
      <c r="D79" s="73"/>
      <c r="E79" s="165"/>
      <c r="F79" s="117"/>
      <c r="G79" s="82"/>
      <c r="H79" s="437"/>
      <c r="I79" s="439"/>
      <c r="J79" s="83"/>
      <c r="L79" s="420"/>
      <c r="M79" s="171"/>
      <c r="N79" s="171"/>
      <c r="O79" s="171"/>
      <c r="P79" s="171"/>
      <c r="Q79" s="171"/>
    </row>
    <row r="80" spans="1:17" ht="16.5" customHeight="1">
      <c r="A80" s="72" t="s">
        <v>102</v>
      </c>
      <c r="B80" s="572" t="s">
        <v>103</v>
      </c>
      <c r="C80" s="507"/>
      <c r="D80" s="73"/>
      <c r="E80" s="74"/>
      <c r="F80" s="75"/>
      <c r="G80" s="76"/>
      <c r="H80" s="437"/>
      <c r="I80" s="439"/>
      <c r="J80" s="70">
        <f>J81</f>
        <v>650496680</v>
      </c>
      <c r="L80" s="171"/>
      <c r="M80" s="171"/>
      <c r="N80" s="171"/>
      <c r="O80" s="171"/>
      <c r="P80" s="171"/>
      <c r="Q80" s="171"/>
    </row>
    <row r="81" spans="1:17" ht="16.5" customHeight="1">
      <c r="A81" s="72" t="s">
        <v>104</v>
      </c>
      <c r="B81" s="572" t="s">
        <v>105</v>
      </c>
      <c r="C81" s="507"/>
      <c r="D81" s="73"/>
      <c r="E81" s="74"/>
      <c r="F81" s="75"/>
      <c r="G81" s="76"/>
      <c r="H81" s="437"/>
      <c r="I81" s="439"/>
      <c r="J81" s="70">
        <f>J82+J85+J102+J108</f>
        <v>650496680</v>
      </c>
      <c r="L81" s="171"/>
      <c r="M81" s="171"/>
      <c r="N81" s="171"/>
      <c r="O81" s="171"/>
      <c r="P81" s="171"/>
      <c r="Q81" s="171"/>
    </row>
    <row r="82" spans="1:17" ht="32.25" customHeight="1">
      <c r="A82" s="72" t="s">
        <v>106</v>
      </c>
      <c r="B82" s="572" t="s">
        <v>107</v>
      </c>
      <c r="C82" s="507"/>
      <c r="D82" s="73"/>
      <c r="E82" s="74"/>
      <c r="F82" s="75"/>
      <c r="G82" s="76"/>
      <c r="H82" s="437"/>
      <c r="I82" s="439"/>
      <c r="J82" s="70">
        <f>J83</f>
        <v>1600000</v>
      </c>
      <c r="L82" s="171"/>
      <c r="M82" s="171"/>
      <c r="N82" s="171"/>
      <c r="O82" s="171"/>
      <c r="P82" s="171"/>
      <c r="Q82" s="171"/>
    </row>
    <row r="83" spans="1:17" ht="29.25" customHeight="1">
      <c r="A83" s="72"/>
      <c r="B83" s="571" t="s">
        <v>108</v>
      </c>
      <c r="C83" s="522"/>
      <c r="D83" s="73">
        <v>2</v>
      </c>
      <c r="E83" s="74">
        <v>2</v>
      </c>
      <c r="F83" s="75" t="s">
        <v>109</v>
      </c>
      <c r="G83" s="86">
        <v>400000</v>
      </c>
      <c r="H83" s="437"/>
      <c r="I83" s="439"/>
      <c r="J83" s="119">
        <f>D83*E83*G83</f>
        <v>1600000</v>
      </c>
      <c r="L83" s="171"/>
      <c r="M83" s="171"/>
      <c r="N83" s="171"/>
      <c r="O83" s="171"/>
      <c r="P83" s="171"/>
      <c r="Q83" s="171"/>
    </row>
    <row r="84" spans="1:17" ht="12.75" customHeight="1">
      <c r="A84" s="72"/>
      <c r="B84" s="423"/>
      <c r="C84" s="424"/>
      <c r="D84" s="73"/>
      <c r="E84" s="74"/>
      <c r="F84" s="75"/>
      <c r="G84" s="86"/>
      <c r="H84" s="437"/>
      <c r="I84" s="439"/>
      <c r="J84" s="119"/>
      <c r="L84" s="171"/>
      <c r="M84" s="171"/>
      <c r="N84" s="171"/>
      <c r="O84" s="171"/>
      <c r="P84" s="171"/>
      <c r="Q84" s="171"/>
    </row>
    <row r="85" spans="1:17">
      <c r="A85" s="72" t="s">
        <v>112</v>
      </c>
      <c r="B85" s="572" t="s">
        <v>113</v>
      </c>
      <c r="C85" s="507"/>
      <c r="D85" s="73"/>
      <c r="E85" s="74"/>
      <c r="F85" s="75"/>
      <c r="G85" s="76"/>
      <c r="H85" s="437"/>
      <c r="I85" s="439"/>
      <c r="J85" s="70">
        <f>J86</f>
        <v>500590000</v>
      </c>
      <c r="K85" s="179"/>
      <c r="L85" s="171"/>
      <c r="M85" s="171"/>
      <c r="N85" s="171"/>
      <c r="O85" s="171"/>
      <c r="P85" s="171"/>
      <c r="Q85" s="171"/>
    </row>
    <row r="86" spans="1:17">
      <c r="A86" s="72" t="s">
        <v>114</v>
      </c>
      <c r="B86" s="572" t="s">
        <v>115</v>
      </c>
      <c r="C86" s="507"/>
      <c r="D86" s="73"/>
      <c r="E86" s="74"/>
      <c r="F86" s="75"/>
      <c r="G86" s="76"/>
      <c r="H86" s="437"/>
      <c r="I86" s="439"/>
      <c r="J86" s="70">
        <f>J87+J92</f>
        <v>500590000</v>
      </c>
      <c r="M86" s="171"/>
      <c r="N86" s="171"/>
      <c r="O86" s="171"/>
      <c r="P86" s="171"/>
      <c r="Q86" s="171"/>
    </row>
    <row r="87" spans="1:17">
      <c r="A87" s="72" t="s">
        <v>116</v>
      </c>
      <c r="B87" s="572" t="s">
        <v>117</v>
      </c>
      <c r="C87" s="507"/>
      <c r="D87" s="73"/>
      <c r="E87" s="74"/>
      <c r="F87" s="75"/>
      <c r="G87" s="76"/>
      <c r="H87" s="437"/>
      <c r="I87" s="439"/>
      <c r="J87" s="70">
        <f>J88</f>
        <v>448310000</v>
      </c>
      <c r="M87" s="171"/>
      <c r="N87" s="171"/>
      <c r="O87" s="171"/>
      <c r="P87" s="171"/>
      <c r="Q87" s="171"/>
    </row>
    <row r="88" spans="1:17" ht="33" customHeight="1">
      <c r="A88" s="72"/>
      <c r="B88" s="575" t="s">
        <v>507</v>
      </c>
      <c r="C88" s="535"/>
      <c r="D88" s="73"/>
      <c r="E88" s="74"/>
      <c r="F88" s="75"/>
      <c r="G88" s="76"/>
      <c r="H88" s="437"/>
      <c r="I88" s="439"/>
      <c r="J88" s="70">
        <f>J89+J90</f>
        <v>448310000</v>
      </c>
      <c r="M88" s="171"/>
      <c r="N88" s="171"/>
      <c r="O88" s="171"/>
      <c r="P88" s="171"/>
      <c r="Q88" s="171"/>
    </row>
    <row r="89" spans="1:17" ht="29.25" customHeight="1">
      <c r="A89" s="72"/>
      <c r="B89" s="571" t="s">
        <v>119</v>
      </c>
      <c r="C89" s="522"/>
      <c r="D89" s="73">
        <v>1823</v>
      </c>
      <c r="E89" s="74"/>
      <c r="F89" s="75" t="s">
        <v>111</v>
      </c>
      <c r="G89" s="86">
        <v>170000</v>
      </c>
      <c r="H89" s="437"/>
      <c r="I89" s="439"/>
      <c r="J89" s="87">
        <f>D89*G89</f>
        <v>309910000</v>
      </c>
      <c r="M89" s="171"/>
      <c r="N89" s="171"/>
      <c r="O89" s="171"/>
      <c r="P89" s="171"/>
      <c r="Q89" s="171"/>
    </row>
    <row r="90" spans="1:17" ht="21" customHeight="1">
      <c r="A90" s="72"/>
      <c r="B90" s="571" t="s">
        <v>120</v>
      </c>
      <c r="C90" s="522"/>
      <c r="D90" s="73">
        <v>1384</v>
      </c>
      <c r="E90" s="74"/>
      <c r="F90" s="75" t="s">
        <v>121</v>
      </c>
      <c r="G90" s="86">
        <v>100000</v>
      </c>
      <c r="H90" s="437"/>
      <c r="I90" s="439"/>
      <c r="J90" s="87">
        <f>D90*G90</f>
        <v>138400000</v>
      </c>
      <c r="M90" s="171"/>
      <c r="N90" s="171"/>
      <c r="O90" s="171"/>
      <c r="P90" s="171"/>
      <c r="Q90" s="171"/>
    </row>
    <row r="91" spans="1:17" ht="15.75" customHeight="1">
      <c r="A91" s="72"/>
      <c r="B91" s="423"/>
      <c r="C91" s="424"/>
      <c r="D91" s="73"/>
      <c r="E91" s="74"/>
      <c r="F91" s="75"/>
      <c r="G91" s="86"/>
      <c r="H91" s="437"/>
      <c r="I91" s="439"/>
      <c r="J91" s="87"/>
      <c r="L91" s="171"/>
      <c r="M91" s="171"/>
      <c r="N91" s="171"/>
      <c r="O91" s="171"/>
      <c r="P91" s="171"/>
      <c r="Q91" s="171"/>
    </row>
    <row r="92" spans="1:17" ht="18" customHeight="1">
      <c r="A92" s="72" t="s">
        <v>122</v>
      </c>
      <c r="B92" s="572" t="s">
        <v>123</v>
      </c>
      <c r="C92" s="507"/>
      <c r="D92" s="73"/>
      <c r="E92" s="74"/>
      <c r="F92" s="75"/>
      <c r="G92" s="86"/>
      <c r="H92" s="437"/>
      <c r="I92" s="439"/>
      <c r="J92" s="79">
        <f>J93+J97</f>
        <v>52280000</v>
      </c>
      <c r="L92" s="831"/>
      <c r="M92" s="171"/>
      <c r="N92" s="171"/>
      <c r="O92" s="171"/>
      <c r="P92" s="171"/>
      <c r="Q92" s="171"/>
    </row>
    <row r="93" spans="1:17" ht="27" customHeight="1">
      <c r="A93" s="72"/>
      <c r="B93" s="572" t="s">
        <v>508</v>
      </c>
      <c r="C93" s="507"/>
      <c r="D93" s="73"/>
      <c r="E93" s="74"/>
      <c r="F93" s="75"/>
      <c r="G93" s="86"/>
      <c r="H93" s="437"/>
      <c r="I93" s="439"/>
      <c r="J93" s="79">
        <f>J94+J95</f>
        <v>17960000</v>
      </c>
      <c r="L93" s="171"/>
      <c r="M93" s="171"/>
      <c r="N93" s="171"/>
      <c r="O93" s="171"/>
      <c r="P93" s="171"/>
      <c r="Q93" s="171"/>
    </row>
    <row r="94" spans="1:17" ht="14.25" customHeight="1">
      <c r="A94" s="72"/>
      <c r="B94" s="571" t="s">
        <v>125</v>
      </c>
      <c r="C94" s="522"/>
      <c r="D94" s="73">
        <v>4</v>
      </c>
      <c r="E94" s="74">
        <v>8</v>
      </c>
      <c r="F94" s="75" t="s">
        <v>126</v>
      </c>
      <c r="G94" s="86">
        <v>400000</v>
      </c>
      <c r="H94" s="437"/>
      <c r="I94" s="439"/>
      <c r="J94" s="87">
        <f>D94*G94*E94</f>
        <v>12800000</v>
      </c>
      <c r="K94" s="179"/>
      <c r="L94" s="171"/>
      <c r="M94" s="171"/>
      <c r="N94" s="171"/>
      <c r="O94" s="171"/>
      <c r="P94" s="171"/>
      <c r="Q94" s="171"/>
    </row>
    <row r="95" spans="1:17" ht="14.25" customHeight="1">
      <c r="A95" s="72"/>
      <c r="B95" s="571" t="s">
        <v>127</v>
      </c>
      <c r="C95" s="522"/>
      <c r="D95" s="73">
        <v>4</v>
      </c>
      <c r="E95" s="74">
        <v>3</v>
      </c>
      <c r="F95" s="75" t="s">
        <v>111</v>
      </c>
      <c r="G95" s="86">
        <v>430000</v>
      </c>
      <c r="H95" s="437"/>
      <c r="I95" s="439"/>
      <c r="J95" s="87">
        <f>D95*E95*G95</f>
        <v>5160000</v>
      </c>
      <c r="K95" s="179"/>
      <c r="L95" s="171"/>
      <c r="M95" s="171"/>
      <c r="N95" s="171"/>
      <c r="O95" s="171"/>
      <c r="P95" s="171"/>
      <c r="Q95" s="171"/>
    </row>
    <row r="96" spans="1:17" ht="14.25" customHeight="1">
      <c r="A96" s="72"/>
      <c r="B96" s="423"/>
      <c r="C96" s="424"/>
      <c r="D96" s="73"/>
      <c r="E96" s="74"/>
      <c r="F96" s="75"/>
      <c r="G96" s="86"/>
      <c r="H96" s="437"/>
      <c r="I96" s="439"/>
      <c r="J96" s="87"/>
      <c r="K96" s="179"/>
      <c r="L96" s="171"/>
      <c r="M96" s="171"/>
      <c r="N96" s="171"/>
      <c r="O96" s="171"/>
      <c r="P96" s="171"/>
      <c r="Q96" s="171"/>
    </row>
    <row r="97" spans="1:17" ht="26.25" customHeight="1">
      <c r="A97" s="72"/>
      <c r="B97" s="572" t="s">
        <v>509</v>
      </c>
      <c r="C97" s="507"/>
      <c r="D97" s="73"/>
      <c r="E97" s="74"/>
      <c r="F97" s="75"/>
      <c r="G97" s="86"/>
      <c r="H97" s="437"/>
      <c r="I97" s="439"/>
      <c r="J97" s="79">
        <f>J98+J99</f>
        <v>34320000</v>
      </c>
      <c r="L97" s="831"/>
      <c r="M97" s="171"/>
      <c r="N97" s="171"/>
      <c r="O97" s="171"/>
      <c r="P97" s="171"/>
      <c r="Q97" s="171"/>
    </row>
    <row r="98" spans="1:17" ht="14.25" customHeight="1">
      <c r="A98" s="72"/>
      <c r="B98" s="571" t="s">
        <v>125</v>
      </c>
      <c r="C98" s="522"/>
      <c r="D98" s="73">
        <v>36</v>
      </c>
      <c r="E98" s="74">
        <v>2</v>
      </c>
      <c r="F98" s="75" t="s">
        <v>121</v>
      </c>
      <c r="G98" s="86">
        <v>300000</v>
      </c>
      <c r="H98" s="437"/>
      <c r="I98" s="439"/>
      <c r="J98" s="87">
        <f>D98*E98*G98</f>
        <v>21600000</v>
      </c>
      <c r="L98" s="171"/>
      <c r="M98" s="171"/>
      <c r="N98" s="171"/>
      <c r="O98" s="171"/>
      <c r="P98" s="171"/>
      <c r="Q98" s="171"/>
    </row>
    <row r="99" spans="1:17" ht="14.25" customHeight="1">
      <c r="A99" s="72"/>
      <c r="B99" s="571" t="s">
        <v>127</v>
      </c>
      <c r="C99" s="522"/>
      <c r="D99" s="73">
        <v>24</v>
      </c>
      <c r="E99" s="74"/>
      <c r="F99" s="75" t="s">
        <v>111</v>
      </c>
      <c r="G99" s="86">
        <v>530000</v>
      </c>
      <c r="H99" s="437"/>
      <c r="I99" s="439"/>
      <c r="J99" s="87">
        <f>D99*G99</f>
        <v>12720000</v>
      </c>
      <c r="L99" s="171"/>
      <c r="M99" s="171"/>
      <c r="N99" s="171"/>
      <c r="O99" s="171"/>
      <c r="P99" s="171"/>
      <c r="Q99" s="171"/>
    </row>
    <row r="100" spans="1:17" ht="14.25" customHeight="1">
      <c r="A100" s="72"/>
      <c r="B100" s="423"/>
      <c r="C100" s="424"/>
      <c r="D100" s="73"/>
      <c r="E100" s="74"/>
      <c r="F100" s="75"/>
      <c r="G100" s="86"/>
      <c r="H100" s="437"/>
      <c r="I100" s="439"/>
      <c r="J100" s="87"/>
      <c r="L100" s="171"/>
      <c r="M100" s="171"/>
      <c r="N100" s="171"/>
      <c r="O100" s="171"/>
      <c r="P100" s="171"/>
      <c r="Q100" s="171"/>
    </row>
    <row r="101" spans="1:17" ht="14.25" customHeight="1">
      <c r="A101" s="72"/>
      <c r="B101" s="423"/>
      <c r="C101" s="424"/>
      <c r="D101" s="73"/>
      <c r="E101" s="74"/>
      <c r="F101" s="75"/>
      <c r="G101" s="86"/>
      <c r="H101" s="437"/>
      <c r="I101" s="439"/>
      <c r="J101" s="87"/>
      <c r="L101" s="171"/>
      <c r="M101" s="171"/>
      <c r="N101" s="171"/>
      <c r="O101" s="171"/>
      <c r="P101" s="171"/>
      <c r="Q101" s="171"/>
    </row>
    <row r="102" spans="1:17" ht="27" customHeight="1">
      <c r="A102" s="72" t="s">
        <v>241</v>
      </c>
      <c r="B102" s="571" t="s">
        <v>510</v>
      </c>
      <c r="C102" s="522"/>
      <c r="D102" s="73"/>
      <c r="E102" s="74"/>
      <c r="F102" s="75"/>
      <c r="G102" s="86"/>
      <c r="H102" s="437"/>
      <c r="I102" s="439"/>
      <c r="J102" s="79">
        <f>J103+J104</f>
        <v>123600000</v>
      </c>
      <c r="L102" s="171"/>
      <c r="M102" s="171"/>
      <c r="N102" s="171"/>
      <c r="O102" s="171"/>
      <c r="P102" s="171"/>
      <c r="Q102" s="171"/>
    </row>
    <row r="103" spans="1:17" ht="39" customHeight="1">
      <c r="A103" s="72" t="s">
        <v>511</v>
      </c>
      <c r="B103" s="835" t="s">
        <v>512</v>
      </c>
      <c r="C103" s="836"/>
      <c r="D103" s="73">
        <v>1</v>
      </c>
      <c r="E103" s="837">
        <v>12</v>
      </c>
      <c r="F103" s="117" t="s">
        <v>513</v>
      </c>
      <c r="G103" s="86">
        <v>2200000</v>
      </c>
      <c r="H103" s="437"/>
      <c r="I103" s="439"/>
      <c r="J103" s="70">
        <f t="shared" ref="J103:J106" si="2">D103*E103*G103</f>
        <v>26400000</v>
      </c>
      <c r="L103" s="171"/>
      <c r="M103" s="171"/>
      <c r="N103" s="171"/>
      <c r="O103" s="171"/>
      <c r="P103" s="171"/>
      <c r="Q103" s="171"/>
    </row>
    <row r="104" spans="1:17" ht="33" customHeight="1">
      <c r="A104" s="72" t="s">
        <v>514</v>
      </c>
      <c r="B104" s="835" t="s">
        <v>515</v>
      </c>
      <c r="C104" s="836"/>
      <c r="D104" s="73"/>
      <c r="E104" s="165"/>
      <c r="F104" s="117"/>
      <c r="G104" s="86"/>
      <c r="H104" s="437"/>
      <c r="I104" s="439"/>
      <c r="J104" s="70">
        <f>J105+J106</f>
        <v>97200000</v>
      </c>
      <c r="L104" s="171"/>
      <c r="M104" s="171"/>
      <c r="N104" s="171"/>
      <c r="O104" s="171"/>
      <c r="P104" s="171"/>
      <c r="Q104" s="171"/>
    </row>
    <row r="105" spans="1:17" ht="27" customHeight="1">
      <c r="A105" s="437"/>
      <c r="B105" s="573" t="s">
        <v>516</v>
      </c>
      <c r="C105" s="574"/>
      <c r="D105" s="73">
        <v>2</v>
      </c>
      <c r="E105" s="165">
        <v>12</v>
      </c>
      <c r="F105" s="117" t="s">
        <v>513</v>
      </c>
      <c r="G105" s="86">
        <v>1700000</v>
      </c>
      <c r="H105" s="437"/>
      <c r="I105" s="439"/>
      <c r="J105" s="119">
        <f t="shared" si="2"/>
        <v>40800000</v>
      </c>
      <c r="L105" s="171"/>
      <c r="M105" s="171"/>
      <c r="N105" s="171"/>
      <c r="O105" s="171"/>
      <c r="P105" s="171"/>
      <c r="Q105" s="171"/>
    </row>
    <row r="106" spans="1:17" ht="30" customHeight="1">
      <c r="A106" s="437"/>
      <c r="B106" s="573" t="s">
        <v>517</v>
      </c>
      <c r="C106" s="574"/>
      <c r="D106" s="73">
        <v>2</v>
      </c>
      <c r="E106" s="165">
        <v>240</v>
      </c>
      <c r="F106" s="117" t="s">
        <v>431</v>
      </c>
      <c r="G106" s="86">
        <v>117500</v>
      </c>
      <c r="H106" s="437"/>
      <c r="I106" s="439"/>
      <c r="J106" s="119">
        <f t="shared" si="2"/>
        <v>56400000</v>
      </c>
      <c r="L106" s="171"/>
      <c r="M106" s="171"/>
      <c r="N106" s="171"/>
      <c r="O106" s="171"/>
      <c r="P106" s="171"/>
      <c r="Q106" s="171"/>
    </row>
    <row r="107" spans="1:17" ht="30.95" customHeight="1">
      <c r="A107" s="72"/>
      <c r="B107" s="838"/>
      <c r="C107" s="839"/>
      <c r="D107" s="73"/>
      <c r="E107" s="837"/>
      <c r="F107" s="117"/>
      <c r="G107" s="86"/>
      <c r="H107" s="437"/>
      <c r="I107" s="439"/>
      <c r="J107" s="119"/>
      <c r="L107" s="171"/>
      <c r="M107" s="171"/>
      <c r="N107" s="171"/>
      <c r="O107" s="171"/>
      <c r="P107" s="171"/>
      <c r="Q107" s="171"/>
    </row>
    <row r="108" spans="1:17" ht="18" customHeight="1">
      <c r="A108" s="72" t="s">
        <v>518</v>
      </c>
      <c r="B108" s="572" t="s">
        <v>519</v>
      </c>
      <c r="C108" s="507"/>
      <c r="D108" s="73"/>
      <c r="E108" s="837"/>
      <c r="F108" s="117"/>
      <c r="G108" s="86"/>
      <c r="H108" s="437"/>
      <c r="I108" s="439"/>
      <c r="J108" s="70">
        <f>J109+J110++J111+J112+J113+J114+J115+J116+J117</f>
        <v>24706680</v>
      </c>
      <c r="L108" s="171"/>
      <c r="M108" s="171"/>
      <c r="N108" s="171"/>
      <c r="O108" s="171"/>
      <c r="P108" s="171"/>
      <c r="Q108" s="171"/>
    </row>
    <row r="109" spans="1:17" ht="30.95" customHeight="1">
      <c r="A109" s="72" t="s">
        <v>520</v>
      </c>
      <c r="B109" s="573" t="s">
        <v>521</v>
      </c>
      <c r="C109" s="840"/>
      <c r="D109" s="73">
        <v>1</v>
      </c>
      <c r="E109" s="837">
        <v>12</v>
      </c>
      <c r="F109" s="74" t="s">
        <v>513</v>
      </c>
      <c r="G109" s="841">
        <v>195089</v>
      </c>
      <c r="H109" s="437"/>
      <c r="I109" s="439"/>
      <c r="J109" s="119">
        <f>D109*E109*G109</f>
        <v>2341068</v>
      </c>
      <c r="L109" s="171"/>
      <c r="M109" s="171"/>
      <c r="N109" s="171"/>
      <c r="O109" s="171"/>
      <c r="P109" s="171"/>
      <c r="Q109" s="171"/>
    </row>
    <row r="110" spans="1:17" ht="33.950000000000003" customHeight="1">
      <c r="A110" s="842" t="s">
        <v>522</v>
      </c>
      <c r="B110" s="571" t="s">
        <v>523</v>
      </c>
      <c r="C110" s="843"/>
      <c r="D110" s="73">
        <v>4</v>
      </c>
      <c r="E110" s="837">
        <v>12</v>
      </c>
      <c r="F110" s="844" t="s">
        <v>513</v>
      </c>
      <c r="G110" s="845">
        <v>195089</v>
      </c>
      <c r="H110" s="433"/>
      <c r="I110" s="439"/>
      <c r="J110" s="119">
        <f t="shared" ref="J110:J117" si="3">D110*E110*G110</f>
        <v>9364272</v>
      </c>
      <c r="L110" s="171"/>
      <c r="M110" s="171"/>
      <c r="N110" s="171"/>
      <c r="O110" s="171"/>
      <c r="P110" s="171"/>
      <c r="Q110" s="171"/>
    </row>
    <row r="111" spans="1:17" ht="33" customHeight="1">
      <c r="A111" s="846" t="s">
        <v>524</v>
      </c>
      <c r="B111" s="571" t="s">
        <v>525</v>
      </c>
      <c r="C111" s="847"/>
      <c r="D111" s="73">
        <v>1</v>
      </c>
      <c r="E111" s="837">
        <v>12</v>
      </c>
      <c r="F111" s="844" t="s">
        <v>513</v>
      </c>
      <c r="G111" s="845">
        <v>4800</v>
      </c>
      <c r="H111" s="433"/>
      <c r="I111" s="439"/>
      <c r="J111" s="119">
        <f t="shared" si="3"/>
        <v>57600</v>
      </c>
      <c r="L111" s="171"/>
      <c r="M111" s="171"/>
      <c r="N111" s="171"/>
      <c r="O111" s="171"/>
      <c r="P111" s="171"/>
      <c r="Q111" s="171"/>
    </row>
    <row r="112" spans="1:17" ht="36.950000000000003" customHeight="1">
      <c r="A112" s="846" t="s">
        <v>526</v>
      </c>
      <c r="B112" s="571" t="s">
        <v>527</v>
      </c>
      <c r="C112" s="528"/>
      <c r="D112" s="73">
        <v>4</v>
      </c>
      <c r="E112" s="837">
        <v>12</v>
      </c>
      <c r="F112" s="844" t="s">
        <v>513</v>
      </c>
      <c r="G112" s="845">
        <v>4800</v>
      </c>
      <c r="H112" s="433"/>
      <c r="I112" s="439"/>
      <c r="J112" s="119">
        <f t="shared" si="3"/>
        <v>230400</v>
      </c>
      <c r="L112" s="171"/>
      <c r="M112" s="171"/>
      <c r="N112" s="171"/>
      <c r="O112" s="171"/>
      <c r="P112" s="171"/>
      <c r="Q112" s="171"/>
    </row>
    <row r="113" spans="1:17" ht="36.950000000000003" customHeight="1">
      <c r="A113" s="846" t="s">
        <v>528</v>
      </c>
      <c r="B113" s="571" t="s">
        <v>529</v>
      </c>
      <c r="C113" s="528"/>
      <c r="D113" s="73">
        <v>1</v>
      </c>
      <c r="E113" s="837">
        <v>12</v>
      </c>
      <c r="F113" s="844" t="s">
        <v>513</v>
      </c>
      <c r="G113" s="848">
        <v>6000</v>
      </c>
      <c r="H113" s="433"/>
      <c r="I113" s="439"/>
      <c r="J113" s="119">
        <f t="shared" si="3"/>
        <v>72000</v>
      </c>
      <c r="L113" s="171"/>
      <c r="M113" s="171"/>
      <c r="N113" s="171"/>
      <c r="O113" s="171"/>
      <c r="P113" s="171"/>
      <c r="Q113" s="171"/>
    </row>
    <row r="114" spans="1:17" ht="38.1" customHeight="1">
      <c r="A114" s="846" t="s">
        <v>530</v>
      </c>
      <c r="B114" s="571" t="s">
        <v>531</v>
      </c>
      <c r="C114" s="528"/>
      <c r="D114" s="73">
        <v>4</v>
      </c>
      <c r="E114" s="837">
        <v>12</v>
      </c>
      <c r="F114" s="844" t="s">
        <v>513</v>
      </c>
      <c r="G114" s="845">
        <v>6000</v>
      </c>
      <c r="H114" s="433"/>
      <c r="I114" s="439"/>
      <c r="J114" s="119">
        <f t="shared" si="3"/>
        <v>288000</v>
      </c>
      <c r="L114" s="171"/>
      <c r="M114" s="171"/>
      <c r="N114" s="171"/>
      <c r="O114" s="171"/>
      <c r="P114" s="171"/>
      <c r="Q114" s="171"/>
    </row>
    <row r="115" spans="1:17" ht="30" customHeight="1">
      <c r="A115" s="849" t="s">
        <v>532</v>
      </c>
      <c r="B115" s="571" t="s">
        <v>533</v>
      </c>
      <c r="C115" s="528"/>
      <c r="D115" s="73">
        <v>5</v>
      </c>
      <c r="E115" s="837">
        <v>12</v>
      </c>
      <c r="F115" s="844" t="s">
        <v>513</v>
      </c>
      <c r="G115" s="845">
        <v>195089</v>
      </c>
      <c r="H115" s="433"/>
      <c r="I115" s="439"/>
      <c r="J115" s="119">
        <f t="shared" si="3"/>
        <v>11705340</v>
      </c>
      <c r="L115" s="171"/>
      <c r="M115" s="171"/>
      <c r="N115" s="171"/>
      <c r="O115" s="171"/>
      <c r="P115" s="171"/>
      <c r="Q115" s="171"/>
    </row>
    <row r="116" spans="1:17" ht="29.1" customHeight="1">
      <c r="A116" s="842" t="s">
        <v>534</v>
      </c>
      <c r="B116" s="850" t="s">
        <v>535</v>
      </c>
      <c r="C116" s="851"/>
      <c r="D116" s="73">
        <v>5</v>
      </c>
      <c r="E116" s="837">
        <v>12</v>
      </c>
      <c r="F116" s="844" t="s">
        <v>513</v>
      </c>
      <c r="G116" s="845">
        <v>4800</v>
      </c>
      <c r="H116" s="433"/>
      <c r="I116" s="439"/>
      <c r="J116" s="119">
        <f t="shared" si="3"/>
        <v>288000</v>
      </c>
      <c r="L116" s="171"/>
      <c r="M116" s="171"/>
      <c r="N116" s="171"/>
      <c r="O116" s="171"/>
      <c r="P116" s="171"/>
      <c r="Q116" s="171"/>
    </row>
    <row r="117" spans="1:17" ht="29.1" customHeight="1">
      <c r="A117" s="842" t="s">
        <v>536</v>
      </c>
      <c r="B117" s="852" t="s">
        <v>537</v>
      </c>
      <c r="C117" s="853"/>
      <c r="D117" s="73">
        <v>5</v>
      </c>
      <c r="E117" s="837">
        <v>12</v>
      </c>
      <c r="F117" s="844" t="s">
        <v>513</v>
      </c>
      <c r="G117" s="845">
        <v>6000</v>
      </c>
      <c r="H117" s="433"/>
      <c r="I117" s="439"/>
      <c r="J117" s="119">
        <f t="shared" si="3"/>
        <v>360000</v>
      </c>
      <c r="L117" s="171"/>
      <c r="M117" s="171"/>
      <c r="N117" s="171"/>
      <c r="O117" s="171"/>
      <c r="P117" s="171"/>
      <c r="Q117" s="171"/>
    </row>
    <row r="118" spans="1:17" ht="22.5" customHeight="1">
      <c r="A118" s="432"/>
      <c r="B118" s="425"/>
      <c r="C118" s="434"/>
      <c r="D118" s="73"/>
      <c r="E118" s="165"/>
      <c r="F118" s="844"/>
      <c r="G118" s="854"/>
      <c r="H118" s="433"/>
      <c r="I118" s="439"/>
      <c r="J118" s="119"/>
      <c r="L118" s="171"/>
      <c r="M118" s="171"/>
      <c r="N118" s="171"/>
      <c r="O118" s="171"/>
      <c r="P118" s="171"/>
      <c r="Q118" s="171"/>
    </row>
    <row r="119" spans="1:17" ht="22.5" customHeight="1">
      <c r="A119" s="432" t="s">
        <v>232</v>
      </c>
      <c r="B119" s="425" t="s">
        <v>538</v>
      </c>
      <c r="C119" s="434"/>
      <c r="D119" s="73"/>
      <c r="E119" s="165"/>
      <c r="F119" s="844"/>
      <c r="G119" s="854"/>
      <c r="H119" s="433"/>
      <c r="I119" s="439"/>
      <c r="J119" s="70">
        <f>J121+J123</f>
        <v>20983500</v>
      </c>
      <c r="L119" s="171"/>
      <c r="M119" s="171"/>
      <c r="N119" s="171"/>
      <c r="O119" s="171"/>
      <c r="P119" s="171"/>
      <c r="Q119" s="171"/>
    </row>
    <row r="120" spans="1:17" ht="22.5" customHeight="1">
      <c r="A120" s="72" t="s">
        <v>539</v>
      </c>
      <c r="B120" s="572" t="s">
        <v>540</v>
      </c>
      <c r="C120" s="533"/>
      <c r="D120" s="73"/>
      <c r="E120" s="165"/>
      <c r="F120" s="844"/>
      <c r="G120" s="841"/>
      <c r="H120" s="437"/>
      <c r="I120" s="439"/>
      <c r="J120" s="119"/>
      <c r="L120" s="171"/>
      <c r="M120" s="171"/>
      <c r="N120" s="171"/>
      <c r="O120" s="171"/>
      <c r="P120" s="171"/>
      <c r="Q120" s="171"/>
    </row>
    <row r="121" spans="1:17" ht="22.5" customHeight="1">
      <c r="A121" s="437"/>
      <c r="B121" s="429" t="s">
        <v>541</v>
      </c>
      <c r="C121" s="430"/>
      <c r="D121" s="73">
        <v>1200</v>
      </c>
      <c r="E121" s="165"/>
      <c r="F121" s="117" t="s">
        <v>542</v>
      </c>
      <c r="G121" s="86">
        <v>13650</v>
      </c>
      <c r="H121" s="437"/>
      <c r="I121" s="439"/>
      <c r="J121" s="119">
        <f>D121*G121</f>
        <v>16380000</v>
      </c>
      <c r="L121" s="171"/>
      <c r="M121" s="171"/>
      <c r="N121" s="171"/>
      <c r="O121" s="171"/>
      <c r="P121" s="171"/>
      <c r="Q121" s="171"/>
    </row>
    <row r="122" spans="1:17" ht="22.5" customHeight="1">
      <c r="A122" s="72" t="s">
        <v>543</v>
      </c>
      <c r="B122" s="572" t="s">
        <v>544</v>
      </c>
      <c r="C122" s="507"/>
      <c r="D122" s="73"/>
      <c r="E122" s="165"/>
      <c r="F122" s="117"/>
      <c r="G122" s="86"/>
      <c r="H122" s="437"/>
      <c r="I122" s="439"/>
      <c r="J122" s="119"/>
      <c r="L122" s="171"/>
      <c r="M122" s="171"/>
      <c r="N122" s="171"/>
      <c r="O122" s="171"/>
      <c r="P122" s="171"/>
      <c r="Q122" s="171"/>
    </row>
    <row r="123" spans="1:17" ht="22.5" customHeight="1">
      <c r="A123" s="437"/>
      <c r="B123" s="571" t="s">
        <v>545</v>
      </c>
      <c r="C123" s="522"/>
      <c r="D123" s="73">
        <v>15</v>
      </c>
      <c r="E123" s="165">
        <v>12</v>
      </c>
      <c r="F123" s="117" t="s">
        <v>546</v>
      </c>
      <c r="G123" s="86">
        <v>25575</v>
      </c>
      <c r="H123" s="437"/>
      <c r="I123" s="439"/>
      <c r="J123" s="119">
        <f>D123*E123*G123</f>
        <v>4603500</v>
      </c>
      <c r="L123" s="171"/>
      <c r="M123" s="171"/>
      <c r="N123" s="171"/>
      <c r="O123" s="171"/>
      <c r="P123" s="171"/>
      <c r="Q123" s="171"/>
    </row>
    <row r="124" spans="1:17" ht="22.5" customHeight="1">
      <c r="A124" s="437"/>
      <c r="B124" s="429"/>
      <c r="C124" s="430"/>
      <c r="D124" s="73"/>
      <c r="E124" s="165"/>
      <c r="F124" s="117"/>
      <c r="G124" s="86"/>
      <c r="H124" s="437"/>
      <c r="I124" s="439"/>
      <c r="J124" s="119"/>
      <c r="L124" s="171"/>
      <c r="M124" s="171"/>
      <c r="N124" s="171"/>
      <c r="O124" s="171"/>
      <c r="P124" s="171"/>
      <c r="Q124" s="171"/>
    </row>
    <row r="125" spans="1:17" ht="22.5" customHeight="1">
      <c r="A125" s="72" t="s">
        <v>379</v>
      </c>
      <c r="B125" s="572" t="s">
        <v>238</v>
      </c>
      <c r="C125" s="507"/>
      <c r="D125" s="73"/>
      <c r="E125" s="165"/>
      <c r="F125" s="117"/>
      <c r="G125" s="86"/>
      <c r="H125" s="437"/>
      <c r="I125" s="439"/>
      <c r="J125" s="70">
        <f>SUM(J127:J128,J131:J132,J135:J136)</f>
        <v>29007000</v>
      </c>
      <c r="L125" s="171"/>
      <c r="M125" s="171"/>
      <c r="N125" s="171"/>
      <c r="O125" s="171"/>
      <c r="P125" s="171"/>
      <c r="Q125" s="171"/>
    </row>
    <row r="126" spans="1:17" ht="22.5" customHeight="1">
      <c r="A126" s="437"/>
      <c r="B126" s="572" t="s">
        <v>547</v>
      </c>
      <c r="C126" s="507"/>
      <c r="D126" s="73"/>
      <c r="E126" s="165"/>
      <c r="F126" s="117"/>
      <c r="G126" s="86"/>
      <c r="H126" s="437"/>
      <c r="I126" s="439"/>
      <c r="J126" s="119"/>
      <c r="L126" s="171"/>
      <c r="M126" s="171"/>
      <c r="N126" s="171"/>
      <c r="O126" s="171"/>
      <c r="P126" s="171"/>
      <c r="Q126" s="171"/>
    </row>
    <row r="127" spans="1:17" ht="22.5" customHeight="1">
      <c r="A127" s="437"/>
      <c r="B127" s="429" t="s">
        <v>548</v>
      </c>
      <c r="C127" s="430"/>
      <c r="D127" s="73">
        <v>420</v>
      </c>
      <c r="E127" s="165"/>
      <c r="F127" s="117" t="s">
        <v>549</v>
      </c>
      <c r="G127" s="86">
        <v>33000</v>
      </c>
      <c r="H127" s="437"/>
      <c r="I127" s="439"/>
      <c r="J127" s="119">
        <f t="shared" ref="J127:J132" si="4">D127*G127</f>
        <v>13860000</v>
      </c>
      <c r="L127" s="831"/>
      <c r="M127" s="171"/>
      <c r="N127" s="171"/>
      <c r="O127" s="171"/>
      <c r="P127" s="171"/>
      <c r="Q127" s="171"/>
    </row>
    <row r="128" spans="1:17" ht="22.5" customHeight="1">
      <c r="A128" s="437"/>
      <c r="B128" s="429" t="s">
        <v>550</v>
      </c>
      <c r="C128" s="430"/>
      <c r="D128" s="73">
        <v>420</v>
      </c>
      <c r="E128" s="165"/>
      <c r="F128" s="117" t="s">
        <v>549</v>
      </c>
      <c r="G128" s="86">
        <v>16500</v>
      </c>
      <c r="H128" s="437"/>
      <c r="I128" s="439"/>
      <c r="J128" s="119">
        <f t="shared" si="4"/>
        <v>6930000</v>
      </c>
      <c r="L128" s="171"/>
      <c r="M128" s="171"/>
      <c r="N128" s="171"/>
      <c r="O128" s="171"/>
      <c r="P128" s="171"/>
      <c r="Q128" s="171"/>
    </row>
    <row r="129" spans="1:17" ht="22.5" customHeight="1">
      <c r="A129" s="437"/>
      <c r="B129" s="429"/>
      <c r="C129" s="430"/>
      <c r="D129" s="73"/>
      <c r="E129" s="165"/>
      <c r="F129" s="117"/>
      <c r="G129" s="86"/>
      <c r="H129" s="437"/>
      <c r="I129" s="439"/>
      <c r="J129" s="119"/>
      <c r="L129" s="171"/>
      <c r="M129" s="171"/>
      <c r="N129" s="171"/>
      <c r="O129" s="171"/>
      <c r="P129" s="171"/>
      <c r="Q129" s="171"/>
    </row>
    <row r="130" spans="1:17" ht="30" customHeight="1">
      <c r="A130" s="437"/>
      <c r="B130" s="572" t="s">
        <v>551</v>
      </c>
      <c r="C130" s="507"/>
      <c r="D130" s="73"/>
      <c r="E130" s="165"/>
      <c r="F130" s="117"/>
      <c r="G130" s="86"/>
      <c r="H130" s="437"/>
      <c r="I130" s="439"/>
      <c r="J130" s="119"/>
      <c r="L130" s="171"/>
      <c r="M130" s="171"/>
      <c r="N130" s="171"/>
      <c r="O130" s="171"/>
      <c r="P130" s="171"/>
      <c r="Q130" s="171"/>
    </row>
    <row r="131" spans="1:17" ht="22.5" customHeight="1">
      <c r="A131" s="437"/>
      <c r="B131" s="429" t="s">
        <v>548</v>
      </c>
      <c r="C131" s="430"/>
      <c r="D131" s="73">
        <v>136</v>
      </c>
      <c r="E131" s="165"/>
      <c r="F131" s="117" t="s">
        <v>549</v>
      </c>
      <c r="G131" s="86">
        <v>33000</v>
      </c>
      <c r="H131" s="437"/>
      <c r="I131" s="439"/>
      <c r="J131" s="119">
        <f t="shared" si="4"/>
        <v>4488000</v>
      </c>
      <c r="L131" s="171"/>
      <c r="M131" s="171"/>
      <c r="N131" s="171"/>
      <c r="O131" s="171"/>
      <c r="P131" s="171"/>
      <c r="Q131" s="171"/>
    </row>
    <row r="132" spans="1:17" ht="22.5" customHeight="1">
      <c r="A132" s="437"/>
      <c r="B132" s="429" t="s">
        <v>550</v>
      </c>
      <c r="C132" s="430"/>
      <c r="D132" s="73">
        <v>136</v>
      </c>
      <c r="E132" s="165"/>
      <c r="F132" s="117" t="s">
        <v>549</v>
      </c>
      <c r="G132" s="86">
        <v>16500</v>
      </c>
      <c r="H132" s="437"/>
      <c r="I132" s="439"/>
      <c r="J132" s="119">
        <f t="shared" si="4"/>
        <v>2244000</v>
      </c>
      <c r="L132" s="171"/>
      <c r="M132" s="171"/>
      <c r="N132" s="171"/>
      <c r="O132" s="171"/>
      <c r="P132" s="171"/>
      <c r="Q132" s="171"/>
    </row>
    <row r="133" spans="1:17" ht="22.5" customHeight="1">
      <c r="A133" s="437"/>
      <c r="B133" s="429"/>
      <c r="C133" s="430"/>
      <c r="D133" s="73"/>
      <c r="E133" s="165"/>
      <c r="F133" s="117"/>
      <c r="G133" s="86"/>
      <c r="H133" s="437"/>
      <c r="I133" s="439"/>
      <c r="J133" s="119"/>
      <c r="L133" s="171"/>
      <c r="M133" s="171"/>
      <c r="N133" s="171"/>
      <c r="O133" s="171"/>
      <c r="P133" s="171"/>
      <c r="Q133" s="171"/>
    </row>
    <row r="134" spans="1:17" ht="22.5" customHeight="1">
      <c r="A134" s="437"/>
      <c r="B134" s="572" t="s">
        <v>552</v>
      </c>
      <c r="C134" s="507"/>
      <c r="D134" s="73"/>
      <c r="E134" s="165"/>
      <c r="F134" s="117"/>
      <c r="G134" s="86"/>
      <c r="H134" s="437"/>
      <c r="I134" s="439"/>
      <c r="J134" s="119"/>
      <c r="L134" s="171"/>
      <c r="M134" s="171"/>
      <c r="N134" s="171"/>
      <c r="O134" s="171"/>
      <c r="P134" s="171"/>
      <c r="Q134" s="171"/>
    </row>
    <row r="135" spans="1:17" ht="22.5" customHeight="1">
      <c r="A135" s="437"/>
      <c r="B135" s="429" t="s">
        <v>548</v>
      </c>
      <c r="C135" s="430"/>
      <c r="D135" s="73">
        <v>30</v>
      </c>
      <c r="E135" s="165"/>
      <c r="F135" s="117" t="s">
        <v>549</v>
      </c>
      <c r="G135" s="86">
        <v>33000</v>
      </c>
      <c r="H135" s="437"/>
      <c r="I135" s="439"/>
      <c r="J135" s="119">
        <f>D135*G135</f>
        <v>990000</v>
      </c>
      <c r="L135" s="171"/>
      <c r="M135" s="171"/>
      <c r="N135" s="171"/>
      <c r="O135" s="171"/>
      <c r="P135" s="171"/>
      <c r="Q135" s="171"/>
    </row>
    <row r="136" spans="1:17" ht="22.5" customHeight="1">
      <c r="A136" s="437"/>
      <c r="B136" s="429" t="s">
        <v>550</v>
      </c>
      <c r="C136" s="430"/>
      <c r="D136" s="73">
        <v>30</v>
      </c>
      <c r="E136" s="165"/>
      <c r="F136" s="117" t="s">
        <v>549</v>
      </c>
      <c r="G136" s="86">
        <v>16500</v>
      </c>
      <c r="H136" s="437"/>
      <c r="I136" s="439"/>
      <c r="J136" s="119">
        <f>D136*G136</f>
        <v>495000</v>
      </c>
      <c r="L136" s="171"/>
      <c r="M136" s="171"/>
      <c r="N136" s="171"/>
      <c r="O136" s="171"/>
      <c r="P136" s="171"/>
      <c r="Q136" s="171"/>
    </row>
    <row r="137" spans="1:17" ht="22.5" customHeight="1">
      <c r="A137" s="72"/>
      <c r="B137" s="425"/>
      <c r="C137" s="426"/>
      <c r="D137" s="73"/>
      <c r="E137" s="165"/>
      <c r="F137" s="117"/>
      <c r="G137" s="86"/>
      <c r="H137" s="437"/>
      <c r="I137" s="439"/>
      <c r="J137" s="70"/>
      <c r="L137" s="171"/>
      <c r="M137" s="171"/>
      <c r="N137" s="171"/>
      <c r="O137" s="171"/>
      <c r="P137" s="171"/>
      <c r="Q137" s="171"/>
    </row>
    <row r="138" spans="1:17" ht="22.5" customHeight="1">
      <c r="A138" s="72" t="s">
        <v>553</v>
      </c>
      <c r="B138" s="572" t="s">
        <v>554</v>
      </c>
      <c r="C138" s="507"/>
      <c r="D138" s="73"/>
      <c r="E138" s="165"/>
      <c r="F138" s="117"/>
      <c r="G138" s="86"/>
      <c r="H138" s="437"/>
      <c r="I138" s="439"/>
      <c r="J138" s="70">
        <f>J139+J142</f>
        <v>67463100</v>
      </c>
      <c r="L138" s="171"/>
      <c r="M138" s="171"/>
      <c r="N138" s="171"/>
      <c r="O138" s="171"/>
      <c r="P138" s="171"/>
      <c r="Q138" s="171"/>
    </row>
    <row r="139" spans="1:17" ht="22.5" customHeight="1">
      <c r="A139" s="72" t="s">
        <v>555</v>
      </c>
      <c r="B139" s="572" t="s">
        <v>556</v>
      </c>
      <c r="C139" s="507"/>
      <c r="D139" s="73"/>
      <c r="E139" s="165"/>
      <c r="F139" s="117"/>
      <c r="G139" s="86"/>
      <c r="H139" s="437"/>
      <c r="I139" s="439"/>
      <c r="J139" s="70">
        <f>SUM(J140:J141)</f>
        <v>52139900</v>
      </c>
      <c r="L139" s="171"/>
      <c r="M139" s="171"/>
      <c r="N139" s="171"/>
      <c r="O139" s="171"/>
      <c r="P139" s="171"/>
      <c r="Q139" s="171"/>
    </row>
    <row r="140" spans="1:17" ht="27.95" customHeight="1">
      <c r="A140" s="72" t="s">
        <v>557</v>
      </c>
      <c r="B140" s="573" t="s">
        <v>558</v>
      </c>
      <c r="C140" s="574"/>
      <c r="D140" s="73">
        <v>1</v>
      </c>
      <c r="E140" s="165"/>
      <c r="F140" s="117" t="s">
        <v>559</v>
      </c>
      <c r="G140" s="86">
        <v>24063300</v>
      </c>
      <c r="H140" s="437"/>
      <c r="I140" s="439"/>
      <c r="J140" s="119">
        <f>D140*G140</f>
        <v>24063300</v>
      </c>
      <c r="L140" s="171"/>
      <c r="M140" s="171"/>
      <c r="N140" s="171"/>
      <c r="O140" s="171"/>
      <c r="P140" s="171"/>
      <c r="Q140" s="171"/>
    </row>
    <row r="141" spans="1:17" ht="22.5" customHeight="1">
      <c r="A141" s="72" t="s">
        <v>560</v>
      </c>
      <c r="B141" s="571" t="s">
        <v>561</v>
      </c>
      <c r="C141" s="522"/>
      <c r="D141" s="73">
        <v>1</v>
      </c>
      <c r="E141" s="165"/>
      <c r="F141" s="117" t="s">
        <v>562</v>
      </c>
      <c r="G141" s="86">
        <v>28076600</v>
      </c>
      <c r="H141" s="437"/>
      <c r="I141" s="439"/>
      <c r="J141" s="119">
        <f>D141*G141</f>
        <v>28076600</v>
      </c>
      <c r="L141" s="171"/>
      <c r="M141" s="171"/>
      <c r="N141" s="171"/>
      <c r="O141" s="171"/>
      <c r="P141" s="171"/>
      <c r="Q141" s="171"/>
    </row>
    <row r="142" spans="1:17" ht="22.5" customHeight="1">
      <c r="A142" s="72" t="s">
        <v>563</v>
      </c>
      <c r="B142" s="572" t="s">
        <v>564</v>
      </c>
      <c r="C142" s="507"/>
      <c r="D142" s="73"/>
      <c r="E142" s="165"/>
      <c r="F142" s="117"/>
      <c r="G142" s="86"/>
      <c r="H142" s="437"/>
      <c r="I142" s="439"/>
      <c r="J142" s="70">
        <f>J143</f>
        <v>15323200</v>
      </c>
      <c r="L142" s="171"/>
      <c r="M142" s="171"/>
      <c r="N142" s="171"/>
      <c r="O142" s="171"/>
      <c r="P142" s="171"/>
      <c r="Q142" s="171"/>
    </row>
    <row r="143" spans="1:17" ht="22.5" customHeight="1">
      <c r="A143" s="72" t="s">
        <v>565</v>
      </c>
      <c r="B143" s="571" t="s">
        <v>566</v>
      </c>
      <c r="C143" s="522"/>
      <c r="D143" s="73">
        <v>1</v>
      </c>
      <c r="E143" s="74"/>
      <c r="F143" s="117" t="s">
        <v>559</v>
      </c>
      <c r="G143" s="86">
        <v>15323200</v>
      </c>
      <c r="H143" s="437"/>
      <c r="I143" s="439"/>
      <c r="J143" s="119">
        <f>D143*G143</f>
        <v>15323200</v>
      </c>
      <c r="L143" s="171"/>
      <c r="M143" s="171"/>
      <c r="N143" s="171"/>
      <c r="O143" s="171"/>
      <c r="P143" s="171"/>
      <c r="Q143" s="171"/>
    </row>
    <row r="144" spans="1:17" ht="22.5" customHeight="1">
      <c r="A144" s="72"/>
      <c r="B144" s="423"/>
      <c r="C144" s="424"/>
      <c r="D144" s="73"/>
      <c r="E144" s="165"/>
      <c r="F144" s="117"/>
      <c r="G144" s="86"/>
      <c r="H144" s="437"/>
      <c r="I144" s="439"/>
      <c r="J144" s="119"/>
      <c r="L144" s="171"/>
      <c r="M144" s="171"/>
      <c r="N144" s="171"/>
      <c r="O144" s="171"/>
      <c r="P144" s="171"/>
      <c r="Q144" s="171"/>
    </row>
    <row r="145" spans="1:17" ht="22.5" customHeight="1">
      <c r="A145" s="72" t="s">
        <v>241</v>
      </c>
      <c r="B145" s="835" t="s">
        <v>567</v>
      </c>
      <c r="C145" s="836"/>
      <c r="D145" s="73"/>
      <c r="E145" s="165"/>
      <c r="F145" s="117"/>
      <c r="G145" s="86"/>
      <c r="H145" s="437"/>
      <c r="I145" s="439"/>
      <c r="J145" s="70">
        <f>SUM(J146:J148)</f>
        <v>36480000</v>
      </c>
      <c r="L145" s="171"/>
      <c r="M145" s="171"/>
      <c r="N145" s="171"/>
      <c r="O145" s="171"/>
      <c r="P145" s="171"/>
      <c r="Q145" s="171"/>
    </row>
    <row r="146" spans="1:17" ht="22.5" customHeight="1">
      <c r="A146" s="72" t="s">
        <v>568</v>
      </c>
      <c r="B146" s="573" t="s">
        <v>569</v>
      </c>
      <c r="C146" s="574"/>
      <c r="D146" s="73">
        <v>12</v>
      </c>
      <c r="E146" s="165"/>
      <c r="F146" s="117" t="s">
        <v>570</v>
      </c>
      <c r="G146" s="86">
        <v>330000</v>
      </c>
      <c r="H146" s="437"/>
      <c r="I146" s="439"/>
      <c r="J146" s="119">
        <f t="shared" ref="J146:J152" si="5">D146*G146</f>
        <v>3960000</v>
      </c>
      <c r="L146" s="171"/>
      <c r="M146" s="171"/>
      <c r="N146" s="171"/>
      <c r="O146" s="171"/>
      <c r="P146" s="171"/>
      <c r="Q146" s="171"/>
    </row>
    <row r="147" spans="1:17" ht="22.5" customHeight="1">
      <c r="A147" s="72" t="s">
        <v>571</v>
      </c>
      <c r="B147" s="429" t="s">
        <v>572</v>
      </c>
      <c r="C147" s="430"/>
      <c r="D147" s="73">
        <v>12</v>
      </c>
      <c r="E147" s="165"/>
      <c r="F147" s="117" t="s">
        <v>570</v>
      </c>
      <c r="G147" s="86">
        <v>500000</v>
      </c>
      <c r="H147" s="437"/>
      <c r="I147" s="439"/>
      <c r="J147" s="119">
        <f t="shared" si="5"/>
        <v>6000000</v>
      </c>
      <c r="L147" s="171"/>
      <c r="M147" s="171"/>
      <c r="N147" s="171"/>
      <c r="O147" s="171"/>
      <c r="P147" s="171"/>
      <c r="Q147" s="171"/>
    </row>
    <row r="148" spans="1:17" ht="22.5" customHeight="1">
      <c r="A148" s="72" t="s">
        <v>573</v>
      </c>
      <c r="B148" s="573" t="s">
        <v>574</v>
      </c>
      <c r="C148" s="574"/>
      <c r="D148" s="73">
        <v>12</v>
      </c>
      <c r="E148" s="165">
        <v>1300</v>
      </c>
      <c r="F148" s="117" t="s">
        <v>575</v>
      </c>
      <c r="G148" s="855">
        <v>1700</v>
      </c>
      <c r="H148" s="437"/>
      <c r="I148" s="439"/>
      <c r="J148" s="119">
        <f>D148*E148*G148</f>
        <v>26520000</v>
      </c>
      <c r="L148" s="171"/>
      <c r="M148" s="171"/>
      <c r="N148" s="171"/>
      <c r="O148" s="171"/>
      <c r="P148" s="171"/>
      <c r="Q148" s="171"/>
    </row>
    <row r="149" spans="1:17" ht="22.5" customHeight="1">
      <c r="A149" s="72"/>
      <c r="B149" s="429"/>
      <c r="C149" s="430"/>
      <c r="D149" s="73"/>
      <c r="E149" s="165"/>
      <c r="F149" s="117"/>
      <c r="G149" s="855"/>
      <c r="H149" s="437"/>
      <c r="I149" s="439"/>
      <c r="J149" s="119"/>
      <c r="L149" s="171"/>
      <c r="M149" s="171"/>
      <c r="N149" s="171"/>
      <c r="O149" s="171"/>
      <c r="P149" s="171"/>
      <c r="Q149" s="171"/>
    </row>
    <row r="150" spans="1:17" ht="22.5" customHeight="1">
      <c r="A150" s="72" t="s">
        <v>576</v>
      </c>
      <c r="B150" s="572" t="s">
        <v>577</v>
      </c>
      <c r="C150" s="507"/>
      <c r="D150" s="73"/>
      <c r="E150" s="165"/>
      <c r="F150" s="117"/>
      <c r="G150" s="855"/>
      <c r="H150" s="437"/>
      <c r="I150" s="439"/>
      <c r="J150" s="70">
        <f>J151+J152</f>
        <v>3500000</v>
      </c>
      <c r="L150" s="171"/>
      <c r="M150" s="171"/>
      <c r="N150" s="171"/>
      <c r="O150" s="171"/>
      <c r="P150" s="171"/>
      <c r="Q150" s="171"/>
    </row>
    <row r="151" spans="1:17" ht="22.5" customHeight="1">
      <c r="A151" s="72"/>
      <c r="B151" s="571" t="s">
        <v>578</v>
      </c>
      <c r="C151" s="522"/>
      <c r="D151" s="73">
        <v>1</v>
      </c>
      <c r="E151" s="165"/>
      <c r="F151" s="117" t="s">
        <v>579</v>
      </c>
      <c r="G151" s="855">
        <v>2500000</v>
      </c>
      <c r="H151" s="437"/>
      <c r="I151" s="439"/>
      <c r="J151" s="119">
        <f t="shared" si="5"/>
        <v>2500000</v>
      </c>
      <c r="L151" s="171"/>
      <c r="M151" s="171"/>
      <c r="N151" s="171"/>
      <c r="O151" s="171"/>
      <c r="P151" s="171"/>
      <c r="Q151" s="171"/>
    </row>
    <row r="152" spans="1:17" ht="22.5" customHeight="1">
      <c r="A152" s="72"/>
      <c r="B152" s="571" t="s">
        <v>580</v>
      </c>
      <c r="C152" s="522"/>
      <c r="D152" s="73">
        <v>4</v>
      </c>
      <c r="E152" s="165"/>
      <c r="F152" s="117" t="s">
        <v>579</v>
      </c>
      <c r="G152" s="855">
        <v>250000</v>
      </c>
      <c r="H152" s="437"/>
      <c r="I152" s="439"/>
      <c r="J152" s="119">
        <f t="shared" si="5"/>
        <v>1000000</v>
      </c>
      <c r="L152" s="171"/>
      <c r="M152" s="171"/>
      <c r="N152" s="171"/>
      <c r="O152" s="171"/>
      <c r="P152" s="171"/>
      <c r="Q152" s="171"/>
    </row>
    <row r="153" spans="1:17" ht="22.5" customHeight="1">
      <c r="A153" s="72"/>
      <c r="B153" s="425"/>
      <c r="C153" s="426"/>
      <c r="D153" s="73"/>
      <c r="E153" s="165"/>
      <c r="F153" s="117"/>
      <c r="G153" s="855"/>
      <c r="H153" s="437"/>
      <c r="I153" s="439"/>
      <c r="J153" s="119"/>
      <c r="L153" s="171"/>
      <c r="M153" s="171"/>
      <c r="N153" s="171"/>
      <c r="O153" s="171"/>
      <c r="P153" s="171"/>
      <c r="Q153" s="171"/>
    </row>
    <row r="154" spans="1:17" ht="32.1" customHeight="1">
      <c r="A154" s="72" t="s">
        <v>581</v>
      </c>
      <c r="B154" s="572" t="s">
        <v>582</v>
      </c>
      <c r="C154" s="507"/>
      <c r="D154" s="73"/>
      <c r="E154" s="165"/>
      <c r="F154" s="117"/>
      <c r="G154" s="855"/>
      <c r="H154" s="437"/>
      <c r="I154" s="439"/>
      <c r="J154" s="70">
        <f>J155</f>
        <v>3050000</v>
      </c>
      <c r="L154" s="171"/>
      <c r="M154" s="171"/>
      <c r="N154" s="171"/>
      <c r="O154" s="171"/>
      <c r="P154" s="171"/>
      <c r="Q154" s="171"/>
    </row>
    <row r="155" spans="1:17" ht="22.5" customHeight="1">
      <c r="A155" s="72"/>
      <c r="B155" s="571" t="s">
        <v>583</v>
      </c>
      <c r="C155" s="522"/>
      <c r="D155" s="73">
        <v>5</v>
      </c>
      <c r="E155" s="165"/>
      <c r="F155" s="117" t="s">
        <v>579</v>
      </c>
      <c r="G155" s="855">
        <v>610000</v>
      </c>
      <c r="H155" s="437"/>
      <c r="I155" s="439"/>
      <c r="J155" s="119">
        <f>D155*G155</f>
        <v>3050000</v>
      </c>
      <c r="L155" s="171"/>
      <c r="M155" s="171"/>
      <c r="N155" s="171"/>
      <c r="O155" s="171"/>
      <c r="P155" s="171"/>
      <c r="Q155" s="171"/>
    </row>
    <row r="156" spans="1:17" ht="22.5" customHeight="1">
      <c r="A156" s="72"/>
      <c r="B156" s="425"/>
      <c r="C156" s="426"/>
      <c r="D156" s="73"/>
      <c r="E156" s="165"/>
      <c r="F156" s="117"/>
      <c r="G156" s="855"/>
      <c r="H156" s="437"/>
      <c r="I156" s="439"/>
      <c r="J156" s="119"/>
      <c r="L156" s="171"/>
      <c r="M156" s="171"/>
      <c r="N156" s="171"/>
      <c r="O156" s="171"/>
      <c r="P156" s="171"/>
      <c r="Q156" s="171"/>
    </row>
    <row r="157" spans="1:17" ht="22.5" customHeight="1">
      <c r="A157" s="72" t="s">
        <v>584</v>
      </c>
      <c r="B157" s="572" t="s">
        <v>585</v>
      </c>
      <c r="C157" s="507"/>
      <c r="D157" s="73"/>
      <c r="E157" s="165"/>
      <c r="F157" s="117"/>
      <c r="G157" s="855"/>
      <c r="H157" s="437"/>
      <c r="I157" s="439"/>
      <c r="J157" s="70">
        <f>SUM(J158:J177)</f>
        <v>15685275</v>
      </c>
      <c r="L157" s="171"/>
      <c r="M157" s="171"/>
      <c r="N157" s="171"/>
      <c r="O157" s="171"/>
      <c r="P157" s="171"/>
      <c r="Q157" s="171"/>
    </row>
    <row r="158" spans="1:17" ht="22.5" customHeight="1">
      <c r="A158" s="72"/>
      <c r="B158" s="571" t="s">
        <v>586</v>
      </c>
      <c r="C158" s="522"/>
      <c r="D158" s="73">
        <v>6</v>
      </c>
      <c r="E158" s="165"/>
      <c r="F158" s="117" t="s">
        <v>587</v>
      </c>
      <c r="G158" s="855">
        <v>705525</v>
      </c>
      <c r="H158" s="437"/>
      <c r="I158" s="439"/>
      <c r="J158" s="119">
        <f>D158*G158</f>
        <v>4233150</v>
      </c>
      <c r="L158" s="171"/>
      <c r="M158" s="171"/>
      <c r="N158" s="171"/>
      <c r="O158" s="171"/>
      <c r="P158" s="171"/>
      <c r="Q158" s="171"/>
    </row>
    <row r="159" spans="1:17" ht="22.5" customHeight="1">
      <c r="A159" s="72"/>
      <c r="B159" s="423" t="s">
        <v>588</v>
      </c>
      <c r="C159" s="426"/>
      <c r="D159" s="73">
        <v>2</v>
      </c>
      <c r="E159" s="165"/>
      <c r="F159" s="117" t="s">
        <v>408</v>
      </c>
      <c r="G159" s="855">
        <v>248400</v>
      </c>
      <c r="H159" s="437"/>
      <c r="I159" s="439"/>
      <c r="J159" s="119">
        <f>D159*G159</f>
        <v>496800</v>
      </c>
      <c r="L159" s="171"/>
      <c r="M159" s="171"/>
      <c r="N159" s="171"/>
      <c r="O159" s="171"/>
      <c r="P159" s="171"/>
      <c r="Q159" s="171"/>
    </row>
    <row r="160" spans="1:17" ht="22.5" customHeight="1">
      <c r="A160" s="72"/>
      <c r="B160" s="423" t="s">
        <v>589</v>
      </c>
      <c r="C160" s="426"/>
      <c r="D160" s="73">
        <v>1</v>
      </c>
      <c r="E160" s="165"/>
      <c r="F160" s="117" t="s">
        <v>84</v>
      </c>
      <c r="G160" s="855">
        <v>2083300</v>
      </c>
      <c r="H160" s="437"/>
      <c r="I160" s="439"/>
      <c r="J160" s="119">
        <f t="shared" ref="J160:J180" si="6">D160*G160</f>
        <v>2083300</v>
      </c>
      <c r="L160" s="171"/>
      <c r="M160" s="171"/>
      <c r="N160" s="171"/>
      <c r="O160" s="171"/>
      <c r="P160" s="171"/>
      <c r="Q160" s="171"/>
    </row>
    <row r="161" spans="1:17" ht="22.5" customHeight="1">
      <c r="A161" s="72"/>
      <c r="B161" s="571" t="s">
        <v>590</v>
      </c>
      <c r="C161" s="522"/>
      <c r="D161" s="73">
        <v>24</v>
      </c>
      <c r="E161" s="165"/>
      <c r="F161" s="117" t="s">
        <v>503</v>
      </c>
      <c r="G161" s="855">
        <v>28950</v>
      </c>
      <c r="H161" s="437"/>
      <c r="I161" s="439"/>
      <c r="J161" s="119">
        <f t="shared" si="6"/>
        <v>694800</v>
      </c>
      <c r="L161" s="171"/>
      <c r="M161" s="171"/>
      <c r="N161" s="171"/>
      <c r="O161" s="171"/>
      <c r="P161" s="171"/>
      <c r="Q161" s="171"/>
    </row>
    <row r="162" spans="1:17" ht="22.5" customHeight="1">
      <c r="A162" s="72"/>
      <c r="B162" s="571" t="s">
        <v>591</v>
      </c>
      <c r="C162" s="522"/>
      <c r="D162" s="73">
        <v>12</v>
      </c>
      <c r="E162" s="165"/>
      <c r="F162" s="117" t="s">
        <v>503</v>
      </c>
      <c r="G162" s="855">
        <v>13875</v>
      </c>
      <c r="H162" s="437"/>
      <c r="I162" s="439"/>
      <c r="J162" s="119">
        <f t="shared" si="6"/>
        <v>166500</v>
      </c>
      <c r="L162" s="171"/>
      <c r="M162" s="171"/>
      <c r="N162" s="171"/>
      <c r="O162" s="171"/>
      <c r="P162" s="171"/>
      <c r="Q162" s="171"/>
    </row>
    <row r="163" spans="1:17" ht="22.5" customHeight="1">
      <c r="A163" s="72"/>
      <c r="B163" s="571" t="s">
        <v>592</v>
      </c>
      <c r="C163" s="522"/>
      <c r="D163" s="73">
        <v>12</v>
      </c>
      <c r="E163" s="165"/>
      <c r="F163" s="117" t="s">
        <v>587</v>
      </c>
      <c r="G163" s="855">
        <v>56475</v>
      </c>
      <c r="H163" s="437"/>
      <c r="I163" s="439"/>
      <c r="J163" s="119">
        <f t="shared" si="6"/>
        <v>677700</v>
      </c>
      <c r="L163" s="171"/>
      <c r="M163" s="171"/>
      <c r="N163" s="171"/>
      <c r="O163" s="171"/>
      <c r="P163" s="171"/>
      <c r="Q163" s="171"/>
    </row>
    <row r="164" spans="1:17" ht="22.5" customHeight="1">
      <c r="A164" s="72"/>
      <c r="B164" s="423" t="s">
        <v>593</v>
      </c>
      <c r="C164" s="426"/>
      <c r="D164" s="73">
        <v>1</v>
      </c>
      <c r="E164" s="165"/>
      <c r="F164" s="117" t="s">
        <v>594</v>
      </c>
      <c r="G164" s="855">
        <v>288900</v>
      </c>
      <c r="H164" s="437"/>
      <c r="I164" s="439"/>
      <c r="J164" s="119">
        <f t="shared" si="6"/>
        <v>288900</v>
      </c>
      <c r="L164" s="171"/>
      <c r="M164" s="171"/>
      <c r="N164" s="171"/>
      <c r="O164" s="171"/>
      <c r="P164" s="171"/>
      <c r="Q164" s="171"/>
    </row>
    <row r="165" spans="1:17" ht="22.5" customHeight="1">
      <c r="A165" s="72"/>
      <c r="B165" s="571" t="s">
        <v>595</v>
      </c>
      <c r="C165" s="522"/>
      <c r="D165" s="73">
        <v>2</v>
      </c>
      <c r="E165" s="165"/>
      <c r="F165" s="117" t="s">
        <v>84</v>
      </c>
      <c r="G165" s="855">
        <v>53400</v>
      </c>
      <c r="H165" s="437"/>
      <c r="I165" s="439"/>
      <c r="J165" s="119">
        <f t="shared" si="6"/>
        <v>106800</v>
      </c>
      <c r="L165" s="171"/>
      <c r="M165" s="171"/>
      <c r="N165" s="171"/>
      <c r="O165" s="171"/>
      <c r="P165" s="171"/>
      <c r="Q165" s="171"/>
    </row>
    <row r="166" spans="1:17" ht="22.5" customHeight="1">
      <c r="A166" s="72"/>
      <c r="B166" s="571" t="s">
        <v>596</v>
      </c>
      <c r="C166" s="522"/>
      <c r="D166" s="73">
        <v>1</v>
      </c>
      <c r="E166" s="165"/>
      <c r="F166" s="117" t="s">
        <v>488</v>
      </c>
      <c r="G166" s="855">
        <v>220175</v>
      </c>
      <c r="H166" s="437"/>
      <c r="I166" s="439"/>
      <c r="J166" s="119">
        <f t="shared" si="6"/>
        <v>220175</v>
      </c>
      <c r="L166" s="171"/>
      <c r="M166" s="171"/>
      <c r="N166" s="171"/>
      <c r="O166" s="171"/>
      <c r="P166" s="171"/>
      <c r="Q166" s="171"/>
    </row>
    <row r="167" spans="1:17" ht="22.5" customHeight="1">
      <c r="A167" s="72"/>
      <c r="B167" s="571" t="s">
        <v>597</v>
      </c>
      <c r="C167" s="522"/>
      <c r="D167" s="73">
        <v>6</v>
      </c>
      <c r="E167" s="165"/>
      <c r="F167" s="117" t="s">
        <v>503</v>
      </c>
      <c r="G167" s="855">
        <v>44400</v>
      </c>
      <c r="H167" s="437"/>
      <c r="I167" s="439"/>
      <c r="J167" s="119">
        <f t="shared" si="6"/>
        <v>266400</v>
      </c>
      <c r="L167" s="171"/>
      <c r="M167" s="171"/>
      <c r="N167" s="171"/>
      <c r="O167" s="171"/>
      <c r="P167" s="171"/>
      <c r="Q167" s="171"/>
    </row>
    <row r="168" spans="1:17" ht="22.5" customHeight="1">
      <c r="A168" s="72"/>
      <c r="B168" s="571" t="s">
        <v>598</v>
      </c>
      <c r="C168" s="522"/>
      <c r="D168" s="73">
        <v>24</v>
      </c>
      <c r="E168" s="165"/>
      <c r="F168" s="117" t="s">
        <v>503</v>
      </c>
      <c r="G168" s="855">
        <v>29600</v>
      </c>
      <c r="H168" s="437"/>
      <c r="I168" s="439"/>
      <c r="J168" s="119">
        <f t="shared" si="6"/>
        <v>710400</v>
      </c>
      <c r="L168" s="171"/>
      <c r="M168" s="171"/>
      <c r="N168" s="171"/>
      <c r="O168" s="171"/>
      <c r="P168" s="171"/>
      <c r="Q168" s="171"/>
    </row>
    <row r="169" spans="1:17" ht="22.5" customHeight="1">
      <c r="A169" s="72"/>
      <c r="B169" s="571" t="s">
        <v>599</v>
      </c>
      <c r="C169" s="522"/>
      <c r="D169" s="73">
        <v>48</v>
      </c>
      <c r="E169" s="165"/>
      <c r="F169" s="117" t="s">
        <v>84</v>
      </c>
      <c r="G169" s="855">
        <v>18875</v>
      </c>
      <c r="H169" s="437"/>
      <c r="I169" s="439"/>
      <c r="J169" s="119">
        <f t="shared" si="6"/>
        <v>906000</v>
      </c>
      <c r="L169" s="171"/>
      <c r="M169" s="171"/>
      <c r="N169" s="171"/>
      <c r="O169" s="171"/>
      <c r="P169" s="171"/>
      <c r="Q169" s="171"/>
    </row>
    <row r="170" spans="1:17" ht="22.5" customHeight="1">
      <c r="A170" s="72"/>
      <c r="B170" s="571" t="s">
        <v>600</v>
      </c>
      <c r="C170" s="522"/>
      <c r="D170" s="73">
        <v>24</v>
      </c>
      <c r="E170" s="165"/>
      <c r="F170" s="117" t="s">
        <v>84</v>
      </c>
      <c r="G170" s="855">
        <v>45175</v>
      </c>
      <c r="H170" s="437"/>
      <c r="I170" s="439"/>
      <c r="J170" s="119">
        <f t="shared" si="6"/>
        <v>1084200</v>
      </c>
      <c r="L170" s="171"/>
      <c r="M170" s="171"/>
      <c r="N170" s="171"/>
      <c r="O170" s="171"/>
      <c r="P170" s="171"/>
      <c r="Q170" s="171"/>
    </row>
    <row r="171" spans="1:17" ht="22.5" customHeight="1">
      <c r="A171" s="72"/>
      <c r="B171" s="423" t="s">
        <v>601</v>
      </c>
      <c r="C171" s="426"/>
      <c r="D171" s="73">
        <v>2</v>
      </c>
      <c r="E171" s="165"/>
      <c r="F171" s="117" t="s">
        <v>488</v>
      </c>
      <c r="G171" s="855">
        <v>98050</v>
      </c>
      <c r="H171" s="437"/>
      <c r="I171" s="439"/>
      <c r="J171" s="119">
        <f t="shared" si="6"/>
        <v>196100</v>
      </c>
      <c r="L171" s="171"/>
      <c r="M171" s="171"/>
      <c r="N171" s="171"/>
      <c r="O171" s="171"/>
      <c r="P171" s="171"/>
      <c r="Q171" s="171"/>
    </row>
    <row r="172" spans="1:17" ht="22.5" customHeight="1">
      <c r="A172" s="72"/>
      <c r="B172" s="571" t="s">
        <v>602</v>
      </c>
      <c r="C172" s="522"/>
      <c r="D172" s="73">
        <v>36</v>
      </c>
      <c r="E172" s="165"/>
      <c r="F172" s="117" t="s">
        <v>84</v>
      </c>
      <c r="G172" s="855">
        <v>21600</v>
      </c>
      <c r="H172" s="437"/>
      <c r="I172" s="439"/>
      <c r="J172" s="119">
        <f t="shared" si="6"/>
        <v>777600</v>
      </c>
      <c r="L172" s="171"/>
      <c r="M172" s="171"/>
      <c r="N172" s="171"/>
      <c r="O172" s="171"/>
      <c r="P172" s="171"/>
      <c r="Q172" s="171"/>
    </row>
    <row r="173" spans="1:17" ht="22.5" customHeight="1">
      <c r="A173" s="72"/>
      <c r="B173" s="423" t="s">
        <v>603</v>
      </c>
      <c r="C173" s="426"/>
      <c r="D173" s="73">
        <v>36</v>
      </c>
      <c r="E173" s="165"/>
      <c r="F173" s="117" t="s">
        <v>84</v>
      </c>
      <c r="G173" s="855">
        <v>48900</v>
      </c>
      <c r="H173" s="437"/>
      <c r="I173" s="439"/>
      <c r="J173" s="119">
        <f t="shared" si="6"/>
        <v>1760400</v>
      </c>
      <c r="L173" s="171"/>
      <c r="M173" s="171"/>
      <c r="N173" s="171"/>
      <c r="O173" s="171"/>
      <c r="P173" s="171"/>
      <c r="Q173" s="171"/>
    </row>
    <row r="174" spans="1:17" ht="22.5" customHeight="1">
      <c r="A174" s="72"/>
      <c r="B174" s="571" t="s">
        <v>604</v>
      </c>
      <c r="C174" s="522"/>
      <c r="D174" s="73">
        <v>2</v>
      </c>
      <c r="E174" s="165"/>
      <c r="F174" s="117" t="s">
        <v>84</v>
      </c>
      <c r="G174" s="855">
        <v>46375</v>
      </c>
      <c r="H174" s="437"/>
      <c r="I174" s="439"/>
      <c r="J174" s="119">
        <f t="shared" si="6"/>
        <v>92750</v>
      </c>
      <c r="L174" s="171"/>
      <c r="M174" s="171"/>
      <c r="N174" s="171"/>
      <c r="O174" s="171"/>
      <c r="P174" s="171"/>
      <c r="Q174" s="171"/>
    </row>
    <row r="175" spans="1:17" ht="22.5" customHeight="1">
      <c r="A175" s="72"/>
      <c r="B175" s="571" t="s">
        <v>605</v>
      </c>
      <c r="C175" s="522"/>
      <c r="D175" s="73">
        <v>1</v>
      </c>
      <c r="E175" s="165"/>
      <c r="F175" s="117" t="s">
        <v>77</v>
      </c>
      <c r="G175" s="855">
        <v>227000</v>
      </c>
      <c r="H175" s="437"/>
      <c r="I175" s="439"/>
      <c r="J175" s="119">
        <f t="shared" si="6"/>
        <v>227000</v>
      </c>
      <c r="L175" s="171"/>
      <c r="M175" s="171"/>
      <c r="N175" s="171"/>
      <c r="O175" s="171"/>
      <c r="P175" s="171"/>
      <c r="Q175" s="171"/>
    </row>
    <row r="176" spans="1:17" ht="22.5" customHeight="1">
      <c r="A176" s="72"/>
      <c r="B176" s="423" t="s">
        <v>606</v>
      </c>
      <c r="C176" s="424"/>
      <c r="D176" s="73">
        <v>12</v>
      </c>
      <c r="E176" s="165"/>
      <c r="F176" s="117" t="s">
        <v>607</v>
      </c>
      <c r="G176" s="855">
        <v>32375</v>
      </c>
      <c r="H176" s="437"/>
      <c r="I176" s="439"/>
      <c r="J176" s="119">
        <f t="shared" si="6"/>
        <v>388500</v>
      </c>
      <c r="L176" s="171"/>
      <c r="M176" s="171"/>
      <c r="N176" s="171"/>
      <c r="O176" s="171"/>
      <c r="P176" s="171"/>
      <c r="Q176" s="171"/>
    </row>
    <row r="177" spans="1:17" ht="22.5" customHeight="1">
      <c r="A177" s="72"/>
      <c r="B177" s="571" t="s">
        <v>608</v>
      </c>
      <c r="C177" s="522"/>
      <c r="D177" s="73">
        <v>6</v>
      </c>
      <c r="E177" s="165"/>
      <c r="F177" s="117" t="s">
        <v>609</v>
      </c>
      <c r="G177" s="855">
        <v>51300</v>
      </c>
      <c r="H177" s="437"/>
      <c r="I177" s="439"/>
      <c r="J177" s="119">
        <f t="shared" si="6"/>
        <v>307800</v>
      </c>
      <c r="L177" s="171"/>
      <c r="M177" s="171"/>
      <c r="N177" s="171"/>
      <c r="O177" s="171"/>
      <c r="P177" s="171"/>
      <c r="Q177" s="171"/>
    </row>
    <row r="178" spans="1:17" ht="22.5" customHeight="1">
      <c r="A178" s="72"/>
      <c r="B178" s="425"/>
      <c r="C178" s="426"/>
      <c r="D178" s="73"/>
      <c r="E178" s="165"/>
      <c r="F178" s="117"/>
      <c r="G178" s="855"/>
      <c r="H178" s="437"/>
      <c r="I178" s="439"/>
      <c r="J178" s="119"/>
      <c r="L178" s="171"/>
      <c r="M178" s="171"/>
      <c r="N178" s="171"/>
      <c r="O178" s="171"/>
      <c r="P178" s="171"/>
      <c r="Q178" s="171"/>
    </row>
    <row r="179" spans="1:17" ht="22.5" customHeight="1">
      <c r="A179" s="72" t="s">
        <v>232</v>
      </c>
      <c r="B179" s="572" t="s">
        <v>610</v>
      </c>
      <c r="C179" s="507"/>
      <c r="D179" s="73"/>
      <c r="E179" s="165"/>
      <c r="F179" s="117"/>
      <c r="G179" s="855"/>
      <c r="H179" s="437"/>
      <c r="I179" s="439"/>
      <c r="J179" s="70">
        <f>J180</f>
        <v>1161000</v>
      </c>
      <c r="L179" s="171"/>
      <c r="M179" s="171"/>
      <c r="N179" s="171"/>
      <c r="O179" s="171"/>
      <c r="P179" s="171"/>
      <c r="Q179" s="171"/>
    </row>
    <row r="180" spans="1:17" ht="22.5" customHeight="1">
      <c r="A180" s="72" t="s">
        <v>611</v>
      </c>
      <c r="B180" s="571" t="s">
        <v>612</v>
      </c>
      <c r="C180" s="522"/>
      <c r="D180" s="73">
        <v>60</v>
      </c>
      <c r="E180" s="165"/>
      <c r="F180" s="117" t="s">
        <v>84</v>
      </c>
      <c r="G180" s="855">
        <v>19350</v>
      </c>
      <c r="H180" s="437"/>
      <c r="I180" s="439"/>
      <c r="J180" s="119">
        <f t="shared" si="6"/>
        <v>1161000</v>
      </c>
      <c r="L180" s="171"/>
      <c r="M180" s="171"/>
      <c r="N180" s="171"/>
      <c r="O180" s="171"/>
      <c r="P180" s="171"/>
      <c r="Q180" s="171"/>
    </row>
    <row r="181" spans="1:17" ht="16.5" customHeight="1">
      <c r="A181" s="72"/>
      <c r="B181" s="571"/>
      <c r="C181" s="522"/>
      <c r="D181" s="73"/>
      <c r="E181" s="74"/>
      <c r="F181" s="117"/>
      <c r="G181" s="86"/>
      <c r="H181" s="437"/>
      <c r="I181" s="439"/>
      <c r="J181" s="119"/>
      <c r="L181" s="171"/>
      <c r="M181" s="171"/>
      <c r="N181" s="171"/>
      <c r="O181" s="171"/>
      <c r="P181" s="171"/>
      <c r="Q181" s="171"/>
    </row>
    <row r="182" spans="1:17" ht="9.75" customHeight="1" thickBot="1">
      <c r="A182" s="438"/>
      <c r="B182" s="131"/>
      <c r="C182" s="132"/>
      <c r="D182" s="133"/>
      <c r="E182" s="134"/>
      <c r="F182" s="135"/>
      <c r="G182" s="136"/>
      <c r="H182" s="438"/>
      <c r="I182" s="137"/>
      <c r="J182" s="138"/>
      <c r="L182" s="171"/>
      <c r="M182" s="171"/>
      <c r="N182" s="171"/>
      <c r="O182" s="171"/>
      <c r="P182" s="171"/>
      <c r="Q182" s="171"/>
    </row>
    <row r="183" spans="1:17">
      <c r="A183" s="856" t="s">
        <v>129</v>
      </c>
      <c r="B183" s="857"/>
      <c r="C183" s="857"/>
      <c r="D183" s="857"/>
      <c r="E183" s="857"/>
      <c r="F183" s="858"/>
      <c r="G183" s="858"/>
      <c r="H183" s="858"/>
      <c r="I183" s="859"/>
      <c r="J183" s="860">
        <f>J27</f>
        <v>856481250</v>
      </c>
      <c r="K183" s="179"/>
      <c r="L183" s="171"/>
      <c r="M183" s="171"/>
      <c r="N183" s="171"/>
      <c r="O183" s="171"/>
      <c r="P183" s="171"/>
      <c r="Q183" s="171"/>
    </row>
    <row r="184" spans="1:17" ht="17.25" customHeight="1">
      <c r="A184" s="861"/>
      <c r="B184" s="862"/>
      <c r="C184" s="863"/>
      <c r="D184" s="864"/>
      <c r="E184" s="777" t="s">
        <v>222</v>
      </c>
      <c r="F184" s="777"/>
      <c r="G184" s="777"/>
      <c r="H184" s="777"/>
      <c r="I184" s="777"/>
      <c r="J184" s="865"/>
    </row>
    <row r="185" spans="1:17" ht="16.5" customHeight="1">
      <c r="A185" s="866" t="s">
        <v>34</v>
      </c>
      <c r="B185" s="867"/>
      <c r="C185" s="867"/>
      <c r="D185" s="867"/>
      <c r="E185" s="676" t="s">
        <v>131</v>
      </c>
      <c r="F185" s="676"/>
      <c r="G185" s="676"/>
      <c r="H185" s="676"/>
      <c r="I185" s="676"/>
      <c r="J185" s="677"/>
    </row>
    <row r="186" spans="1:17">
      <c r="A186" s="868" t="s">
        <v>35</v>
      </c>
      <c r="B186" s="867"/>
      <c r="C186" s="867"/>
      <c r="D186" s="867"/>
      <c r="E186" s="530"/>
      <c r="F186" s="530"/>
      <c r="G186" s="530"/>
      <c r="H186" s="530"/>
      <c r="I186" s="530"/>
      <c r="J186" s="546"/>
    </row>
    <row r="187" spans="1:17">
      <c r="A187" s="868" t="s">
        <v>36</v>
      </c>
      <c r="B187" s="867"/>
      <c r="C187" s="867"/>
      <c r="D187" s="867"/>
      <c r="E187" s="530"/>
      <c r="F187" s="530"/>
      <c r="G187" s="530"/>
      <c r="H187" s="530"/>
      <c r="I187" s="530"/>
      <c r="J187" s="546"/>
    </row>
    <row r="188" spans="1:17">
      <c r="A188" s="868" t="s">
        <v>37</v>
      </c>
      <c r="B188" s="867"/>
      <c r="C188" s="867"/>
      <c r="D188" s="867"/>
      <c r="E188" s="530"/>
      <c r="F188" s="530"/>
      <c r="G188" s="530"/>
      <c r="H188" s="530"/>
      <c r="I188" s="530"/>
      <c r="J188" s="546"/>
    </row>
    <row r="189" spans="1:17" ht="17.25" customHeight="1">
      <c r="A189" s="868" t="s">
        <v>38</v>
      </c>
      <c r="B189" s="867"/>
      <c r="C189" s="867"/>
      <c r="D189" s="867"/>
      <c r="E189" s="869" t="s">
        <v>208</v>
      </c>
      <c r="F189" s="869"/>
      <c r="G189" s="869"/>
      <c r="H189" s="869"/>
      <c r="I189" s="869"/>
      <c r="J189" s="870"/>
    </row>
    <row r="190" spans="1:17">
      <c r="A190" s="868" t="s">
        <v>39</v>
      </c>
      <c r="B190" s="867"/>
      <c r="C190" s="867"/>
      <c r="D190" s="867"/>
    </row>
    <row r="191" spans="1:17">
      <c r="A191" s="868" t="s">
        <v>40</v>
      </c>
      <c r="B191" s="867"/>
      <c r="C191" s="867"/>
      <c r="D191" s="867"/>
    </row>
    <row r="192" spans="1:17">
      <c r="A192" s="868" t="s">
        <v>41</v>
      </c>
      <c r="B192" s="867"/>
      <c r="C192" s="867"/>
      <c r="D192" s="867"/>
    </row>
    <row r="193" spans="1:4">
      <c r="A193" s="868" t="s">
        <v>42</v>
      </c>
      <c r="B193" s="867"/>
      <c r="C193" s="867"/>
      <c r="D193" s="867"/>
    </row>
    <row r="194" spans="1:4">
      <c r="A194" s="868" t="s">
        <v>43</v>
      </c>
      <c r="B194" s="867"/>
      <c r="C194" s="867"/>
      <c r="D194" s="867"/>
    </row>
    <row r="195" spans="1:4">
      <c r="A195" s="868" t="s">
        <v>44</v>
      </c>
      <c r="B195" s="867"/>
      <c r="C195" s="867"/>
      <c r="D195" s="867"/>
    </row>
    <row r="196" spans="1:4">
      <c r="A196" s="868" t="s">
        <v>45</v>
      </c>
      <c r="B196" s="867"/>
      <c r="C196" s="867"/>
      <c r="D196" s="867"/>
    </row>
    <row r="197" spans="1:4" ht="13.5" thickBot="1">
      <c r="A197" s="871" t="s">
        <v>28</v>
      </c>
      <c r="B197" s="867"/>
      <c r="C197" s="867"/>
      <c r="D197" s="867"/>
    </row>
  </sheetData>
  <mergeCells count="152">
    <mergeCell ref="B192:D192"/>
    <mergeCell ref="B193:D193"/>
    <mergeCell ref="B194:D194"/>
    <mergeCell ref="B195:D195"/>
    <mergeCell ref="B196:D196"/>
    <mergeCell ref="B197:D197"/>
    <mergeCell ref="B188:D188"/>
    <mergeCell ref="E188:J188"/>
    <mergeCell ref="B189:D189"/>
    <mergeCell ref="E189:J189"/>
    <mergeCell ref="B190:D190"/>
    <mergeCell ref="B191:D191"/>
    <mergeCell ref="B185:D185"/>
    <mergeCell ref="E185:J185"/>
    <mergeCell ref="B186:D186"/>
    <mergeCell ref="E186:J186"/>
    <mergeCell ref="B187:D187"/>
    <mergeCell ref="E187:J187"/>
    <mergeCell ref="B177:C177"/>
    <mergeCell ref="B179:C179"/>
    <mergeCell ref="B180:C180"/>
    <mergeCell ref="B181:C181"/>
    <mergeCell ref="A183:I183"/>
    <mergeCell ref="B184:D184"/>
    <mergeCell ref="E184:J184"/>
    <mergeCell ref="B168:C168"/>
    <mergeCell ref="B169:C169"/>
    <mergeCell ref="B170:C170"/>
    <mergeCell ref="B172:C172"/>
    <mergeCell ref="B174:C174"/>
    <mergeCell ref="B175:C175"/>
    <mergeCell ref="B161:C161"/>
    <mergeCell ref="B162:C162"/>
    <mergeCell ref="B163:C163"/>
    <mergeCell ref="B165:C165"/>
    <mergeCell ref="B166:C166"/>
    <mergeCell ref="B167:C167"/>
    <mergeCell ref="B151:C151"/>
    <mergeCell ref="B152:C152"/>
    <mergeCell ref="B154:C154"/>
    <mergeCell ref="B155:C155"/>
    <mergeCell ref="B157:C157"/>
    <mergeCell ref="B158:C158"/>
    <mergeCell ref="B142:C142"/>
    <mergeCell ref="B143:C143"/>
    <mergeCell ref="B145:C145"/>
    <mergeCell ref="B146:C146"/>
    <mergeCell ref="B148:C148"/>
    <mergeCell ref="B150:C150"/>
    <mergeCell ref="B130:C130"/>
    <mergeCell ref="B134:C134"/>
    <mergeCell ref="B138:C138"/>
    <mergeCell ref="B139:C139"/>
    <mergeCell ref="B140:C140"/>
    <mergeCell ref="B141:C141"/>
    <mergeCell ref="B116:C116"/>
    <mergeCell ref="B120:C120"/>
    <mergeCell ref="B122:C122"/>
    <mergeCell ref="B123:C123"/>
    <mergeCell ref="B125:C125"/>
    <mergeCell ref="B126:C126"/>
    <mergeCell ref="B110:C110"/>
    <mergeCell ref="B111:C111"/>
    <mergeCell ref="B112:C112"/>
    <mergeCell ref="B113:C113"/>
    <mergeCell ref="B114:C114"/>
    <mergeCell ref="B115:C115"/>
    <mergeCell ref="B103:C103"/>
    <mergeCell ref="B104:C104"/>
    <mergeCell ref="B105:C105"/>
    <mergeCell ref="B106:C106"/>
    <mergeCell ref="B108:C108"/>
    <mergeCell ref="B109:C109"/>
    <mergeCell ref="B94:C94"/>
    <mergeCell ref="B95:C95"/>
    <mergeCell ref="B97:C97"/>
    <mergeCell ref="B98:C98"/>
    <mergeCell ref="B99:C99"/>
    <mergeCell ref="B102:C102"/>
    <mergeCell ref="B87:C87"/>
    <mergeCell ref="B88:C88"/>
    <mergeCell ref="B89:C89"/>
    <mergeCell ref="B90:C90"/>
    <mergeCell ref="B92:C92"/>
    <mergeCell ref="B93:C93"/>
    <mergeCell ref="B80:C80"/>
    <mergeCell ref="B81:C81"/>
    <mergeCell ref="B82:C82"/>
    <mergeCell ref="B83:C83"/>
    <mergeCell ref="B85:C85"/>
    <mergeCell ref="B86:C86"/>
    <mergeCell ref="B72:C72"/>
    <mergeCell ref="B73:C73"/>
    <mergeCell ref="B75:C75"/>
    <mergeCell ref="B76:C76"/>
    <mergeCell ref="B77:C77"/>
    <mergeCell ref="B78:C78"/>
    <mergeCell ref="B63:C63"/>
    <mergeCell ref="B65:C65"/>
    <mergeCell ref="B67:C67"/>
    <mergeCell ref="B68:C68"/>
    <mergeCell ref="B69:C69"/>
    <mergeCell ref="B71:C71"/>
    <mergeCell ref="B54:C54"/>
    <mergeCell ref="B56:C56"/>
    <mergeCell ref="B57:C57"/>
    <mergeCell ref="B58:C58"/>
    <mergeCell ref="B59:C59"/>
    <mergeCell ref="B60:C60"/>
    <mergeCell ref="B41:C41"/>
    <mergeCell ref="B42:C42"/>
    <mergeCell ref="B50:C50"/>
    <mergeCell ref="B51:C51"/>
    <mergeCell ref="B52:C52"/>
    <mergeCell ref="B53:C53"/>
    <mergeCell ref="B34:C34"/>
    <mergeCell ref="B35:C35"/>
    <mergeCell ref="B36:C36"/>
    <mergeCell ref="B37:C37"/>
    <mergeCell ref="B38:C38"/>
    <mergeCell ref="B39:C39"/>
    <mergeCell ref="B28:C28"/>
    <mergeCell ref="B29:C29"/>
    <mergeCell ref="B30:C30"/>
    <mergeCell ref="B31:C31"/>
    <mergeCell ref="B32:C32"/>
    <mergeCell ref="B33:C33"/>
    <mergeCell ref="B25:C25"/>
    <mergeCell ref="D25:I25"/>
    <mergeCell ref="B26:C26"/>
    <mergeCell ref="D26:E26"/>
    <mergeCell ref="H26:I26"/>
    <mergeCell ref="B27:C27"/>
    <mergeCell ref="A22:B22"/>
    <mergeCell ref="C22:H22"/>
    <mergeCell ref="I22:J22"/>
    <mergeCell ref="C23:H23"/>
    <mergeCell ref="I23:J23"/>
    <mergeCell ref="A24:J24"/>
    <mergeCell ref="A20:B20"/>
    <mergeCell ref="C20:H20"/>
    <mergeCell ref="I20:J20"/>
    <mergeCell ref="A21:B21"/>
    <mergeCell ref="C21:H21"/>
    <mergeCell ref="I21:J21"/>
    <mergeCell ref="A1:D1"/>
    <mergeCell ref="E1:J1"/>
    <mergeCell ref="A2:J2"/>
    <mergeCell ref="A18:J18"/>
    <mergeCell ref="A19:B19"/>
    <mergeCell ref="C19:H19"/>
    <mergeCell ref="I19:J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AAF26-282C-46A8-A14D-6703A44D2F69}">
  <dimension ref="A1:Q93"/>
  <sheetViews>
    <sheetView topLeftCell="A4" workbookViewId="0">
      <selection activeCell="C20" sqref="C20:H20"/>
    </sheetView>
  </sheetViews>
  <sheetFormatPr defaultRowHeight="16.5"/>
  <cols>
    <col min="1" max="1" width="16.28515625" style="196" customWidth="1"/>
    <col min="2" max="2" width="9.140625" style="196"/>
    <col min="3" max="3" width="25.7109375" style="196" customWidth="1"/>
    <col min="4" max="4" width="8.140625" style="196" customWidth="1"/>
    <col min="5" max="5" width="5.28515625" style="196" customWidth="1"/>
    <col min="6" max="6" width="10" style="196" customWidth="1"/>
    <col min="7" max="7" width="10.5703125" style="196" customWidth="1"/>
    <col min="8" max="8" width="3.5703125" style="196" customWidth="1"/>
    <col min="9" max="9" width="4" style="196" customWidth="1"/>
    <col min="10" max="10" width="15.7109375" style="196" customWidth="1"/>
    <col min="11" max="11" width="15.85546875" style="196" customWidth="1"/>
    <col min="12" max="13" width="11" style="196" bestFit="1" customWidth="1"/>
    <col min="14" max="14" width="13.5703125" style="196" bestFit="1" customWidth="1"/>
    <col min="15" max="16384" width="9.140625" style="196"/>
  </cols>
  <sheetData>
    <row r="1" spans="1:10" ht="47.25" customHeight="1">
      <c r="A1" s="504" t="s">
        <v>0</v>
      </c>
      <c r="B1" s="505"/>
      <c r="C1" s="505"/>
      <c r="D1" s="505"/>
      <c r="E1" s="504" t="s">
        <v>1</v>
      </c>
      <c r="F1" s="504"/>
      <c r="G1" s="504"/>
      <c r="H1" s="504"/>
      <c r="I1" s="504"/>
      <c r="J1" s="504"/>
    </row>
    <row r="2" spans="1:10" ht="27" customHeight="1">
      <c r="A2" s="523" t="s">
        <v>47</v>
      </c>
      <c r="B2" s="524"/>
      <c r="C2" s="524"/>
      <c r="D2" s="524"/>
      <c r="E2" s="524"/>
      <c r="F2" s="524"/>
      <c r="G2" s="524"/>
      <c r="H2" s="524"/>
      <c r="I2" s="524"/>
      <c r="J2" s="525"/>
    </row>
    <row r="4" spans="1:10" ht="15" customHeight="1">
      <c r="A4" s="197" t="s">
        <v>2</v>
      </c>
      <c r="B4" s="197" t="s">
        <v>52</v>
      </c>
      <c r="C4" s="198"/>
      <c r="D4" s="198"/>
      <c r="E4" s="198"/>
      <c r="F4" s="198"/>
    </row>
    <row r="5" spans="1:10" ht="15" customHeight="1">
      <c r="A5" s="197" t="s">
        <v>4</v>
      </c>
      <c r="B5" s="197" t="s">
        <v>53</v>
      </c>
      <c r="C5" s="198"/>
      <c r="D5" s="198"/>
      <c r="E5" s="198"/>
      <c r="F5" s="198"/>
    </row>
    <row r="6" spans="1:10" ht="15" customHeight="1">
      <c r="A6" s="197" t="s">
        <v>6</v>
      </c>
      <c r="B6" s="197" t="s">
        <v>54</v>
      </c>
      <c r="C6" s="198"/>
      <c r="D6" s="198"/>
      <c r="E6" s="198"/>
      <c r="F6" s="198"/>
    </row>
    <row r="7" spans="1:10" ht="15" customHeight="1">
      <c r="A7" s="197" t="s">
        <v>7</v>
      </c>
      <c r="B7" s="197" t="s">
        <v>55</v>
      </c>
      <c r="C7" s="198"/>
      <c r="D7" s="198"/>
      <c r="E7" s="198"/>
      <c r="F7" s="198"/>
    </row>
    <row r="8" spans="1:10" ht="15" customHeight="1">
      <c r="A8" s="197" t="s">
        <v>8</v>
      </c>
      <c r="B8" s="197" t="s">
        <v>56</v>
      </c>
      <c r="C8" s="198"/>
      <c r="D8" s="198"/>
      <c r="E8" s="198"/>
      <c r="F8" s="198"/>
    </row>
    <row r="9" spans="1:10" ht="15" customHeight="1">
      <c r="A9" s="199" t="s">
        <v>9</v>
      </c>
      <c r="B9" s="199" t="s">
        <v>447</v>
      </c>
      <c r="C9" s="200"/>
      <c r="D9" s="198"/>
      <c r="E9" s="198"/>
      <c r="F9" s="198"/>
    </row>
    <row r="10" spans="1:10" ht="15" customHeight="1">
      <c r="A10" s="199" t="s">
        <v>10</v>
      </c>
      <c r="B10" s="199" t="s">
        <v>57</v>
      </c>
      <c r="C10" s="200"/>
      <c r="D10" s="198"/>
      <c r="E10" s="198"/>
      <c r="F10" s="198"/>
    </row>
    <row r="11" spans="1:10" ht="15" customHeight="1">
      <c r="A11" s="199" t="s">
        <v>11</v>
      </c>
      <c r="B11" s="199" t="s">
        <v>446</v>
      </c>
      <c r="C11" s="200"/>
      <c r="D11" s="198"/>
      <c r="E11" s="198"/>
      <c r="F11" s="198"/>
    </row>
    <row r="12" spans="1:10" ht="15" customHeight="1">
      <c r="A12" s="199" t="s">
        <v>12</v>
      </c>
      <c r="B12" s="199" t="s">
        <v>133</v>
      </c>
      <c r="C12" s="200"/>
      <c r="D12" s="198"/>
      <c r="E12" s="198"/>
      <c r="F12" s="198"/>
    </row>
    <row r="13" spans="1:10" ht="15" customHeight="1">
      <c r="A13" s="199" t="s">
        <v>14</v>
      </c>
      <c r="B13" s="199" t="s">
        <v>446</v>
      </c>
      <c r="C13" s="200"/>
      <c r="D13" s="198"/>
      <c r="E13" s="198"/>
      <c r="F13" s="198"/>
    </row>
    <row r="14" spans="1:10" ht="15" customHeight="1">
      <c r="A14" s="37" t="s">
        <v>46</v>
      </c>
      <c r="B14" s="37" t="s">
        <v>59</v>
      </c>
      <c r="C14" s="40">
        <v>84416350</v>
      </c>
      <c r="D14" s="198"/>
      <c r="E14" s="198"/>
      <c r="F14" s="198"/>
    </row>
    <row r="15" spans="1:10" ht="15" customHeight="1">
      <c r="A15" s="37" t="s">
        <v>48</v>
      </c>
      <c r="B15" s="37" t="s">
        <v>59</v>
      </c>
      <c r="C15" s="442">
        <f>I22</f>
        <v>168923000</v>
      </c>
      <c r="D15" s="198"/>
      <c r="E15" s="198"/>
      <c r="F15" s="198"/>
    </row>
    <row r="16" spans="1:10" ht="15" customHeight="1">
      <c r="A16" s="37" t="s">
        <v>134</v>
      </c>
      <c r="B16" s="37" t="s">
        <v>59</v>
      </c>
      <c r="C16" s="169">
        <f>(5%*C15)+C15</f>
        <v>177369150</v>
      </c>
      <c r="D16" s="198"/>
      <c r="E16" s="198"/>
      <c r="F16" s="198"/>
    </row>
    <row r="17" spans="1:14" ht="13.5" customHeight="1" thickBot="1">
      <c r="A17" s="201"/>
    </row>
    <row r="18" spans="1:14" ht="15.75" customHeight="1">
      <c r="A18" s="759" t="s">
        <v>60</v>
      </c>
      <c r="B18" s="760"/>
      <c r="C18" s="760"/>
      <c r="D18" s="760"/>
      <c r="E18" s="760"/>
      <c r="F18" s="760"/>
      <c r="G18" s="760"/>
      <c r="H18" s="760"/>
      <c r="I18" s="760"/>
      <c r="J18" s="761"/>
    </row>
    <row r="19" spans="1:14" ht="15.75" customHeight="1">
      <c r="A19" s="766" t="s">
        <v>18</v>
      </c>
      <c r="B19" s="766"/>
      <c r="C19" s="767" t="s">
        <v>19</v>
      </c>
      <c r="D19" s="767"/>
      <c r="E19" s="767"/>
      <c r="F19" s="767"/>
      <c r="G19" s="767"/>
      <c r="H19" s="767"/>
      <c r="I19" s="768" t="s">
        <v>20</v>
      </c>
      <c r="J19" s="768"/>
    </row>
    <row r="20" spans="1:14" ht="15.75" customHeight="1">
      <c r="A20" s="560" t="s">
        <v>21</v>
      </c>
      <c r="B20" s="560"/>
      <c r="C20" s="541" t="s">
        <v>466</v>
      </c>
      <c r="D20" s="541"/>
      <c r="E20" s="541"/>
      <c r="F20" s="541"/>
      <c r="G20" s="541"/>
      <c r="H20" s="541"/>
      <c r="I20" s="561">
        <v>0.65</v>
      </c>
      <c r="J20" s="541"/>
    </row>
    <row r="21" spans="1:14" ht="15.75" customHeight="1">
      <c r="A21" s="560"/>
      <c r="B21" s="560"/>
      <c r="C21" s="560" t="s">
        <v>199</v>
      </c>
      <c r="D21" s="560"/>
      <c r="E21" s="560"/>
      <c r="F21" s="560"/>
      <c r="G21" s="560"/>
      <c r="H21" s="560"/>
      <c r="I21" s="561">
        <v>0.72</v>
      </c>
      <c r="J21" s="561"/>
    </row>
    <row r="22" spans="1:14" ht="15.75" customHeight="1">
      <c r="A22" s="769" t="s">
        <v>22</v>
      </c>
      <c r="B22" s="769"/>
      <c r="C22" s="769" t="s">
        <v>61</v>
      </c>
      <c r="D22" s="769"/>
      <c r="E22" s="769"/>
      <c r="F22" s="769"/>
      <c r="G22" s="769"/>
      <c r="H22" s="769"/>
      <c r="I22" s="770">
        <v>168923000</v>
      </c>
      <c r="J22" s="771"/>
    </row>
    <row r="23" spans="1:14" ht="15.75" customHeight="1">
      <c r="A23" s="769" t="s">
        <v>23</v>
      </c>
      <c r="B23" s="769"/>
      <c r="C23" s="769" t="s">
        <v>200</v>
      </c>
      <c r="D23" s="769"/>
      <c r="E23" s="769"/>
      <c r="F23" s="769"/>
      <c r="G23" s="769"/>
      <c r="H23" s="769"/>
      <c r="I23" s="772">
        <f>101+196+3</f>
        <v>300</v>
      </c>
      <c r="J23" s="772"/>
    </row>
    <row r="24" spans="1:14" ht="72.75" customHeight="1">
      <c r="A24" s="769" t="s">
        <v>24</v>
      </c>
      <c r="B24" s="769"/>
      <c r="C24" s="541" t="s">
        <v>470</v>
      </c>
      <c r="D24" s="541"/>
      <c r="E24" s="541"/>
      <c r="F24" s="541"/>
      <c r="G24" s="541"/>
      <c r="H24" s="541"/>
      <c r="I24" s="542" t="s">
        <v>473</v>
      </c>
      <c r="J24" s="543"/>
    </row>
    <row r="25" spans="1:14" ht="15.75" customHeight="1">
      <c r="A25" s="773" t="s">
        <v>63</v>
      </c>
      <c r="B25" s="773"/>
      <c r="C25" s="773"/>
      <c r="D25" s="773"/>
      <c r="E25" s="773"/>
      <c r="F25" s="773"/>
      <c r="G25" s="773"/>
      <c r="H25" s="773"/>
      <c r="I25" s="773"/>
      <c r="J25" s="773"/>
    </row>
    <row r="26" spans="1:14" ht="15.75" customHeight="1" thickBot="1">
      <c r="A26" s="202"/>
      <c r="B26" s="762"/>
      <c r="C26" s="617"/>
      <c r="D26" s="763" t="s">
        <v>27</v>
      </c>
      <c r="E26" s="764"/>
      <c r="F26" s="764"/>
      <c r="G26" s="764"/>
      <c r="H26" s="764"/>
      <c r="I26" s="765"/>
      <c r="J26" s="110"/>
    </row>
    <row r="27" spans="1:14" ht="15.75" customHeight="1" thickBot="1">
      <c r="A27" s="203" t="s">
        <v>25</v>
      </c>
      <c r="B27" s="628" t="s">
        <v>26</v>
      </c>
      <c r="C27" s="613"/>
      <c r="D27" s="629" t="s">
        <v>29</v>
      </c>
      <c r="E27" s="630"/>
      <c r="F27" s="204" t="s">
        <v>30</v>
      </c>
      <c r="G27" s="204" t="s">
        <v>31</v>
      </c>
      <c r="H27" s="631" t="s">
        <v>64</v>
      </c>
      <c r="I27" s="632"/>
      <c r="J27" s="205" t="s">
        <v>28</v>
      </c>
    </row>
    <row r="28" spans="1:14">
      <c r="A28" s="206">
        <v>5</v>
      </c>
      <c r="B28" s="633" t="s">
        <v>65</v>
      </c>
      <c r="C28" s="634"/>
      <c r="D28" s="207"/>
      <c r="E28" s="208"/>
      <c r="F28" s="209"/>
      <c r="G28" s="209"/>
      <c r="H28" s="210"/>
      <c r="I28" s="211"/>
      <c r="J28" s="414">
        <f>J29</f>
        <v>168923000</v>
      </c>
      <c r="K28" s="59"/>
      <c r="N28" s="118"/>
    </row>
    <row r="29" spans="1:14">
      <c r="A29" s="159" t="s">
        <v>68</v>
      </c>
      <c r="B29" s="622" t="s">
        <v>69</v>
      </c>
      <c r="C29" s="623"/>
      <c r="D29" s="105"/>
      <c r="E29" s="106"/>
      <c r="F29" s="107"/>
      <c r="G29" s="107"/>
      <c r="H29" s="109"/>
      <c r="I29" s="110"/>
      <c r="J29" s="212">
        <f>J31+J54+J60</f>
        <v>168923000</v>
      </c>
      <c r="K29" s="213"/>
    </row>
    <row r="30" spans="1:14" ht="16.5" customHeight="1">
      <c r="A30" s="88" t="s">
        <v>70</v>
      </c>
      <c r="B30" s="578" t="s">
        <v>71</v>
      </c>
      <c r="C30" s="579"/>
      <c r="D30" s="89"/>
      <c r="E30" s="90"/>
      <c r="F30" s="91"/>
      <c r="G30" s="91"/>
      <c r="H30" s="92"/>
      <c r="I30" s="93"/>
      <c r="J30" s="214">
        <f>J31</f>
        <v>20603000</v>
      </c>
      <c r="K30" s="215"/>
      <c r="N30" s="213"/>
    </row>
    <row r="31" spans="1:14" ht="16.5" customHeight="1">
      <c r="A31" s="88" t="s">
        <v>72</v>
      </c>
      <c r="B31" s="578" t="s">
        <v>73</v>
      </c>
      <c r="C31" s="579"/>
      <c r="D31" s="89"/>
      <c r="E31" s="90"/>
      <c r="F31" s="91"/>
      <c r="G31" s="91"/>
      <c r="H31" s="92"/>
      <c r="I31" s="93"/>
      <c r="J31" s="214">
        <f>J33+J36+J43+J46</f>
        <v>20603000</v>
      </c>
      <c r="K31" s="215"/>
      <c r="L31" s="213"/>
    </row>
    <row r="32" spans="1:14" ht="13.5" customHeight="1">
      <c r="A32" s="88"/>
      <c r="B32" s="95"/>
      <c r="C32" s="96"/>
      <c r="D32" s="89"/>
      <c r="E32" s="90"/>
      <c r="F32" s="91"/>
      <c r="G32" s="216"/>
      <c r="H32" s="92"/>
      <c r="I32" s="93"/>
      <c r="J32" s="97"/>
      <c r="K32" s="215"/>
    </row>
    <row r="33" spans="1:13" ht="27.75" customHeight="1">
      <c r="A33" s="88" t="s">
        <v>91</v>
      </c>
      <c r="B33" s="578" t="s">
        <v>92</v>
      </c>
      <c r="C33" s="579"/>
      <c r="D33" s="89"/>
      <c r="E33" s="90"/>
      <c r="F33" s="91"/>
      <c r="G33" s="91"/>
      <c r="H33" s="92"/>
      <c r="I33" s="93"/>
      <c r="J33" s="94">
        <f>J34+J35</f>
        <v>1935900</v>
      </c>
    </row>
    <row r="34" spans="1:13" ht="16.5" customHeight="1">
      <c r="A34" s="88"/>
      <c r="B34" s="580" t="s">
        <v>213</v>
      </c>
      <c r="C34" s="581"/>
      <c r="D34" s="89">
        <v>12</v>
      </c>
      <c r="E34" s="90"/>
      <c r="F34" s="91" t="s">
        <v>93</v>
      </c>
      <c r="G34" s="82">
        <v>87875</v>
      </c>
      <c r="H34" s="92"/>
      <c r="I34" s="93"/>
      <c r="J34" s="97">
        <f>D34*G34</f>
        <v>1054500</v>
      </c>
      <c r="K34" s="213"/>
    </row>
    <row r="35" spans="1:13" ht="16.5" customHeight="1">
      <c r="A35" s="88"/>
      <c r="B35" s="580" t="s">
        <v>214</v>
      </c>
      <c r="C35" s="581"/>
      <c r="D35" s="89">
        <v>12</v>
      </c>
      <c r="E35" s="90"/>
      <c r="F35" s="91" t="s">
        <v>93</v>
      </c>
      <c r="G35" s="82">
        <v>73450</v>
      </c>
      <c r="H35" s="92"/>
      <c r="I35" s="93"/>
      <c r="J35" s="97">
        <f>D35*G35</f>
        <v>881400</v>
      </c>
    </row>
    <row r="36" spans="1:13" ht="29.25" customHeight="1">
      <c r="A36" s="88" t="s">
        <v>94</v>
      </c>
      <c r="B36" s="578" t="s">
        <v>95</v>
      </c>
      <c r="C36" s="579"/>
      <c r="D36" s="89"/>
      <c r="E36" s="90"/>
      <c r="F36" s="91"/>
      <c r="G36" s="91"/>
      <c r="H36" s="92"/>
      <c r="I36" s="93"/>
      <c r="J36" s="94">
        <f>SUM(J37:J40)</f>
        <v>6300000</v>
      </c>
    </row>
    <row r="37" spans="1:13" ht="15" customHeight="1">
      <c r="A37" s="88"/>
      <c r="B37" s="580" t="s">
        <v>448</v>
      </c>
      <c r="C37" s="581"/>
      <c r="D37" s="89">
        <v>10</v>
      </c>
      <c r="E37" s="90"/>
      <c r="F37" s="91" t="s">
        <v>79</v>
      </c>
      <c r="G37" s="86">
        <v>157500</v>
      </c>
      <c r="H37" s="92"/>
      <c r="I37" s="93"/>
      <c r="J37" s="97">
        <f t="shared" ref="J37:J40" si="0">D37*G37</f>
        <v>1575000</v>
      </c>
    </row>
    <row r="38" spans="1:13" ht="15" customHeight="1">
      <c r="A38" s="88"/>
      <c r="B38" s="580" t="s">
        <v>449</v>
      </c>
      <c r="C38" s="581"/>
      <c r="D38" s="89">
        <v>10</v>
      </c>
      <c r="E38" s="90"/>
      <c r="F38" s="91" t="s">
        <v>79</v>
      </c>
      <c r="G38" s="86">
        <v>157500</v>
      </c>
      <c r="H38" s="92"/>
      <c r="I38" s="93"/>
      <c r="J38" s="97">
        <f t="shared" si="0"/>
        <v>1575000</v>
      </c>
    </row>
    <row r="39" spans="1:13" ht="15" customHeight="1">
      <c r="A39" s="88"/>
      <c r="B39" s="580" t="s">
        <v>450</v>
      </c>
      <c r="C39" s="581"/>
      <c r="D39" s="89">
        <v>10</v>
      </c>
      <c r="E39" s="90"/>
      <c r="F39" s="91" t="s">
        <v>79</v>
      </c>
      <c r="G39" s="86">
        <v>157500</v>
      </c>
      <c r="H39" s="92"/>
      <c r="I39" s="93"/>
      <c r="J39" s="97">
        <f t="shared" si="0"/>
        <v>1575000</v>
      </c>
    </row>
    <row r="40" spans="1:13" ht="15" customHeight="1">
      <c r="A40" s="88"/>
      <c r="B40" s="580" t="s">
        <v>451</v>
      </c>
      <c r="C40" s="581"/>
      <c r="D40" s="89">
        <v>10</v>
      </c>
      <c r="E40" s="90"/>
      <c r="F40" s="91" t="s">
        <v>79</v>
      </c>
      <c r="G40" s="86">
        <v>157500</v>
      </c>
      <c r="H40" s="92"/>
      <c r="I40" s="93"/>
      <c r="J40" s="97">
        <f t="shared" si="0"/>
        <v>1575000</v>
      </c>
    </row>
    <row r="41" spans="1:13" ht="15" customHeight="1">
      <c r="A41" s="88"/>
      <c r="B41" s="582"/>
      <c r="C41" s="583"/>
      <c r="D41" s="105"/>
      <c r="E41" s="106"/>
      <c r="F41" s="107"/>
      <c r="G41" s="108"/>
      <c r="H41" s="109"/>
      <c r="I41" s="110"/>
      <c r="J41" s="97"/>
      <c r="K41" s="215"/>
    </row>
    <row r="42" spans="1:13" ht="12" customHeight="1">
      <c r="A42" s="88"/>
      <c r="B42" s="95"/>
      <c r="C42" s="96"/>
      <c r="D42" s="89"/>
      <c r="E42" s="90"/>
      <c r="F42" s="91"/>
      <c r="G42" s="216"/>
      <c r="H42" s="92"/>
      <c r="I42" s="93"/>
      <c r="J42" s="97"/>
    </row>
    <row r="43" spans="1:13" ht="24" customHeight="1">
      <c r="A43" s="159" t="s">
        <v>97</v>
      </c>
      <c r="B43" s="622" t="s">
        <v>98</v>
      </c>
      <c r="C43" s="623"/>
      <c r="D43" s="105"/>
      <c r="E43" s="106"/>
      <c r="F43" s="107"/>
      <c r="G43" s="107"/>
      <c r="H43" s="109"/>
      <c r="I43" s="110"/>
      <c r="J43" s="212">
        <f>SUM(J44:J44)</f>
        <v>635600</v>
      </c>
    </row>
    <row r="44" spans="1:13" ht="12.75" customHeight="1">
      <c r="A44" s="202"/>
      <c r="B44" s="582" t="s">
        <v>201</v>
      </c>
      <c r="C44" s="583"/>
      <c r="D44" s="105">
        <f>1700+116</f>
        <v>1816</v>
      </c>
      <c r="E44" s="162"/>
      <c r="F44" s="106" t="s">
        <v>202</v>
      </c>
      <c r="G44" s="216">
        <v>350</v>
      </c>
      <c r="H44" s="109"/>
      <c r="I44" s="110"/>
      <c r="J44" s="97">
        <f t="shared" ref="J44" si="1">D44*G44</f>
        <v>635600</v>
      </c>
      <c r="L44" s="40"/>
    </row>
    <row r="45" spans="1:13" ht="16.5" customHeight="1">
      <c r="A45" s="202"/>
      <c r="B45" s="103"/>
      <c r="C45" s="104"/>
      <c r="D45" s="105"/>
      <c r="E45" s="106"/>
      <c r="F45" s="107"/>
      <c r="G45" s="108"/>
      <c r="H45" s="109"/>
      <c r="I45" s="110"/>
      <c r="J45" s="217"/>
      <c r="L45" s="40"/>
    </row>
    <row r="46" spans="1:13" ht="18" customHeight="1">
      <c r="A46" s="159" t="s">
        <v>141</v>
      </c>
      <c r="B46" s="622" t="s">
        <v>203</v>
      </c>
      <c r="C46" s="623"/>
      <c r="D46" s="105"/>
      <c r="E46" s="106"/>
      <c r="F46" s="107"/>
      <c r="G46" s="108"/>
      <c r="H46" s="109"/>
      <c r="I46" s="110"/>
      <c r="J46" s="218">
        <f>J47+J50</f>
        <v>11731500</v>
      </c>
      <c r="L46" s="213"/>
      <c r="M46" s="213"/>
    </row>
    <row r="47" spans="1:13" ht="28.5" customHeight="1">
      <c r="A47" s="159"/>
      <c r="B47" s="626" t="s">
        <v>452</v>
      </c>
      <c r="C47" s="627"/>
      <c r="D47" s="161"/>
      <c r="E47" s="114"/>
      <c r="F47" s="115"/>
      <c r="G47" s="108"/>
      <c r="H47" s="109"/>
      <c r="I47" s="110"/>
      <c r="J47" s="218">
        <f>J48+J49</f>
        <v>5445000</v>
      </c>
      <c r="L47" s="213"/>
      <c r="M47" s="213"/>
    </row>
    <row r="48" spans="1:13" ht="18" customHeight="1">
      <c r="A48" s="159"/>
      <c r="B48" s="410" t="s">
        <v>142</v>
      </c>
      <c r="C48" s="226"/>
      <c r="D48" s="407">
        <v>110</v>
      </c>
      <c r="E48" s="411"/>
      <c r="F48" s="412" t="s">
        <v>126</v>
      </c>
      <c r="G48" s="244">
        <v>33000</v>
      </c>
      <c r="H48" s="408"/>
      <c r="I48" s="409"/>
      <c r="J48" s="413">
        <f t="shared" ref="J48:J49" si="2">D48*G48</f>
        <v>3630000</v>
      </c>
      <c r="L48" s="213"/>
      <c r="M48" s="213"/>
    </row>
    <row r="49" spans="1:13" ht="18" customHeight="1">
      <c r="A49" s="159"/>
      <c r="B49" s="410" t="s">
        <v>204</v>
      </c>
      <c r="C49" s="226"/>
      <c r="D49" s="407">
        <v>110</v>
      </c>
      <c r="E49" s="411"/>
      <c r="F49" s="412" t="s">
        <v>126</v>
      </c>
      <c r="G49" s="244">
        <v>16500</v>
      </c>
      <c r="H49" s="408"/>
      <c r="I49" s="409"/>
      <c r="J49" s="413">
        <f t="shared" si="2"/>
        <v>1815000</v>
      </c>
      <c r="L49" s="213"/>
      <c r="M49" s="213"/>
    </row>
    <row r="50" spans="1:13" ht="30" customHeight="1">
      <c r="A50" s="159"/>
      <c r="B50" s="626" t="s">
        <v>453</v>
      </c>
      <c r="C50" s="627"/>
      <c r="D50" s="105"/>
      <c r="E50" s="106"/>
      <c r="F50" s="107"/>
      <c r="G50" s="82"/>
      <c r="H50" s="109"/>
      <c r="I50" s="110"/>
      <c r="J50" s="227">
        <f>J51+J52</f>
        <v>6286500</v>
      </c>
      <c r="L50" s="213"/>
      <c r="M50" s="213"/>
    </row>
    <row r="51" spans="1:13" ht="18" customHeight="1">
      <c r="A51" s="159"/>
      <c r="B51" s="160" t="s">
        <v>142</v>
      </c>
      <c r="C51" s="112"/>
      <c r="D51" s="161">
        <v>127</v>
      </c>
      <c r="E51" s="162"/>
      <c r="F51" s="106" t="s">
        <v>126</v>
      </c>
      <c r="G51" s="244">
        <v>33000</v>
      </c>
      <c r="H51" s="109"/>
      <c r="I51" s="110"/>
      <c r="J51" s="163">
        <f t="shared" ref="J51:J52" si="3">D51*G51</f>
        <v>4191000</v>
      </c>
      <c r="L51" s="213"/>
      <c r="M51" s="213"/>
    </row>
    <row r="52" spans="1:13" ht="14.25" customHeight="1">
      <c r="A52" s="202"/>
      <c r="B52" s="160" t="s">
        <v>204</v>
      </c>
      <c r="C52" s="112"/>
      <c r="D52" s="161">
        <v>127</v>
      </c>
      <c r="E52" s="162"/>
      <c r="F52" s="106" t="s">
        <v>126</v>
      </c>
      <c r="G52" s="244">
        <v>16500</v>
      </c>
      <c r="H52" s="109"/>
      <c r="I52" s="110"/>
      <c r="J52" s="163">
        <f t="shared" si="3"/>
        <v>2095500</v>
      </c>
    </row>
    <row r="53" spans="1:13" ht="15.75" customHeight="1">
      <c r="A53" s="202"/>
      <c r="B53" s="624"/>
      <c r="C53" s="625"/>
      <c r="D53" s="219"/>
      <c r="E53" s="220"/>
      <c r="F53" s="221"/>
      <c r="G53" s="158"/>
      <c r="H53" s="222"/>
      <c r="I53" s="223"/>
      <c r="J53" s="224"/>
      <c r="K53" s="225"/>
    </row>
    <row r="54" spans="1:13" ht="28.5" customHeight="1">
      <c r="A54" s="72" t="s">
        <v>106</v>
      </c>
      <c r="B54" s="572" t="s">
        <v>107</v>
      </c>
      <c r="C54" s="507"/>
      <c r="D54" s="73"/>
      <c r="E54" s="74"/>
      <c r="F54" s="75"/>
      <c r="G54" s="76"/>
      <c r="H54" s="77"/>
      <c r="I54" s="45"/>
      <c r="J54" s="181">
        <f>J55</f>
        <v>7200000</v>
      </c>
    </row>
    <row r="55" spans="1:13" ht="33" customHeight="1">
      <c r="A55" s="122"/>
      <c r="B55" s="618" t="s">
        <v>205</v>
      </c>
      <c r="C55" s="619"/>
      <c r="D55" s="73"/>
      <c r="E55" s="74"/>
      <c r="F55" s="75"/>
      <c r="G55" s="76"/>
      <c r="H55" s="77"/>
      <c r="I55" s="45"/>
      <c r="J55" s="70">
        <f>J56+J58</f>
        <v>7200000</v>
      </c>
    </row>
    <row r="56" spans="1:13" ht="27.75" customHeight="1">
      <c r="A56" s="122"/>
      <c r="B56" s="528" t="s">
        <v>164</v>
      </c>
      <c r="C56" s="522"/>
      <c r="D56" s="73">
        <v>2</v>
      </c>
      <c r="E56" s="74">
        <v>2</v>
      </c>
      <c r="F56" s="75" t="s">
        <v>109</v>
      </c>
      <c r="G56" s="86">
        <v>900000</v>
      </c>
      <c r="H56" s="77"/>
      <c r="I56" s="45"/>
      <c r="J56" s="119">
        <f>D56*E56*G56</f>
        <v>3600000</v>
      </c>
    </row>
    <row r="57" spans="1:13" ht="34.5" customHeight="1">
      <c r="A57" s="122"/>
      <c r="B57" s="620" t="s">
        <v>454</v>
      </c>
      <c r="C57" s="621"/>
      <c r="D57" s="73"/>
      <c r="E57" s="74"/>
      <c r="F57" s="75"/>
      <c r="G57" s="86"/>
      <c r="H57" s="77"/>
      <c r="I57" s="45"/>
      <c r="J57" s="119"/>
    </row>
    <row r="58" spans="1:13" ht="27.75" customHeight="1">
      <c r="A58" s="122"/>
      <c r="B58" s="528" t="s">
        <v>164</v>
      </c>
      <c r="C58" s="522"/>
      <c r="D58" s="73">
        <v>2</v>
      </c>
      <c r="E58" s="74">
        <v>2</v>
      </c>
      <c r="F58" s="75" t="s">
        <v>109</v>
      </c>
      <c r="G58" s="86">
        <v>900000</v>
      </c>
      <c r="H58" s="77"/>
      <c r="I58" s="45"/>
      <c r="J58" s="119">
        <f>D58*E58*G58</f>
        <v>3600000</v>
      </c>
    </row>
    <row r="59" spans="1:13" ht="27.75" customHeight="1">
      <c r="A59" s="122"/>
      <c r="B59" s="121"/>
      <c r="C59" s="121"/>
      <c r="D59" s="73"/>
      <c r="E59" s="74"/>
      <c r="F59" s="75"/>
      <c r="G59" s="86"/>
      <c r="H59" s="77"/>
      <c r="I59" s="45"/>
      <c r="J59" s="119"/>
    </row>
    <row r="60" spans="1:13" ht="18.75" customHeight="1">
      <c r="A60" s="159" t="s">
        <v>112</v>
      </c>
      <c r="B60" s="622" t="s">
        <v>113</v>
      </c>
      <c r="C60" s="623"/>
      <c r="D60" s="73"/>
      <c r="E60" s="74"/>
      <c r="F60" s="75"/>
      <c r="G60" s="86"/>
      <c r="H60" s="77"/>
      <c r="I60" s="45"/>
      <c r="J60" s="181">
        <f>J82+J62</f>
        <v>141120000</v>
      </c>
    </row>
    <row r="61" spans="1:13" ht="16.5" hidden="1" customHeight="1">
      <c r="A61" s="159" t="s">
        <v>112</v>
      </c>
      <c r="B61" s="622" t="s">
        <v>113</v>
      </c>
      <c r="C61" s="623"/>
      <c r="D61" s="105"/>
      <c r="E61" s="106"/>
      <c r="F61" s="107"/>
      <c r="G61" s="86"/>
      <c r="H61" s="109"/>
      <c r="I61" s="110"/>
      <c r="J61" s="228" t="e">
        <f>#REF!</f>
        <v>#REF!</v>
      </c>
    </row>
    <row r="62" spans="1:13">
      <c r="A62" s="159" t="s">
        <v>116</v>
      </c>
      <c r="B62" s="622" t="s">
        <v>117</v>
      </c>
      <c r="C62" s="623"/>
      <c r="D62" s="105"/>
      <c r="E62" s="106"/>
      <c r="F62" s="107"/>
      <c r="G62" s="86"/>
      <c r="H62" s="109"/>
      <c r="I62" s="110"/>
      <c r="J62" s="212">
        <f>J63+J66+J69+J72+J75+J78</f>
        <v>41620000</v>
      </c>
    </row>
    <row r="63" spans="1:13">
      <c r="A63" s="159"/>
      <c r="B63" s="572" t="s">
        <v>190</v>
      </c>
      <c r="C63" s="507"/>
      <c r="D63" s="73"/>
      <c r="E63" s="74"/>
      <c r="F63" s="75"/>
      <c r="G63" s="86"/>
      <c r="H63" s="77"/>
      <c r="I63" s="45"/>
      <c r="J63" s="79">
        <f>J64+J65</f>
        <v>7400000</v>
      </c>
    </row>
    <row r="64" spans="1:13" ht="25.5" customHeight="1">
      <c r="A64" s="159"/>
      <c r="B64" s="571" t="s">
        <v>119</v>
      </c>
      <c r="C64" s="522"/>
      <c r="D64" s="73">
        <v>36</v>
      </c>
      <c r="E64" s="74"/>
      <c r="F64" s="75" t="s">
        <v>126</v>
      </c>
      <c r="G64" s="82">
        <v>170000</v>
      </c>
      <c r="H64" s="77"/>
      <c r="I64" s="45"/>
      <c r="J64" s="87">
        <f>D64*G64</f>
        <v>6120000</v>
      </c>
    </row>
    <row r="65" spans="1:10">
      <c r="A65" s="159"/>
      <c r="B65" s="571" t="s">
        <v>191</v>
      </c>
      <c r="C65" s="522"/>
      <c r="D65" s="73">
        <v>2</v>
      </c>
      <c r="E65" s="74">
        <v>2</v>
      </c>
      <c r="F65" s="75" t="s">
        <v>126</v>
      </c>
      <c r="G65" s="82">
        <v>320000</v>
      </c>
      <c r="H65" s="77"/>
      <c r="I65" s="45"/>
      <c r="J65" s="87">
        <f>D65*E65*G65</f>
        <v>1280000</v>
      </c>
    </row>
    <row r="66" spans="1:10" ht="16.5" customHeight="1">
      <c r="A66" s="159"/>
      <c r="B66" s="572" t="s">
        <v>192</v>
      </c>
      <c r="C66" s="507"/>
      <c r="D66" s="73"/>
      <c r="E66" s="74"/>
      <c r="F66" s="75"/>
      <c r="G66" s="82"/>
      <c r="H66" s="77"/>
      <c r="I66" s="45"/>
      <c r="J66" s="79">
        <f>J67+J68</f>
        <v>7000000</v>
      </c>
    </row>
    <row r="67" spans="1:10" ht="25.5" customHeight="1">
      <c r="A67" s="159"/>
      <c r="B67" s="571" t="s">
        <v>119</v>
      </c>
      <c r="C67" s="522"/>
      <c r="D67" s="73">
        <v>36</v>
      </c>
      <c r="E67" s="74"/>
      <c r="F67" s="75" t="s">
        <v>126</v>
      </c>
      <c r="G67" s="82">
        <v>170000</v>
      </c>
      <c r="H67" s="77"/>
      <c r="I67" s="45"/>
      <c r="J67" s="87">
        <f>D67*G67</f>
        <v>6120000</v>
      </c>
    </row>
    <row r="68" spans="1:10">
      <c r="A68" s="159"/>
      <c r="B68" s="571" t="s">
        <v>193</v>
      </c>
      <c r="C68" s="522"/>
      <c r="D68" s="73">
        <v>2</v>
      </c>
      <c r="E68" s="74">
        <v>2</v>
      </c>
      <c r="F68" s="75" t="s">
        <v>126</v>
      </c>
      <c r="G68" s="82">
        <v>220000</v>
      </c>
      <c r="H68" s="77"/>
      <c r="I68" s="45"/>
      <c r="J68" s="87">
        <f t="shared" ref="J68:J80" si="4">D68*E68*G68</f>
        <v>880000</v>
      </c>
    </row>
    <row r="69" spans="1:10">
      <c r="A69" s="159"/>
      <c r="B69" s="572" t="s">
        <v>194</v>
      </c>
      <c r="C69" s="507"/>
      <c r="D69" s="73"/>
      <c r="E69" s="74"/>
      <c r="F69" s="75"/>
      <c r="G69" s="82"/>
      <c r="H69" s="77"/>
      <c r="I69" s="45"/>
      <c r="J69" s="79">
        <f>J70+J71</f>
        <v>6860000</v>
      </c>
    </row>
    <row r="70" spans="1:10" ht="25.5" customHeight="1">
      <c r="A70" s="159"/>
      <c r="B70" s="571" t="s">
        <v>119</v>
      </c>
      <c r="C70" s="522"/>
      <c r="D70" s="73">
        <v>36</v>
      </c>
      <c r="E70" s="74"/>
      <c r="F70" s="75" t="s">
        <v>126</v>
      </c>
      <c r="G70" s="82">
        <v>170000</v>
      </c>
      <c r="H70" s="77"/>
      <c r="I70" s="45"/>
      <c r="J70" s="87">
        <f>D70*G70</f>
        <v>6120000</v>
      </c>
    </row>
    <row r="71" spans="1:10">
      <c r="A71" s="159"/>
      <c r="B71" s="571" t="s">
        <v>193</v>
      </c>
      <c r="C71" s="522"/>
      <c r="D71" s="73">
        <v>2</v>
      </c>
      <c r="E71" s="74">
        <v>2</v>
      </c>
      <c r="F71" s="75" t="s">
        <v>126</v>
      </c>
      <c r="G71" s="82">
        <v>185000</v>
      </c>
      <c r="H71" s="77"/>
      <c r="I71" s="45"/>
      <c r="J71" s="87">
        <f t="shared" si="4"/>
        <v>740000</v>
      </c>
    </row>
    <row r="72" spans="1:10">
      <c r="A72" s="159"/>
      <c r="B72" s="572" t="s">
        <v>195</v>
      </c>
      <c r="C72" s="507"/>
      <c r="D72" s="73"/>
      <c r="E72" s="74"/>
      <c r="F72" s="75"/>
      <c r="G72" s="82"/>
      <c r="H72" s="77"/>
      <c r="I72" s="45"/>
      <c r="J72" s="79">
        <f>J73+J74</f>
        <v>6700000</v>
      </c>
    </row>
    <row r="73" spans="1:10" ht="25.5" customHeight="1">
      <c r="A73" s="159"/>
      <c r="B73" s="571" t="s">
        <v>119</v>
      </c>
      <c r="C73" s="522"/>
      <c r="D73" s="73">
        <v>36</v>
      </c>
      <c r="E73" s="74"/>
      <c r="F73" s="75" t="s">
        <v>126</v>
      </c>
      <c r="G73" s="82">
        <v>170000</v>
      </c>
      <c r="H73" s="77"/>
      <c r="I73" s="45"/>
      <c r="J73" s="87">
        <f>D73*G73</f>
        <v>6120000</v>
      </c>
    </row>
    <row r="74" spans="1:10">
      <c r="A74" s="159"/>
      <c r="B74" s="571" t="s">
        <v>193</v>
      </c>
      <c r="C74" s="522"/>
      <c r="D74" s="73">
        <v>2</v>
      </c>
      <c r="E74" s="74">
        <v>2</v>
      </c>
      <c r="F74" s="75" t="s">
        <v>126</v>
      </c>
      <c r="G74" s="82">
        <v>145000</v>
      </c>
      <c r="H74" s="77"/>
      <c r="I74" s="45"/>
      <c r="J74" s="87">
        <f t="shared" si="4"/>
        <v>580000</v>
      </c>
    </row>
    <row r="75" spans="1:10">
      <c r="A75" s="159"/>
      <c r="B75" s="572" t="s">
        <v>196</v>
      </c>
      <c r="C75" s="507"/>
      <c r="D75" s="73"/>
      <c r="E75" s="74"/>
      <c r="F75" s="75"/>
      <c r="G75" s="82"/>
      <c r="H75" s="77"/>
      <c r="I75" s="45"/>
      <c r="J75" s="79">
        <f>J76+J77</f>
        <v>6660000</v>
      </c>
    </row>
    <row r="76" spans="1:10" ht="25.5" customHeight="1">
      <c r="A76" s="159"/>
      <c r="B76" s="571" t="s">
        <v>119</v>
      </c>
      <c r="C76" s="522"/>
      <c r="D76" s="73">
        <v>36</v>
      </c>
      <c r="E76" s="74"/>
      <c r="F76" s="75" t="s">
        <v>126</v>
      </c>
      <c r="G76" s="82">
        <v>170000</v>
      </c>
      <c r="H76" s="77"/>
      <c r="I76" s="45"/>
      <c r="J76" s="87">
        <f>D76*G76</f>
        <v>6120000</v>
      </c>
    </row>
    <row r="77" spans="1:10">
      <c r="A77" s="159"/>
      <c r="B77" s="571" t="s">
        <v>191</v>
      </c>
      <c r="C77" s="522"/>
      <c r="D77" s="73">
        <v>2</v>
      </c>
      <c r="E77" s="74">
        <v>2</v>
      </c>
      <c r="F77" s="75" t="s">
        <v>126</v>
      </c>
      <c r="G77" s="82">
        <v>135000</v>
      </c>
      <c r="H77" s="77"/>
      <c r="I77" s="45"/>
      <c r="J77" s="87">
        <f t="shared" si="4"/>
        <v>540000</v>
      </c>
    </row>
    <row r="78" spans="1:10">
      <c r="A78" s="159"/>
      <c r="B78" s="572" t="s">
        <v>197</v>
      </c>
      <c r="C78" s="507"/>
      <c r="D78" s="73"/>
      <c r="E78" s="74"/>
      <c r="F78" s="75"/>
      <c r="G78" s="82"/>
      <c r="H78" s="77"/>
      <c r="I78" s="45"/>
      <c r="J78" s="79">
        <f>J79+J80</f>
        <v>7000000</v>
      </c>
    </row>
    <row r="79" spans="1:10" ht="25.5" customHeight="1">
      <c r="A79" s="159"/>
      <c r="B79" s="571" t="s">
        <v>119</v>
      </c>
      <c r="C79" s="522"/>
      <c r="D79" s="73">
        <v>36</v>
      </c>
      <c r="E79" s="74"/>
      <c r="F79" s="75" t="s">
        <v>126</v>
      </c>
      <c r="G79" s="82">
        <v>170000</v>
      </c>
      <c r="H79" s="77"/>
      <c r="I79" s="45"/>
      <c r="J79" s="87">
        <f>D79*G79</f>
        <v>6120000</v>
      </c>
    </row>
    <row r="80" spans="1:10">
      <c r="A80" s="159"/>
      <c r="B80" s="571" t="s">
        <v>193</v>
      </c>
      <c r="C80" s="522"/>
      <c r="D80" s="73">
        <v>2</v>
      </c>
      <c r="E80" s="74">
        <v>2</v>
      </c>
      <c r="F80" s="75" t="s">
        <v>126</v>
      </c>
      <c r="G80" s="82">
        <v>220000</v>
      </c>
      <c r="H80" s="77"/>
      <c r="I80" s="45"/>
      <c r="J80" s="87">
        <f t="shared" si="4"/>
        <v>880000</v>
      </c>
    </row>
    <row r="81" spans="1:17">
      <c r="A81" s="159"/>
      <c r="B81" s="121"/>
      <c r="C81" s="81"/>
      <c r="D81" s="120"/>
      <c r="E81" s="74"/>
      <c r="F81" s="75"/>
      <c r="G81" s="82"/>
      <c r="H81" s="77"/>
      <c r="I81" s="45"/>
      <c r="J81" s="87"/>
    </row>
    <row r="82" spans="1:17" s="38" customFormat="1" ht="30.75" customHeight="1">
      <c r="A82" s="122" t="s">
        <v>207</v>
      </c>
      <c r="B82" s="506" t="s">
        <v>253</v>
      </c>
      <c r="C82" s="532"/>
      <c r="D82" s="123"/>
      <c r="E82" s="117"/>
      <c r="F82" s="76"/>
      <c r="G82" s="86"/>
      <c r="H82" s="77"/>
      <c r="I82" s="45"/>
      <c r="J82" s="70">
        <f>J83+J84</f>
        <v>99500000</v>
      </c>
      <c r="K82" s="179"/>
      <c r="L82" s="171"/>
      <c r="M82" s="171"/>
      <c r="N82" s="171"/>
      <c r="O82" s="171"/>
      <c r="P82" s="171"/>
      <c r="Q82" s="171"/>
    </row>
    <row r="83" spans="1:17" s="38" customFormat="1" ht="48.75" customHeight="1">
      <c r="A83" s="72"/>
      <c r="B83" s="614" t="s">
        <v>206</v>
      </c>
      <c r="C83" s="615"/>
      <c r="D83" s="123">
        <v>90</v>
      </c>
      <c r="E83" s="117"/>
      <c r="F83" s="76" t="s">
        <v>111</v>
      </c>
      <c r="G83" s="86">
        <v>398000</v>
      </c>
      <c r="H83" s="109"/>
      <c r="I83" s="110"/>
      <c r="J83" s="119">
        <f>D83*G83</f>
        <v>35820000</v>
      </c>
      <c r="K83" s="179"/>
      <c r="L83" s="171"/>
      <c r="M83" s="171"/>
      <c r="N83" s="171"/>
      <c r="O83" s="171"/>
      <c r="P83" s="171"/>
      <c r="Q83" s="171"/>
    </row>
    <row r="84" spans="1:17" s="38" customFormat="1" ht="28.5" customHeight="1">
      <c r="A84" s="122"/>
      <c r="B84" s="616" t="s">
        <v>455</v>
      </c>
      <c r="C84" s="617"/>
      <c r="D84" s="123">
        <v>160</v>
      </c>
      <c r="E84" s="117"/>
      <c r="F84" s="76" t="s">
        <v>111</v>
      </c>
      <c r="G84" s="86">
        <v>398000</v>
      </c>
      <c r="H84" s="109"/>
      <c r="I84" s="110"/>
      <c r="J84" s="119">
        <f>D84*G84</f>
        <v>63680000</v>
      </c>
      <c r="K84" s="229"/>
      <c r="L84" s="171"/>
      <c r="M84" s="171"/>
      <c r="N84" s="171"/>
      <c r="O84" s="171"/>
      <c r="P84" s="171"/>
      <c r="Q84" s="171"/>
    </row>
    <row r="85" spans="1:17">
      <c r="A85" s="159"/>
      <c r="B85" s="230"/>
      <c r="C85" s="231"/>
      <c r="D85" s="105"/>
      <c r="E85" s="106"/>
      <c r="F85" s="107"/>
      <c r="G85" s="86"/>
      <c r="H85" s="109"/>
      <c r="I85" s="110"/>
      <c r="J85" s="212"/>
    </row>
    <row r="86" spans="1:17" ht="9.75" customHeight="1" thickBot="1">
      <c r="A86" s="232"/>
      <c r="B86" s="582"/>
      <c r="C86" s="583"/>
      <c r="D86" s="233"/>
      <c r="E86" s="234"/>
      <c r="F86" s="235"/>
      <c r="G86" s="235"/>
      <c r="H86" s="236"/>
      <c r="I86" s="237"/>
      <c r="J86" s="232"/>
    </row>
    <row r="87" spans="1:17" ht="21.75" customHeight="1" thickBot="1">
      <c r="A87" s="590" t="s">
        <v>129</v>
      </c>
      <c r="B87" s="591"/>
      <c r="C87" s="591"/>
      <c r="D87" s="591"/>
      <c r="E87" s="591"/>
      <c r="F87" s="591"/>
      <c r="G87" s="591"/>
      <c r="H87" s="591"/>
      <c r="I87" s="592"/>
      <c r="J87" s="238">
        <f>J28</f>
        <v>168923000</v>
      </c>
    </row>
    <row r="88" spans="1:17" ht="17.25" customHeight="1" thickTop="1">
      <c r="A88" s="593"/>
      <c r="B88" s="594"/>
      <c r="C88" s="594"/>
      <c r="D88" s="595"/>
      <c r="E88" s="464" t="s">
        <v>130</v>
      </c>
      <c r="F88" s="465"/>
      <c r="G88" s="465"/>
      <c r="H88" s="465"/>
      <c r="I88" s="465"/>
      <c r="J88" s="466"/>
    </row>
    <row r="89" spans="1:17" ht="15" customHeight="1">
      <c r="A89" s="596"/>
      <c r="B89" s="597"/>
      <c r="C89" s="597"/>
      <c r="D89" s="598"/>
      <c r="E89" s="602" t="s">
        <v>131</v>
      </c>
      <c r="F89" s="603"/>
      <c r="G89" s="603"/>
      <c r="H89" s="603"/>
      <c r="I89" s="603"/>
      <c r="J89" s="604"/>
    </row>
    <row r="90" spans="1:17" ht="17.25">
      <c r="A90" s="596"/>
      <c r="B90" s="597"/>
      <c r="C90" s="597"/>
      <c r="D90" s="598"/>
      <c r="E90" s="605"/>
      <c r="F90" s="606"/>
      <c r="G90" s="606"/>
      <c r="H90" s="606"/>
      <c r="I90" s="606"/>
      <c r="J90" s="607"/>
    </row>
    <row r="91" spans="1:17" ht="17.25">
      <c r="A91" s="596"/>
      <c r="B91" s="597"/>
      <c r="C91" s="597"/>
      <c r="D91" s="598"/>
      <c r="E91" s="605"/>
      <c r="F91" s="606"/>
      <c r="G91" s="606"/>
      <c r="H91" s="606"/>
      <c r="I91" s="606"/>
      <c r="J91" s="607"/>
    </row>
    <row r="92" spans="1:17" ht="17.25">
      <c r="A92" s="596"/>
      <c r="B92" s="597"/>
      <c r="C92" s="597"/>
      <c r="D92" s="598"/>
      <c r="E92" s="608"/>
      <c r="F92" s="609"/>
      <c r="G92" s="609"/>
      <c r="H92" s="609"/>
      <c r="I92" s="609"/>
      <c r="J92" s="610"/>
    </row>
    <row r="93" spans="1:17" ht="17.25" thickBot="1">
      <c r="A93" s="599"/>
      <c r="B93" s="600"/>
      <c r="C93" s="600"/>
      <c r="D93" s="601"/>
      <c r="E93" s="611" t="s">
        <v>132</v>
      </c>
      <c r="F93" s="612"/>
      <c r="G93" s="612"/>
      <c r="H93" s="612"/>
      <c r="I93" s="612"/>
      <c r="J93" s="613"/>
    </row>
  </sheetData>
  <mergeCells count="84">
    <mergeCell ref="A18:J18"/>
    <mergeCell ref="A19:B19"/>
    <mergeCell ref="C19:H19"/>
    <mergeCell ref="I19:J19"/>
    <mergeCell ref="A20:B21"/>
    <mergeCell ref="C20:H20"/>
    <mergeCell ref="I20:J20"/>
    <mergeCell ref="C21:H21"/>
    <mergeCell ref="I21:J21"/>
    <mergeCell ref="A22:B22"/>
    <mergeCell ref="C22:H22"/>
    <mergeCell ref="I22:J22"/>
    <mergeCell ref="A23:B23"/>
    <mergeCell ref="C23:H23"/>
    <mergeCell ref="I23:J23"/>
    <mergeCell ref="B30:C30"/>
    <mergeCell ref="A24:B24"/>
    <mergeCell ref="C24:H24"/>
    <mergeCell ref="I24:J24"/>
    <mergeCell ref="A25:J25"/>
    <mergeCell ref="B26:C26"/>
    <mergeCell ref="D26:I26"/>
    <mergeCell ref="B27:C27"/>
    <mergeCell ref="D27:E27"/>
    <mergeCell ref="H27:I27"/>
    <mergeCell ref="B28:C28"/>
    <mergeCell ref="B29:C29"/>
    <mergeCell ref="B53:C53"/>
    <mergeCell ref="B50:C50"/>
    <mergeCell ref="B31:C31"/>
    <mergeCell ref="B33:C33"/>
    <mergeCell ref="B34:C34"/>
    <mergeCell ref="B35:C35"/>
    <mergeCell ref="B36:C36"/>
    <mergeCell ref="B37:C37"/>
    <mergeCell ref="B38:C38"/>
    <mergeCell ref="B39:C39"/>
    <mergeCell ref="B40:C40"/>
    <mergeCell ref="B47:C47"/>
    <mergeCell ref="B41:C41"/>
    <mergeCell ref="B43:C43"/>
    <mergeCell ref="B44:C44"/>
    <mergeCell ref="B46:C46"/>
    <mergeCell ref="B54:C54"/>
    <mergeCell ref="B55:C55"/>
    <mergeCell ref="B56:C56"/>
    <mergeCell ref="B57:C57"/>
    <mergeCell ref="B68:C68"/>
    <mergeCell ref="B61:C61"/>
    <mergeCell ref="B62:C62"/>
    <mergeCell ref="B58:C58"/>
    <mergeCell ref="B60:C60"/>
    <mergeCell ref="B63:C63"/>
    <mergeCell ref="B64:C64"/>
    <mergeCell ref="B65:C65"/>
    <mergeCell ref="B66:C66"/>
    <mergeCell ref="B78:C78"/>
    <mergeCell ref="B79:C79"/>
    <mergeCell ref="B82:C82"/>
    <mergeCell ref="B83:C83"/>
    <mergeCell ref="B84:C84"/>
    <mergeCell ref="A88:D93"/>
    <mergeCell ref="E88:J88"/>
    <mergeCell ref="E89:J89"/>
    <mergeCell ref="E90:J90"/>
    <mergeCell ref="E91:J91"/>
    <mergeCell ref="E92:J92"/>
    <mergeCell ref="E93:J93"/>
    <mergeCell ref="A1:D1"/>
    <mergeCell ref="E1:J1"/>
    <mergeCell ref="A2:J2"/>
    <mergeCell ref="B86:C86"/>
    <mergeCell ref="A87:I87"/>
    <mergeCell ref="B67:C67"/>
    <mergeCell ref="B80:C80"/>
    <mergeCell ref="B69:C69"/>
    <mergeCell ref="B70:C70"/>
    <mergeCell ref="B71:C71"/>
    <mergeCell ref="B72:C72"/>
    <mergeCell ref="B73:C73"/>
    <mergeCell ref="B74:C74"/>
    <mergeCell ref="B75:C75"/>
    <mergeCell ref="B76:C76"/>
    <mergeCell ref="B77:C7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E657F-2547-4233-AE50-39FA49AD0A1D}">
  <dimension ref="A1:Y1069"/>
  <sheetViews>
    <sheetView topLeftCell="A7" workbookViewId="0">
      <selection activeCell="E16" sqref="E16"/>
    </sheetView>
  </sheetViews>
  <sheetFormatPr defaultColWidth="14.42578125" defaultRowHeight="15"/>
  <cols>
    <col min="1" max="1" width="18.42578125" bestFit="1" customWidth="1"/>
    <col min="2" max="2" width="43.42578125" customWidth="1"/>
    <col min="3" max="3" width="12.5703125" bestFit="1" customWidth="1"/>
    <col min="4" max="4" width="21.140625" customWidth="1"/>
    <col min="5" max="5" width="13.140625" customWidth="1"/>
    <col min="6" max="6" width="14.5703125" customWidth="1"/>
    <col min="7" max="7" width="8.7109375" customWidth="1"/>
    <col min="8" max="8" width="12.42578125" customWidth="1"/>
    <col min="9" max="25" width="8.7109375" customWidth="1"/>
  </cols>
  <sheetData>
    <row r="1" spans="1:6" ht="44.25" customHeight="1">
      <c r="A1" s="646" t="s">
        <v>0</v>
      </c>
      <c r="B1" s="647"/>
      <c r="C1" s="647"/>
      <c r="D1" s="648"/>
      <c r="E1" s="649" t="s">
        <v>1</v>
      </c>
      <c r="F1" s="650"/>
    </row>
    <row r="2" spans="1:6" s="27" customFormat="1" ht="15.75" thickBot="1">
      <c r="A2" s="651" t="s">
        <v>47</v>
      </c>
      <c r="B2" s="456"/>
      <c r="C2" s="456"/>
      <c r="D2" s="456"/>
      <c r="E2" s="456"/>
      <c r="F2" s="459"/>
    </row>
    <row r="3" spans="1:6">
      <c r="A3" s="298"/>
      <c r="B3" s="298"/>
      <c r="C3" s="298"/>
      <c r="D3" s="298"/>
      <c r="E3" s="298"/>
      <c r="F3" s="298"/>
    </row>
    <row r="4" spans="1:6" ht="14.25" customHeight="1">
      <c r="A4" s="299" t="s">
        <v>2</v>
      </c>
      <c r="B4" s="652" t="s">
        <v>3</v>
      </c>
      <c r="C4" s="638"/>
      <c r="D4" s="638"/>
      <c r="E4" s="638"/>
      <c r="F4" s="638"/>
    </row>
    <row r="5" spans="1:6" ht="14.25" customHeight="1">
      <c r="A5" s="299" t="s">
        <v>4</v>
      </c>
      <c r="B5" s="652" t="s">
        <v>5</v>
      </c>
      <c r="C5" s="638"/>
      <c r="D5" s="638"/>
      <c r="E5" s="638"/>
      <c r="F5" s="638"/>
    </row>
    <row r="6" spans="1:6" ht="14.25" customHeight="1">
      <c r="A6" s="299" t="s">
        <v>6</v>
      </c>
      <c r="B6" s="652" t="s">
        <v>15</v>
      </c>
      <c r="C6" s="638"/>
      <c r="D6" s="638"/>
      <c r="E6" s="638"/>
      <c r="F6" s="638"/>
    </row>
    <row r="7" spans="1:6" ht="14.25" customHeight="1">
      <c r="A7" s="299" t="s">
        <v>7</v>
      </c>
      <c r="B7" s="652" t="s">
        <v>298</v>
      </c>
      <c r="C7" s="638"/>
      <c r="D7" s="638"/>
      <c r="E7" s="638"/>
      <c r="F7" s="638"/>
    </row>
    <row r="8" spans="1:6" ht="14.25" customHeight="1">
      <c r="A8" s="299" t="s">
        <v>8</v>
      </c>
      <c r="B8" s="652" t="s">
        <v>299</v>
      </c>
      <c r="C8" s="638"/>
      <c r="D8" s="638"/>
      <c r="E8" s="638"/>
      <c r="F8" s="638"/>
    </row>
    <row r="9" spans="1:6" ht="14.25" customHeight="1">
      <c r="A9" s="299" t="s">
        <v>9</v>
      </c>
      <c r="B9" s="660" t="s">
        <v>300</v>
      </c>
      <c r="C9" s="638"/>
      <c r="D9" s="638"/>
      <c r="E9" s="638"/>
      <c r="F9" s="638"/>
    </row>
    <row r="10" spans="1:6" ht="14.25" customHeight="1">
      <c r="A10" s="299" t="s">
        <v>10</v>
      </c>
      <c r="B10" s="462" t="s">
        <v>57</v>
      </c>
      <c r="C10" s="462"/>
      <c r="D10" s="462"/>
      <c r="E10" s="462"/>
      <c r="F10" s="462"/>
    </row>
    <row r="11" spans="1:6" ht="14.25" customHeight="1">
      <c r="A11" s="299" t="s">
        <v>11</v>
      </c>
      <c r="B11" s="652" t="s">
        <v>228</v>
      </c>
      <c r="C11" s="638"/>
      <c r="D11" s="638"/>
      <c r="E11" s="638"/>
      <c r="F11" s="638"/>
    </row>
    <row r="12" spans="1:6" ht="14.25" customHeight="1">
      <c r="A12" s="299" t="s">
        <v>12</v>
      </c>
      <c r="B12" s="652" t="s">
        <v>465</v>
      </c>
      <c r="C12" s="638"/>
      <c r="D12" s="638"/>
      <c r="E12" s="638"/>
      <c r="F12" s="638"/>
    </row>
    <row r="13" spans="1:6" ht="14.25" customHeight="1">
      <c r="A13" s="299" t="s">
        <v>14</v>
      </c>
      <c r="B13" s="299" t="s">
        <v>15</v>
      </c>
    </row>
    <row r="14" spans="1:6" ht="14.25" customHeight="1">
      <c r="A14" t="s">
        <v>46</v>
      </c>
      <c r="B14" s="441" t="s">
        <v>464</v>
      </c>
    </row>
    <row r="15" spans="1:6" ht="14.25" customHeight="1">
      <c r="A15" t="s">
        <v>48</v>
      </c>
      <c r="B15" s="301">
        <v>167128000</v>
      </c>
    </row>
    <row r="16" spans="1:6" ht="14.25" customHeight="1">
      <c r="A16" t="s">
        <v>49</v>
      </c>
      <c r="B16" t="s">
        <v>463</v>
      </c>
      <c r="C16" s="440"/>
    </row>
    <row r="17" spans="1:11">
      <c r="C17" s="302"/>
      <c r="D17" s="302"/>
      <c r="E17" s="302"/>
      <c r="F17" s="302"/>
    </row>
    <row r="18" spans="1:11">
      <c r="A18" s="793" t="s">
        <v>17</v>
      </c>
      <c r="B18" s="794"/>
      <c r="C18" s="794"/>
      <c r="D18" s="794"/>
      <c r="E18" s="794"/>
      <c r="F18" s="794"/>
    </row>
    <row r="19" spans="1:11" ht="14.25" customHeight="1">
      <c r="A19" s="792" t="s">
        <v>18</v>
      </c>
      <c r="B19" s="793" t="s">
        <v>19</v>
      </c>
      <c r="C19" s="794"/>
      <c r="D19" s="794"/>
      <c r="E19" s="793" t="s">
        <v>20</v>
      </c>
      <c r="F19" s="794"/>
    </row>
    <row r="20" spans="1:11" ht="30" customHeight="1">
      <c r="A20" s="795" t="s">
        <v>21</v>
      </c>
      <c r="B20" s="796" t="s">
        <v>466</v>
      </c>
      <c r="C20" s="796"/>
      <c r="D20" s="796"/>
      <c r="E20" s="797">
        <v>0.65</v>
      </c>
      <c r="F20" s="797"/>
      <c r="G20" s="422"/>
      <c r="H20" s="422"/>
      <c r="I20" s="422"/>
    </row>
    <row r="21" spans="1:11" ht="14.25" customHeight="1">
      <c r="A21" s="795" t="s">
        <v>22</v>
      </c>
      <c r="B21" s="798" t="s">
        <v>230</v>
      </c>
      <c r="C21" s="794"/>
      <c r="D21" s="794"/>
      <c r="E21" s="799">
        <f>F27</f>
        <v>167127950</v>
      </c>
      <c r="F21" s="794"/>
    </row>
    <row r="22" spans="1:11" ht="23.25" customHeight="1">
      <c r="A22" s="795" t="s">
        <v>23</v>
      </c>
      <c r="B22" s="800" t="s">
        <v>301</v>
      </c>
      <c r="C22" s="801"/>
      <c r="D22" s="801"/>
      <c r="E22" s="802" t="s">
        <v>469</v>
      </c>
      <c r="F22" s="794"/>
    </row>
    <row r="23" spans="1:11" ht="45" customHeight="1">
      <c r="A23" s="803" t="s">
        <v>24</v>
      </c>
      <c r="B23" s="796" t="s">
        <v>477</v>
      </c>
      <c r="C23" s="804"/>
      <c r="D23" s="804"/>
      <c r="E23" s="797" t="s">
        <v>479</v>
      </c>
      <c r="F23" s="805"/>
    </row>
    <row r="24" spans="1:11" ht="6" customHeight="1" thickBot="1">
      <c r="B24" s="302"/>
      <c r="C24" s="302"/>
      <c r="D24" s="302"/>
      <c r="E24" s="302"/>
      <c r="F24" s="302"/>
    </row>
    <row r="25" spans="1:11" ht="14.25" customHeight="1">
      <c r="A25" s="655" t="s">
        <v>25</v>
      </c>
      <c r="B25" s="657" t="s">
        <v>26</v>
      </c>
      <c r="C25" s="659" t="s">
        <v>27</v>
      </c>
      <c r="D25" s="647"/>
      <c r="E25" s="648"/>
      <c r="F25" s="308" t="s">
        <v>28</v>
      </c>
    </row>
    <row r="26" spans="1:11" ht="15.75" customHeight="1">
      <c r="A26" s="656"/>
      <c r="B26" s="658"/>
      <c r="C26" s="309" t="s">
        <v>29</v>
      </c>
      <c r="D26" s="309" t="s">
        <v>30</v>
      </c>
      <c r="E26" s="309" t="s">
        <v>31</v>
      </c>
      <c r="F26" s="310" t="s">
        <v>32</v>
      </c>
    </row>
    <row r="27" spans="1:11" ht="15.75" customHeight="1">
      <c r="A27" s="311">
        <v>5</v>
      </c>
      <c r="B27" s="312" t="s">
        <v>302</v>
      </c>
      <c r="C27" s="313"/>
      <c r="D27" s="313"/>
      <c r="E27" s="314"/>
      <c r="F27" s="315">
        <f>F32+F46+F58+F66+F97+F37</f>
        <v>167127950</v>
      </c>
      <c r="H27" s="316">
        <f>B15-F27</f>
        <v>50</v>
      </c>
    </row>
    <row r="28" spans="1:11" ht="15.75" customHeight="1">
      <c r="A28" s="317" t="s">
        <v>303</v>
      </c>
      <c r="B28" s="312" t="s">
        <v>304</v>
      </c>
      <c r="C28" s="313"/>
      <c r="D28" s="313"/>
      <c r="E28" s="314"/>
      <c r="F28" s="310"/>
    </row>
    <row r="29" spans="1:11" ht="15.75" customHeight="1">
      <c r="A29" s="318">
        <v>37377</v>
      </c>
      <c r="B29" s="312" t="s">
        <v>305</v>
      </c>
      <c r="C29" s="313"/>
      <c r="D29" s="313"/>
      <c r="E29" s="314"/>
      <c r="F29" s="310"/>
    </row>
    <row r="30" spans="1:11" ht="15.75" customHeight="1">
      <c r="A30" s="317" t="s">
        <v>306</v>
      </c>
      <c r="B30" s="312" t="s">
        <v>307</v>
      </c>
      <c r="C30" s="313"/>
      <c r="D30" s="313"/>
      <c r="E30" s="314"/>
      <c r="F30" s="310"/>
      <c r="I30" s="316"/>
    </row>
    <row r="31" spans="1:11" ht="15.75" customHeight="1">
      <c r="A31" s="317" t="s">
        <v>308</v>
      </c>
      <c r="B31" s="312" t="s">
        <v>309</v>
      </c>
      <c r="C31" s="313"/>
      <c r="D31" s="313"/>
      <c r="E31" s="314"/>
      <c r="F31" s="310"/>
    </row>
    <row r="32" spans="1:11" ht="29.25" customHeight="1">
      <c r="A32" s="364" t="s">
        <v>377</v>
      </c>
      <c r="B32" s="312" t="s">
        <v>310</v>
      </c>
      <c r="C32" s="313"/>
      <c r="D32" s="313"/>
      <c r="E32" s="314"/>
      <c r="F32" s="320">
        <f>F35</f>
        <v>878750</v>
      </c>
      <c r="K32" s="316">
        <f>H27/350</f>
        <v>0.14285714285714285</v>
      </c>
    </row>
    <row r="33" spans="1:9" ht="30" customHeight="1">
      <c r="A33" s="321"/>
      <c r="B33" s="322" t="s">
        <v>311</v>
      </c>
      <c r="C33" s="323"/>
      <c r="D33" s="323"/>
      <c r="E33" s="324"/>
      <c r="F33" s="310"/>
    </row>
    <row r="34" spans="1:9" ht="16.5" customHeight="1">
      <c r="A34" s="321"/>
      <c r="B34" s="312" t="s">
        <v>312</v>
      </c>
      <c r="C34" s="313"/>
      <c r="D34" s="313"/>
      <c r="E34" s="314"/>
      <c r="F34" s="310"/>
    </row>
    <row r="35" spans="1:9" ht="27.6" customHeight="1">
      <c r="A35" s="319"/>
      <c r="B35" s="325" t="s">
        <v>313</v>
      </c>
      <c r="C35" s="326">
        <v>10</v>
      </c>
      <c r="D35" s="327" t="s">
        <v>314</v>
      </c>
      <c r="E35" s="328">
        <v>87875</v>
      </c>
      <c r="F35" s="310">
        <f>C35*E35</f>
        <v>878750</v>
      </c>
      <c r="I35" s="329"/>
    </row>
    <row r="36" spans="1:9" ht="27.6" customHeight="1">
      <c r="A36" s="330"/>
      <c r="B36" s="325"/>
      <c r="C36" s="331"/>
      <c r="D36" s="332"/>
      <c r="E36" s="333"/>
      <c r="F36" s="310"/>
      <c r="I36" s="329"/>
    </row>
    <row r="37" spans="1:9" ht="27.6" customHeight="1">
      <c r="A37" s="364" t="s">
        <v>378</v>
      </c>
      <c r="B37" s="312" t="s">
        <v>315</v>
      </c>
      <c r="C37" s="313"/>
      <c r="D37" s="313"/>
      <c r="E37" s="314"/>
      <c r="F37" s="320">
        <f>SUM(F40:F43)</f>
        <v>1544200</v>
      </c>
      <c r="I37" s="329"/>
    </row>
    <row r="38" spans="1:9" ht="27.6" customHeight="1">
      <c r="A38" s="321"/>
      <c r="B38" s="322" t="s">
        <v>316</v>
      </c>
      <c r="C38" s="323"/>
      <c r="D38" s="323"/>
      <c r="E38" s="324"/>
      <c r="F38" s="310"/>
      <c r="I38" s="329"/>
    </row>
    <row r="39" spans="1:9" ht="27.6" customHeight="1">
      <c r="A39" s="321"/>
      <c r="B39" s="312" t="s">
        <v>317</v>
      </c>
      <c r="C39" s="313"/>
      <c r="D39" s="313"/>
      <c r="E39" s="314"/>
      <c r="F39" s="310"/>
      <c r="I39" s="329"/>
    </row>
    <row r="40" spans="1:9" ht="27.6" customHeight="1">
      <c r="A40" s="319"/>
      <c r="B40" s="325" t="s">
        <v>318</v>
      </c>
      <c r="C40" s="326">
        <v>4136</v>
      </c>
      <c r="D40" s="327" t="s">
        <v>319</v>
      </c>
      <c r="E40" s="334">
        <v>350</v>
      </c>
      <c r="F40" s="310">
        <f>C40*E40</f>
        <v>1447600</v>
      </c>
      <c r="I40" s="329"/>
    </row>
    <row r="41" spans="1:9" ht="27.6" customHeight="1">
      <c r="A41" s="321"/>
      <c r="B41" s="322" t="s">
        <v>320</v>
      </c>
      <c r="C41" s="323"/>
      <c r="D41" s="323"/>
      <c r="E41" s="324"/>
      <c r="F41" s="310"/>
      <c r="I41" s="329"/>
    </row>
    <row r="42" spans="1:9" ht="27.6" customHeight="1">
      <c r="A42" s="321"/>
      <c r="B42" s="312" t="s">
        <v>321</v>
      </c>
      <c r="C42" s="313"/>
      <c r="D42" s="313"/>
      <c r="E42" s="314"/>
      <c r="F42" s="310"/>
      <c r="I42" s="329"/>
    </row>
    <row r="43" spans="1:9" ht="27.6" customHeight="1">
      <c r="A43" s="319"/>
      <c r="B43" s="325" t="s">
        <v>322</v>
      </c>
      <c r="C43" s="326">
        <v>6</v>
      </c>
      <c r="D43" s="327" t="s">
        <v>323</v>
      </c>
      <c r="E43" s="328">
        <v>16100</v>
      </c>
      <c r="F43" s="310">
        <f>C43*E43</f>
        <v>96600</v>
      </c>
      <c r="I43" s="329"/>
    </row>
    <row r="44" spans="1:9" ht="27.6" customHeight="1">
      <c r="A44" s="330"/>
      <c r="B44" s="325"/>
      <c r="C44" s="331"/>
      <c r="D44" s="332"/>
      <c r="E44" s="333"/>
      <c r="F44" s="310"/>
      <c r="I44" s="329"/>
    </row>
    <row r="45" spans="1:9" ht="24.95" customHeight="1">
      <c r="A45" s="335"/>
      <c r="B45" s="336"/>
      <c r="C45" s="304"/>
      <c r="D45" s="304"/>
      <c r="E45" s="305"/>
      <c r="F45" s="310"/>
    </row>
    <row r="46" spans="1:9" ht="24.75" customHeight="1">
      <c r="A46" s="317" t="s">
        <v>379</v>
      </c>
      <c r="B46" s="312" t="s">
        <v>324</v>
      </c>
      <c r="C46" s="304"/>
      <c r="D46" s="304"/>
      <c r="E46" s="305"/>
      <c r="F46" s="320">
        <f>SUM(F49:F54)</f>
        <v>23265000</v>
      </c>
    </row>
    <row r="47" spans="1:9" ht="35.450000000000003" customHeight="1">
      <c r="A47" s="321"/>
      <c r="B47" s="322" t="s">
        <v>325</v>
      </c>
      <c r="C47" s="304"/>
      <c r="D47" s="304"/>
      <c r="E47" s="305"/>
      <c r="F47" s="310"/>
    </row>
    <row r="48" spans="1:9" ht="33" customHeight="1">
      <c r="A48" s="321"/>
      <c r="B48" s="312" t="s">
        <v>326</v>
      </c>
      <c r="C48" s="304"/>
      <c r="D48" s="304"/>
      <c r="E48" s="305"/>
      <c r="F48" s="310"/>
    </row>
    <row r="49" spans="1:6" ht="36">
      <c r="A49" s="319"/>
      <c r="B49" s="337" t="s">
        <v>327</v>
      </c>
      <c r="C49" s="338">
        <v>30</v>
      </c>
      <c r="D49" s="339" t="s">
        <v>328</v>
      </c>
      <c r="E49" s="328">
        <v>33000</v>
      </c>
      <c r="F49" s="310">
        <f>C49*E49</f>
        <v>990000</v>
      </c>
    </row>
    <row r="50" spans="1:6" ht="36">
      <c r="A50" s="319"/>
      <c r="B50" s="337" t="s">
        <v>329</v>
      </c>
      <c r="C50" s="338">
        <v>30</v>
      </c>
      <c r="D50" s="339" t="s">
        <v>328</v>
      </c>
      <c r="E50" s="328">
        <v>16500</v>
      </c>
      <c r="F50" s="310">
        <f>C50*E50</f>
        <v>495000</v>
      </c>
    </row>
    <row r="51" spans="1:6">
      <c r="A51" s="330"/>
      <c r="B51" s="340"/>
      <c r="C51" s="341"/>
      <c r="D51" s="342"/>
      <c r="E51" s="333"/>
      <c r="F51" s="310"/>
    </row>
    <row r="52" spans="1:6" ht="24" customHeight="1">
      <c r="A52" s="330"/>
      <c r="B52" s="312" t="s">
        <v>330</v>
      </c>
      <c r="C52" s="304"/>
      <c r="D52" s="304"/>
      <c r="E52" s="305"/>
      <c r="F52" s="310"/>
    </row>
    <row r="53" spans="1:6" ht="36">
      <c r="A53" s="330"/>
      <c r="B53" s="337" t="s">
        <v>327</v>
      </c>
      <c r="C53" s="338">
        <v>440</v>
      </c>
      <c r="D53" s="339" t="s">
        <v>328</v>
      </c>
      <c r="E53" s="328">
        <v>33000</v>
      </c>
      <c r="F53" s="310">
        <f>C53*E53</f>
        <v>14520000</v>
      </c>
    </row>
    <row r="54" spans="1:6" ht="36">
      <c r="A54" s="330"/>
      <c r="B54" s="337" t="s">
        <v>329</v>
      </c>
      <c r="C54" s="338">
        <v>440</v>
      </c>
      <c r="D54" s="339" t="s">
        <v>328</v>
      </c>
      <c r="E54" s="328">
        <v>16500</v>
      </c>
      <c r="F54" s="310">
        <f>C54*E54</f>
        <v>7260000</v>
      </c>
    </row>
    <row r="55" spans="1:6">
      <c r="A55" s="330"/>
      <c r="B55" s="340"/>
      <c r="C55" s="341"/>
      <c r="D55" s="342"/>
      <c r="E55" s="333"/>
      <c r="F55" s="310"/>
    </row>
    <row r="56" spans="1:6" ht="15.75" customHeight="1">
      <c r="A56" s="335"/>
      <c r="B56" s="343"/>
      <c r="C56" s="304"/>
      <c r="D56" s="304"/>
      <c r="E56" s="305"/>
      <c r="F56" s="310"/>
    </row>
    <row r="57" spans="1:6" ht="15.75" customHeight="1">
      <c r="A57" s="335"/>
      <c r="B57" s="343"/>
      <c r="C57" s="304"/>
      <c r="D57" s="304"/>
      <c r="E57" s="305"/>
      <c r="F57" s="310"/>
    </row>
    <row r="58" spans="1:6" ht="15.75" customHeight="1">
      <c r="A58" s="317" t="s">
        <v>331</v>
      </c>
      <c r="B58" s="312" t="s">
        <v>332</v>
      </c>
      <c r="C58" s="313"/>
      <c r="D58" s="313"/>
      <c r="E58" s="313"/>
      <c r="F58" s="320">
        <f>F60</f>
        <v>10800000</v>
      </c>
    </row>
    <row r="59" spans="1:6" ht="15.75" customHeight="1">
      <c r="A59" s="317" t="s">
        <v>333</v>
      </c>
      <c r="B59" s="312" t="s">
        <v>334</v>
      </c>
      <c r="C59" s="313"/>
      <c r="D59" s="313"/>
      <c r="E59" s="313"/>
      <c r="F59" s="310"/>
    </row>
    <row r="60" spans="1:6" ht="31.5" customHeight="1">
      <c r="A60" s="317" t="s">
        <v>380</v>
      </c>
      <c r="B60" s="312" t="s">
        <v>335</v>
      </c>
      <c r="C60" s="313"/>
      <c r="D60" s="313"/>
      <c r="E60" s="313"/>
      <c r="F60" s="310">
        <f>SUM(F62:F64)</f>
        <v>10800000</v>
      </c>
    </row>
    <row r="61" spans="1:6" ht="40.5" customHeight="1">
      <c r="A61" s="321"/>
      <c r="B61" s="312" t="s">
        <v>336</v>
      </c>
      <c r="C61" s="313"/>
      <c r="D61" s="313"/>
      <c r="E61" s="313"/>
      <c r="F61" s="310"/>
    </row>
    <row r="62" spans="1:6" ht="48.6" customHeight="1">
      <c r="A62" s="319"/>
      <c r="B62" s="337" t="s">
        <v>337</v>
      </c>
      <c r="C62" s="339" t="s">
        <v>338</v>
      </c>
      <c r="D62" s="339" t="s">
        <v>339</v>
      </c>
      <c r="E62" s="328">
        <v>900000</v>
      </c>
      <c r="F62" s="310">
        <f>E62*8</f>
        <v>7200000</v>
      </c>
    </row>
    <row r="63" spans="1:6" ht="41.45" customHeight="1">
      <c r="A63" s="319"/>
      <c r="B63" s="344" t="s">
        <v>340</v>
      </c>
      <c r="C63" s="313"/>
      <c r="D63" s="313"/>
      <c r="E63" s="313"/>
      <c r="F63" s="310">
        <f>E63*4</f>
        <v>0</v>
      </c>
    </row>
    <row r="64" spans="1:6" ht="41.1" customHeight="1">
      <c r="A64" s="330"/>
      <c r="B64" s="337" t="s">
        <v>341</v>
      </c>
      <c r="C64" s="339" t="s">
        <v>342</v>
      </c>
      <c r="D64" s="339" t="s">
        <v>339</v>
      </c>
      <c r="E64" s="328">
        <v>900000</v>
      </c>
      <c r="F64" s="310">
        <f>E64*4</f>
        <v>3600000</v>
      </c>
    </row>
    <row r="65" spans="1:9" ht="41.45" customHeight="1">
      <c r="A65" s="330"/>
      <c r="B65" s="340"/>
      <c r="C65" s="342"/>
      <c r="D65" s="342"/>
      <c r="E65" s="345"/>
      <c r="F65" s="310"/>
    </row>
    <row r="66" spans="1:9" ht="20.100000000000001" customHeight="1">
      <c r="A66" s="317" t="s">
        <v>343</v>
      </c>
      <c r="B66" s="312" t="s">
        <v>344</v>
      </c>
      <c r="C66" s="313"/>
      <c r="D66" s="313"/>
      <c r="E66" s="313"/>
      <c r="F66" s="320">
        <f>F68</f>
        <v>27890000</v>
      </c>
    </row>
    <row r="67" spans="1:9" ht="20.100000000000001" customHeight="1">
      <c r="A67" s="317" t="s">
        <v>345</v>
      </c>
      <c r="B67" s="312" t="s">
        <v>346</v>
      </c>
      <c r="C67" s="313"/>
      <c r="D67" s="313"/>
      <c r="E67" s="313"/>
      <c r="F67" s="310"/>
    </row>
    <row r="68" spans="1:9">
      <c r="A68" s="317" t="s">
        <v>381</v>
      </c>
      <c r="B68" s="312" t="s">
        <v>347</v>
      </c>
      <c r="C68" s="313"/>
      <c r="D68" s="313"/>
      <c r="E68" s="313"/>
      <c r="F68" s="310">
        <f>SUM(F71:F95)</f>
        <v>27890000</v>
      </c>
    </row>
    <row r="69" spans="1:9" ht="24">
      <c r="A69" s="321"/>
      <c r="B69" s="322" t="s">
        <v>348</v>
      </c>
      <c r="C69" s="323"/>
      <c r="D69" s="323"/>
      <c r="E69" s="323"/>
      <c r="F69" s="310"/>
    </row>
    <row r="70" spans="1:9">
      <c r="A70" s="321"/>
      <c r="B70" s="312" t="s">
        <v>349</v>
      </c>
      <c r="C70" s="346"/>
      <c r="D70" s="313"/>
      <c r="E70" s="313"/>
      <c r="F70" s="310"/>
    </row>
    <row r="71" spans="1:9" ht="36">
      <c r="A71" s="319"/>
      <c r="B71" s="337" t="s">
        <v>350</v>
      </c>
      <c r="C71" s="347">
        <v>115</v>
      </c>
      <c r="D71" s="339" t="s">
        <v>328</v>
      </c>
      <c r="E71" s="328">
        <v>170000</v>
      </c>
      <c r="F71" s="310">
        <f>C71*E71</f>
        <v>19550000</v>
      </c>
    </row>
    <row r="72" spans="1:9" ht="48">
      <c r="A72" s="319"/>
      <c r="B72" s="337" t="s">
        <v>351</v>
      </c>
      <c r="C72" s="347">
        <v>2</v>
      </c>
      <c r="D72" s="339" t="s">
        <v>328</v>
      </c>
      <c r="E72" s="328">
        <v>245000</v>
      </c>
      <c r="F72" s="310">
        <f t="shared" ref="F72:F95" si="0">C72*E72</f>
        <v>490000</v>
      </c>
      <c r="H72" s="348">
        <f>SUM(C72:C95)</f>
        <v>48</v>
      </c>
      <c r="I72">
        <f>H72*2</f>
        <v>96</v>
      </c>
    </row>
    <row r="73" spans="1:9" ht="48">
      <c r="A73" s="319"/>
      <c r="B73" s="337" t="s">
        <v>352</v>
      </c>
      <c r="C73" s="347">
        <v>2</v>
      </c>
      <c r="D73" s="339" t="s">
        <v>328</v>
      </c>
      <c r="E73" s="328">
        <v>210000</v>
      </c>
      <c r="F73" s="310">
        <f t="shared" si="0"/>
        <v>420000</v>
      </c>
    </row>
    <row r="74" spans="1:9" ht="48">
      <c r="A74" s="319"/>
      <c r="B74" s="337" t="s">
        <v>353</v>
      </c>
      <c r="C74" s="347">
        <v>2</v>
      </c>
      <c r="D74" s="339" t="s">
        <v>328</v>
      </c>
      <c r="E74" s="328">
        <v>255000</v>
      </c>
      <c r="F74" s="310">
        <f t="shared" si="0"/>
        <v>510000</v>
      </c>
    </row>
    <row r="75" spans="1:9" ht="48">
      <c r="A75" s="319"/>
      <c r="B75" s="337" t="s">
        <v>354</v>
      </c>
      <c r="C75" s="347">
        <v>2</v>
      </c>
      <c r="D75" s="339" t="s">
        <v>328</v>
      </c>
      <c r="E75" s="328">
        <v>255000</v>
      </c>
      <c r="F75" s="310">
        <f t="shared" si="0"/>
        <v>510000</v>
      </c>
    </row>
    <row r="76" spans="1:9" ht="48">
      <c r="A76" s="319"/>
      <c r="B76" s="337" t="s">
        <v>355</v>
      </c>
      <c r="C76" s="347">
        <v>2</v>
      </c>
      <c r="D76" s="339" t="s">
        <v>328</v>
      </c>
      <c r="E76" s="328">
        <v>160000</v>
      </c>
      <c r="F76" s="310">
        <f t="shared" si="0"/>
        <v>320000</v>
      </c>
    </row>
    <row r="77" spans="1:9" ht="48">
      <c r="A77" s="319"/>
      <c r="B77" s="337" t="s">
        <v>356</v>
      </c>
      <c r="C77" s="347">
        <v>2</v>
      </c>
      <c r="D77" s="339" t="s">
        <v>328</v>
      </c>
      <c r="E77" s="328">
        <v>170000</v>
      </c>
      <c r="F77" s="310">
        <f t="shared" si="0"/>
        <v>340000</v>
      </c>
    </row>
    <row r="78" spans="1:9" ht="48">
      <c r="A78" s="319"/>
      <c r="B78" s="337" t="s">
        <v>357</v>
      </c>
      <c r="C78" s="347">
        <v>2</v>
      </c>
      <c r="D78" s="339" t="s">
        <v>328</v>
      </c>
      <c r="E78" s="328">
        <v>145000</v>
      </c>
      <c r="F78" s="310">
        <f t="shared" si="0"/>
        <v>290000</v>
      </c>
    </row>
    <row r="79" spans="1:9" ht="48">
      <c r="A79" s="319"/>
      <c r="B79" s="337" t="s">
        <v>358</v>
      </c>
      <c r="C79" s="347">
        <v>2</v>
      </c>
      <c r="D79" s="339" t="s">
        <v>328</v>
      </c>
      <c r="E79" s="328">
        <v>210000</v>
      </c>
      <c r="F79" s="310">
        <f t="shared" si="0"/>
        <v>420000</v>
      </c>
    </row>
    <row r="80" spans="1:9" ht="48">
      <c r="A80" s="319"/>
      <c r="B80" s="337" t="s">
        <v>359</v>
      </c>
      <c r="C80" s="347">
        <v>2</v>
      </c>
      <c r="D80" s="339" t="s">
        <v>328</v>
      </c>
      <c r="E80" s="328">
        <v>205000</v>
      </c>
      <c r="F80" s="310">
        <f t="shared" si="0"/>
        <v>410000</v>
      </c>
    </row>
    <row r="81" spans="1:6" ht="48">
      <c r="A81" s="319"/>
      <c r="B81" s="337" t="s">
        <v>360</v>
      </c>
      <c r="C81" s="347">
        <v>2</v>
      </c>
      <c r="D81" s="339" t="s">
        <v>328</v>
      </c>
      <c r="E81" s="328">
        <v>140000</v>
      </c>
      <c r="F81" s="310">
        <f t="shared" si="0"/>
        <v>280000</v>
      </c>
    </row>
    <row r="82" spans="1:6" ht="48">
      <c r="A82" s="319"/>
      <c r="B82" s="337" t="s">
        <v>361</v>
      </c>
      <c r="C82" s="347">
        <v>2</v>
      </c>
      <c r="D82" s="339" t="s">
        <v>328</v>
      </c>
      <c r="E82" s="328">
        <v>185000</v>
      </c>
      <c r="F82" s="310">
        <f t="shared" si="0"/>
        <v>370000</v>
      </c>
    </row>
    <row r="83" spans="1:6" ht="48">
      <c r="A83" s="319"/>
      <c r="B83" s="337" t="s">
        <v>362</v>
      </c>
      <c r="C83" s="347">
        <v>2</v>
      </c>
      <c r="D83" s="339" t="s">
        <v>328</v>
      </c>
      <c r="E83" s="328">
        <v>185000</v>
      </c>
      <c r="F83" s="310">
        <f t="shared" si="0"/>
        <v>370000</v>
      </c>
    </row>
    <row r="84" spans="1:6" ht="48">
      <c r="A84" s="319"/>
      <c r="B84" s="337" t="s">
        <v>363</v>
      </c>
      <c r="C84" s="347">
        <v>2</v>
      </c>
      <c r="D84" s="339" t="s">
        <v>328</v>
      </c>
      <c r="E84" s="328">
        <v>160000</v>
      </c>
      <c r="F84" s="310">
        <f t="shared" si="0"/>
        <v>320000</v>
      </c>
    </row>
    <row r="85" spans="1:6" ht="48">
      <c r="A85" s="319"/>
      <c r="B85" s="337" t="s">
        <v>364</v>
      </c>
      <c r="C85" s="347">
        <v>2</v>
      </c>
      <c r="D85" s="339" t="s">
        <v>328</v>
      </c>
      <c r="E85" s="328">
        <v>145000</v>
      </c>
      <c r="F85" s="310">
        <f t="shared" si="0"/>
        <v>290000</v>
      </c>
    </row>
    <row r="86" spans="1:6" ht="48">
      <c r="A86" s="319"/>
      <c r="B86" s="337" t="s">
        <v>365</v>
      </c>
      <c r="C86" s="347">
        <v>2</v>
      </c>
      <c r="D86" s="339" t="s">
        <v>328</v>
      </c>
      <c r="E86" s="328">
        <v>130000</v>
      </c>
      <c r="F86" s="310">
        <f t="shared" si="0"/>
        <v>260000</v>
      </c>
    </row>
    <row r="87" spans="1:6" ht="48">
      <c r="A87" s="319"/>
      <c r="B87" s="337" t="s">
        <v>366</v>
      </c>
      <c r="C87" s="347">
        <v>2</v>
      </c>
      <c r="D87" s="339" t="s">
        <v>328</v>
      </c>
      <c r="E87" s="328">
        <v>125000</v>
      </c>
      <c r="F87" s="310">
        <f t="shared" si="0"/>
        <v>250000</v>
      </c>
    </row>
    <row r="88" spans="1:6" ht="48">
      <c r="A88" s="319"/>
      <c r="B88" s="337" t="s">
        <v>367</v>
      </c>
      <c r="C88" s="347">
        <v>2</v>
      </c>
      <c r="D88" s="339" t="s">
        <v>328</v>
      </c>
      <c r="E88" s="328">
        <v>200000</v>
      </c>
      <c r="F88" s="310">
        <f t="shared" si="0"/>
        <v>400000</v>
      </c>
    </row>
    <row r="89" spans="1:6" ht="48">
      <c r="A89" s="319"/>
      <c r="B89" s="337" t="s">
        <v>368</v>
      </c>
      <c r="C89" s="347">
        <v>2</v>
      </c>
      <c r="D89" s="339" t="s">
        <v>328</v>
      </c>
      <c r="E89" s="328">
        <v>175000</v>
      </c>
      <c r="F89" s="310">
        <f t="shared" si="0"/>
        <v>350000</v>
      </c>
    </row>
    <row r="90" spans="1:6" ht="48">
      <c r="A90" s="319"/>
      <c r="B90" s="337" t="s">
        <v>369</v>
      </c>
      <c r="C90" s="347">
        <v>2</v>
      </c>
      <c r="D90" s="339" t="s">
        <v>328</v>
      </c>
      <c r="E90" s="328">
        <v>165000</v>
      </c>
      <c r="F90" s="310">
        <f t="shared" si="0"/>
        <v>330000</v>
      </c>
    </row>
    <row r="91" spans="1:6" ht="48">
      <c r="A91" s="319"/>
      <c r="B91" s="337" t="s">
        <v>370</v>
      </c>
      <c r="C91" s="347">
        <v>2</v>
      </c>
      <c r="D91" s="339" t="s">
        <v>328</v>
      </c>
      <c r="E91" s="328">
        <v>220000</v>
      </c>
      <c r="F91" s="310">
        <f t="shared" si="0"/>
        <v>440000</v>
      </c>
    </row>
    <row r="92" spans="1:6" ht="48">
      <c r="A92" s="319"/>
      <c r="B92" s="337" t="s">
        <v>371</v>
      </c>
      <c r="C92" s="347">
        <v>2</v>
      </c>
      <c r="D92" s="339" t="s">
        <v>328</v>
      </c>
      <c r="E92" s="328">
        <v>95000</v>
      </c>
      <c r="F92" s="310">
        <f t="shared" si="0"/>
        <v>190000</v>
      </c>
    </row>
    <row r="93" spans="1:6" ht="48">
      <c r="A93" s="319"/>
      <c r="B93" s="337" t="s">
        <v>372</v>
      </c>
      <c r="C93" s="347">
        <v>2</v>
      </c>
      <c r="D93" s="339" t="s">
        <v>328</v>
      </c>
      <c r="E93" s="328">
        <v>135000</v>
      </c>
      <c r="F93" s="310">
        <f t="shared" si="0"/>
        <v>270000</v>
      </c>
    </row>
    <row r="94" spans="1:6" ht="48">
      <c r="A94" s="319"/>
      <c r="B94" s="337" t="s">
        <v>373</v>
      </c>
      <c r="C94" s="347">
        <v>2</v>
      </c>
      <c r="D94" s="339" t="s">
        <v>328</v>
      </c>
      <c r="E94" s="328">
        <v>120000</v>
      </c>
      <c r="F94" s="310">
        <f t="shared" si="0"/>
        <v>240000</v>
      </c>
    </row>
    <row r="95" spans="1:6" ht="59.25" customHeight="1">
      <c r="A95" s="321"/>
      <c r="B95" s="337" t="s">
        <v>374</v>
      </c>
      <c r="C95" s="347">
        <v>2</v>
      </c>
      <c r="D95" s="339" t="s">
        <v>328</v>
      </c>
      <c r="E95" s="328">
        <v>135000</v>
      </c>
      <c r="F95" s="310">
        <f t="shared" si="0"/>
        <v>270000</v>
      </c>
    </row>
    <row r="96" spans="1:6" ht="23.45" customHeight="1">
      <c r="A96" s="330"/>
      <c r="B96" s="340"/>
      <c r="C96" s="342"/>
      <c r="D96" s="342"/>
      <c r="E96" s="333"/>
      <c r="F96" s="310"/>
    </row>
    <row r="97" spans="1:25" ht="24" customHeight="1">
      <c r="A97" s="317" t="s">
        <v>382</v>
      </c>
      <c r="B97" s="312" t="s">
        <v>375</v>
      </c>
      <c r="C97" s="313"/>
      <c r="D97" s="313"/>
      <c r="E97" s="313"/>
      <c r="F97" s="320">
        <f>F98</f>
        <v>102750000</v>
      </c>
    </row>
    <row r="98" spans="1:25" ht="28.5" customHeight="1">
      <c r="A98" s="321"/>
      <c r="B98" s="312" t="s">
        <v>340</v>
      </c>
      <c r="C98" s="313"/>
      <c r="D98" s="313"/>
      <c r="E98" s="313"/>
      <c r="F98" s="310">
        <f>F99</f>
        <v>102750000</v>
      </c>
    </row>
    <row r="99" spans="1:25" ht="49.5" customHeight="1">
      <c r="A99" s="321"/>
      <c r="B99" s="337" t="s">
        <v>376</v>
      </c>
      <c r="C99" s="338">
        <v>125</v>
      </c>
      <c r="D99" s="339" t="s">
        <v>328</v>
      </c>
      <c r="E99" s="328">
        <v>822000</v>
      </c>
      <c r="F99" s="310">
        <f>C99*E99</f>
        <v>102750000</v>
      </c>
    </row>
    <row r="100" spans="1:25" ht="27" customHeight="1" thickBot="1">
      <c r="A100" s="635" t="s">
        <v>33</v>
      </c>
      <c r="B100" s="636"/>
      <c r="C100" s="636"/>
      <c r="D100" s="636"/>
      <c r="E100" s="637"/>
      <c r="F100" s="353">
        <f>F27</f>
        <v>167127950</v>
      </c>
      <c r="G100" s="354"/>
      <c r="H100" s="354"/>
      <c r="I100" s="354"/>
      <c r="J100" s="354"/>
      <c r="K100" s="354"/>
      <c r="L100" s="354"/>
      <c r="M100" s="354"/>
      <c r="N100" s="354"/>
      <c r="O100" s="354"/>
      <c r="P100" s="354"/>
      <c r="Q100" s="354"/>
      <c r="R100" s="354"/>
      <c r="S100" s="354"/>
      <c r="T100" s="354"/>
      <c r="U100" s="354"/>
      <c r="V100" s="354"/>
      <c r="W100" s="354"/>
      <c r="X100" s="354"/>
      <c r="Y100" s="354"/>
    </row>
    <row r="101" spans="1:25" ht="15.75" customHeight="1" thickBot="1">
      <c r="A101" s="349"/>
      <c r="B101" s="355"/>
      <c r="C101" s="356"/>
      <c r="D101" s="351"/>
      <c r="E101" s="351"/>
      <c r="F101" s="352">
        <f>C101*E101</f>
        <v>0</v>
      </c>
    </row>
    <row r="102" spans="1:25" ht="15.75" customHeight="1" thickTop="1">
      <c r="A102" s="306" t="s">
        <v>34</v>
      </c>
      <c r="B102" s="357"/>
      <c r="C102" s="464" t="s">
        <v>222</v>
      </c>
      <c r="D102" s="465"/>
      <c r="E102" s="465"/>
      <c r="F102" s="466"/>
    </row>
    <row r="103" spans="1:25" ht="15.75" customHeight="1">
      <c r="A103" s="306" t="s">
        <v>35</v>
      </c>
      <c r="B103" s="357"/>
      <c r="C103" s="467" t="s">
        <v>131</v>
      </c>
      <c r="D103" s="468"/>
      <c r="E103" s="468"/>
      <c r="F103" s="469"/>
    </row>
    <row r="104" spans="1:25" ht="15.75" customHeight="1">
      <c r="A104" s="306" t="s">
        <v>36</v>
      </c>
      <c r="B104" s="357"/>
      <c r="C104" s="446"/>
      <c r="D104" s="447"/>
      <c r="E104" s="447"/>
      <c r="F104" s="448"/>
    </row>
    <row r="105" spans="1:25" ht="15.75" customHeight="1">
      <c r="A105" s="306" t="s">
        <v>37</v>
      </c>
      <c r="B105" s="357"/>
      <c r="C105" s="446"/>
      <c r="D105" s="447"/>
      <c r="E105" s="447"/>
      <c r="F105" s="448"/>
    </row>
    <row r="106" spans="1:25" ht="15.75" customHeight="1">
      <c r="A106" s="306" t="s">
        <v>38</v>
      </c>
      <c r="B106" s="357"/>
      <c r="C106" s="449"/>
      <c r="D106" s="450"/>
      <c r="E106" s="450"/>
      <c r="F106" s="451"/>
    </row>
    <row r="107" spans="1:25" ht="15.75" customHeight="1">
      <c r="A107" s="306" t="s">
        <v>39</v>
      </c>
      <c r="B107" s="357"/>
      <c r="C107" s="452" t="s">
        <v>208</v>
      </c>
      <c r="D107" s="453"/>
      <c r="E107" s="453"/>
      <c r="F107" s="454"/>
    </row>
    <row r="108" spans="1:25" ht="15.75" customHeight="1">
      <c r="A108" s="306" t="s">
        <v>40</v>
      </c>
      <c r="B108" s="357"/>
      <c r="C108" s="638"/>
      <c r="D108" s="638"/>
      <c r="E108" s="638"/>
      <c r="F108" s="639"/>
    </row>
    <row r="109" spans="1:25" ht="15.75" customHeight="1">
      <c r="A109" s="306" t="s">
        <v>41</v>
      </c>
      <c r="B109" s="357"/>
      <c r="C109" s="638"/>
      <c r="D109" s="638"/>
      <c r="E109" s="638"/>
      <c r="F109" s="639"/>
    </row>
    <row r="110" spans="1:25" ht="15.75" customHeight="1">
      <c r="A110" s="306" t="s">
        <v>42</v>
      </c>
      <c r="B110" s="357"/>
      <c r="F110" s="358"/>
    </row>
    <row r="111" spans="1:25" ht="15.75" customHeight="1">
      <c r="A111" s="306" t="s">
        <v>43</v>
      </c>
      <c r="B111" s="357"/>
      <c r="F111" s="358"/>
    </row>
    <row r="112" spans="1:25" ht="15.75" customHeight="1">
      <c r="A112" s="306" t="s">
        <v>44</v>
      </c>
      <c r="B112" s="357"/>
      <c r="F112" s="358"/>
    </row>
    <row r="113" spans="1:6" ht="15.75" customHeight="1">
      <c r="A113" s="306" t="s">
        <v>45</v>
      </c>
      <c r="B113" s="357"/>
      <c r="F113" s="358"/>
    </row>
    <row r="114" spans="1:6" ht="15.75" customHeight="1" thickBot="1">
      <c r="A114" s="359" t="s">
        <v>28</v>
      </c>
      <c r="B114" s="360">
        <f>SUM(B102:B113)</f>
        <v>0</v>
      </c>
      <c r="C114" s="361"/>
      <c r="D114" s="361"/>
      <c r="E114" s="361"/>
      <c r="F114" s="362"/>
    </row>
    <row r="115" spans="1:6" ht="15.75" customHeight="1">
      <c r="F115" s="363"/>
    </row>
    <row r="116" spans="1:6" ht="15.75" customHeight="1">
      <c r="F116" s="363"/>
    </row>
    <row r="117" spans="1:6" ht="15.75" customHeight="1">
      <c r="F117" s="363"/>
    </row>
    <row r="118" spans="1:6" ht="15.75" customHeight="1">
      <c r="F118" s="363"/>
    </row>
    <row r="119" spans="1:6" ht="15.75" customHeight="1">
      <c r="F119" s="363"/>
    </row>
    <row r="120" spans="1:6" ht="15.75" customHeight="1">
      <c r="F120" s="363"/>
    </row>
    <row r="121" spans="1:6" ht="15.75" customHeight="1">
      <c r="F121" s="363"/>
    </row>
    <row r="122" spans="1:6" ht="15.75" customHeight="1">
      <c r="F122" s="363"/>
    </row>
    <row r="123" spans="1:6" ht="15.75" customHeight="1">
      <c r="F123" s="363"/>
    </row>
    <row r="124" spans="1:6" ht="15.75" customHeight="1">
      <c r="F124" s="363"/>
    </row>
    <row r="125" spans="1:6" ht="15.75" customHeight="1">
      <c r="F125" s="363"/>
    </row>
    <row r="126" spans="1:6" ht="15.75" customHeight="1">
      <c r="F126" s="363"/>
    </row>
    <row r="127" spans="1:6" ht="15.75" customHeight="1">
      <c r="F127" s="363"/>
    </row>
    <row r="128" spans="1:6" ht="15.75" customHeight="1">
      <c r="F128" s="363"/>
    </row>
    <row r="129" spans="6:6" ht="15.75" customHeight="1">
      <c r="F129" s="363"/>
    </row>
    <row r="130" spans="6:6" ht="15.75" customHeight="1">
      <c r="F130" s="363"/>
    </row>
    <row r="131" spans="6:6" ht="15.75" customHeight="1">
      <c r="F131" s="363"/>
    </row>
    <row r="132" spans="6:6" ht="15.75" customHeight="1">
      <c r="F132" s="363"/>
    </row>
    <row r="133" spans="6:6" ht="15.75" customHeight="1">
      <c r="F133" s="363"/>
    </row>
    <row r="134" spans="6:6" ht="15.75" customHeight="1">
      <c r="F134" s="363"/>
    </row>
    <row r="135" spans="6:6" ht="15.75" customHeight="1">
      <c r="F135" s="363"/>
    </row>
    <row r="136" spans="6:6" ht="15.75" customHeight="1">
      <c r="F136" s="363"/>
    </row>
    <row r="137" spans="6:6" ht="15.75" customHeight="1">
      <c r="F137" s="363"/>
    </row>
    <row r="138" spans="6:6" ht="15.75" customHeight="1">
      <c r="F138" s="363"/>
    </row>
    <row r="139" spans="6:6" ht="15.75" customHeight="1">
      <c r="F139" s="363"/>
    </row>
    <row r="140" spans="6:6" ht="15.75" customHeight="1">
      <c r="F140" s="363"/>
    </row>
    <row r="141" spans="6:6" ht="15.75" customHeight="1">
      <c r="F141" s="363"/>
    </row>
    <row r="142" spans="6:6" ht="15.75" customHeight="1">
      <c r="F142" s="363"/>
    </row>
    <row r="143" spans="6:6" ht="15.75" customHeight="1">
      <c r="F143" s="363"/>
    </row>
    <row r="144" spans="6:6" ht="15.75" customHeight="1">
      <c r="F144" s="363"/>
    </row>
    <row r="145" spans="6:6" ht="15.75" customHeight="1">
      <c r="F145" s="363"/>
    </row>
    <row r="146" spans="6:6" ht="15.75" customHeight="1">
      <c r="F146" s="363"/>
    </row>
    <row r="147" spans="6:6" ht="15.75" customHeight="1">
      <c r="F147" s="363"/>
    </row>
    <row r="148" spans="6:6" ht="15.75" customHeight="1">
      <c r="F148" s="363"/>
    </row>
    <row r="149" spans="6:6" ht="15.75" customHeight="1">
      <c r="F149" s="363"/>
    </row>
    <row r="150" spans="6:6" ht="15.75" customHeight="1">
      <c r="F150" s="363"/>
    </row>
    <row r="151" spans="6:6" ht="15.75" customHeight="1">
      <c r="F151" s="363"/>
    </row>
    <row r="152" spans="6:6" ht="15.75" customHeight="1">
      <c r="F152" s="363"/>
    </row>
    <row r="153" spans="6:6" ht="15.75" customHeight="1">
      <c r="F153" s="363"/>
    </row>
    <row r="154" spans="6:6" ht="15.75" customHeight="1">
      <c r="F154" s="363"/>
    </row>
    <row r="155" spans="6:6" ht="15.75" customHeight="1">
      <c r="F155" s="363"/>
    </row>
    <row r="156" spans="6:6" ht="15.75" customHeight="1">
      <c r="F156" s="363"/>
    </row>
    <row r="157" spans="6:6" ht="15.75" customHeight="1">
      <c r="F157" s="363"/>
    </row>
    <row r="158" spans="6:6" ht="15.75" customHeight="1">
      <c r="F158" s="363"/>
    </row>
    <row r="159" spans="6:6" ht="15.75" customHeight="1">
      <c r="F159" s="363"/>
    </row>
    <row r="160" spans="6:6" ht="15.75" customHeight="1">
      <c r="F160" s="363"/>
    </row>
    <row r="161" spans="6:6" ht="15.75" customHeight="1">
      <c r="F161" s="363"/>
    </row>
    <row r="162" spans="6:6" ht="15.75" customHeight="1">
      <c r="F162" s="363"/>
    </row>
    <row r="163" spans="6:6" ht="15.75" customHeight="1">
      <c r="F163" s="363"/>
    </row>
    <row r="164" spans="6:6" ht="15.75" customHeight="1">
      <c r="F164" s="363"/>
    </row>
    <row r="165" spans="6:6" ht="15.75" customHeight="1">
      <c r="F165" s="363"/>
    </row>
    <row r="166" spans="6:6" ht="15.75" customHeight="1">
      <c r="F166" s="363"/>
    </row>
    <row r="167" spans="6:6" ht="15.75" customHeight="1">
      <c r="F167" s="363"/>
    </row>
    <row r="168" spans="6:6" ht="15.75" customHeight="1">
      <c r="F168" s="363"/>
    </row>
    <row r="169" spans="6:6" ht="15.75" customHeight="1">
      <c r="F169" s="363"/>
    </row>
    <row r="170" spans="6:6" ht="15.75" customHeight="1">
      <c r="F170" s="363"/>
    </row>
    <row r="171" spans="6:6" ht="15.75" customHeight="1">
      <c r="F171" s="363"/>
    </row>
    <row r="172" spans="6:6" ht="15.75" customHeight="1">
      <c r="F172" s="363"/>
    </row>
    <row r="173" spans="6:6" ht="15.75" customHeight="1">
      <c r="F173" s="363"/>
    </row>
    <row r="174" spans="6:6" ht="15.75" customHeight="1">
      <c r="F174" s="363"/>
    </row>
    <row r="175" spans="6:6" ht="15.75" customHeight="1">
      <c r="F175" s="363"/>
    </row>
    <row r="176" spans="6:6" ht="15.75" customHeight="1">
      <c r="F176" s="363"/>
    </row>
    <row r="177" spans="6:6" ht="15.75" customHeight="1">
      <c r="F177" s="363"/>
    </row>
    <row r="178" spans="6:6" ht="15.75" customHeight="1">
      <c r="F178" s="363"/>
    </row>
    <row r="179" spans="6:6" ht="15.75" customHeight="1">
      <c r="F179" s="363"/>
    </row>
    <row r="180" spans="6:6" ht="15.75" customHeight="1">
      <c r="F180" s="363"/>
    </row>
    <row r="181" spans="6:6" ht="15.75" customHeight="1">
      <c r="F181" s="363"/>
    </row>
    <row r="182" spans="6:6" ht="15.75" customHeight="1">
      <c r="F182" s="363"/>
    </row>
    <row r="183" spans="6:6" ht="15.75" customHeight="1">
      <c r="F183" s="363"/>
    </row>
    <row r="184" spans="6:6" ht="15.75" customHeight="1">
      <c r="F184" s="363"/>
    </row>
    <row r="185" spans="6:6" ht="15.75" customHeight="1">
      <c r="F185" s="363"/>
    </row>
    <row r="186" spans="6:6" ht="15.75" customHeight="1">
      <c r="F186" s="363"/>
    </row>
    <row r="187" spans="6:6" ht="15.75" customHeight="1">
      <c r="F187" s="363"/>
    </row>
    <row r="188" spans="6:6" ht="15.75" customHeight="1">
      <c r="F188" s="363"/>
    </row>
    <row r="189" spans="6:6" ht="15.75" customHeight="1">
      <c r="F189" s="363"/>
    </row>
    <row r="190" spans="6:6" ht="15.75" customHeight="1">
      <c r="F190" s="363"/>
    </row>
    <row r="191" spans="6:6" ht="15.75" customHeight="1">
      <c r="F191" s="363"/>
    </row>
    <row r="192" spans="6:6" ht="15.75" customHeight="1">
      <c r="F192" s="363"/>
    </row>
    <row r="193" spans="6:6" ht="15.75" customHeight="1">
      <c r="F193" s="363"/>
    </row>
    <row r="194" spans="6:6" ht="15.75" customHeight="1">
      <c r="F194" s="363"/>
    </row>
    <row r="195" spans="6:6" ht="15.75" customHeight="1">
      <c r="F195" s="363"/>
    </row>
    <row r="196" spans="6:6" ht="15.75" customHeight="1">
      <c r="F196" s="363"/>
    </row>
    <row r="197" spans="6:6" ht="15.75" customHeight="1">
      <c r="F197" s="363"/>
    </row>
    <row r="198" spans="6:6" ht="15.75" customHeight="1">
      <c r="F198" s="363"/>
    </row>
    <row r="199" spans="6:6" ht="15.75" customHeight="1">
      <c r="F199" s="363"/>
    </row>
    <row r="200" spans="6:6" ht="15.75" customHeight="1">
      <c r="F200" s="363"/>
    </row>
    <row r="201" spans="6:6" ht="15.75" customHeight="1">
      <c r="F201" s="363"/>
    </row>
    <row r="202" spans="6:6" ht="15.75" customHeight="1">
      <c r="F202" s="363"/>
    </row>
    <row r="203" spans="6:6" ht="15.75" customHeight="1">
      <c r="F203" s="363"/>
    </row>
    <row r="204" spans="6:6" ht="15.75" customHeight="1">
      <c r="F204" s="363"/>
    </row>
    <row r="205" spans="6:6" ht="15.75" customHeight="1">
      <c r="F205" s="363"/>
    </row>
    <row r="206" spans="6:6" ht="15.75" customHeight="1">
      <c r="F206" s="363"/>
    </row>
    <row r="207" spans="6:6" ht="15.75" customHeight="1">
      <c r="F207" s="363"/>
    </row>
    <row r="208" spans="6:6" ht="15.75" customHeight="1">
      <c r="F208" s="363"/>
    </row>
    <row r="209" spans="6:6" ht="15.75" customHeight="1">
      <c r="F209" s="363"/>
    </row>
    <row r="210" spans="6:6" ht="15.75" customHeight="1">
      <c r="F210" s="363"/>
    </row>
    <row r="211" spans="6:6" ht="15.75" customHeight="1">
      <c r="F211" s="363"/>
    </row>
    <row r="212" spans="6:6" ht="15.75" customHeight="1">
      <c r="F212" s="363"/>
    </row>
    <row r="213" spans="6:6" ht="15.75" customHeight="1">
      <c r="F213" s="363"/>
    </row>
    <row r="214" spans="6:6" ht="15.75" customHeight="1">
      <c r="F214" s="363"/>
    </row>
    <row r="215" spans="6:6" ht="15.75" customHeight="1">
      <c r="F215" s="363"/>
    </row>
    <row r="216" spans="6:6" ht="15.75" customHeight="1">
      <c r="F216" s="363"/>
    </row>
    <row r="217" spans="6:6" ht="15.75" customHeight="1">
      <c r="F217" s="363"/>
    </row>
    <row r="218" spans="6:6" ht="15.75" customHeight="1">
      <c r="F218" s="363"/>
    </row>
    <row r="219" spans="6:6" ht="15.75" customHeight="1">
      <c r="F219" s="363"/>
    </row>
    <row r="220" spans="6:6" ht="15.75" customHeight="1">
      <c r="F220" s="363"/>
    </row>
    <row r="221" spans="6:6" ht="15.75" customHeight="1">
      <c r="F221" s="363"/>
    </row>
    <row r="222" spans="6:6" ht="15.75" customHeight="1">
      <c r="F222" s="363"/>
    </row>
    <row r="223" spans="6:6" ht="15.75" customHeight="1">
      <c r="F223" s="363"/>
    </row>
    <row r="224" spans="6:6" ht="15.75" customHeight="1">
      <c r="F224" s="363"/>
    </row>
    <row r="225" spans="6:6" ht="15.75" customHeight="1">
      <c r="F225" s="363"/>
    </row>
    <row r="226" spans="6:6" ht="15.75" customHeight="1">
      <c r="F226" s="363"/>
    </row>
    <row r="227" spans="6:6" ht="15.75" customHeight="1">
      <c r="F227" s="363"/>
    </row>
    <row r="228" spans="6:6" ht="15.75" customHeight="1">
      <c r="F228" s="363"/>
    </row>
    <row r="229" spans="6:6" ht="15.75" customHeight="1">
      <c r="F229" s="363"/>
    </row>
    <row r="230" spans="6:6" ht="15.75" customHeight="1">
      <c r="F230" s="363"/>
    </row>
    <row r="231" spans="6:6" ht="15.75" customHeight="1">
      <c r="F231" s="363"/>
    </row>
    <row r="232" spans="6:6" ht="15.75" customHeight="1">
      <c r="F232" s="363"/>
    </row>
    <row r="233" spans="6:6" ht="15.75" customHeight="1">
      <c r="F233" s="363"/>
    </row>
    <row r="234" spans="6:6" ht="15.75" customHeight="1">
      <c r="F234" s="363"/>
    </row>
    <row r="235" spans="6:6" ht="15.75" customHeight="1">
      <c r="F235" s="363"/>
    </row>
    <row r="236" spans="6:6" ht="15.75" customHeight="1">
      <c r="F236" s="363"/>
    </row>
    <row r="237" spans="6:6" ht="15.75" customHeight="1">
      <c r="F237" s="363"/>
    </row>
    <row r="238" spans="6:6" ht="15.75" customHeight="1">
      <c r="F238" s="363"/>
    </row>
    <row r="239" spans="6:6" ht="15.75" customHeight="1">
      <c r="F239" s="363"/>
    </row>
    <row r="240" spans="6:6" ht="15.75" customHeight="1">
      <c r="F240" s="363"/>
    </row>
    <row r="241" spans="6:6" ht="15.75" customHeight="1">
      <c r="F241" s="363"/>
    </row>
    <row r="242" spans="6:6" ht="15.75" customHeight="1">
      <c r="F242" s="363"/>
    </row>
    <row r="243" spans="6:6" ht="15.75" customHeight="1">
      <c r="F243" s="363"/>
    </row>
    <row r="244" spans="6:6" ht="15.75" customHeight="1">
      <c r="F244" s="363"/>
    </row>
    <row r="245" spans="6:6" ht="15.75" customHeight="1">
      <c r="F245" s="363"/>
    </row>
    <row r="246" spans="6:6" ht="15.75" customHeight="1">
      <c r="F246" s="363"/>
    </row>
    <row r="247" spans="6:6" ht="15.75" customHeight="1">
      <c r="F247" s="363"/>
    </row>
    <row r="248" spans="6:6" ht="15.75" customHeight="1">
      <c r="F248" s="363"/>
    </row>
    <row r="249" spans="6:6" ht="15.75" customHeight="1">
      <c r="F249" s="363"/>
    </row>
    <row r="250" spans="6:6" ht="15.75" customHeight="1">
      <c r="F250" s="363"/>
    </row>
    <row r="251" spans="6:6" ht="15.75" customHeight="1">
      <c r="F251" s="363"/>
    </row>
    <row r="252" spans="6:6" ht="15.75" customHeight="1">
      <c r="F252" s="363"/>
    </row>
    <row r="253" spans="6:6" ht="15.75" customHeight="1">
      <c r="F253" s="363"/>
    </row>
    <row r="254" spans="6:6" ht="15.75" customHeight="1">
      <c r="F254" s="363"/>
    </row>
    <row r="255" spans="6:6" ht="15.75" customHeight="1">
      <c r="F255" s="363"/>
    </row>
    <row r="256" spans="6:6" ht="15.75" customHeight="1">
      <c r="F256" s="363"/>
    </row>
    <row r="257" spans="6:6" ht="15.75" customHeight="1">
      <c r="F257" s="363"/>
    </row>
    <row r="258" spans="6:6" ht="15.75" customHeight="1">
      <c r="F258" s="363"/>
    </row>
    <row r="259" spans="6:6" ht="15.75" customHeight="1">
      <c r="F259" s="363"/>
    </row>
    <row r="260" spans="6:6" ht="15.75" customHeight="1">
      <c r="F260" s="363"/>
    </row>
    <row r="261" spans="6:6" ht="15.75" customHeight="1">
      <c r="F261" s="363"/>
    </row>
    <row r="262" spans="6:6" ht="15.75" customHeight="1">
      <c r="F262" s="363"/>
    </row>
    <row r="263" spans="6:6" ht="15.75" customHeight="1">
      <c r="F263" s="363"/>
    </row>
    <row r="264" spans="6:6" ht="15.75" customHeight="1">
      <c r="F264" s="363"/>
    </row>
    <row r="265" spans="6:6" ht="15.75" customHeight="1">
      <c r="F265" s="363"/>
    </row>
    <row r="266" spans="6:6" ht="15.75" customHeight="1">
      <c r="F266" s="363"/>
    </row>
    <row r="267" spans="6:6" ht="15.75" customHeight="1">
      <c r="F267" s="363"/>
    </row>
    <row r="268" spans="6:6" ht="15.75" customHeight="1">
      <c r="F268" s="363"/>
    </row>
    <row r="269" spans="6:6" ht="15.75" customHeight="1">
      <c r="F269" s="363"/>
    </row>
    <row r="270" spans="6:6" ht="15.75" customHeight="1">
      <c r="F270" s="363"/>
    </row>
    <row r="271" spans="6:6" ht="15.75" customHeight="1">
      <c r="F271" s="363"/>
    </row>
    <row r="272" spans="6:6" ht="15.75" customHeight="1">
      <c r="F272" s="363"/>
    </row>
    <row r="273" spans="6:6" ht="15.75" customHeight="1">
      <c r="F273" s="363"/>
    </row>
    <row r="274" spans="6:6" ht="15.75" customHeight="1">
      <c r="F274" s="363"/>
    </row>
    <row r="275" spans="6:6" ht="15.75" customHeight="1">
      <c r="F275" s="363"/>
    </row>
    <row r="276" spans="6:6" ht="15.75" customHeight="1">
      <c r="F276" s="363"/>
    </row>
    <row r="277" spans="6:6" ht="15.75" customHeight="1">
      <c r="F277" s="363"/>
    </row>
    <row r="278" spans="6:6" ht="15.75" customHeight="1">
      <c r="F278" s="363"/>
    </row>
    <row r="279" spans="6:6" ht="15.75" customHeight="1">
      <c r="F279" s="363"/>
    </row>
    <row r="280" spans="6:6" ht="15.75" customHeight="1">
      <c r="F280" s="363"/>
    </row>
    <row r="281" spans="6:6" ht="15.75" customHeight="1">
      <c r="F281" s="363"/>
    </row>
    <row r="282" spans="6:6" ht="15.75" customHeight="1">
      <c r="F282" s="363"/>
    </row>
    <row r="283" spans="6:6" ht="15.75" customHeight="1">
      <c r="F283" s="363"/>
    </row>
    <row r="284" spans="6:6" ht="15.75" customHeight="1">
      <c r="F284" s="363"/>
    </row>
    <row r="285" spans="6:6" ht="15.75" customHeight="1">
      <c r="F285" s="363"/>
    </row>
    <row r="286" spans="6:6" ht="15.75" customHeight="1">
      <c r="F286" s="363"/>
    </row>
    <row r="287" spans="6:6" ht="15.75" customHeight="1">
      <c r="F287" s="363"/>
    </row>
    <row r="288" spans="6:6" ht="15.75" customHeight="1">
      <c r="F288" s="363"/>
    </row>
    <row r="289" spans="6:6" ht="15.75" customHeight="1">
      <c r="F289" s="363"/>
    </row>
    <row r="290" spans="6:6" ht="15.75" customHeight="1">
      <c r="F290" s="363"/>
    </row>
    <row r="291" spans="6:6" ht="15.75" customHeight="1">
      <c r="F291" s="363"/>
    </row>
    <row r="292" spans="6:6" ht="15.75" customHeight="1">
      <c r="F292" s="363"/>
    </row>
    <row r="293" spans="6:6" ht="15.75" customHeight="1">
      <c r="F293" s="363"/>
    </row>
    <row r="294" spans="6:6" ht="15.75" customHeight="1">
      <c r="F294" s="363"/>
    </row>
    <row r="295" spans="6:6" ht="15.75" customHeight="1">
      <c r="F295" s="363"/>
    </row>
    <row r="296" spans="6:6" ht="15.75" customHeight="1">
      <c r="F296" s="363"/>
    </row>
    <row r="297" spans="6:6" ht="15.75" customHeight="1">
      <c r="F297" s="363"/>
    </row>
    <row r="298" spans="6:6" ht="15.75" customHeight="1">
      <c r="F298" s="363"/>
    </row>
    <row r="299" spans="6:6" ht="15.75" customHeight="1">
      <c r="F299" s="363"/>
    </row>
    <row r="300" spans="6:6" ht="15.75" customHeight="1">
      <c r="F300" s="363"/>
    </row>
    <row r="301" spans="6:6" ht="15.75" customHeight="1">
      <c r="F301" s="363"/>
    </row>
    <row r="302" spans="6:6" ht="15.75" customHeight="1">
      <c r="F302" s="363"/>
    </row>
    <row r="303" spans="6:6" ht="15.75" customHeight="1">
      <c r="F303" s="363"/>
    </row>
    <row r="304" spans="6:6" ht="15.75" customHeight="1">
      <c r="F304" s="363"/>
    </row>
    <row r="305" spans="6:6" ht="15.75" customHeight="1">
      <c r="F305" s="363"/>
    </row>
    <row r="306" spans="6:6" ht="15.75" customHeight="1">
      <c r="F306" s="363"/>
    </row>
    <row r="307" spans="6:6" ht="15.75" customHeight="1">
      <c r="F307" s="363"/>
    </row>
    <row r="308" spans="6:6" ht="15.75" customHeight="1">
      <c r="F308" s="363"/>
    </row>
    <row r="309" spans="6:6" ht="15.75" customHeight="1">
      <c r="F309" s="363"/>
    </row>
    <row r="310" spans="6:6" ht="15.75" customHeight="1">
      <c r="F310" s="363"/>
    </row>
    <row r="311" spans="6:6" ht="15.75" customHeight="1">
      <c r="F311" s="363"/>
    </row>
    <row r="312" spans="6:6" ht="15.75" customHeight="1">
      <c r="F312" s="363"/>
    </row>
    <row r="313" spans="6:6" ht="15.75" customHeight="1">
      <c r="F313" s="363"/>
    </row>
    <row r="314" spans="6:6" ht="15.75" customHeight="1">
      <c r="F314" s="363"/>
    </row>
    <row r="315" spans="6:6" ht="15.75" customHeight="1">
      <c r="F315" s="363"/>
    </row>
    <row r="316" spans="6:6" ht="15.75" customHeight="1">
      <c r="F316" s="363"/>
    </row>
    <row r="317" spans="6:6" ht="15.75" customHeight="1">
      <c r="F317" s="363"/>
    </row>
    <row r="318" spans="6:6" ht="15.75" customHeight="1">
      <c r="F318" s="363"/>
    </row>
    <row r="319" spans="6:6" ht="15.75" customHeight="1">
      <c r="F319" s="363"/>
    </row>
    <row r="320" spans="6:6" ht="15.75" customHeight="1">
      <c r="F320" s="363"/>
    </row>
    <row r="321" spans="6:6" ht="15.75" customHeight="1">
      <c r="F321" s="363"/>
    </row>
    <row r="322" spans="6:6" ht="15.75" customHeight="1">
      <c r="F322" s="363"/>
    </row>
    <row r="323" spans="6:6" ht="15.75" customHeight="1">
      <c r="F323" s="363"/>
    </row>
    <row r="324" spans="6:6" ht="15.75" customHeight="1">
      <c r="F324" s="363"/>
    </row>
    <row r="325" spans="6:6" ht="15.75" customHeight="1">
      <c r="F325" s="363"/>
    </row>
    <row r="326" spans="6:6" ht="15.75" customHeight="1">
      <c r="F326" s="363"/>
    </row>
    <row r="327" spans="6:6" ht="15.75" customHeight="1">
      <c r="F327" s="363"/>
    </row>
    <row r="328" spans="6:6" ht="15.75" customHeight="1">
      <c r="F328" s="363"/>
    </row>
    <row r="329" spans="6:6" ht="15.75" customHeight="1">
      <c r="F329" s="363"/>
    </row>
    <row r="330" spans="6:6" ht="15.75" customHeight="1">
      <c r="F330" s="363"/>
    </row>
    <row r="331" spans="6:6" ht="15.75" customHeight="1">
      <c r="F331" s="363"/>
    </row>
    <row r="332" spans="6:6" ht="15.75" customHeight="1">
      <c r="F332" s="363"/>
    </row>
    <row r="333" spans="6:6" ht="15.75" customHeight="1">
      <c r="F333" s="363"/>
    </row>
    <row r="334" spans="6:6" ht="15.75" customHeight="1">
      <c r="F334" s="363"/>
    </row>
    <row r="335" spans="6:6" ht="15.75" customHeight="1">
      <c r="F335" s="363"/>
    </row>
    <row r="336" spans="6:6" ht="15.75" customHeight="1">
      <c r="F336" s="363"/>
    </row>
    <row r="337" spans="6:6" ht="15.75" customHeight="1">
      <c r="F337" s="363"/>
    </row>
    <row r="338" spans="6:6" ht="15.75" customHeight="1">
      <c r="F338" s="363"/>
    </row>
    <row r="339" spans="6:6" ht="15.75" customHeight="1">
      <c r="F339" s="363"/>
    </row>
    <row r="340" spans="6:6" ht="15.75" customHeight="1">
      <c r="F340" s="363"/>
    </row>
    <row r="341" spans="6:6" ht="15.75" customHeight="1">
      <c r="F341" s="363"/>
    </row>
    <row r="342" spans="6:6" ht="15.75" customHeight="1">
      <c r="F342" s="363"/>
    </row>
    <row r="343" spans="6:6" ht="15.75" customHeight="1">
      <c r="F343" s="363"/>
    </row>
    <row r="344" spans="6:6" ht="15.75" customHeight="1">
      <c r="F344" s="363"/>
    </row>
    <row r="345" spans="6:6" ht="15.75" customHeight="1">
      <c r="F345" s="363"/>
    </row>
    <row r="346" spans="6:6" ht="15.75" customHeight="1">
      <c r="F346" s="363"/>
    </row>
    <row r="347" spans="6:6" ht="15.75" customHeight="1">
      <c r="F347" s="363"/>
    </row>
    <row r="348" spans="6:6" ht="15.75" customHeight="1">
      <c r="F348" s="363"/>
    </row>
    <row r="349" spans="6:6" ht="15.75" customHeight="1">
      <c r="F349" s="363"/>
    </row>
    <row r="350" spans="6:6" ht="15.75" customHeight="1">
      <c r="F350" s="363"/>
    </row>
    <row r="351" spans="6:6" ht="15.75" customHeight="1">
      <c r="F351" s="363"/>
    </row>
    <row r="352" spans="6:6" ht="15.75" customHeight="1">
      <c r="F352" s="363"/>
    </row>
    <row r="353" spans="6:6" ht="15.75" customHeight="1">
      <c r="F353" s="363"/>
    </row>
    <row r="354" spans="6:6" ht="15.75" customHeight="1">
      <c r="F354" s="363"/>
    </row>
    <row r="355" spans="6:6" ht="15.75" customHeight="1">
      <c r="F355" s="363"/>
    </row>
    <row r="356" spans="6:6" ht="15.75" customHeight="1">
      <c r="F356" s="363"/>
    </row>
    <row r="357" spans="6:6" ht="15.75" customHeight="1">
      <c r="F357" s="363"/>
    </row>
    <row r="358" spans="6:6" ht="15.75" customHeight="1">
      <c r="F358" s="363"/>
    </row>
    <row r="359" spans="6:6" ht="15.75" customHeight="1">
      <c r="F359" s="363"/>
    </row>
    <row r="360" spans="6:6" ht="15.75" customHeight="1">
      <c r="F360" s="363"/>
    </row>
    <row r="361" spans="6:6" ht="15.75" customHeight="1">
      <c r="F361" s="363"/>
    </row>
    <row r="362" spans="6:6" ht="15.75" customHeight="1">
      <c r="F362" s="363"/>
    </row>
    <row r="363" spans="6:6" ht="15.75" customHeight="1">
      <c r="F363" s="363"/>
    </row>
    <row r="364" spans="6:6" ht="15.75" customHeight="1">
      <c r="F364" s="363"/>
    </row>
    <row r="365" spans="6:6" ht="15.75" customHeight="1">
      <c r="F365" s="363"/>
    </row>
    <row r="366" spans="6:6" ht="15.75" customHeight="1">
      <c r="F366" s="363"/>
    </row>
    <row r="367" spans="6:6" ht="15.75" customHeight="1">
      <c r="F367" s="363"/>
    </row>
    <row r="368" spans="6:6" ht="15.75" customHeight="1">
      <c r="F368" s="363"/>
    </row>
    <row r="369" spans="6:6" ht="15.75" customHeight="1">
      <c r="F369" s="363"/>
    </row>
    <row r="370" spans="6:6" ht="15.75" customHeight="1">
      <c r="F370" s="363"/>
    </row>
    <row r="371" spans="6:6" ht="15.75" customHeight="1">
      <c r="F371" s="363"/>
    </row>
    <row r="372" spans="6:6" ht="15.75" customHeight="1">
      <c r="F372" s="363"/>
    </row>
    <row r="373" spans="6:6" ht="15.75" customHeight="1">
      <c r="F373" s="363"/>
    </row>
    <row r="374" spans="6:6" ht="15.75" customHeight="1">
      <c r="F374" s="363"/>
    </row>
    <row r="375" spans="6:6" ht="15.75" customHeight="1">
      <c r="F375" s="363"/>
    </row>
    <row r="376" spans="6:6" ht="15.75" customHeight="1">
      <c r="F376" s="363"/>
    </row>
    <row r="377" spans="6:6" ht="15.75" customHeight="1">
      <c r="F377" s="363"/>
    </row>
    <row r="378" spans="6:6" ht="15.75" customHeight="1">
      <c r="F378" s="363"/>
    </row>
    <row r="379" spans="6:6" ht="15.75" customHeight="1">
      <c r="F379" s="363"/>
    </row>
    <row r="380" spans="6:6" ht="15.75" customHeight="1">
      <c r="F380" s="363"/>
    </row>
    <row r="381" spans="6:6" ht="15.75" customHeight="1">
      <c r="F381" s="363"/>
    </row>
    <row r="382" spans="6:6" ht="15.75" customHeight="1">
      <c r="F382" s="363"/>
    </row>
    <row r="383" spans="6:6" ht="15.75" customHeight="1">
      <c r="F383" s="363"/>
    </row>
    <row r="384" spans="6:6" ht="15.75" customHeight="1">
      <c r="F384" s="363"/>
    </row>
    <row r="385" spans="6:6" ht="15.75" customHeight="1">
      <c r="F385" s="363"/>
    </row>
    <row r="386" spans="6:6" ht="15.75" customHeight="1">
      <c r="F386" s="363"/>
    </row>
    <row r="387" spans="6:6" ht="15.75" customHeight="1">
      <c r="F387" s="363"/>
    </row>
    <row r="388" spans="6:6" ht="15.75" customHeight="1">
      <c r="F388" s="363"/>
    </row>
    <row r="389" spans="6:6" ht="15.75" customHeight="1">
      <c r="F389" s="363"/>
    </row>
    <row r="390" spans="6:6" ht="15.75" customHeight="1">
      <c r="F390" s="363"/>
    </row>
    <row r="391" spans="6:6" ht="15.75" customHeight="1">
      <c r="F391" s="363"/>
    </row>
    <row r="392" spans="6:6" ht="15.75" customHeight="1">
      <c r="F392" s="363"/>
    </row>
    <row r="393" spans="6:6" ht="15.75" customHeight="1">
      <c r="F393" s="363"/>
    </row>
    <row r="394" spans="6:6" ht="15.75" customHeight="1">
      <c r="F394" s="363"/>
    </row>
    <row r="395" spans="6:6" ht="15.75" customHeight="1">
      <c r="F395" s="363"/>
    </row>
    <row r="396" spans="6:6" ht="15.75" customHeight="1">
      <c r="F396" s="363"/>
    </row>
    <row r="397" spans="6:6" ht="15.75" customHeight="1">
      <c r="F397" s="363"/>
    </row>
    <row r="398" spans="6:6" ht="15.75" customHeight="1">
      <c r="F398" s="363"/>
    </row>
    <row r="399" spans="6:6" ht="15.75" customHeight="1">
      <c r="F399" s="363"/>
    </row>
    <row r="400" spans="6:6" ht="15.75" customHeight="1">
      <c r="F400" s="363"/>
    </row>
    <row r="401" spans="6:6" ht="15.75" customHeight="1">
      <c r="F401" s="363"/>
    </row>
    <row r="402" spans="6:6" ht="15.75" customHeight="1">
      <c r="F402" s="363"/>
    </row>
    <row r="403" spans="6:6" ht="15.75" customHeight="1">
      <c r="F403" s="363"/>
    </row>
    <row r="404" spans="6:6" ht="15.75" customHeight="1">
      <c r="F404" s="363"/>
    </row>
    <row r="405" spans="6:6" ht="15.75" customHeight="1">
      <c r="F405" s="363"/>
    </row>
    <row r="406" spans="6:6" ht="15.75" customHeight="1">
      <c r="F406" s="363"/>
    </row>
    <row r="407" spans="6:6" ht="15.75" customHeight="1">
      <c r="F407" s="363"/>
    </row>
    <row r="408" spans="6:6" ht="15.75" customHeight="1">
      <c r="F408" s="363"/>
    </row>
    <row r="409" spans="6:6" ht="15.75" customHeight="1">
      <c r="F409" s="363"/>
    </row>
    <row r="410" spans="6:6" ht="15.75" customHeight="1">
      <c r="F410" s="363"/>
    </row>
    <row r="411" spans="6:6" ht="15.75" customHeight="1">
      <c r="F411" s="363"/>
    </row>
    <row r="412" spans="6:6" ht="15.75" customHeight="1">
      <c r="F412" s="363"/>
    </row>
    <row r="413" spans="6:6" ht="15.75" customHeight="1">
      <c r="F413" s="363"/>
    </row>
    <row r="414" spans="6:6" ht="15.75" customHeight="1">
      <c r="F414" s="363"/>
    </row>
    <row r="415" spans="6:6" ht="15.75" customHeight="1">
      <c r="F415" s="363"/>
    </row>
    <row r="416" spans="6:6" ht="15.75" customHeight="1">
      <c r="F416" s="363"/>
    </row>
    <row r="417" spans="6:6" ht="15.75" customHeight="1">
      <c r="F417" s="363"/>
    </row>
    <row r="418" spans="6:6" ht="15.75" customHeight="1">
      <c r="F418" s="363"/>
    </row>
    <row r="419" spans="6:6" ht="15.75" customHeight="1">
      <c r="F419" s="363"/>
    </row>
    <row r="420" spans="6:6" ht="15.75" customHeight="1">
      <c r="F420" s="363"/>
    </row>
    <row r="421" spans="6:6" ht="15.75" customHeight="1">
      <c r="F421" s="363"/>
    </row>
    <row r="422" spans="6:6" ht="15.75" customHeight="1">
      <c r="F422" s="363"/>
    </row>
    <row r="423" spans="6:6" ht="15.75" customHeight="1">
      <c r="F423" s="363"/>
    </row>
    <row r="424" spans="6:6" ht="15.75" customHeight="1">
      <c r="F424" s="363"/>
    </row>
    <row r="425" spans="6:6" ht="15.75" customHeight="1">
      <c r="F425" s="363"/>
    </row>
    <row r="426" spans="6:6" ht="15.75" customHeight="1">
      <c r="F426" s="363"/>
    </row>
    <row r="427" spans="6:6" ht="15.75" customHeight="1">
      <c r="F427" s="363"/>
    </row>
    <row r="428" spans="6:6" ht="15.75" customHeight="1">
      <c r="F428" s="363"/>
    </row>
    <row r="429" spans="6:6" ht="15.75" customHeight="1">
      <c r="F429" s="363"/>
    </row>
    <row r="430" spans="6:6" ht="15.75" customHeight="1">
      <c r="F430" s="363"/>
    </row>
    <row r="431" spans="6:6" ht="15.75" customHeight="1">
      <c r="F431" s="363"/>
    </row>
    <row r="432" spans="6:6" ht="15.75" customHeight="1">
      <c r="F432" s="363"/>
    </row>
    <row r="433" spans="6:6" ht="15.75" customHeight="1">
      <c r="F433" s="363"/>
    </row>
    <row r="434" spans="6:6" ht="15.75" customHeight="1">
      <c r="F434" s="363"/>
    </row>
    <row r="435" spans="6:6" ht="15.75" customHeight="1">
      <c r="F435" s="363"/>
    </row>
    <row r="436" spans="6:6" ht="15.75" customHeight="1">
      <c r="F436" s="363"/>
    </row>
    <row r="437" spans="6:6" ht="15.75" customHeight="1">
      <c r="F437" s="363"/>
    </row>
    <row r="438" spans="6:6" ht="15.75" customHeight="1">
      <c r="F438" s="363"/>
    </row>
    <row r="439" spans="6:6" ht="15.75" customHeight="1">
      <c r="F439" s="363"/>
    </row>
    <row r="440" spans="6:6" ht="15.75" customHeight="1">
      <c r="F440" s="363"/>
    </row>
    <row r="441" spans="6:6" ht="15.75" customHeight="1">
      <c r="F441" s="363"/>
    </row>
    <row r="442" spans="6:6" ht="15.75" customHeight="1">
      <c r="F442" s="363"/>
    </row>
    <row r="443" spans="6:6" ht="15.75" customHeight="1">
      <c r="F443" s="363"/>
    </row>
    <row r="444" spans="6:6" ht="15.75" customHeight="1">
      <c r="F444" s="363"/>
    </row>
    <row r="445" spans="6:6" ht="15.75" customHeight="1">
      <c r="F445" s="363"/>
    </row>
    <row r="446" spans="6:6" ht="15.75" customHeight="1">
      <c r="F446" s="363"/>
    </row>
    <row r="447" spans="6:6" ht="15.75" customHeight="1">
      <c r="F447" s="363"/>
    </row>
    <row r="448" spans="6:6" ht="15.75" customHeight="1">
      <c r="F448" s="363"/>
    </row>
    <row r="449" spans="6:6" ht="15.75" customHeight="1">
      <c r="F449" s="363"/>
    </row>
    <row r="450" spans="6:6" ht="15.75" customHeight="1">
      <c r="F450" s="363"/>
    </row>
    <row r="451" spans="6:6" ht="15.75" customHeight="1">
      <c r="F451" s="363"/>
    </row>
    <row r="452" spans="6:6" ht="15.75" customHeight="1">
      <c r="F452" s="363"/>
    </row>
    <row r="453" spans="6:6" ht="15.75" customHeight="1">
      <c r="F453" s="363"/>
    </row>
    <row r="454" spans="6:6" ht="15.75" customHeight="1">
      <c r="F454" s="363"/>
    </row>
    <row r="455" spans="6:6" ht="15.75" customHeight="1">
      <c r="F455" s="363"/>
    </row>
    <row r="456" spans="6:6" ht="15.75" customHeight="1">
      <c r="F456" s="363"/>
    </row>
    <row r="457" spans="6:6" ht="15.75" customHeight="1">
      <c r="F457" s="363"/>
    </row>
    <row r="458" spans="6:6" ht="15.75" customHeight="1">
      <c r="F458" s="363"/>
    </row>
    <row r="459" spans="6:6" ht="15.75" customHeight="1">
      <c r="F459" s="363"/>
    </row>
    <row r="460" spans="6:6" ht="15.75" customHeight="1">
      <c r="F460" s="363"/>
    </row>
    <row r="461" spans="6:6" ht="15.75" customHeight="1">
      <c r="F461" s="363"/>
    </row>
    <row r="462" spans="6:6" ht="15.75" customHeight="1">
      <c r="F462" s="363"/>
    </row>
    <row r="463" spans="6:6" ht="15.75" customHeight="1">
      <c r="F463" s="363"/>
    </row>
    <row r="464" spans="6:6" ht="15.75" customHeight="1">
      <c r="F464" s="363"/>
    </row>
    <row r="465" spans="6:6" ht="15.75" customHeight="1">
      <c r="F465" s="363"/>
    </row>
    <row r="466" spans="6:6" ht="15.75" customHeight="1">
      <c r="F466" s="363"/>
    </row>
    <row r="467" spans="6:6" ht="15.75" customHeight="1">
      <c r="F467" s="363"/>
    </row>
    <row r="468" spans="6:6" ht="15.75" customHeight="1">
      <c r="F468" s="363"/>
    </row>
    <row r="469" spans="6:6" ht="15.75" customHeight="1">
      <c r="F469" s="363"/>
    </row>
    <row r="470" spans="6:6" ht="15.75" customHeight="1">
      <c r="F470" s="363"/>
    </row>
    <row r="471" spans="6:6" ht="15.75" customHeight="1">
      <c r="F471" s="363"/>
    </row>
    <row r="472" spans="6:6" ht="15.75" customHeight="1">
      <c r="F472" s="363"/>
    </row>
    <row r="473" spans="6:6" ht="15.75" customHeight="1">
      <c r="F473" s="363"/>
    </row>
    <row r="474" spans="6:6" ht="15.75" customHeight="1">
      <c r="F474" s="363"/>
    </row>
    <row r="475" spans="6:6" ht="15.75" customHeight="1">
      <c r="F475" s="363"/>
    </row>
    <row r="476" spans="6:6" ht="15.75" customHeight="1">
      <c r="F476" s="363"/>
    </row>
    <row r="477" spans="6:6" ht="15.75" customHeight="1">
      <c r="F477" s="363"/>
    </row>
    <row r="478" spans="6:6" ht="15.75" customHeight="1">
      <c r="F478" s="363"/>
    </row>
    <row r="479" spans="6:6" ht="15.75" customHeight="1">
      <c r="F479" s="363"/>
    </row>
    <row r="480" spans="6:6" ht="15.75" customHeight="1">
      <c r="F480" s="363"/>
    </row>
    <row r="481" spans="6:6" ht="15.75" customHeight="1">
      <c r="F481" s="363"/>
    </row>
    <row r="482" spans="6:6" ht="15.75" customHeight="1">
      <c r="F482" s="363"/>
    </row>
    <row r="483" spans="6:6" ht="15.75" customHeight="1">
      <c r="F483" s="363"/>
    </row>
    <row r="484" spans="6:6" ht="15.75" customHeight="1">
      <c r="F484" s="363"/>
    </row>
    <row r="485" spans="6:6" ht="15.75" customHeight="1">
      <c r="F485" s="363"/>
    </row>
    <row r="486" spans="6:6" ht="15.75" customHeight="1">
      <c r="F486" s="363"/>
    </row>
    <row r="487" spans="6:6" ht="15.75" customHeight="1">
      <c r="F487" s="363"/>
    </row>
    <row r="488" spans="6:6" ht="15.75" customHeight="1">
      <c r="F488" s="363"/>
    </row>
    <row r="489" spans="6:6" ht="15.75" customHeight="1">
      <c r="F489" s="363"/>
    </row>
    <row r="490" spans="6:6" ht="15.75" customHeight="1">
      <c r="F490" s="363"/>
    </row>
    <row r="491" spans="6:6" ht="15.75" customHeight="1">
      <c r="F491" s="363"/>
    </row>
    <row r="492" spans="6:6" ht="15.75" customHeight="1">
      <c r="F492" s="363"/>
    </row>
    <row r="493" spans="6:6" ht="15.75" customHeight="1">
      <c r="F493" s="363"/>
    </row>
    <row r="494" spans="6:6" ht="15.75" customHeight="1">
      <c r="F494" s="363"/>
    </row>
    <row r="495" spans="6:6" ht="15.75" customHeight="1">
      <c r="F495" s="363"/>
    </row>
    <row r="496" spans="6:6" ht="15.75" customHeight="1">
      <c r="F496" s="363"/>
    </row>
    <row r="497" spans="6:6" ht="15.75" customHeight="1">
      <c r="F497" s="363"/>
    </row>
    <row r="498" spans="6:6" ht="15.75" customHeight="1">
      <c r="F498" s="363"/>
    </row>
    <row r="499" spans="6:6" ht="15.75" customHeight="1">
      <c r="F499" s="363"/>
    </row>
    <row r="500" spans="6:6" ht="15.75" customHeight="1">
      <c r="F500" s="363"/>
    </row>
    <row r="501" spans="6:6" ht="15.75" customHeight="1">
      <c r="F501" s="363"/>
    </row>
    <row r="502" spans="6:6" ht="15.75" customHeight="1">
      <c r="F502" s="363"/>
    </row>
    <row r="503" spans="6:6" ht="15.75" customHeight="1">
      <c r="F503" s="363"/>
    </row>
    <row r="504" spans="6:6" ht="15.75" customHeight="1">
      <c r="F504" s="363"/>
    </row>
    <row r="505" spans="6:6" ht="15.75" customHeight="1">
      <c r="F505" s="363"/>
    </row>
    <row r="506" spans="6:6" ht="15.75" customHeight="1">
      <c r="F506" s="363"/>
    </row>
    <row r="507" spans="6:6" ht="15.75" customHeight="1">
      <c r="F507" s="363"/>
    </row>
    <row r="508" spans="6:6" ht="15.75" customHeight="1">
      <c r="F508" s="363"/>
    </row>
    <row r="509" spans="6:6" ht="15.75" customHeight="1">
      <c r="F509" s="363"/>
    </row>
    <row r="510" spans="6:6" ht="15.75" customHeight="1">
      <c r="F510" s="363"/>
    </row>
    <row r="511" spans="6:6" ht="15.75" customHeight="1">
      <c r="F511" s="363"/>
    </row>
    <row r="512" spans="6:6" ht="15.75" customHeight="1">
      <c r="F512" s="363"/>
    </row>
    <row r="513" spans="6:6" ht="15.75" customHeight="1">
      <c r="F513" s="363"/>
    </row>
    <row r="514" spans="6:6" ht="15.75" customHeight="1">
      <c r="F514" s="363"/>
    </row>
    <row r="515" spans="6:6" ht="15.75" customHeight="1">
      <c r="F515" s="363"/>
    </row>
    <row r="516" spans="6:6" ht="15.75" customHeight="1">
      <c r="F516" s="363"/>
    </row>
    <row r="517" spans="6:6" ht="15.75" customHeight="1">
      <c r="F517" s="363"/>
    </row>
    <row r="518" spans="6:6" ht="15.75" customHeight="1">
      <c r="F518" s="363"/>
    </row>
    <row r="519" spans="6:6" ht="15.75" customHeight="1">
      <c r="F519" s="363"/>
    </row>
    <row r="520" spans="6:6" ht="15.75" customHeight="1">
      <c r="F520" s="363"/>
    </row>
    <row r="521" spans="6:6" ht="15.75" customHeight="1">
      <c r="F521" s="363"/>
    </row>
    <row r="522" spans="6:6" ht="15.75" customHeight="1">
      <c r="F522" s="363"/>
    </row>
    <row r="523" spans="6:6" ht="15.75" customHeight="1">
      <c r="F523" s="363"/>
    </row>
    <row r="524" spans="6:6" ht="15.75" customHeight="1">
      <c r="F524" s="363"/>
    </row>
    <row r="525" spans="6:6" ht="15.75" customHeight="1">
      <c r="F525" s="363"/>
    </row>
    <row r="526" spans="6:6" ht="15.75" customHeight="1">
      <c r="F526" s="363"/>
    </row>
    <row r="527" spans="6:6" ht="15.75" customHeight="1">
      <c r="F527" s="363"/>
    </row>
    <row r="528" spans="6:6" ht="15.75" customHeight="1">
      <c r="F528" s="363"/>
    </row>
    <row r="529" spans="6:6" ht="15.75" customHeight="1">
      <c r="F529" s="363"/>
    </row>
    <row r="530" spans="6:6" ht="15.75" customHeight="1">
      <c r="F530" s="363"/>
    </row>
    <row r="531" spans="6:6" ht="15.75" customHeight="1">
      <c r="F531" s="363"/>
    </row>
    <row r="532" spans="6:6" ht="15.75" customHeight="1">
      <c r="F532" s="363"/>
    </row>
    <row r="533" spans="6:6" ht="15.75" customHeight="1">
      <c r="F533" s="363"/>
    </row>
    <row r="534" spans="6:6" ht="15.75" customHeight="1">
      <c r="F534" s="363"/>
    </row>
    <row r="535" spans="6:6" ht="15.75" customHeight="1">
      <c r="F535" s="363"/>
    </row>
    <row r="536" spans="6:6" ht="15.75" customHeight="1">
      <c r="F536" s="363"/>
    </row>
    <row r="537" spans="6:6" ht="15.75" customHeight="1">
      <c r="F537" s="363"/>
    </row>
    <row r="538" spans="6:6" ht="15.75" customHeight="1">
      <c r="F538" s="363"/>
    </row>
    <row r="539" spans="6:6" ht="15.75" customHeight="1">
      <c r="F539" s="363"/>
    </row>
    <row r="540" spans="6:6" ht="15.75" customHeight="1">
      <c r="F540" s="363"/>
    </row>
    <row r="541" spans="6:6" ht="15.75" customHeight="1">
      <c r="F541" s="363"/>
    </row>
    <row r="542" spans="6:6" ht="15.75" customHeight="1">
      <c r="F542" s="363"/>
    </row>
    <row r="543" spans="6:6" ht="15.75" customHeight="1">
      <c r="F543" s="363"/>
    </row>
    <row r="544" spans="6:6" ht="15.75" customHeight="1">
      <c r="F544" s="363"/>
    </row>
    <row r="545" spans="6:6" ht="15.75" customHeight="1">
      <c r="F545" s="363"/>
    </row>
    <row r="546" spans="6:6" ht="15.75" customHeight="1">
      <c r="F546" s="363"/>
    </row>
    <row r="547" spans="6:6" ht="15.75" customHeight="1">
      <c r="F547" s="363"/>
    </row>
    <row r="548" spans="6:6" ht="15.75" customHeight="1">
      <c r="F548" s="363"/>
    </row>
    <row r="549" spans="6:6" ht="15.75" customHeight="1">
      <c r="F549" s="363"/>
    </row>
    <row r="550" spans="6:6" ht="15.75" customHeight="1">
      <c r="F550" s="363"/>
    </row>
    <row r="551" spans="6:6" ht="15.75" customHeight="1">
      <c r="F551" s="363"/>
    </row>
    <row r="552" spans="6:6" ht="15.75" customHeight="1">
      <c r="F552" s="363"/>
    </row>
    <row r="553" spans="6:6" ht="15.75" customHeight="1">
      <c r="F553" s="363"/>
    </row>
    <row r="554" spans="6:6" ht="15.75" customHeight="1">
      <c r="F554" s="363"/>
    </row>
    <row r="555" spans="6:6" ht="15.75" customHeight="1">
      <c r="F555" s="363"/>
    </row>
    <row r="556" spans="6:6" ht="15.75" customHeight="1">
      <c r="F556" s="363"/>
    </row>
    <row r="557" spans="6:6" ht="15.75" customHeight="1">
      <c r="F557" s="363"/>
    </row>
    <row r="558" spans="6:6" ht="15.75" customHeight="1">
      <c r="F558" s="363"/>
    </row>
    <row r="559" spans="6:6" ht="15.75" customHeight="1">
      <c r="F559" s="363"/>
    </row>
    <row r="560" spans="6:6" ht="15.75" customHeight="1">
      <c r="F560" s="363"/>
    </row>
    <row r="561" spans="6:6" ht="15.75" customHeight="1">
      <c r="F561" s="363"/>
    </row>
    <row r="562" spans="6:6" ht="15.75" customHeight="1">
      <c r="F562" s="363"/>
    </row>
    <row r="563" spans="6:6" ht="15.75" customHeight="1">
      <c r="F563" s="363"/>
    </row>
    <row r="564" spans="6:6" ht="15.75" customHeight="1">
      <c r="F564" s="363"/>
    </row>
    <row r="565" spans="6:6" ht="15.75" customHeight="1">
      <c r="F565" s="363"/>
    </row>
    <row r="566" spans="6:6" ht="15.75" customHeight="1">
      <c r="F566" s="363"/>
    </row>
    <row r="567" spans="6:6" ht="15.75" customHeight="1">
      <c r="F567" s="363"/>
    </row>
    <row r="568" spans="6:6" ht="15.75" customHeight="1">
      <c r="F568" s="363"/>
    </row>
    <row r="569" spans="6:6" ht="15.75" customHeight="1">
      <c r="F569" s="363"/>
    </row>
    <row r="570" spans="6:6" ht="15.75" customHeight="1">
      <c r="F570" s="363"/>
    </row>
    <row r="571" spans="6:6" ht="15.75" customHeight="1">
      <c r="F571" s="363"/>
    </row>
    <row r="572" spans="6:6" ht="15.75" customHeight="1">
      <c r="F572" s="363"/>
    </row>
    <row r="573" spans="6:6" ht="15.75" customHeight="1">
      <c r="F573" s="363"/>
    </row>
    <row r="574" spans="6:6" ht="15.75" customHeight="1">
      <c r="F574" s="363"/>
    </row>
    <row r="575" spans="6:6" ht="15.75" customHeight="1">
      <c r="F575" s="363"/>
    </row>
    <row r="576" spans="6:6" ht="15.75" customHeight="1">
      <c r="F576" s="363"/>
    </row>
    <row r="577" spans="6:6" ht="15.75" customHeight="1">
      <c r="F577" s="363"/>
    </row>
    <row r="578" spans="6:6" ht="15.75" customHeight="1">
      <c r="F578" s="363"/>
    </row>
    <row r="579" spans="6:6" ht="15.75" customHeight="1">
      <c r="F579" s="363"/>
    </row>
    <row r="580" spans="6:6" ht="15.75" customHeight="1">
      <c r="F580" s="363"/>
    </row>
    <row r="581" spans="6:6" ht="15.75" customHeight="1">
      <c r="F581" s="363"/>
    </row>
    <row r="582" spans="6:6" ht="15.75" customHeight="1">
      <c r="F582" s="363"/>
    </row>
    <row r="583" spans="6:6" ht="15.75" customHeight="1">
      <c r="F583" s="363"/>
    </row>
    <row r="584" spans="6:6" ht="15.75" customHeight="1">
      <c r="F584" s="363"/>
    </row>
    <row r="585" spans="6:6" ht="15.75" customHeight="1">
      <c r="F585" s="363"/>
    </row>
    <row r="586" spans="6:6" ht="15.75" customHeight="1">
      <c r="F586" s="363"/>
    </row>
    <row r="587" spans="6:6" ht="15.75" customHeight="1">
      <c r="F587" s="363"/>
    </row>
    <row r="588" spans="6:6" ht="15.75" customHeight="1">
      <c r="F588" s="363"/>
    </row>
    <row r="589" spans="6:6" ht="15.75" customHeight="1">
      <c r="F589" s="363"/>
    </row>
    <row r="590" spans="6:6" ht="15.75" customHeight="1">
      <c r="F590" s="363"/>
    </row>
    <row r="591" spans="6:6" ht="15.75" customHeight="1">
      <c r="F591" s="363"/>
    </row>
    <row r="592" spans="6:6" ht="15.75" customHeight="1">
      <c r="F592" s="363"/>
    </row>
    <row r="593" spans="6:6" ht="15.75" customHeight="1">
      <c r="F593" s="363"/>
    </row>
    <row r="594" spans="6:6" ht="15.75" customHeight="1">
      <c r="F594" s="363"/>
    </row>
    <row r="595" spans="6:6" ht="15.75" customHeight="1">
      <c r="F595" s="363"/>
    </row>
    <row r="596" spans="6:6" ht="15.75" customHeight="1">
      <c r="F596" s="363"/>
    </row>
    <row r="597" spans="6:6" ht="15.75" customHeight="1">
      <c r="F597" s="363"/>
    </row>
    <row r="598" spans="6:6" ht="15.75" customHeight="1">
      <c r="F598" s="363"/>
    </row>
    <row r="599" spans="6:6" ht="15.75" customHeight="1">
      <c r="F599" s="363"/>
    </row>
    <row r="600" spans="6:6" ht="15.75" customHeight="1">
      <c r="F600" s="363"/>
    </row>
    <row r="601" spans="6:6" ht="15.75" customHeight="1">
      <c r="F601" s="363"/>
    </row>
    <row r="602" spans="6:6" ht="15.75" customHeight="1">
      <c r="F602" s="363"/>
    </row>
    <row r="603" spans="6:6" ht="15.75" customHeight="1">
      <c r="F603" s="363"/>
    </row>
    <row r="604" spans="6:6" ht="15.75" customHeight="1">
      <c r="F604" s="363"/>
    </row>
    <row r="605" spans="6:6" ht="15.75" customHeight="1">
      <c r="F605" s="363"/>
    </row>
    <row r="606" spans="6:6" ht="15.75" customHeight="1">
      <c r="F606" s="363"/>
    </row>
    <row r="607" spans="6:6" ht="15.75" customHeight="1">
      <c r="F607" s="363"/>
    </row>
    <row r="608" spans="6:6" ht="15.75" customHeight="1">
      <c r="F608" s="363"/>
    </row>
    <row r="609" spans="6:6" ht="15.75" customHeight="1">
      <c r="F609" s="363"/>
    </row>
    <row r="610" spans="6:6" ht="15.75" customHeight="1">
      <c r="F610" s="363"/>
    </row>
    <row r="611" spans="6:6" ht="15.75" customHeight="1">
      <c r="F611" s="363"/>
    </row>
    <row r="612" spans="6:6" ht="15.75" customHeight="1">
      <c r="F612" s="363"/>
    </row>
    <row r="613" spans="6:6" ht="15.75" customHeight="1">
      <c r="F613" s="363"/>
    </row>
    <row r="614" spans="6:6" ht="15.75" customHeight="1">
      <c r="F614" s="363"/>
    </row>
    <row r="615" spans="6:6" ht="15.75" customHeight="1">
      <c r="F615" s="363"/>
    </row>
    <row r="616" spans="6:6" ht="15.75" customHeight="1">
      <c r="F616" s="363"/>
    </row>
    <row r="617" spans="6:6" ht="15.75" customHeight="1">
      <c r="F617" s="363"/>
    </row>
    <row r="618" spans="6:6" ht="15.75" customHeight="1">
      <c r="F618" s="363"/>
    </row>
    <row r="619" spans="6:6" ht="15.75" customHeight="1">
      <c r="F619" s="363"/>
    </row>
    <row r="620" spans="6:6" ht="15.75" customHeight="1">
      <c r="F620" s="363"/>
    </row>
    <row r="621" spans="6:6" ht="15.75" customHeight="1">
      <c r="F621" s="363"/>
    </row>
    <row r="622" spans="6:6" ht="15.75" customHeight="1">
      <c r="F622" s="363"/>
    </row>
    <row r="623" spans="6:6" ht="15.75" customHeight="1">
      <c r="F623" s="363"/>
    </row>
    <row r="624" spans="6:6" ht="15.75" customHeight="1">
      <c r="F624" s="363"/>
    </row>
    <row r="625" spans="6:6" ht="15.75" customHeight="1">
      <c r="F625" s="363"/>
    </row>
    <row r="626" spans="6:6" ht="15.75" customHeight="1">
      <c r="F626" s="363"/>
    </row>
    <row r="627" spans="6:6" ht="15.75" customHeight="1">
      <c r="F627" s="363"/>
    </row>
    <row r="628" spans="6:6" ht="15.75" customHeight="1">
      <c r="F628" s="363"/>
    </row>
    <row r="629" spans="6:6" ht="15.75" customHeight="1">
      <c r="F629" s="363"/>
    </row>
    <row r="630" spans="6:6" ht="15.75" customHeight="1">
      <c r="F630" s="363"/>
    </row>
    <row r="631" spans="6:6" ht="15.75" customHeight="1">
      <c r="F631" s="363"/>
    </row>
    <row r="632" spans="6:6" ht="15.75" customHeight="1">
      <c r="F632" s="363"/>
    </row>
    <row r="633" spans="6:6" ht="15.75" customHeight="1">
      <c r="F633" s="363"/>
    </row>
    <row r="634" spans="6:6" ht="15.75" customHeight="1">
      <c r="F634" s="363"/>
    </row>
    <row r="635" spans="6:6" ht="15.75" customHeight="1">
      <c r="F635" s="363"/>
    </row>
    <row r="636" spans="6:6" ht="15.75" customHeight="1">
      <c r="F636" s="363"/>
    </row>
    <row r="637" spans="6:6" ht="15.75" customHeight="1">
      <c r="F637" s="363"/>
    </row>
    <row r="638" spans="6:6" ht="15.75" customHeight="1">
      <c r="F638" s="363"/>
    </row>
    <row r="639" spans="6:6" ht="15.75" customHeight="1">
      <c r="F639" s="363"/>
    </row>
    <row r="640" spans="6:6" ht="15.75" customHeight="1">
      <c r="F640" s="363"/>
    </row>
    <row r="641" spans="6:6" ht="15.75" customHeight="1">
      <c r="F641" s="363"/>
    </row>
    <row r="642" spans="6:6" ht="15.75" customHeight="1">
      <c r="F642" s="363"/>
    </row>
    <row r="643" spans="6:6" ht="15.75" customHeight="1">
      <c r="F643" s="363"/>
    </row>
    <row r="644" spans="6:6" ht="15.75" customHeight="1">
      <c r="F644" s="363"/>
    </row>
    <row r="645" spans="6:6" ht="15.75" customHeight="1">
      <c r="F645" s="363"/>
    </row>
    <row r="646" spans="6:6" ht="15.75" customHeight="1">
      <c r="F646" s="363"/>
    </row>
    <row r="647" spans="6:6" ht="15.75" customHeight="1">
      <c r="F647" s="363"/>
    </row>
    <row r="648" spans="6:6" ht="15.75" customHeight="1">
      <c r="F648" s="363"/>
    </row>
    <row r="649" spans="6:6" ht="15.75" customHeight="1">
      <c r="F649" s="363"/>
    </row>
    <row r="650" spans="6:6" ht="15.75" customHeight="1">
      <c r="F650" s="363"/>
    </row>
    <row r="651" spans="6:6" ht="15.75" customHeight="1">
      <c r="F651" s="363"/>
    </row>
    <row r="652" spans="6:6" ht="15.75" customHeight="1">
      <c r="F652" s="363"/>
    </row>
    <row r="653" spans="6:6" ht="15.75" customHeight="1">
      <c r="F653" s="363"/>
    </row>
    <row r="654" spans="6:6" ht="15.75" customHeight="1">
      <c r="F654" s="363"/>
    </row>
    <row r="655" spans="6:6" ht="15.75" customHeight="1">
      <c r="F655" s="363"/>
    </row>
    <row r="656" spans="6:6" ht="15.75" customHeight="1">
      <c r="F656" s="363"/>
    </row>
    <row r="657" spans="6:6" ht="15.75" customHeight="1">
      <c r="F657" s="363"/>
    </row>
    <row r="658" spans="6:6" ht="15.75" customHeight="1">
      <c r="F658" s="363"/>
    </row>
    <row r="659" spans="6:6" ht="15.75" customHeight="1">
      <c r="F659" s="363"/>
    </row>
    <row r="660" spans="6:6" ht="15.75" customHeight="1">
      <c r="F660" s="363"/>
    </row>
    <row r="661" spans="6:6" ht="15.75" customHeight="1">
      <c r="F661" s="363"/>
    </row>
    <row r="662" spans="6:6" ht="15.75" customHeight="1">
      <c r="F662" s="363"/>
    </row>
    <row r="663" spans="6:6" ht="15.75" customHeight="1">
      <c r="F663" s="363"/>
    </row>
    <row r="664" spans="6:6" ht="15.75" customHeight="1">
      <c r="F664" s="363"/>
    </row>
    <row r="665" spans="6:6" ht="15.75" customHeight="1">
      <c r="F665" s="363"/>
    </row>
    <row r="666" spans="6:6" ht="15.75" customHeight="1">
      <c r="F666" s="363"/>
    </row>
    <row r="667" spans="6:6" ht="15.75" customHeight="1">
      <c r="F667" s="363"/>
    </row>
    <row r="668" spans="6:6" ht="15.75" customHeight="1">
      <c r="F668" s="363"/>
    </row>
    <row r="669" spans="6:6" ht="15.75" customHeight="1">
      <c r="F669" s="363"/>
    </row>
    <row r="670" spans="6:6" ht="15.75" customHeight="1">
      <c r="F670" s="363"/>
    </row>
    <row r="671" spans="6:6" ht="15.75" customHeight="1">
      <c r="F671" s="363"/>
    </row>
    <row r="672" spans="6:6" ht="15.75" customHeight="1">
      <c r="F672" s="363"/>
    </row>
    <row r="673" spans="6:6" ht="15.75" customHeight="1">
      <c r="F673" s="363"/>
    </row>
    <row r="674" spans="6:6" ht="15.75" customHeight="1">
      <c r="F674" s="363"/>
    </row>
    <row r="675" spans="6:6" ht="15.75" customHeight="1">
      <c r="F675" s="363"/>
    </row>
    <row r="676" spans="6:6" ht="15.75" customHeight="1">
      <c r="F676" s="363"/>
    </row>
    <row r="677" spans="6:6" ht="15.75" customHeight="1">
      <c r="F677" s="363"/>
    </row>
    <row r="678" spans="6:6" ht="15.75" customHeight="1">
      <c r="F678" s="363"/>
    </row>
    <row r="679" spans="6:6" ht="15.75" customHeight="1">
      <c r="F679" s="363"/>
    </row>
    <row r="680" spans="6:6" ht="15.75" customHeight="1">
      <c r="F680" s="363"/>
    </row>
    <row r="681" spans="6:6" ht="15.75" customHeight="1">
      <c r="F681" s="363"/>
    </row>
    <row r="682" spans="6:6" ht="15.75" customHeight="1">
      <c r="F682" s="363"/>
    </row>
    <row r="683" spans="6:6" ht="15.75" customHeight="1">
      <c r="F683" s="363"/>
    </row>
    <row r="684" spans="6:6" ht="15.75" customHeight="1">
      <c r="F684" s="363"/>
    </row>
    <row r="685" spans="6:6" ht="15.75" customHeight="1">
      <c r="F685" s="363"/>
    </row>
    <row r="686" spans="6:6" ht="15.75" customHeight="1">
      <c r="F686" s="363"/>
    </row>
    <row r="687" spans="6:6" ht="15.75" customHeight="1">
      <c r="F687" s="363"/>
    </row>
    <row r="688" spans="6:6" ht="15.75" customHeight="1">
      <c r="F688" s="363"/>
    </row>
    <row r="689" spans="6:6" ht="15.75" customHeight="1">
      <c r="F689" s="363"/>
    </row>
    <row r="690" spans="6:6" ht="15.75" customHeight="1">
      <c r="F690" s="363"/>
    </row>
    <row r="691" spans="6:6" ht="15.75" customHeight="1">
      <c r="F691" s="363"/>
    </row>
    <row r="692" spans="6:6" ht="15.75" customHeight="1">
      <c r="F692" s="363"/>
    </row>
    <row r="693" spans="6:6" ht="15.75" customHeight="1">
      <c r="F693" s="363"/>
    </row>
    <row r="694" spans="6:6" ht="15.75" customHeight="1">
      <c r="F694" s="363"/>
    </row>
    <row r="695" spans="6:6" ht="15.75" customHeight="1">
      <c r="F695" s="363"/>
    </row>
    <row r="696" spans="6:6" ht="15.75" customHeight="1">
      <c r="F696" s="363"/>
    </row>
    <row r="697" spans="6:6" ht="15.75" customHeight="1">
      <c r="F697" s="363"/>
    </row>
    <row r="698" spans="6:6" ht="15.75" customHeight="1">
      <c r="F698" s="363"/>
    </row>
    <row r="699" spans="6:6" ht="15.75" customHeight="1">
      <c r="F699" s="363"/>
    </row>
    <row r="700" spans="6:6" ht="15.75" customHeight="1">
      <c r="F700" s="363"/>
    </row>
    <row r="701" spans="6:6" ht="15.75" customHeight="1">
      <c r="F701" s="363"/>
    </row>
    <row r="702" spans="6:6" ht="15.75" customHeight="1">
      <c r="F702" s="363"/>
    </row>
    <row r="703" spans="6:6" ht="15.75" customHeight="1">
      <c r="F703" s="363"/>
    </row>
    <row r="704" spans="6:6" ht="15.75" customHeight="1">
      <c r="F704" s="363"/>
    </row>
    <row r="705" spans="6:6" ht="15.75" customHeight="1">
      <c r="F705" s="363"/>
    </row>
    <row r="706" spans="6:6" ht="15.75" customHeight="1">
      <c r="F706" s="363"/>
    </row>
    <row r="707" spans="6:6" ht="15.75" customHeight="1">
      <c r="F707" s="363"/>
    </row>
    <row r="708" spans="6:6" ht="15.75" customHeight="1">
      <c r="F708" s="363"/>
    </row>
    <row r="709" spans="6:6" ht="15.75" customHeight="1">
      <c r="F709" s="363"/>
    </row>
    <row r="710" spans="6:6" ht="15.75" customHeight="1">
      <c r="F710" s="363"/>
    </row>
    <row r="711" spans="6:6" ht="15.75" customHeight="1">
      <c r="F711" s="363"/>
    </row>
    <row r="712" spans="6:6" ht="15.75" customHeight="1">
      <c r="F712" s="363"/>
    </row>
    <row r="713" spans="6:6" ht="15.75" customHeight="1">
      <c r="F713" s="363"/>
    </row>
    <row r="714" spans="6:6" ht="15.75" customHeight="1">
      <c r="F714" s="363"/>
    </row>
    <row r="715" spans="6:6" ht="15.75" customHeight="1">
      <c r="F715" s="363"/>
    </row>
    <row r="716" spans="6:6" ht="15.75" customHeight="1">
      <c r="F716" s="363"/>
    </row>
    <row r="717" spans="6:6" ht="15.75" customHeight="1">
      <c r="F717" s="363"/>
    </row>
    <row r="718" spans="6:6" ht="15.75" customHeight="1">
      <c r="F718" s="363"/>
    </row>
    <row r="719" spans="6:6" ht="15.75" customHeight="1">
      <c r="F719" s="363"/>
    </row>
    <row r="720" spans="6:6" ht="15.75" customHeight="1">
      <c r="F720" s="363"/>
    </row>
    <row r="721" spans="6:6" ht="15.75" customHeight="1">
      <c r="F721" s="363"/>
    </row>
    <row r="722" spans="6:6" ht="15.75" customHeight="1">
      <c r="F722" s="363"/>
    </row>
    <row r="723" spans="6:6" ht="15.75" customHeight="1">
      <c r="F723" s="363"/>
    </row>
    <row r="724" spans="6:6" ht="15.75" customHeight="1">
      <c r="F724" s="363"/>
    </row>
    <row r="725" spans="6:6" ht="15.75" customHeight="1">
      <c r="F725" s="363"/>
    </row>
    <row r="726" spans="6:6" ht="15.75" customHeight="1">
      <c r="F726" s="363"/>
    </row>
    <row r="727" spans="6:6" ht="15.75" customHeight="1">
      <c r="F727" s="363"/>
    </row>
    <row r="728" spans="6:6" ht="15.75" customHeight="1">
      <c r="F728" s="363"/>
    </row>
    <row r="729" spans="6:6" ht="15.75" customHeight="1">
      <c r="F729" s="363"/>
    </row>
    <row r="730" spans="6:6" ht="15.75" customHeight="1">
      <c r="F730" s="363"/>
    </row>
    <row r="731" spans="6:6" ht="15.75" customHeight="1">
      <c r="F731" s="363"/>
    </row>
    <row r="732" spans="6:6" ht="15.75" customHeight="1">
      <c r="F732" s="363"/>
    </row>
    <row r="733" spans="6:6" ht="15.75" customHeight="1">
      <c r="F733" s="363"/>
    </row>
    <row r="734" spans="6:6" ht="15.75" customHeight="1">
      <c r="F734" s="363"/>
    </row>
    <row r="735" spans="6:6" ht="15.75" customHeight="1">
      <c r="F735" s="363"/>
    </row>
    <row r="736" spans="6:6" ht="15.75" customHeight="1">
      <c r="F736" s="363"/>
    </row>
    <row r="737" spans="6:6" ht="15.75" customHeight="1">
      <c r="F737" s="363"/>
    </row>
    <row r="738" spans="6:6" ht="15.75" customHeight="1">
      <c r="F738" s="363"/>
    </row>
    <row r="739" spans="6:6" ht="15.75" customHeight="1">
      <c r="F739" s="363"/>
    </row>
    <row r="740" spans="6:6" ht="15.75" customHeight="1">
      <c r="F740" s="363"/>
    </row>
    <row r="741" spans="6:6" ht="15.75" customHeight="1">
      <c r="F741" s="363"/>
    </row>
    <row r="742" spans="6:6" ht="15.75" customHeight="1">
      <c r="F742" s="363"/>
    </row>
    <row r="743" spans="6:6" ht="15.75" customHeight="1">
      <c r="F743" s="363"/>
    </row>
    <row r="744" spans="6:6" ht="15.75" customHeight="1">
      <c r="F744" s="363"/>
    </row>
    <row r="745" spans="6:6" ht="15.75" customHeight="1">
      <c r="F745" s="363"/>
    </row>
    <row r="746" spans="6:6" ht="15.75" customHeight="1">
      <c r="F746" s="363"/>
    </row>
    <row r="747" spans="6:6" ht="15.75" customHeight="1">
      <c r="F747" s="363"/>
    </row>
    <row r="748" spans="6:6" ht="15.75" customHeight="1">
      <c r="F748" s="363"/>
    </row>
    <row r="749" spans="6:6" ht="15.75" customHeight="1">
      <c r="F749" s="363"/>
    </row>
    <row r="750" spans="6:6" ht="15.75" customHeight="1">
      <c r="F750" s="363"/>
    </row>
    <row r="751" spans="6:6" ht="15.75" customHeight="1">
      <c r="F751" s="363"/>
    </row>
    <row r="752" spans="6:6" ht="15.75" customHeight="1">
      <c r="F752" s="363"/>
    </row>
    <row r="753" spans="6:6" ht="15.75" customHeight="1">
      <c r="F753" s="363"/>
    </row>
    <row r="754" spans="6:6" ht="15.75" customHeight="1">
      <c r="F754" s="363"/>
    </row>
    <row r="755" spans="6:6" ht="15.75" customHeight="1">
      <c r="F755" s="363"/>
    </row>
    <row r="756" spans="6:6" ht="15.75" customHeight="1">
      <c r="F756" s="363"/>
    </row>
    <row r="757" spans="6:6" ht="15.75" customHeight="1">
      <c r="F757" s="363"/>
    </row>
    <row r="758" spans="6:6" ht="15.75" customHeight="1">
      <c r="F758" s="363"/>
    </row>
    <row r="759" spans="6:6" ht="15.75" customHeight="1">
      <c r="F759" s="363"/>
    </row>
    <row r="760" spans="6:6" ht="15.75" customHeight="1">
      <c r="F760" s="363"/>
    </row>
    <row r="761" spans="6:6" ht="15.75" customHeight="1">
      <c r="F761" s="363"/>
    </row>
    <row r="762" spans="6:6" ht="15.75" customHeight="1">
      <c r="F762" s="363"/>
    </row>
    <row r="763" spans="6:6" ht="15.75" customHeight="1">
      <c r="F763" s="363"/>
    </row>
    <row r="764" spans="6:6" ht="15.75" customHeight="1">
      <c r="F764" s="363"/>
    </row>
    <row r="765" spans="6:6" ht="15.75" customHeight="1">
      <c r="F765" s="363"/>
    </row>
    <row r="766" spans="6:6" ht="15.75" customHeight="1">
      <c r="F766" s="363"/>
    </row>
    <row r="767" spans="6:6" ht="15.75" customHeight="1">
      <c r="F767" s="363"/>
    </row>
    <row r="768" spans="6:6" ht="15.75" customHeight="1">
      <c r="F768" s="363"/>
    </row>
    <row r="769" spans="6:6" ht="15.75" customHeight="1">
      <c r="F769" s="363"/>
    </row>
    <row r="770" spans="6:6" ht="15.75" customHeight="1">
      <c r="F770" s="363"/>
    </row>
    <row r="771" spans="6:6" ht="15.75" customHeight="1">
      <c r="F771" s="363"/>
    </row>
    <row r="772" spans="6:6" ht="15.75" customHeight="1">
      <c r="F772" s="363"/>
    </row>
    <row r="773" spans="6:6" ht="15.75" customHeight="1">
      <c r="F773" s="363"/>
    </row>
    <row r="774" spans="6:6" ht="15.75" customHeight="1">
      <c r="F774" s="363"/>
    </row>
    <row r="775" spans="6:6" ht="15.75" customHeight="1">
      <c r="F775" s="363"/>
    </row>
    <row r="776" spans="6:6" ht="15.75" customHeight="1">
      <c r="F776" s="363"/>
    </row>
    <row r="777" spans="6:6" ht="15.75" customHeight="1">
      <c r="F777" s="363"/>
    </row>
    <row r="778" spans="6:6" ht="15.75" customHeight="1">
      <c r="F778" s="363"/>
    </row>
    <row r="779" spans="6:6" ht="15.75" customHeight="1">
      <c r="F779" s="363"/>
    </row>
    <row r="780" spans="6:6" ht="15.75" customHeight="1">
      <c r="F780" s="363"/>
    </row>
    <row r="781" spans="6:6" ht="15.75" customHeight="1">
      <c r="F781" s="363"/>
    </row>
    <row r="782" spans="6:6" ht="15.75" customHeight="1">
      <c r="F782" s="363"/>
    </row>
    <row r="783" spans="6:6" ht="15.75" customHeight="1">
      <c r="F783" s="363"/>
    </row>
    <row r="784" spans="6:6" ht="15.75" customHeight="1">
      <c r="F784" s="363"/>
    </row>
    <row r="785" spans="6:6" ht="15.75" customHeight="1">
      <c r="F785" s="363"/>
    </row>
    <row r="786" spans="6:6" ht="15.75" customHeight="1">
      <c r="F786" s="363"/>
    </row>
    <row r="787" spans="6:6" ht="15.75" customHeight="1">
      <c r="F787" s="363"/>
    </row>
    <row r="788" spans="6:6" ht="15.75" customHeight="1">
      <c r="F788" s="363"/>
    </row>
    <row r="789" spans="6:6" ht="15.75" customHeight="1">
      <c r="F789" s="363"/>
    </row>
    <row r="790" spans="6:6" ht="15.75" customHeight="1">
      <c r="F790" s="363"/>
    </row>
    <row r="791" spans="6:6" ht="15.75" customHeight="1">
      <c r="F791" s="363"/>
    </row>
    <row r="792" spans="6:6" ht="15.75" customHeight="1">
      <c r="F792" s="363"/>
    </row>
    <row r="793" spans="6:6" ht="15.75" customHeight="1">
      <c r="F793" s="363"/>
    </row>
    <row r="794" spans="6:6" ht="15.75" customHeight="1">
      <c r="F794" s="363"/>
    </row>
    <row r="795" spans="6:6" ht="15.75" customHeight="1">
      <c r="F795" s="363"/>
    </row>
    <row r="796" spans="6:6" ht="15.75" customHeight="1">
      <c r="F796" s="363"/>
    </row>
    <row r="797" spans="6:6" ht="15.75" customHeight="1">
      <c r="F797" s="363"/>
    </row>
    <row r="798" spans="6:6" ht="15.75" customHeight="1">
      <c r="F798" s="363"/>
    </row>
    <row r="799" spans="6:6" ht="15.75" customHeight="1">
      <c r="F799" s="363"/>
    </row>
    <row r="800" spans="6:6" ht="15.75" customHeight="1">
      <c r="F800" s="363"/>
    </row>
    <row r="801" spans="6:6" ht="15.75" customHeight="1">
      <c r="F801" s="363"/>
    </row>
    <row r="802" spans="6:6" ht="15.75" customHeight="1">
      <c r="F802" s="363"/>
    </row>
    <row r="803" spans="6:6" ht="15.75" customHeight="1">
      <c r="F803" s="363"/>
    </row>
    <row r="804" spans="6:6" ht="15.75" customHeight="1">
      <c r="F804" s="363"/>
    </row>
    <row r="805" spans="6:6" ht="15.75" customHeight="1">
      <c r="F805" s="363"/>
    </row>
    <row r="806" spans="6:6" ht="15.75" customHeight="1">
      <c r="F806" s="363"/>
    </row>
    <row r="807" spans="6:6" ht="15.75" customHeight="1">
      <c r="F807" s="363"/>
    </row>
    <row r="808" spans="6:6" ht="15.75" customHeight="1">
      <c r="F808" s="363"/>
    </row>
    <row r="809" spans="6:6" ht="15.75" customHeight="1">
      <c r="F809" s="363"/>
    </row>
    <row r="810" spans="6:6" ht="15.75" customHeight="1">
      <c r="F810" s="363"/>
    </row>
    <row r="811" spans="6:6" ht="15.75" customHeight="1">
      <c r="F811" s="363"/>
    </row>
    <row r="812" spans="6:6" ht="15.75" customHeight="1">
      <c r="F812" s="363"/>
    </row>
    <row r="813" spans="6:6" ht="15.75" customHeight="1">
      <c r="F813" s="363"/>
    </row>
    <row r="814" spans="6:6" ht="15.75" customHeight="1">
      <c r="F814" s="363"/>
    </row>
    <row r="815" spans="6:6" ht="15.75" customHeight="1">
      <c r="F815" s="363"/>
    </row>
    <row r="816" spans="6:6" ht="15.75" customHeight="1">
      <c r="F816" s="363"/>
    </row>
    <row r="817" spans="6:6" ht="15.75" customHeight="1">
      <c r="F817" s="363"/>
    </row>
    <row r="818" spans="6:6" ht="15.75" customHeight="1">
      <c r="F818" s="363"/>
    </row>
    <row r="819" spans="6:6" ht="15.75" customHeight="1">
      <c r="F819" s="363"/>
    </row>
    <row r="820" spans="6:6" ht="15.75" customHeight="1">
      <c r="F820" s="363"/>
    </row>
    <row r="821" spans="6:6" ht="15.75" customHeight="1">
      <c r="F821" s="363"/>
    </row>
    <row r="822" spans="6:6" ht="15.75" customHeight="1">
      <c r="F822" s="363"/>
    </row>
    <row r="823" spans="6:6" ht="15.75" customHeight="1">
      <c r="F823" s="363"/>
    </row>
    <row r="824" spans="6:6" ht="15.75" customHeight="1">
      <c r="F824" s="363"/>
    </row>
    <row r="825" spans="6:6" ht="15.75" customHeight="1">
      <c r="F825" s="363"/>
    </row>
    <row r="826" spans="6:6" ht="15.75" customHeight="1">
      <c r="F826" s="363"/>
    </row>
    <row r="827" spans="6:6" ht="15.75" customHeight="1">
      <c r="F827" s="363"/>
    </row>
    <row r="828" spans="6:6" ht="15.75" customHeight="1">
      <c r="F828" s="363"/>
    </row>
    <row r="829" spans="6:6" ht="15.75" customHeight="1">
      <c r="F829" s="363"/>
    </row>
    <row r="830" spans="6:6" ht="15.75" customHeight="1">
      <c r="F830" s="363"/>
    </row>
    <row r="831" spans="6:6" ht="15.75" customHeight="1">
      <c r="F831" s="363"/>
    </row>
    <row r="832" spans="6:6" ht="15.75" customHeight="1">
      <c r="F832" s="363"/>
    </row>
    <row r="833" spans="6:6" ht="15.75" customHeight="1">
      <c r="F833" s="363"/>
    </row>
    <row r="834" spans="6:6" ht="15.75" customHeight="1">
      <c r="F834" s="363"/>
    </row>
    <row r="835" spans="6:6" ht="15.75" customHeight="1">
      <c r="F835" s="363"/>
    </row>
    <row r="836" spans="6:6" ht="15.75" customHeight="1">
      <c r="F836" s="363"/>
    </row>
    <row r="837" spans="6:6" ht="15.75" customHeight="1">
      <c r="F837" s="363"/>
    </row>
    <row r="838" spans="6:6" ht="15.75" customHeight="1">
      <c r="F838" s="363"/>
    </row>
    <row r="839" spans="6:6" ht="15.75" customHeight="1">
      <c r="F839" s="363"/>
    </row>
    <row r="840" spans="6:6" ht="15.75" customHeight="1">
      <c r="F840" s="363"/>
    </row>
    <row r="841" spans="6:6" ht="15.75" customHeight="1">
      <c r="F841" s="363"/>
    </row>
    <row r="842" spans="6:6" ht="15.75" customHeight="1">
      <c r="F842" s="363"/>
    </row>
    <row r="843" spans="6:6" ht="15.75" customHeight="1">
      <c r="F843" s="363"/>
    </row>
    <row r="844" spans="6:6" ht="15.75" customHeight="1">
      <c r="F844" s="363"/>
    </row>
    <row r="845" spans="6:6" ht="15.75" customHeight="1">
      <c r="F845" s="363"/>
    </row>
    <row r="846" spans="6:6" ht="15.75" customHeight="1">
      <c r="F846" s="363"/>
    </row>
    <row r="847" spans="6:6" ht="15.75" customHeight="1">
      <c r="F847" s="363"/>
    </row>
    <row r="848" spans="6:6" ht="15.75" customHeight="1">
      <c r="F848" s="363"/>
    </row>
    <row r="849" spans="6:6" ht="15.75" customHeight="1">
      <c r="F849" s="363"/>
    </row>
    <row r="850" spans="6:6" ht="15.75" customHeight="1">
      <c r="F850" s="363"/>
    </row>
    <row r="851" spans="6:6" ht="15.75" customHeight="1">
      <c r="F851" s="363"/>
    </row>
    <row r="852" spans="6:6" ht="15.75" customHeight="1">
      <c r="F852" s="363"/>
    </row>
    <row r="853" spans="6:6" ht="15.75" customHeight="1">
      <c r="F853" s="363"/>
    </row>
    <row r="854" spans="6:6" ht="15.75" customHeight="1">
      <c r="F854" s="363"/>
    </row>
    <row r="855" spans="6:6" ht="15.75" customHeight="1">
      <c r="F855" s="363"/>
    </row>
    <row r="856" spans="6:6" ht="15.75" customHeight="1">
      <c r="F856" s="363"/>
    </row>
    <row r="857" spans="6:6" ht="15.75" customHeight="1">
      <c r="F857" s="363"/>
    </row>
    <row r="858" spans="6:6" ht="15.75" customHeight="1">
      <c r="F858" s="363"/>
    </row>
    <row r="859" spans="6:6" ht="15.75" customHeight="1">
      <c r="F859" s="363"/>
    </row>
    <row r="860" spans="6:6" ht="15.75" customHeight="1">
      <c r="F860" s="363"/>
    </row>
    <row r="861" spans="6:6" ht="15.75" customHeight="1">
      <c r="F861" s="363"/>
    </row>
    <row r="862" spans="6:6" ht="15.75" customHeight="1">
      <c r="F862" s="363"/>
    </row>
    <row r="863" spans="6:6" ht="15.75" customHeight="1">
      <c r="F863" s="363"/>
    </row>
    <row r="864" spans="6:6" ht="15.75" customHeight="1">
      <c r="F864" s="363"/>
    </row>
    <row r="865" spans="6:6" ht="15.75" customHeight="1">
      <c r="F865" s="363"/>
    </row>
    <row r="866" spans="6:6" ht="15.75" customHeight="1">
      <c r="F866" s="363"/>
    </row>
    <row r="867" spans="6:6" ht="15.75" customHeight="1">
      <c r="F867" s="363"/>
    </row>
    <row r="868" spans="6:6" ht="15.75" customHeight="1">
      <c r="F868" s="363"/>
    </row>
    <row r="869" spans="6:6" ht="15.75" customHeight="1">
      <c r="F869" s="363"/>
    </row>
    <row r="870" spans="6:6" ht="15.75" customHeight="1">
      <c r="F870" s="363"/>
    </row>
    <row r="871" spans="6:6" ht="15.75" customHeight="1">
      <c r="F871" s="363"/>
    </row>
    <row r="872" spans="6:6" ht="15.75" customHeight="1">
      <c r="F872" s="363"/>
    </row>
    <row r="873" spans="6:6" ht="15.75" customHeight="1">
      <c r="F873" s="363"/>
    </row>
    <row r="874" spans="6:6" ht="15.75" customHeight="1">
      <c r="F874" s="363"/>
    </row>
    <row r="875" spans="6:6" ht="15.75" customHeight="1">
      <c r="F875" s="363"/>
    </row>
    <row r="876" spans="6:6" ht="15.75" customHeight="1">
      <c r="F876" s="363"/>
    </row>
    <row r="877" spans="6:6" ht="15.75" customHeight="1">
      <c r="F877" s="363"/>
    </row>
    <row r="878" spans="6:6" ht="15.75" customHeight="1">
      <c r="F878" s="363"/>
    </row>
    <row r="879" spans="6:6" ht="15.75" customHeight="1">
      <c r="F879" s="363"/>
    </row>
    <row r="880" spans="6:6" ht="15.75" customHeight="1">
      <c r="F880" s="363"/>
    </row>
    <row r="881" spans="6:6" ht="15.75" customHeight="1">
      <c r="F881" s="363"/>
    </row>
    <row r="882" spans="6:6" ht="15.75" customHeight="1">
      <c r="F882" s="363"/>
    </row>
    <row r="883" spans="6:6" ht="15.75" customHeight="1">
      <c r="F883" s="363"/>
    </row>
    <row r="884" spans="6:6" ht="15.75" customHeight="1">
      <c r="F884" s="363"/>
    </row>
    <row r="885" spans="6:6" ht="15.75" customHeight="1">
      <c r="F885" s="363"/>
    </row>
    <row r="886" spans="6:6" ht="15.75" customHeight="1">
      <c r="F886" s="363"/>
    </row>
    <row r="887" spans="6:6" ht="15.75" customHeight="1">
      <c r="F887" s="363"/>
    </row>
    <row r="888" spans="6:6" ht="15.75" customHeight="1">
      <c r="F888" s="363"/>
    </row>
    <row r="889" spans="6:6" ht="15.75" customHeight="1">
      <c r="F889" s="363"/>
    </row>
    <row r="890" spans="6:6" ht="15.75" customHeight="1">
      <c r="F890" s="363"/>
    </row>
    <row r="891" spans="6:6" ht="15.75" customHeight="1">
      <c r="F891" s="363"/>
    </row>
    <row r="892" spans="6:6" ht="15.75" customHeight="1">
      <c r="F892" s="363"/>
    </row>
    <row r="893" spans="6:6" ht="15.75" customHeight="1">
      <c r="F893" s="363"/>
    </row>
    <row r="894" spans="6:6" ht="15.75" customHeight="1">
      <c r="F894" s="363"/>
    </row>
    <row r="895" spans="6:6" ht="15.75" customHeight="1">
      <c r="F895" s="363"/>
    </row>
    <row r="896" spans="6:6" ht="15.75" customHeight="1">
      <c r="F896" s="363"/>
    </row>
    <row r="897" spans="6:6" ht="15.75" customHeight="1">
      <c r="F897" s="363"/>
    </row>
    <row r="898" spans="6:6" ht="15.75" customHeight="1">
      <c r="F898" s="363"/>
    </row>
    <row r="899" spans="6:6" ht="15.75" customHeight="1">
      <c r="F899" s="363"/>
    </row>
    <row r="900" spans="6:6" ht="15.75" customHeight="1">
      <c r="F900" s="363"/>
    </row>
    <row r="901" spans="6:6" ht="15.75" customHeight="1">
      <c r="F901" s="363"/>
    </row>
    <row r="902" spans="6:6" ht="15.75" customHeight="1">
      <c r="F902" s="363"/>
    </row>
    <row r="903" spans="6:6" ht="15.75" customHeight="1">
      <c r="F903" s="363"/>
    </row>
    <row r="904" spans="6:6" ht="15.75" customHeight="1">
      <c r="F904" s="363"/>
    </row>
    <row r="905" spans="6:6" ht="15.75" customHeight="1">
      <c r="F905" s="363"/>
    </row>
    <row r="906" spans="6:6" ht="15.75" customHeight="1">
      <c r="F906" s="363"/>
    </row>
    <row r="907" spans="6:6" ht="15.75" customHeight="1">
      <c r="F907" s="363"/>
    </row>
    <row r="908" spans="6:6" ht="15.75" customHeight="1">
      <c r="F908" s="363"/>
    </row>
    <row r="909" spans="6:6" ht="15.75" customHeight="1">
      <c r="F909" s="363"/>
    </row>
    <row r="910" spans="6:6" ht="15.75" customHeight="1">
      <c r="F910" s="363"/>
    </row>
    <row r="911" spans="6:6" ht="15.75" customHeight="1">
      <c r="F911" s="363"/>
    </row>
    <row r="912" spans="6:6" ht="15.75" customHeight="1">
      <c r="F912" s="363"/>
    </row>
    <row r="913" spans="6:6" ht="15.75" customHeight="1">
      <c r="F913" s="363"/>
    </row>
    <row r="914" spans="6:6" ht="15.75" customHeight="1">
      <c r="F914" s="363"/>
    </row>
    <row r="915" spans="6:6" ht="15.75" customHeight="1">
      <c r="F915" s="363"/>
    </row>
    <row r="916" spans="6:6" ht="15.75" customHeight="1">
      <c r="F916" s="363"/>
    </row>
    <row r="917" spans="6:6" ht="15.75" customHeight="1">
      <c r="F917" s="363"/>
    </row>
    <row r="918" spans="6:6" ht="15.75" customHeight="1">
      <c r="F918" s="363"/>
    </row>
    <row r="919" spans="6:6" ht="15.75" customHeight="1">
      <c r="F919" s="363"/>
    </row>
    <row r="920" spans="6:6" ht="15.75" customHeight="1">
      <c r="F920" s="363"/>
    </row>
    <row r="921" spans="6:6" ht="15.75" customHeight="1">
      <c r="F921" s="363"/>
    </row>
    <row r="922" spans="6:6" ht="15.75" customHeight="1">
      <c r="F922" s="363"/>
    </row>
    <row r="923" spans="6:6" ht="15.75" customHeight="1">
      <c r="F923" s="363"/>
    </row>
    <row r="924" spans="6:6" ht="15.75" customHeight="1">
      <c r="F924" s="363"/>
    </row>
    <row r="925" spans="6:6" ht="15.75" customHeight="1">
      <c r="F925" s="363"/>
    </row>
    <row r="926" spans="6:6" ht="15.75" customHeight="1">
      <c r="F926" s="363"/>
    </row>
    <row r="927" spans="6:6" ht="15.75" customHeight="1">
      <c r="F927" s="363"/>
    </row>
    <row r="928" spans="6:6" ht="15.75" customHeight="1">
      <c r="F928" s="363"/>
    </row>
    <row r="929" spans="6:6" ht="15.75" customHeight="1">
      <c r="F929" s="363"/>
    </row>
    <row r="930" spans="6:6" ht="15.75" customHeight="1">
      <c r="F930" s="363"/>
    </row>
    <row r="931" spans="6:6" ht="15.75" customHeight="1">
      <c r="F931" s="363"/>
    </row>
    <row r="932" spans="6:6" ht="15.75" customHeight="1">
      <c r="F932" s="363"/>
    </row>
    <row r="933" spans="6:6" ht="15.75" customHeight="1">
      <c r="F933" s="363"/>
    </row>
    <row r="934" spans="6:6" ht="15.75" customHeight="1">
      <c r="F934" s="363"/>
    </row>
    <row r="935" spans="6:6" ht="15.75" customHeight="1">
      <c r="F935" s="363"/>
    </row>
    <row r="936" spans="6:6" ht="15.75" customHeight="1">
      <c r="F936" s="363"/>
    </row>
    <row r="937" spans="6:6" ht="15.75" customHeight="1">
      <c r="F937" s="363"/>
    </row>
    <row r="938" spans="6:6" ht="15.75" customHeight="1">
      <c r="F938" s="363"/>
    </row>
    <row r="939" spans="6:6" ht="15.75" customHeight="1">
      <c r="F939" s="363"/>
    </row>
    <row r="940" spans="6:6" ht="15.75" customHeight="1">
      <c r="F940" s="363"/>
    </row>
    <row r="941" spans="6:6" ht="15.75" customHeight="1">
      <c r="F941" s="363"/>
    </row>
    <row r="942" spans="6:6" ht="15.75" customHeight="1">
      <c r="F942" s="363"/>
    </row>
    <row r="943" spans="6:6" ht="15.75" customHeight="1">
      <c r="F943" s="363"/>
    </row>
    <row r="944" spans="6:6" ht="15.75" customHeight="1">
      <c r="F944" s="363"/>
    </row>
    <row r="945" spans="6:6" ht="15.75" customHeight="1">
      <c r="F945" s="363"/>
    </row>
    <row r="946" spans="6:6" ht="15.75" customHeight="1">
      <c r="F946" s="363"/>
    </row>
    <row r="947" spans="6:6" ht="15.75" customHeight="1">
      <c r="F947" s="363"/>
    </row>
    <row r="948" spans="6:6" ht="15.75" customHeight="1">
      <c r="F948" s="363"/>
    </row>
    <row r="949" spans="6:6" ht="15.75" customHeight="1">
      <c r="F949" s="363"/>
    </row>
    <row r="950" spans="6:6" ht="15.75" customHeight="1">
      <c r="F950" s="363"/>
    </row>
    <row r="951" spans="6:6" ht="15.75" customHeight="1">
      <c r="F951" s="363"/>
    </row>
    <row r="952" spans="6:6" ht="15.75" customHeight="1">
      <c r="F952" s="363"/>
    </row>
    <row r="953" spans="6:6" ht="15.75" customHeight="1">
      <c r="F953" s="363"/>
    </row>
    <row r="954" spans="6:6" ht="15.75" customHeight="1">
      <c r="F954" s="363"/>
    </row>
    <row r="955" spans="6:6" ht="15.75" customHeight="1">
      <c r="F955" s="363"/>
    </row>
    <row r="956" spans="6:6" ht="15.75" customHeight="1">
      <c r="F956" s="363"/>
    </row>
    <row r="957" spans="6:6" ht="15.75" customHeight="1">
      <c r="F957" s="363"/>
    </row>
    <row r="958" spans="6:6" ht="15.75" customHeight="1">
      <c r="F958" s="363"/>
    </row>
    <row r="959" spans="6:6" ht="15.75" customHeight="1">
      <c r="F959" s="363"/>
    </row>
    <row r="960" spans="6:6" ht="15.75" customHeight="1">
      <c r="F960" s="363"/>
    </row>
    <row r="961" spans="6:6" ht="15.75" customHeight="1">
      <c r="F961" s="363"/>
    </row>
    <row r="962" spans="6:6" ht="15.75" customHeight="1">
      <c r="F962" s="363"/>
    </row>
    <row r="963" spans="6:6" ht="15.75" customHeight="1">
      <c r="F963" s="363"/>
    </row>
    <row r="964" spans="6:6" ht="15.75" customHeight="1">
      <c r="F964" s="363"/>
    </row>
    <row r="965" spans="6:6" ht="15.75" customHeight="1">
      <c r="F965" s="363"/>
    </row>
    <row r="966" spans="6:6" ht="15.75" customHeight="1">
      <c r="F966" s="363"/>
    </row>
    <row r="967" spans="6:6" ht="15.75" customHeight="1">
      <c r="F967" s="363"/>
    </row>
    <row r="968" spans="6:6" ht="15.75" customHeight="1">
      <c r="F968" s="363"/>
    </row>
    <row r="969" spans="6:6" ht="15.75" customHeight="1">
      <c r="F969" s="363"/>
    </row>
    <row r="970" spans="6:6" ht="15.75" customHeight="1">
      <c r="F970" s="363"/>
    </row>
    <row r="971" spans="6:6" ht="15.75" customHeight="1">
      <c r="F971" s="363"/>
    </row>
    <row r="972" spans="6:6" ht="15.75" customHeight="1">
      <c r="F972" s="363"/>
    </row>
    <row r="973" spans="6:6" ht="15.75" customHeight="1">
      <c r="F973" s="363"/>
    </row>
    <row r="974" spans="6:6" ht="15.75" customHeight="1">
      <c r="F974" s="363"/>
    </row>
    <row r="975" spans="6:6" ht="15.75" customHeight="1">
      <c r="F975" s="363"/>
    </row>
    <row r="976" spans="6:6" ht="15.75" customHeight="1">
      <c r="F976" s="363"/>
    </row>
    <row r="977" spans="6:6" ht="15.75" customHeight="1">
      <c r="F977" s="363"/>
    </row>
    <row r="978" spans="6:6" ht="15.75" customHeight="1">
      <c r="F978" s="363"/>
    </row>
    <row r="979" spans="6:6" ht="15.75" customHeight="1">
      <c r="F979" s="363"/>
    </row>
    <row r="980" spans="6:6" ht="15.75" customHeight="1">
      <c r="F980" s="363"/>
    </row>
    <row r="981" spans="6:6" ht="15.75" customHeight="1">
      <c r="F981" s="363"/>
    </row>
    <row r="982" spans="6:6" ht="15.75" customHeight="1">
      <c r="F982" s="363"/>
    </row>
    <row r="983" spans="6:6" ht="15.75" customHeight="1">
      <c r="F983" s="363"/>
    </row>
    <row r="984" spans="6:6" ht="15.75" customHeight="1">
      <c r="F984" s="363"/>
    </row>
    <row r="985" spans="6:6" ht="15.75" customHeight="1">
      <c r="F985" s="363"/>
    </row>
    <row r="986" spans="6:6" ht="15.75" customHeight="1">
      <c r="F986" s="363"/>
    </row>
    <row r="987" spans="6:6" ht="15.75" customHeight="1">
      <c r="F987" s="363"/>
    </row>
    <row r="988" spans="6:6" ht="15.75" customHeight="1">
      <c r="F988" s="363"/>
    </row>
    <row r="989" spans="6:6" ht="15.75" customHeight="1">
      <c r="F989" s="363"/>
    </row>
    <row r="990" spans="6:6" ht="15.75" customHeight="1">
      <c r="F990" s="363"/>
    </row>
    <row r="991" spans="6:6" ht="15.75" customHeight="1">
      <c r="F991" s="363"/>
    </row>
    <row r="992" spans="6:6" ht="15.75" customHeight="1">
      <c r="F992" s="363"/>
    </row>
    <row r="993" spans="6:6" ht="15.75" customHeight="1">
      <c r="F993" s="363"/>
    </row>
    <row r="994" spans="6:6" ht="15.75" customHeight="1">
      <c r="F994" s="363"/>
    </row>
    <row r="995" spans="6:6" ht="15.75" customHeight="1">
      <c r="F995" s="363"/>
    </row>
    <row r="996" spans="6:6" ht="15.75" customHeight="1">
      <c r="F996" s="363"/>
    </row>
    <row r="997" spans="6:6" ht="15.75" customHeight="1">
      <c r="F997" s="363"/>
    </row>
    <row r="998" spans="6:6" ht="15.75" customHeight="1">
      <c r="F998" s="363"/>
    </row>
    <row r="999" spans="6:6" ht="15.75" customHeight="1">
      <c r="F999" s="363"/>
    </row>
    <row r="1000" spans="6:6" ht="15.75" customHeight="1">
      <c r="F1000" s="363"/>
    </row>
    <row r="1001" spans="6:6" ht="15.75" customHeight="1">
      <c r="F1001" s="363"/>
    </row>
    <row r="1002" spans="6:6" ht="15.75" customHeight="1">
      <c r="F1002" s="363"/>
    </row>
    <row r="1003" spans="6:6" ht="15.75" customHeight="1">
      <c r="F1003" s="363"/>
    </row>
    <row r="1004" spans="6:6" ht="15.75" customHeight="1">
      <c r="F1004" s="363"/>
    </row>
    <row r="1005" spans="6:6" ht="15.75" customHeight="1">
      <c r="F1005" s="363"/>
    </row>
    <row r="1006" spans="6:6" ht="15.75" customHeight="1">
      <c r="F1006" s="363"/>
    </row>
    <row r="1007" spans="6:6" ht="15.75" customHeight="1">
      <c r="F1007" s="363"/>
    </row>
    <row r="1008" spans="6:6" ht="15.75" customHeight="1">
      <c r="F1008" s="363"/>
    </row>
    <row r="1009" spans="6:6" ht="15.75" customHeight="1">
      <c r="F1009" s="363"/>
    </row>
    <row r="1010" spans="6:6" ht="15.75" customHeight="1">
      <c r="F1010" s="363"/>
    </row>
    <row r="1011" spans="6:6" ht="15.75" customHeight="1">
      <c r="F1011" s="363"/>
    </row>
    <row r="1012" spans="6:6" ht="15.75" customHeight="1">
      <c r="F1012" s="363"/>
    </row>
    <row r="1013" spans="6:6" ht="15.75" customHeight="1">
      <c r="F1013" s="363"/>
    </row>
    <row r="1014" spans="6:6" ht="15.75" customHeight="1">
      <c r="F1014" s="363"/>
    </row>
    <row r="1015" spans="6:6" ht="15.75" customHeight="1">
      <c r="F1015" s="363"/>
    </row>
    <row r="1016" spans="6:6" ht="15.75" customHeight="1">
      <c r="F1016" s="363"/>
    </row>
    <row r="1017" spans="6:6" ht="15.75" customHeight="1">
      <c r="F1017" s="363"/>
    </row>
    <row r="1018" spans="6:6" ht="15.75" customHeight="1">
      <c r="F1018" s="363"/>
    </row>
    <row r="1019" spans="6:6" ht="15.75" customHeight="1">
      <c r="F1019" s="363"/>
    </row>
    <row r="1020" spans="6:6" ht="15.75" customHeight="1">
      <c r="F1020" s="363"/>
    </row>
    <row r="1021" spans="6:6" ht="15.75" customHeight="1">
      <c r="F1021" s="363"/>
    </row>
    <row r="1022" spans="6:6" ht="15.75" customHeight="1">
      <c r="F1022" s="363"/>
    </row>
    <row r="1023" spans="6:6" ht="15.75" customHeight="1">
      <c r="F1023" s="363"/>
    </row>
    <row r="1024" spans="6:6" ht="15.75" customHeight="1">
      <c r="F1024" s="363"/>
    </row>
    <row r="1025" spans="6:6" ht="15.75" customHeight="1">
      <c r="F1025" s="363"/>
    </row>
    <row r="1026" spans="6:6" ht="15.75" customHeight="1">
      <c r="F1026" s="363"/>
    </row>
    <row r="1027" spans="6:6" ht="15.75" customHeight="1">
      <c r="F1027" s="363"/>
    </row>
    <row r="1028" spans="6:6" ht="15.75" customHeight="1">
      <c r="F1028" s="363"/>
    </row>
    <row r="1029" spans="6:6" ht="15.75" customHeight="1">
      <c r="F1029" s="363"/>
    </row>
    <row r="1030" spans="6:6" ht="15.75" customHeight="1">
      <c r="F1030" s="363"/>
    </row>
    <row r="1031" spans="6:6" ht="15.75" customHeight="1">
      <c r="F1031" s="363"/>
    </row>
    <row r="1032" spans="6:6" ht="15.75" customHeight="1">
      <c r="F1032" s="363"/>
    </row>
    <row r="1033" spans="6:6" ht="15.75" customHeight="1">
      <c r="F1033" s="363"/>
    </row>
    <row r="1034" spans="6:6" ht="15.75" customHeight="1">
      <c r="F1034" s="363"/>
    </row>
    <row r="1035" spans="6:6" ht="15.75" customHeight="1">
      <c r="F1035" s="363"/>
    </row>
    <row r="1036" spans="6:6" ht="15.75" customHeight="1">
      <c r="F1036" s="363"/>
    </row>
    <row r="1037" spans="6:6" ht="15.75" customHeight="1">
      <c r="F1037" s="363"/>
    </row>
    <row r="1038" spans="6:6" ht="15.75" customHeight="1">
      <c r="F1038" s="363"/>
    </row>
    <row r="1039" spans="6:6" ht="15.75" customHeight="1">
      <c r="F1039" s="363"/>
    </row>
    <row r="1040" spans="6:6" ht="15.75" customHeight="1">
      <c r="F1040" s="363"/>
    </row>
    <row r="1041" spans="6:6" ht="15.75" customHeight="1">
      <c r="F1041" s="363"/>
    </row>
    <row r="1042" spans="6:6" ht="15.75" customHeight="1">
      <c r="F1042" s="363"/>
    </row>
    <row r="1043" spans="6:6" ht="15.75" customHeight="1">
      <c r="F1043" s="363"/>
    </row>
    <row r="1044" spans="6:6" ht="15.75" customHeight="1">
      <c r="F1044" s="363"/>
    </row>
    <row r="1045" spans="6:6" ht="15.75" customHeight="1">
      <c r="F1045" s="363"/>
    </row>
    <row r="1046" spans="6:6" ht="15.75" customHeight="1">
      <c r="F1046" s="363"/>
    </row>
    <row r="1047" spans="6:6" ht="15.75" customHeight="1">
      <c r="F1047" s="363"/>
    </row>
    <row r="1048" spans="6:6" ht="15.75" customHeight="1">
      <c r="F1048" s="363"/>
    </row>
    <row r="1049" spans="6:6" ht="15.75" customHeight="1">
      <c r="F1049" s="363"/>
    </row>
    <row r="1050" spans="6:6" ht="15.75" customHeight="1">
      <c r="F1050" s="363"/>
    </row>
    <row r="1051" spans="6:6" ht="15.75" customHeight="1">
      <c r="F1051" s="363"/>
    </row>
    <row r="1052" spans="6:6" ht="15.75" customHeight="1">
      <c r="F1052" s="363"/>
    </row>
    <row r="1053" spans="6:6" ht="15.75" customHeight="1">
      <c r="F1053" s="363"/>
    </row>
    <row r="1054" spans="6:6" ht="15.75" customHeight="1">
      <c r="F1054" s="363"/>
    </row>
    <row r="1055" spans="6:6" ht="15.75" customHeight="1">
      <c r="F1055" s="363"/>
    </row>
    <row r="1056" spans="6:6" ht="15.75" customHeight="1">
      <c r="F1056" s="363"/>
    </row>
    <row r="1057" spans="6:6" ht="15.75" customHeight="1">
      <c r="F1057" s="363"/>
    </row>
    <row r="1058" spans="6:6" ht="15.75" customHeight="1">
      <c r="F1058" s="363"/>
    </row>
    <row r="1059" spans="6:6" ht="15.75" customHeight="1">
      <c r="F1059" s="363"/>
    </row>
    <row r="1060" spans="6:6" ht="15.75" customHeight="1">
      <c r="F1060" s="363"/>
    </row>
    <row r="1061" spans="6:6" ht="15.75" customHeight="1">
      <c r="F1061" s="363"/>
    </row>
    <row r="1062" spans="6:6" ht="15.75" customHeight="1">
      <c r="F1062" s="363"/>
    </row>
    <row r="1063" spans="6:6" ht="15.75" customHeight="1">
      <c r="F1063" s="363"/>
    </row>
    <row r="1064" spans="6:6" ht="15.75" customHeight="1">
      <c r="F1064" s="363"/>
    </row>
    <row r="1065" spans="6:6" ht="15.75" customHeight="1">
      <c r="F1065" s="363"/>
    </row>
    <row r="1066" spans="6:6" ht="15.75" customHeight="1">
      <c r="F1066" s="363"/>
    </row>
    <row r="1067" spans="6:6" ht="15.75" customHeight="1">
      <c r="F1067" s="363"/>
    </row>
    <row r="1068" spans="6:6" ht="15.75" customHeight="1">
      <c r="F1068" s="363"/>
    </row>
    <row r="1069" spans="6:6" ht="15.75" customHeight="1">
      <c r="F1069" s="363"/>
    </row>
  </sheetData>
  <mergeCells count="35">
    <mergeCell ref="B6:F6"/>
    <mergeCell ref="A18:F18"/>
    <mergeCell ref="B19:D19"/>
    <mergeCell ref="E19:F19"/>
    <mergeCell ref="A25:A26"/>
    <mergeCell ref="B25:B26"/>
    <mergeCell ref="C25:E25"/>
    <mergeCell ref="B20:D20"/>
    <mergeCell ref="B23:D23"/>
    <mergeCell ref="E23:F23"/>
    <mergeCell ref="B7:F7"/>
    <mergeCell ref="B8:F8"/>
    <mergeCell ref="B9:F9"/>
    <mergeCell ref="B10:F10"/>
    <mergeCell ref="B11:F11"/>
    <mergeCell ref="B12:F12"/>
    <mergeCell ref="A1:D1"/>
    <mergeCell ref="E1:F1"/>
    <mergeCell ref="A2:F2"/>
    <mergeCell ref="B4:F4"/>
    <mergeCell ref="B5:F5"/>
    <mergeCell ref="E20:F20"/>
    <mergeCell ref="B21:D21"/>
    <mergeCell ref="E21:F21"/>
    <mergeCell ref="B22:D22"/>
    <mergeCell ref="E22:F22"/>
    <mergeCell ref="A100:E100"/>
    <mergeCell ref="C102:F102"/>
    <mergeCell ref="C103:F103"/>
    <mergeCell ref="C108:F108"/>
    <mergeCell ref="C109:F109"/>
    <mergeCell ref="C104:F104"/>
    <mergeCell ref="C105:F105"/>
    <mergeCell ref="C106:F106"/>
    <mergeCell ref="C107:F10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996CC-CA4D-4630-A372-E6D577190191}">
  <dimension ref="A3:L131"/>
  <sheetViews>
    <sheetView topLeftCell="A3" workbookViewId="0">
      <selection activeCell="C25" sqref="C25:H25"/>
    </sheetView>
  </sheetViews>
  <sheetFormatPr defaultRowHeight="12.75"/>
  <cols>
    <col min="1" max="1" width="16.28515625" style="38" customWidth="1"/>
    <col min="2" max="2" width="7" style="38" customWidth="1"/>
    <col min="3" max="3" width="25.7109375" style="38" customWidth="1"/>
    <col min="4" max="4" width="11" style="38" customWidth="1"/>
    <col min="5" max="5" width="6.42578125" style="38" customWidth="1"/>
    <col min="6" max="6" width="10" style="38" customWidth="1"/>
    <col min="7" max="7" width="10.5703125" style="38" customWidth="1"/>
    <col min="8" max="8" width="3.5703125" style="38" customWidth="1"/>
    <col min="9" max="9" width="4" style="38" customWidth="1"/>
    <col min="10" max="10" width="15.7109375" style="38" customWidth="1"/>
    <col min="11" max="11" width="15" style="38" customWidth="1"/>
    <col min="12" max="16384" width="9.140625" style="38"/>
  </cols>
  <sheetData>
    <row r="3" spans="1:10" ht="45.75" customHeight="1">
      <c r="A3" s="504" t="s">
        <v>0</v>
      </c>
      <c r="B3" s="505"/>
      <c r="C3" s="505"/>
      <c r="D3" s="505"/>
      <c r="E3" s="504" t="s">
        <v>1</v>
      </c>
      <c r="F3" s="504"/>
      <c r="G3" s="504"/>
      <c r="H3" s="504"/>
      <c r="I3" s="504"/>
      <c r="J3" s="504"/>
    </row>
    <row r="4" spans="1:10" ht="16.5">
      <c r="A4" s="523" t="s">
        <v>47</v>
      </c>
      <c r="B4" s="524"/>
      <c r="C4" s="524"/>
      <c r="D4" s="524"/>
      <c r="E4" s="524"/>
      <c r="F4" s="524"/>
      <c r="G4" s="524"/>
      <c r="H4" s="524"/>
      <c r="I4" s="524"/>
      <c r="J4" s="525"/>
    </row>
    <row r="6" spans="1:10">
      <c r="A6" s="37" t="s">
        <v>2</v>
      </c>
      <c r="B6" s="37" t="s">
        <v>52</v>
      </c>
    </row>
    <row r="7" spans="1:10">
      <c r="A7" s="37" t="s">
        <v>4</v>
      </c>
      <c r="B7" s="37" t="s">
        <v>53</v>
      </c>
    </row>
    <row r="8" spans="1:10">
      <c r="A8" s="37" t="s">
        <v>6</v>
      </c>
      <c r="B8" s="37" t="s">
        <v>54</v>
      </c>
    </row>
    <row r="9" spans="1:10">
      <c r="A9" s="37" t="s">
        <v>7</v>
      </c>
      <c r="B9" s="37" t="s">
        <v>55</v>
      </c>
    </row>
    <row r="10" spans="1:10">
      <c r="A10" s="37" t="s">
        <v>8</v>
      </c>
      <c r="B10" s="37" t="s">
        <v>56</v>
      </c>
    </row>
    <row r="11" spans="1:10">
      <c r="A11" s="37" t="s">
        <v>9</v>
      </c>
      <c r="B11" s="37" t="s">
        <v>155</v>
      </c>
    </row>
    <row r="12" spans="1:10">
      <c r="A12" s="37" t="s">
        <v>10</v>
      </c>
      <c r="B12" s="37" t="s">
        <v>57</v>
      </c>
    </row>
    <row r="13" spans="1:10">
      <c r="A13" s="37" t="s">
        <v>11</v>
      </c>
      <c r="B13" s="37" t="s">
        <v>58</v>
      </c>
    </row>
    <row r="14" spans="1:10">
      <c r="A14" s="37" t="s">
        <v>12</v>
      </c>
      <c r="B14" s="37" t="s">
        <v>133</v>
      </c>
    </row>
    <row r="15" spans="1:10">
      <c r="A15" s="37" t="s">
        <v>14</v>
      </c>
      <c r="B15" s="37" t="s">
        <v>156</v>
      </c>
    </row>
    <row r="16" spans="1:10">
      <c r="A16" s="37" t="s">
        <v>46</v>
      </c>
      <c r="B16" s="37" t="s">
        <v>59</v>
      </c>
      <c r="C16" s="40">
        <v>135247050</v>
      </c>
    </row>
    <row r="17" spans="1:12">
      <c r="A17" s="37" t="s">
        <v>48</v>
      </c>
      <c r="B17" s="37" t="s">
        <v>59</v>
      </c>
      <c r="C17" s="41">
        <f>I24</f>
        <v>639788300</v>
      </c>
    </row>
    <row r="18" spans="1:12" ht="15.75" customHeight="1">
      <c r="A18" s="37" t="s">
        <v>49</v>
      </c>
      <c r="B18" s="37" t="s">
        <v>59</v>
      </c>
      <c r="C18" s="169">
        <f>(5%*C17)+C17</f>
        <v>671777715</v>
      </c>
    </row>
    <row r="19" spans="1:12">
      <c r="A19" s="170"/>
      <c r="L19" s="171"/>
    </row>
    <row r="20" spans="1:12">
      <c r="A20" s="777" t="s">
        <v>60</v>
      </c>
      <c r="B20" s="777"/>
      <c r="C20" s="777"/>
      <c r="D20" s="777"/>
      <c r="E20" s="777"/>
      <c r="F20" s="777"/>
      <c r="G20" s="777"/>
      <c r="H20" s="777"/>
      <c r="I20" s="777"/>
      <c r="J20" s="777"/>
      <c r="L20" s="171"/>
    </row>
    <row r="21" spans="1:12">
      <c r="A21" s="778" t="s">
        <v>18</v>
      </c>
      <c r="B21" s="778"/>
      <c r="C21" s="777" t="s">
        <v>19</v>
      </c>
      <c r="D21" s="777"/>
      <c r="E21" s="777"/>
      <c r="F21" s="777"/>
      <c r="G21" s="777"/>
      <c r="H21" s="777"/>
      <c r="I21" s="779" t="s">
        <v>20</v>
      </c>
      <c r="J21" s="779"/>
      <c r="L21" s="171"/>
    </row>
    <row r="22" spans="1:12" ht="14.25" customHeight="1">
      <c r="A22" s="780" t="s">
        <v>21</v>
      </c>
      <c r="B22" s="780"/>
      <c r="C22" s="785" t="s">
        <v>466</v>
      </c>
      <c r="D22" s="786"/>
      <c r="E22" s="786"/>
      <c r="F22" s="786"/>
      <c r="G22" s="786"/>
      <c r="H22" s="787"/>
      <c r="I22" s="791">
        <v>0.65</v>
      </c>
      <c r="J22" s="787"/>
      <c r="L22" s="171"/>
    </row>
    <row r="23" spans="1:12" ht="14.25" customHeight="1">
      <c r="A23" s="780"/>
      <c r="B23" s="780"/>
      <c r="C23" s="788"/>
      <c r="D23" s="789"/>
      <c r="E23" s="789"/>
      <c r="F23" s="789"/>
      <c r="G23" s="789"/>
      <c r="H23" s="790"/>
      <c r="I23" s="788"/>
      <c r="J23" s="790"/>
      <c r="L23" s="171"/>
    </row>
    <row r="24" spans="1:12" ht="19.5" customHeight="1">
      <c r="A24" s="781" t="s">
        <v>22</v>
      </c>
      <c r="B24" s="781"/>
      <c r="C24" s="781" t="s">
        <v>61</v>
      </c>
      <c r="D24" s="781"/>
      <c r="E24" s="781"/>
      <c r="F24" s="781"/>
      <c r="G24" s="781"/>
      <c r="H24" s="781"/>
      <c r="I24" s="782">
        <v>639788300</v>
      </c>
      <c r="J24" s="783"/>
      <c r="L24" s="171"/>
    </row>
    <row r="25" spans="1:12">
      <c r="A25" s="781" t="s">
        <v>23</v>
      </c>
      <c r="B25" s="781"/>
      <c r="C25" s="781" t="s">
        <v>157</v>
      </c>
      <c r="D25" s="781"/>
      <c r="E25" s="781"/>
      <c r="F25" s="781"/>
      <c r="G25" s="781"/>
      <c r="H25" s="781"/>
      <c r="I25" s="784" t="s">
        <v>158</v>
      </c>
      <c r="J25" s="784"/>
      <c r="L25" s="171"/>
    </row>
    <row r="26" spans="1:12" ht="13.5" customHeight="1">
      <c r="A26" s="807" t="s">
        <v>24</v>
      </c>
      <c r="B26" s="808"/>
      <c r="C26" s="807" t="s">
        <v>478</v>
      </c>
      <c r="D26" s="811"/>
      <c r="E26" s="811"/>
      <c r="F26" s="811"/>
      <c r="G26" s="811"/>
      <c r="H26" s="808"/>
      <c r="I26" s="818">
        <v>0.57999999999999996</v>
      </c>
      <c r="J26" s="815"/>
      <c r="L26" s="171"/>
    </row>
    <row r="27" spans="1:12" ht="13.5" customHeight="1">
      <c r="A27" s="809"/>
      <c r="B27" s="810"/>
      <c r="C27" s="812"/>
      <c r="D27" s="813"/>
      <c r="E27" s="813"/>
      <c r="F27" s="813"/>
      <c r="G27" s="813"/>
      <c r="H27" s="814"/>
      <c r="I27" s="816"/>
      <c r="J27" s="817"/>
      <c r="L27" s="171"/>
    </row>
    <row r="28" spans="1:12">
      <c r="A28" s="777" t="s">
        <v>63</v>
      </c>
      <c r="B28" s="777"/>
      <c r="C28" s="777"/>
      <c r="D28" s="777"/>
      <c r="E28" s="777"/>
      <c r="F28" s="777"/>
      <c r="G28" s="777"/>
      <c r="H28" s="777"/>
      <c r="I28" s="777"/>
      <c r="J28" s="777"/>
      <c r="L28" s="171"/>
    </row>
    <row r="29" spans="1:12" ht="13.5" thickBot="1">
      <c r="A29" s="44"/>
      <c r="B29" s="545"/>
      <c r="C29" s="546"/>
      <c r="D29" s="774" t="s">
        <v>27</v>
      </c>
      <c r="E29" s="775"/>
      <c r="F29" s="775"/>
      <c r="G29" s="775"/>
      <c r="H29" s="775"/>
      <c r="I29" s="776"/>
      <c r="J29" s="45"/>
      <c r="L29" s="171"/>
    </row>
    <row r="30" spans="1:12" ht="13.5" thickBot="1">
      <c r="A30" s="136" t="s">
        <v>25</v>
      </c>
      <c r="B30" s="691" t="s">
        <v>26</v>
      </c>
      <c r="C30" s="677"/>
      <c r="D30" s="692" t="s">
        <v>29</v>
      </c>
      <c r="E30" s="693"/>
      <c r="F30" s="135" t="s">
        <v>30</v>
      </c>
      <c r="G30" s="135" t="s">
        <v>31</v>
      </c>
      <c r="H30" s="694" t="s">
        <v>64</v>
      </c>
      <c r="I30" s="695"/>
      <c r="J30" s="172" t="s">
        <v>28</v>
      </c>
      <c r="L30" s="171"/>
    </row>
    <row r="31" spans="1:12">
      <c r="A31" s="51">
        <v>5</v>
      </c>
      <c r="B31" s="584" t="s">
        <v>65</v>
      </c>
      <c r="C31" s="585"/>
      <c r="D31" s="173"/>
      <c r="E31" s="174"/>
      <c r="F31" s="175"/>
      <c r="G31" s="176"/>
      <c r="H31" s="177"/>
      <c r="I31" s="178"/>
      <c r="J31" s="58">
        <f>J32</f>
        <v>639788300</v>
      </c>
      <c r="K31" s="70">
        <f>J31-I24</f>
        <v>0</v>
      </c>
      <c r="L31" s="420">
        <f>K31/350</f>
        <v>0</v>
      </c>
    </row>
    <row r="32" spans="1:12">
      <c r="A32" s="62" t="s">
        <v>66</v>
      </c>
      <c r="B32" s="572" t="s">
        <v>67</v>
      </c>
      <c r="C32" s="507"/>
      <c r="D32" s="73"/>
      <c r="E32" s="74"/>
      <c r="F32" s="75"/>
      <c r="G32" s="76"/>
      <c r="H32" s="77"/>
      <c r="I32" s="45"/>
      <c r="J32" s="70">
        <f>J33+J69</f>
        <v>639788300</v>
      </c>
      <c r="K32" s="179"/>
      <c r="L32" s="171"/>
    </row>
    <row r="33" spans="1:12">
      <c r="A33" s="72" t="s">
        <v>68</v>
      </c>
      <c r="B33" s="572" t="s">
        <v>69</v>
      </c>
      <c r="C33" s="507"/>
      <c r="D33" s="73"/>
      <c r="E33" s="74"/>
      <c r="F33" s="75"/>
      <c r="G33" s="76"/>
      <c r="H33" s="77"/>
      <c r="I33" s="45"/>
      <c r="J33" s="70">
        <f>J34+J59+J69</f>
        <v>330698300</v>
      </c>
      <c r="K33" s="180"/>
      <c r="L33" s="171"/>
    </row>
    <row r="34" spans="1:12">
      <c r="A34" s="72" t="s">
        <v>70</v>
      </c>
      <c r="B34" s="572" t="s">
        <v>71</v>
      </c>
      <c r="C34" s="507"/>
      <c r="D34" s="73"/>
      <c r="E34" s="74"/>
      <c r="F34" s="75"/>
      <c r="G34" s="76"/>
      <c r="H34" s="77"/>
      <c r="I34" s="45"/>
      <c r="J34" s="70">
        <f>J35</f>
        <v>12608300</v>
      </c>
      <c r="L34" s="171"/>
    </row>
    <row r="35" spans="1:12">
      <c r="A35" s="72" t="s">
        <v>72</v>
      </c>
      <c r="B35" s="572" t="s">
        <v>73</v>
      </c>
      <c r="C35" s="507"/>
      <c r="D35" s="73"/>
      <c r="E35" s="74"/>
      <c r="F35" s="75"/>
      <c r="G35" s="76"/>
      <c r="H35" s="77"/>
      <c r="I35" s="45"/>
      <c r="J35" s="181">
        <f>J36+J40+J49+J53</f>
        <v>12608300</v>
      </c>
      <c r="K35" s="179"/>
      <c r="L35" s="171"/>
    </row>
    <row r="36" spans="1:12" ht="34.5" customHeight="1">
      <c r="A36" s="72" t="s">
        <v>97</v>
      </c>
      <c r="B36" s="572" t="s">
        <v>98</v>
      </c>
      <c r="C36" s="507"/>
      <c r="D36" s="73"/>
      <c r="E36" s="74"/>
      <c r="F36" s="75"/>
      <c r="G36" s="76"/>
      <c r="H36" s="77"/>
      <c r="I36" s="45"/>
      <c r="J36" s="70">
        <f>J37+J38+J39</f>
        <v>1956550</v>
      </c>
      <c r="L36" s="171"/>
    </row>
    <row r="37" spans="1:12">
      <c r="A37" s="77"/>
      <c r="B37" s="571" t="s">
        <v>99</v>
      </c>
      <c r="C37" s="522"/>
      <c r="D37" s="73">
        <v>5360</v>
      </c>
      <c r="E37" s="165"/>
      <c r="F37" s="117" t="s">
        <v>100</v>
      </c>
      <c r="G37" s="86">
        <v>350</v>
      </c>
      <c r="H37" s="77"/>
      <c r="I37" s="45"/>
      <c r="J37" s="87">
        <f>D37*G37</f>
        <v>1876000</v>
      </c>
      <c r="K37" s="179"/>
      <c r="L37" s="171"/>
    </row>
    <row r="38" spans="1:12">
      <c r="A38" s="77"/>
      <c r="B38" s="571" t="s">
        <v>101</v>
      </c>
      <c r="C38" s="522"/>
      <c r="D38" s="73">
        <v>5</v>
      </c>
      <c r="E38" s="165"/>
      <c r="F38" s="117" t="s">
        <v>84</v>
      </c>
      <c r="G38" s="86">
        <v>16100</v>
      </c>
      <c r="H38" s="77"/>
      <c r="I38" s="45"/>
      <c r="J38" s="87">
        <f>D38*G38</f>
        <v>80500</v>
      </c>
      <c r="K38" s="179"/>
      <c r="L38" s="171"/>
    </row>
    <row r="39" spans="1:12" ht="13.5" customHeight="1">
      <c r="A39" s="72"/>
      <c r="B39" s="687" t="s">
        <v>460</v>
      </c>
      <c r="C39" s="688"/>
      <c r="D39" s="182"/>
      <c r="E39" s="183"/>
      <c r="F39" s="184"/>
      <c r="G39" s="158"/>
      <c r="H39" s="154"/>
      <c r="I39" s="155"/>
      <c r="J39" s="421">
        <v>50</v>
      </c>
      <c r="K39" s="179"/>
      <c r="L39" s="171"/>
    </row>
    <row r="40" spans="1:12">
      <c r="A40" s="415" t="s">
        <v>74</v>
      </c>
      <c r="B40" s="685" t="s">
        <v>75</v>
      </c>
      <c r="C40" s="686"/>
      <c r="D40" s="416"/>
      <c r="E40" s="417"/>
      <c r="F40" s="418"/>
      <c r="G40" s="241"/>
      <c r="H40" s="242"/>
      <c r="I40" s="243"/>
      <c r="J40" s="419">
        <f>J41+J42+J43+J44+J45+J46+J47+J48</f>
        <v>2738500</v>
      </c>
      <c r="K40" s="185"/>
      <c r="L40" s="171"/>
    </row>
    <row r="41" spans="1:12">
      <c r="A41" s="415"/>
      <c r="B41" s="683" t="s">
        <v>459</v>
      </c>
      <c r="C41" s="684"/>
      <c r="D41" s="416">
        <v>2</v>
      </c>
      <c r="E41" s="417"/>
      <c r="F41" s="418" t="s">
        <v>77</v>
      </c>
      <c r="G41" s="244">
        <v>293725</v>
      </c>
      <c r="H41" s="242"/>
      <c r="I41" s="243"/>
      <c r="J41" s="245">
        <f>D41*G41</f>
        <v>587450</v>
      </c>
      <c r="K41" s="179"/>
      <c r="L41" s="171"/>
    </row>
    <row r="42" spans="1:12">
      <c r="A42" s="415"/>
      <c r="B42" s="683" t="s">
        <v>159</v>
      </c>
      <c r="C42" s="684"/>
      <c r="D42" s="416">
        <v>12</v>
      </c>
      <c r="E42" s="417"/>
      <c r="F42" s="418" t="s">
        <v>79</v>
      </c>
      <c r="G42" s="244">
        <v>72150</v>
      </c>
      <c r="H42" s="242"/>
      <c r="I42" s="243"/>
      <c r="J42" s="245">
        <f t="shared" ref="J42:J47" si="0">D42*G42</f>
        <v>865800</v>
      </c>
      <c r="K42" s="179"/>
      <c r="L42" s="171"/>
    </row>
    <row r="43" spans="1:12">
      <c r="A43" s="415"/>
      <c r="B43" s="683" t="s">
        <v>80</v>
      </c>
      <c r="C43" s="684"/>
      <c r="D43" s="416">
        <v>12</v>
      </c>
      <c r="E43" s="417"/>
      <c r="F43" s="418" t="s">
        <v>79</v>
      </c>
      <c r="G43" s="244">
        <v>64675</v>
      </c>
      <c r="H43" s="242"/>
      <c r="I43" s="243"/>
      <c r="J43" s="245">
        <f t="shared" si="0"/>
        <v>776100</v>
      </c>
      <c r="K43" s="179"/>
      <c r="L43" s="171"/>
    </row>
    <row r="44" spans="1:12">
      <c r="A44" s="415"/>
      <c r="B44" s="683" t="s">
        <v>81</v>
      </c>
      <c r="C44" s="684"/>
      <c r="D44" s="416">
        <v>12</v>
      </c>
      <c r="E44" s="417"/>
      <c r="F44" s="418" t="s">
        <v>79</v>
      </c>
      <c r="G44" s="244">
        <v>14400</v>
      </c>
      <c r="H44" s="242"/>
      <c r="I44" s="243"/>
      <c r="J44" s="245">
        <f t="shared" si="0"/>
        <v>172800</v>
      </c>
      <c r="K44" s="179"/>
      <c r="L44" s="171"/>
    </row>
    <row r="45" spans="1:12">
      <c r="A45" s="415"/>
      <c r="B45" s="683" t="s">
        <v>160</v>
      </c>
      <c r="C45" s="684"/>
      <c r="D45" s="416">
        <v>5</v>
      </c>
      <c r="E45" s="417"/>
      <c r="F45" s="418" t="s">
        <v>82</v>
      </c>
      <c r="G45" s="244">
        <v>16200</v>
      </c>
      <c r="H45" s="242"/>
      <c r="I45" s="243"/>
      <c r="J45" s="245">
        <f t="shared" si="0"/>
        <v>81000</v>
      </c>
      <c r="K45" s="179"/>
      <c r="L45" s="171"/>
    </row>
    <row r="46" spans="1:12" ht="18" customHeight="1">
      <c r="A46" s="415"/>
      <c r="B46" s="683" t="s">
        <v>83</v>
      </c>
      <c r="C46" s="684"/>
      <c r="D46" s="416">
        <v>1</v>
      </c>
      <c r="E46" s="417"/>
      <c r="F46" s="418" t="s">
        <v>86</v>
      </c>
      <c r="G46" s="244">
        <v>171150</v>
      </c>
      <c r="H46" s="242"/>
      <c r="I46" s="243"/>
      <c r="J46" s="245">
        <f t="shared" si="0"/>
        <v>171150</v>
      </c>
      <c r="K46" s="179"/>
      <c r="L46" s="171"/>
    </row>
    <row r="47" spans="1:12" ht="25.5" customHeight="1">
      <c r="A47" s="415"/>
      <c r="B47" s="683" t="s">
        <v>161</v>
      </c>
      <c r="C47" s="684"/>
      <c r="D47" s="416">
        <v>1</v>
      </c>
      <c r="E47" s="417"/>
      <c r="F47" s="418" t="s">
        <v>86</v>
      </c>
      <c r="G47" s="244">
        <v>84200</v>
      </c>
      <c r="H47" s="242"/>
      <c r="I47" s="243"/>
      <c r="J47" s="245">
        <f t="shared" si="0"/>
        <v>84200</v>
      </c>
      <c r="K47" s="179"/>
      <c r="L47" s="171"/>
    </row>
    <row r="48" spans="1:12">
      <c r="A48" s="415"/>
      <c r="B48" s="689"/>
      <c r="C48" s="690"/>
      <c r="D48" s="416"/>
      <c r="E48" s="417"/>
      <c r="F48" s="418"/>
      <c r="G48" s="244"/>
      <c r="H48" s="242"/>
      <c r="I48" s="243"/>
      <c r="J48" s="245"/>
      <c r="K48" s="179"/>
      <c r="L48" s="171"/>
    </row>
    <row r="49" spans="1:12">
      <c r="A49" s="415" t="s">
        <v>91</v>
      </c>
      <c r="B49" s="685" t="s">
        <v>162</v>
      </c>
      <c r="C49" s="686"/>
      <c r="D49" s="416"/>
      <c r="E49" s="417"/>
      <c r="F49" s="418"/>
      <c r="G49" s="241"/>
      <c r="H49" s="242"/>
      <c r="I49" s="243"/>
      <c r="J49" s="419">
        <f>J50+J51</f>
        <v>1613250</v>
      </c>
      <c r="K49" s="179"/>
      <c r="L49" s="171"/>
    </row>
    <row r="50" spans="1:12">
      <c r="A50" s="415"/>
      <c r="B50" s="683" t="s">
        <v>456</v>
      </c>
      <c r="C50" s="684"/>
      <c r="D50" s="416">
        <v>10</v>
      </c>
      <c r="E50" s="417"/>
      <c r="F50" s="418"/>
      <c r="G50" s="373">
        <v>87875</v>
      </c>
      <c r="H50" s="242"/>
      <c r="I50" s="243"/>
      <c r="J50" s="245">
        <f>D50*G50</f>
        <v>878750</v>
      </c>
      <c r="K50" s="179"/>
      <c r="L50" s="171"/>
    </row>
    <row r="51" spans="1:12" ht="18.75" customHeight="1">
      <c r="A51" s="415"/>
      <c r="B51" s="683" t="s">
        <v>457</v>
      </c>
      <c r="C51" s="684"/>
      <c r="D51" s="416">
        <v>10</v>
      </c>
      <c r="E51" s="417"/>
      <c r="F51" s="418"/>
      <c r="G51" s="373">
        <v>73450</v>
      </c>
      <c r="H51" s="242"/>
      <c r="I51" s="243"/>
      <c r="J51" s="245">
        <f>D51*G51</f>
        <v>734500</v>
      </c>
      <c r="K51" s="185"/>
      <c r="L51" s="171"/>
    </row>
    <row r="52" spans="1:12" ht="18.75" customHeight="1">
      <c r="A52" s="72"/>
      <c r="B52" s="186"/>
      <c r="C52" s="187"/>
      <c r="D52" s="182"/>
      <c r="E52" s="183"/>
      <c r="F52" s="184"/>
      <c r="G52" s="82"/>
      <c r="H52" s="154"/>
      <c r="I52" s="155"/>
      <c r="J52" s="157"/>
      <c r="K52" s="185"/>
      <c r="L52" s="171"/>
    </row>
    <row r="53" spans="1:12">
      <c r="A53" s="72" t="s">
        <v>91</v>
      </c>
      <c r="B53" s="572" t="s">
        <v>163</v>
      </c>
      <c r="C53" s="507"/>
      <c r="D53" s="73"/>
      <c r="E53" s="74"/>
      <c r="F53" s="75"/>
      <c r="G53" s="86"/>
      <c r="H53" s="77"/>
      <c r="I53" s="45"/>
      <c r="J53" s="79">
        <f>SUM(J54:J57)</f>
        <v>6300000</v>
      </c>
      <c r="K53" s="179"/>
      <c r="L53" s="171"/>
    </row>
    <row r="54" spans="1:12" ht="15.75" customHeight="1">
      <c r="A54" s="72"/>
      <c r="B54" s="580" t="s">
        <v>448</v>
      </c>
      <c r="C54" s="581"/>
      <c r="D54" s="89">
        <v>10</v>
      </c>
      <c r="E54" s="90"/>
      <c r="F54" s="91" t="s">
        <v>79</v>
      </c>
      <c r="G54" s="86">
        <v>157500</v>
      </c>
      <c r="H54" s="92"/>
      <c r="I54" s="93"/>
      <c r="J54" s="97">
        <f>D54*G54</f>
        <v>1575000</v>
      </c>
      <c r="K54" s="179"/>
      <c r="L54" s="171"/>
    </row>
    <row r="55" spans="1:12" ht="15.75" customHeight="1">
      <c r="A55" s="72"/>
      <c r="B55" s="580" t="s">
        <v>449</v>
      </c>
      <c r="C55" s="581"/>
      <c r="D55" s="89">
        <v>10</v>
      </c>
      <c r="E55" s="90"/>
      <c r="F55" s="91" t="s">
        <v>79</v>
      </c>
      <c r="G55" s="86">
        <v>157500</v>
      </c>
      <c r="H55" s="92"/>
      <c r="I55" s="93"/>
      <c r="J55" s="97">
        <f t="shared" ref="J55:J57" si="1">D55*G55</f>
        <v>1575000</v>
      </c>
      <c r="K55" s="179"/>
      <c r="L55" s="171"/>
    </row>
    <row r="56" spans="1:12" ht="15.75" customHeight="1">
      <c r="A56" s="72"/>
      <c r="B56" s="580" t="s">
        <v>450</v>
      </c>
      <c r="C56" s="581"/>
      <c r="D56" s="89">
        <v>10</v>
      </c>
      <c r="E56" s="90"/>
      <c r="F56" s="91" t="s">
        <v>79</v>
      </c>
      <c r="G56" s="86">
        <v>157500</v>
      </c>
      <c r="H56" s="92"/>
      <c r="I56" s="93"/>
      <c r="J56" s="97">
        <f t="shared" si="1"/>
        <v>1575000</v>
      </c>
      <c r="K56" s="179"/>
      <c r="L56" s="171"/>
    </row>
    <row r="57" spans="1:12" ht="15.75" customHeight="1">
      <c r="A57" s="72"/>
      <c r="B57" s="580" t="s">
        <v>451</v>
      </c>
      <c r="C57" s="581"/>
      <c r="D57" s="89">
        <v>10</v>
      </c>
      <c r="E57" s="90"/>
      <c r="F57" s="91" t="s">
        <v>79</v>
      </c>
      <c r="G57" s="86">
        <v>157500</v>
      </c>
      <c r="H57" s="92"/>
      <c r="I57" s="93"/>
      <c r="J57" s="97">
        <f t="shared" si="1"/>
        <v>1575000</v>
      </c>
      <c r="K57" s="179"/>
      <c r="L57" s="171"/>
    </row>
    <row r="58" spans="1:12">
      <c r="A58" s="77"/>
      <c r="B58" s="84"/>
      <c r="C58" s="85"/>
      <c r="D58" s="73"/>
      <c r="E58" s="74"/>
      <c r="F58" s="75"/>
      <c r="G58" s="82"/>
      <c r="H58" s="77"/>
      <c r="I58" s="45"/>
      <c r="J58" s="188"/>
      <c r="K58" s="179"/>
      <c r="L58" s="171"/>
    </row>
    <row r="59" spans="1:12">
      <c r="A59" s="72" t="s">
        <v>102</v>
      </c>
      <c r="B59" s="572" t="s">
        <v>103</v>
      </c>
      <c r="C59" s="507"/>
      <c r="D59" s="73"/>
      <c r="E59" s="74"/>
      <c r="F59" s="75"/>
      <c r="G59" s="76"/>
      <c r="H59" s="77"/>
      <c r="I59" s="45"/>
      <c r="J59" s="181">
        <f>J60</f>
        <v>9000000</v>
      </c>
      <c r="K59" s="179"/>
      <c r="L59" s="171"/>
    </row>
    <row r="60" spans="1:12">
      <c r="A60" s="72" t="s">
        <v>104</v>
      </c>
      <c r="B60" s="572" t="s">
        <v>105</v>
      </c>
      <c r="C60" s="507"/>
      <c r="D60" s="73"/>
      <c r="E60" s="74"/>
      <c r="F60" s="75"/>
      <c r="G60" s="76"/>
      <c r="H60" s="77"/>
      <c r="I60" s="45"/>
      <c r="J60" s="70">
        <f>J61</f>
        <v>9000000</v>
      </c>
      <c r="K60" s="179"/>
      <c r="L60" s="171"/>
    </row>
    <row r="61" spans="1:12" ht="33" customHeight="1">
      <c r="A61" s="72" t="s">
        <v>106</v>
      </c>
      <c r="B61" s="572" t="s">
        <v>107</v>
      </c>
      <c r="C61" s="507"/>
      <c r="D61" s="73"/>
      <c r="E61" s="74"/>
      <c r="F61" s="75"/>
      <c r="G61" s="76"/>
      <c r="H61" s="77"/>
      <c r="I61" s="45"/>
      <c r="J61" s="70">
        <f>J62+J64+J66</f>
        <v>9000000</v>
      </c>
      <c r="K61" s="179"/>
      <c r="L61" s="171"/>
    </row>
    <row r="62" spans="1:12" ht="34.5" customHeight="1">
      <c r="A62" s="72"/>
      <c r="B62" s="575" t="s">
        <v>462</v>
      </c>
      <c r="C62" s="535"/>
      <c r="D62" s="73"/>
      <c r="E62" s="74"/>
      <c r="F62" s="75"/>
      <c r="G62" s="86"/>
      <c r="H62" s="77"/>
      <c r="I62" s="45"/>
      <c r="J62" s="70">
        <f>J63</f>
        <v>3600000</v>
      </c>
      <c r="K62" s="179"/>
      <c r="L62" s="171"/>
    </row>
    <row r="63" spans="1:12" ht="34.5" customHeight="1">
      <c r="A63" s="72"/>
      <c r="B63" s="571" t="s">
        <v>164</v>
      </c>
      <c r="C63" s="522"/>
      <c r="D63" s="73">
        <v>2</v>
      </c>
      <c r="E63" s="74">
        <v>2</v>
      </c>
      <c r="F63" s="75" t="s">
        <v>109</v>
      </c>
      <c r="G63" s="86">
        <v>900000</v>
      </c>
      <c r="H63" s="77"/>
      <c r="I63" s="45"/>
      <c r="J63" s="119">
        <f>D63*E63*G63</f>
        <v>3600000</v>
      </c>
      <c r="K63" s="179"/>
      <c r="L63" s="171"/>
    </row>
    <row r="64" spans="1:12" ht="42.75" customHeight="1">
      <c r="A64" s="72"/>
      <c r="B64" s="682" t="s">
        <v>165</v>
      </c>
      <c r="C64" s="619"/>
      <c r="D64" s="73"/>
      <c r="E64" s="74"/>
      <c r="F64" s="75"/>
      <c r="G64" s="86"/>
      <c r="H64" s="77"/>
      <c r="I64" s="45"/>
      <c r="J64" s="70">
        <f>J65</f>
        <v>1800000</v>
      </c>
      <c r="K64" s="179"/>
      <c r="L64" s="171" t="b">
        <f>L3=K3</f>
        <v>1</v>
      </c>
    </row>
    <row r="65" spans="1:12" ht="36.75" customHeight="1">
      <c r="A65" s="72"/>
      <c r="B65" s="571" t="s">
        <v>164</v>
      </c>
      <c r="C65" s="522"/>
      <c r="D65" s="73">
        <v>1</v>
      </c>
      <c r="E65" s="74">
        <v>2</v>
      </c>
      <c r="F65" s="75" t="s">
        <v>109</v>
      </c>
      <c r="G65" s="86">
        <v>900000</v>
      </c>
      <c r="H65" s="77"/>
      <c r="I65" s="45"/>
      <c r="J65" s="119">
        <f>D65*E65*G65</f>
        <v>1800000</v>
      </c>
      <c r="K65" s="179"/>
      <c r="L65" s="171"/>
    </row>
    <row r="66" spans="1:12" ht="28.5" customHeight="1">
      <c r="A66" s="72"/>
      <c r="B66" s="682" t="s">
        <v>461</v>
      </c>
      <c r="C66" s="619"/>
      <c r="D66" s="73"/>
      <c r="E66" s="74"/>
      <c r="F66" s="75"/>
      <c r="G66" s="86"/>
      <c r="H66" s="77"/>
      <c r="I66" s="45"/>
      <c r="J66" s="70">
        <f>J67</f>
        <v>3600000</v>
      </c>
      <c r="K66" s="179"/>
      <c r="L66" s="171"/>
    </row>
    <row r="67" spans="1:12" ht="33" customHeight="1">
      <c r="A67" s="72"/>
      <c r="B67" s="571" t="s">
        <v>164</v>
      </c>
      <c r="C67" s="522"/>
      <c r="D67" s="73">
        <v>2</v>
      </c>
      <c r="E67" s="74">
        <v>2</v>
      </c>
      <c r="F67" s="75" t="s">
        <v>109</v>
      </c>
      <c r="G67" s="86">
        <v>900000</v>
      </c>
      <c r="H67" s="77"/>
      <c r="I67" s="45"/>
      <c r="J67" s="119">
        <f>D67*E67*G67</f>
        <v>3600000</v>
      </c>
      <c r="K67" s="179"/>
      <c r="L67" s="171"/>
    </row>
    <row r="68" spans="1:12" ht="16.5" customHeight="1">
      <c r="A68" s="122"/>
      <c r="B68" s="121"/>
      <c r="C68" s="81"/>
      <c r="D68" s="120"/>
      <c r="E68" s="74"/>
      <c r="F68" s="75"/>
      <c r="G68" s="86"/>
      <c r="H68" s="77"/>
      <c r="I68" s="45"/>
      <c r="J68" s="119"/>
      <c r="K68" s="179"/>
      <c r="L68" s="171"/>
    </row>
    <row r="69" spans="1:12">
      <c r="A69" s="72" t="s">
        <v>112</v>
      </c>
      <c r="B69" s="572" t="s">
        <v>113</v>
      </c>
      <c r="C69" s="507"/>
      <c r="D69" s="73"/>
      <c r="E69" s="74"/>
      <c r="F69" s="75"/>
      <c r="G69" s="76"/>
      <c r="H69" s="77"/>
      <c r="I69" s="45"/>
      <c r="J69" s="70">
        <f>J70</f>
        <v>309090000</v>
      </c>
      <c r="K69" s="179"/>
      <c r="L69" s="171"/>
    </row>
    <row r="70" spans="1:12">
      <c r="A70" s="72" t="s">
        <v>114</v>
      </c>
      <c r="B70" s="572" t="s">
        <v>115</v>
      </c>
      <c r="C70" s="507"/>
      <c r="D70" s="73"/>
      <c r="E70" s="74"/>
      <c r="F70" s="75"/>
      <c r="G70" s="76"/>
      <c r="H70" s="77"/>
      <c r="I70" s="45"/>
      <c r="J70" s="70">
        <f>J71</f>
        <v>309090000</v>
      </c>
      <c r="K70" s="179"/>
      <c r="L70" s="171"/>
    </row>
    <row r="71" spans="1:12" ht="16.5" customHeight="1">
      <c r="A71" s="72" t="s">
        <v>116</v>
      </c>
      <c r="B71" s="572" t="s">
        <v>117</v>
      </c>
      <c r="C71" s="507"/>
      <c r="D71" s="73"/>
      <c r="E71" s="74"/>
      <c r="F71" s="75"/>
      <c r="G71" s="76"/>
      <c r="H71" s="77"/>
      <c r="I71" s="45"/>
      <c r="J71" s="70">
        <f>J72+J100+J120</f>
        <v>309090000</v>
      </c>
      <c r="K71" s="179"/>
      <c r="L71" s="171"/>
    </row>
    <row r="72" spans="1:12" ht="25.5" customHeight="1">
      <c r="A72" s="72"/>
      <c r="B72" s="572" t="s">
        <v>458</v>
      </c>
      <c r="C72" s="507"/>
      <c r="D72" s="73"/>
      <c r="E72" s="74"/>
      <c r="F72" s="75"/>
      <c r="G72" s="76"/>
      <c r="H72" s="77"/>
      <c r="I72" s="45"/>
      <c r="J72" s="70">
        <f>J73+J74</f>
        <v>38650000</v>
      </c>
      <c r="K72" s="179"/>
      <c r="L72" s="171"/>
    </row>
    <row r="73" spans="1:12" ht="29.25" customHeight="1">
      <c r="A73" s="72"/>
      <c r="B73" s="571" t="s">
        <v>119</v>
      </c>
      <c r="C73" s="522"/>
      <c r="D73" s="73">
        <f>57*3</f>
        <v>171</v>
      </c>
      <c r="E73" s="74"/>
      <c r="F73" s="75" t="s">
        <v>111</v>
      </c>
      <c r="G73" s="86">
        <v>170000</v>
      </c>
      <c r="H73" s="77"/>
      <c r="I73" s="45"/>
      <c r="J73" s="87">
        <f>D73*G73</f>
        <v>29070000</v>
      </c>
      <c r="K73" s="179"/>
      <c r="L73" s="171"/>
    </row>
    <row r="74" spans="1:12" ht="27.75" customHeight="1">
      <c r="A74" s="72"/>
      <c r="B74" s="571" t="s">
        <v>191</v>
      </c>
      <c r="C74" s="522"/>
      <c r="D74" s="73"/>
      <c r="E74" s="74"/>
      <c r="F74" s="75"/>
      <c r="G74" s="86"/>
      <c r="H74" s="77"/>
      <c r="I74" s="45"/>
      <c r="J74" s="87">
        <f>SUM(J75:J98)</f>
        <v>9580000</v>
      </c>
      <c r="K74" s="179"/>
      <c r="L74" s="171"/>
    </row>
    <row r="75" spans="1:12" ht="19.5" customHeight="1">
      <c r="A75" s="72"/>
      <c r="B75" s="164">
        <v>1</v>
      </c>
      <c r="C75" s="190" t="s">
        <v>166</v>
      </c>
      <c r="D75" s="191">
        <v>3</v>
      </c>
      <c r="E75" s="81"/>
      <c r="F75" s="124" t="s">
        <v>147</v>
      </c>
      <c r="G75" s="192">
        <v>210000</v>
      </c>
      <c r="H75" s="77"/>
      <c r="I75" s="45"/>
      <c r="J75" s="83">
        <f t="shared" ref="J75:J98" si="2">D75*G75</f>
        <v>630000</v>
      </c>
      <c r="K75" s="179"/>
      <c r="L75" s="171"/>
    </row>
    <row r="76" spans="1:12" ht="19.5" customHeight="1">
      <c r="A76" s="72"/>
      <c r="B76" s="164">
        <v>2</v>
      </c>
      <c r="C76" s="190" t="s">
        <v>167</v>
      </c>
      <c r="D76" s="191">
        <v>2</v>
      </c>
      <c r="E76" s="81"/>
      <c r="F76" s="124" t="s">
        <v>147</v>
      </c>
      <c r="G76" s="192">
        <v>245000</v>
      </c>
      <c r="H76" s="77"/>
      <c r="I76" s="45"/>
      <c r="J76" s="83">
        <f>D76*G76</f>
        <v>490000</v>
      </c>
      <c r="K76" s="179"/>
      <c r="L76" s="171"/>
    </row>
    <row r="77" spans="1:12" ht="19.5" customHeight="1">
      <c r="A77" s="72"/>
      <c r="B77" s="164">
        <v>3</v>
      </c>
      <c r="C77" s="190" t="s">
        <v>168</v>
      </c>
      <c r="D77" s="191">
        <v>2</v>
      </c>
      <c r="E77" s="81"/>
      <c r="F77" s="124" t="s">
        <v>147</v>
      </c>
      <c r="G77" s="192">
        <v>320000</v>
      </c>
      <c r="H77" s="77"/>
      <c r="I77" s="45"/>
      <c r="J77" s="83">
        <f>D77*G77</f>
        <v>640000</v>
      </c>
      <c r="K77" s="179"/>
      <c r="L77" s="171"/>
    </row>
    <row r="78" spans="1:12" ht="19.5" customHeight="1">
      <c r="A78" s="72"/>
      <c r="B78" s="164">
        <v>4</v>
      </c>
      <c r="C78" s="190" t="s">
        <v>169</v>
      </c>
      <c r="D78" s="191">
        <v>2</v>
      </c>
      <c r="E78" s="81"/>
      <c r="F78" s="124" t="s">
        <v>147</v>
      </c>
      <c r="G78" s="192">
        <v>255000</v>
      </c>
      <c r="H78" s="77"/>
      <c r="I78" s="45"/>
      <c r="J78" s="83">
        <f>D78*G78</f>
        <v>510000</v>
      </c>
      <c r="K78" s="179"/>
      <c r="L78" s="171"/>
    </row>
    <row r="79" spans="1:12" ht="19.5" customHeight="1">
      <c r="A79" s="72"/>
      <c r="B79" s="164">
        <v>1</v>
      </c>
      <c r="C79" s="190" t="s">
        <v>170</v>
      </c>
      <c r="D79" s="191">
        <v>3</v>
      </c>
      <c r="E79" s="81"/>
      <c r="F79" s="124" t="s">
        <v>147</v>
      </c>
      <c r="G79" s="192">
        <v>185000</v>
      </c>
      <c r="H79" s="77"/>
      <c r="I79" s="45"/>
      <c r="J79" s="83">
        <f t="shared" si="2"/>
        <v>555000</v>
      </c>
      <c r="K79" s="179"/>
      <c r="L79" s="171"/>
    </row>
    <row r="80" spans="1:12" ht="19.5" customHeight="1">
      <c r="A80" s="72"/>
      <c r="B80" s="164">
        <v>2</v>
      </c>
      <c r="C80" s="190" t="s">
        <v>171</v>
      </c>
      <c r="D80" s="191">
        <v>2</v>
      </c>
      <c r="E80" s="81"/>
      <c r="F80" s="124" t="s">
        <v>147</v>
      </c>
      <c r="G80" s="192">
        <v>160000</v>
      </c>
      <c r="H80" s="77"/>
      <c r="I80" s="45"/>
      <c r="J80" s="83">
        <f>D80*G80</f>
        <v>320000</v>
      </c>
      <c r="K80" s="179"/>
      <c r="L80" s="171"/>
    </row>
    <row r="81" spans="1:12" ht="19.5" customHeight="1">
      <c r="A81" s="72"/>
      <c r="B81" s="164">
        <v>3</v>
      </c>
      <c r="C81" s="190" t="s">
        <v>172</v>
      </c>
      <c r="D81" s="191">
        <v>2</v>
      </c>
      <c r="E81" s="81"/>
      <c r="F81" s="124" t="s">
        <v>147</v>
      </c>
      <c r="G81" s="192">
        <v>185000</v>
      </c>
      <c r="H81" s="77"/>
      <c r="I81" s="45"/>
      <c r="J81" s="83">
        <f>D81*G81</f>
        <v>370000</v>
      </c>
      <c r="K81" s="179"/>
      <c r="L81" s="171"/>
    </row>
    <row r="82" spans="1:12" ht="19.5" customHeight="1">
      <c r="A82" s="72"/>
      <c r="B82" s="164">
        <v>4</v>
      </c>
      <c r="C82" s="190" t="s">
        <v>173</v>
      </c>
      <c r="D82" s="191">
        <v>3</v>
      </c>
      <c r="E82" s="81"/>
      <c r="F82" s="124" t="s">
        <v>147</v>
      </c>
      <c r="G82" s="192">
        <v>125000</v>
      </c>
      <c r="H82" s="77"/>
      <c r="I82" s="45"/>
      <c r="J82" s="83">
        <f>D82*G82</f>
        <v>375000</v>
      </c>
      <c r="K82" s="179"/>
      <c r="L82" s="171"/>
    </row>
    <row r="83" spans="1:12" ht="19.5" customHeight="1">
      <c r="A83" s="72"/>
      <c r="B83" s="164">
        <v>1</v>
      </c>
      <c r="C83" s="165" t="s">
        <v>174</v>
      </c>
      <c r="D83" s="166">
        <v>3</v>
      </c>
      <c r="E83" s="74"/>
      <c r="F83" s="75" t="s">
        <v>147</v>
      </c>
      <c r="G83" s="82">
        <v>100000</v>
      </c>
      <c r="H83" s="77"/>
      <c r="I83" s="45"/>
      <c r="J83" s="83">
        <f t="shared" si="2"/>
        <v>300000</v>
      </c>
      <c r="K83" s="179"/>
      <c r="L83" s="171"/>
    </row>
    <row r="84" spans="1:12" ht="19.5" customHeight="1">
      <c r="A84" s="72"/>
      <c r="B84" s="164">
        <v>2</v>
      </c>
      <c r="C84" s="165" t="s">
        <v>153</v>
      </c>
      <c r="D84" s="166">
        <v>3</v>
      </c>
      <c r="E84" s="74"/>
      <c r="F84" s="75" t="s">
        <v>147</v>
      </c>
      <c r="G84" s="82">
        <v>120000</v>
      </c>
      <c r="H84" s="77"/>
      <c r="I84" s="45"/>
      <c r="J84" s="83">
        <f>D84*G84</f>
        <v>360000</v>
      </c>
      <c r="K84" s="179"/>
      <c r="L84" s="171"/>
    </row>
    <row r="85" spans="1:12" ht="19.5" customHeight="1">
      <c r="A85" s="72"/>
      <c r="B85" s="164">
        <v>3</v>
      </c>
      <c r="C85" s="165" t="s">
        <v>175</v>
      </c>
      <c r="D85" s="166">
        <v>3</v>
      </c>
      <c r="E85" s="74"/>
      <c r="F85" s="75" t="s">
        <v>147</v>
      </c>
      <c r="G85" s="82">
        <v>95000</v>
      </c>
      <c r="H85" s="77"/>
      <c r="I85" s="45"/>
      <c r="J85" s="83">
        <f>D85*G85</f>
        <v>285000</v>
      </c>
      <c r="K85" s="179"/>
      <c r="L85" s="171"/>
    </row>
    <row r="86" spans="1:12" ht="19.5" customHeight="1">
      <c r="A86" s="72"/>
      <c r="B86" s="164">
        <v>4</v>
      </c>
      <c r="C86" s="165" t="s">
        <v>176</v>
      </c>
      <c r="D86" s="166">
        <v>3</v>
      </c>
      <c r="E86" s="74"/>
      <c r="F86" s="75" t="s">
        <v>147</v>
      </c>
      <c r="G86" s="82">
        <v>135000</v>
      </c>
      <c r="H86" s="77"/>
      <c r="I86" s="45"/>
      <c r="J86" s="83">
        <f>D86*G86</f>
        <v>405000</v>
      </c>
      <c r="K86" s="179"/>
      <c r="L86" s="171"/>
    </row>
    <row r="87" spans="1:12" ht="19.5" customHeight="1">
      <c r="A87" s="72"/>
      <c r="B87" s="164">
        <v>1</v>
      </c>
      <c r="C87" s="165" t="s">
        <v>177</v>
      </c>
      <c r="D87" s="166">
        <v>2</v>
      </c>
      <c r="E87" s="74"/>
      <c r="F87" s="75" t="s">
        <v>147</v>
      </c>
      <c r="G87" s="82">
        <v>220000</v>
      </c>
      <c r="H87" s="77"/>
      <c r="I87" s="45"/>
      <c r="J87" s="83">
        <f t="shared" si="2"/>
        <v>440000</v>
      </c>
      <c r="K87" s="179"/>
      <c r="L87" s="171"/>
    </row>
    <row r="88" spans="1:12" ht="19.5" customHeight="1">
      <c r="A88" s="72"/>
      <c r="B88" s="164">
        <v>2</v>
      </c>
      <c r="C88" s="165" t="s">
        <v>178</v>
      </c>
      <c r="D88" s="166">
        <v>2</v>
      </c>
      <c r="E88" s="74"/>
      <c r="F88" s="75" t="s">
        <v>147</v>
      </c>
      <c r="G88" s="82">
        <v>210000</v>
      </c>
      <c r="H88" s="77"/>
      <c r="I88" s="45"/>
      <c r="J88" s="83">
        <f>D88*G88</f>
        <v>420000</v>
      </c>
      <c r="K88" s="179"/>
      <c r="L88" s="171"/>
    </row>
    <row r="89" spans="1:12" ht="19.5" customHeight="1">
      <c r="A89" s="72"/>
      <c r="B89" s="164">
        <v>3</v>
      </c>
      <c r="C89" s="165" t="s">
        <v>179</v>
      </c>
      <c r="D89" s="166">
        <v>3</v>
      </c>
      <c r="E89" s="74"/>
      <c r="F89" s="75" t="s">
        <v>147</v>
      </c>
      <c r="G89" s="82">
        <v>170000</v>
      </c>
      <c r="H89" s="77"/>
      <c r="I89" s="45"/>
      <c r="J89" s="83">
        <f>D89*G89</f>
        <v>510000</v>
      </c>
      <c r="K89" s="179"/>
      <c r="L89" s="171"/>
    </row>
    <row r="90" spans="1:12" ht="19.5" customHeight="1">
      <c r="A90" s="72"/>
      <c r="B90" s="164">
        <v>4</v>
      </c>
      <c r="C90" s="165" t="s">
        <v>180</v>
      </c>
      <c r="D90" s="166">
        <v>3</v>
      </c>
      <c r="E90" s="74"/>
      <c r="F90" s="75" t="s">
        <v>147</v>
      </c>
      <c r="G90" s="82">
        <v>210000</v>
      </c>
      <c r="H90" s="77"/>
      <c r="I90" s="45"/>
      <c r="J90" s="83">
        <f>D90*G90</f>
        <v>630000</v>
      </c>
      <c r="K90" s="179"/>
      <c r="L90" s="171"/>
    </row>
    <row r="91" spans="1:12" ht="19.5" customHeight="1">
      <c r="A91" s="72"/>
      <c r="B91" s="164">
        <v>1</v>
      </c>
      <c r="C91" s="165" t="s">
        <v>181</v>
      </c>
      <c r="D91" s="166">
        <v>2</v>
      </c>
      <c r="E91" s="74"/>
      <c r="F91" s="75" t="s">
        <v>147</v>
      </c>
      <c r="G91" s="82">
        <v>140000</v>
      </c>
      <c r="H91" s="77"/>
      <c r="I91" s="45"/>
      <c r="J91" s="83">
        <f t="shared" si="2"/>
        <v>280000</v>
      </c>
      <c r="K91" s="179"/>
      <c r="L91" s="171"/>
    </row>
    <row r="92" spans="1:12" ht="19.5" customHeight="1">
      <c r="A92" s="72"/>
      <c r="B92" s="164">
        <v>2</v>
      </c>
      <c r="C92" s="165" t="s">
        <v>182</v>
      </c>
      <c r="D92" s="166">
        <v>2</v>
      </c>
      <c r="E92" s="74"/>
      <c r="F92" s="75" t="s">
        <v>147</v>
      </c>
      <c r="G92" s="82">
        <v>145000</v>
      </c>
      <c r="H92" s="77"/>
      <c r="I92" s="45"/>
      <c r="J92" s="83">
        <f t="shared" si="2"/>
        <v>290000</v>
      </c>
      <c r="K92" s="179"/>
      <c r="L92" s="171"/>
    </row>
    <row r="93" spans="1:12" ht="19.5" customHeight="1">
      <c r="A93" s="72"/>
      <c r="B93" s="164">
        <v>3</v>
      </c>
      <c r="C93" s="165" t="s">
        <v>183</v>
      </c>
      <c r="D93" s="166">
        <v>2</v>
      </c>
      <c r="E93" s="74"/>
      <c r="F93" s="75" t="s">
        <v>147</v>
      </c>
      <c r="G93" s="82">
        <v>130000</v>
      </c>
      <c r="H93" s="77"/>
      <c r="I93" s="45"/>
      <c r="J93" s="83">
        <f t="shared" si="2"/>
        <v>260000</v>
      </c>
      <c r="K93" s="179"/>
      <c r="L93" s="171"/>
    </row>
    <row r="94" spans="1:12" ht="19.5" customHeight="1">
      <c r="A94" s="72"/>
      <c r="B94" s="164">
        <v>4</v>
      </c>
      <c r="C94" s="165" t="s">
        <v>184</v>
      </c>
      <c r="D94" s="166">
        <v>1</v>
      </c>
      <c r="E94" s="74"/>
      <c r="F94" s="75" t="s">
        <v>147</v>
      </c>
      <c r="G94" s="82">
        <v>100000</v>
      </c>
      <c r="H94" s="77"/>
      <c r="I94" s="45"/>
      <c r="J94" s="83">
        <f t="shared" si="2"/>
        <v>100000</v>
      </c>
      <c r="K94" s="179"/>
      <c r="L94" s="171"/>
    </row>
    <row r="95" spans="1:12" ht="19.5" customHeight="1">
      <c r="A95" s="72"/>
      <c r="B95" s="164">
        <v>1</v>
      </c>
      <c r="C95" s="190" t="s">
        <v>185</v>
      </c>
      <c r="D95" s="166">
        <v>3</v>
      </c>
      <c r="E95" s="74"/>
      <c r="F95" s="75" t="s">
        <v>147</v>
      </c>
      <c r="G95" s="82">
        <v>140000</v>
      </c>
      <c r="H95" s="77"/>
      <c r="I95" s="45"/>
      <c r="J95" s="83">
        <f t="shared" si="2"/>
        <v>420000</v>
      </c>
      <c r="K95" s="179"/>
      <c r="L95" s="171"/>
    </row>
    <row r="96" spans="1:12" ht="19.5" customHeight="1">
      <c r="A96" s="72"/>
      <c r="B96" s="164">
        <v>2</v>
      </c>
      <c r="C96" s="190" t="s">
        <v>186</v>
      </c>
      <c r="D96" s="166">
        <v>2</v>
      </c>
      <c r="E96" s="74"/>
      <c r="F96" s="75" t="s">
        <v>147</v>
      </c>
      <c r="G96" s="82">
        <v>175000</v>
      </c>
      <c r="H96" s="77"/>
      <c r="I96" s="45"/>
      <c r="J96" s="83">
        <f t="shared" si="2"/>
        <v>350000</v>
      </c>
      <c r="K96" s="179"/>
      <c r="L96" s="171"/>
    </row>
    <row r="97" spans="1:12" ht="19.5" customHeight="1">
      <c r="A97" s="72"/>
      <c r="B97" s="164">
        <v>3</v>
      </c>
      <c r="C97" s="190" t="s">
        <v>187</v>
      </c>
      <c r="D97" s="166">
        <v>2</v>
      </c>
      <c r="E97" s="74"/>
      <c r="F97" s="75" t="s">
        <v>147</v>
      </c>
      <c r="G97" s="82">
        <v>200000</v>
      </c>
      <c r="H97" s="77"/>
      <c r="I97" s="45"/>
      <c r="J97" s="83">
        <f t="shared" si="2"/>
        <v>400000</v>
      </c>
      <c r="K97" s="179"/>
      <c r="L97" s="171"/>
    </row>
    <row r="98" spans="1:12" ht="19.5" customHeight="1">
      <c r="A98" s="72"/>
      <c r="B98" s="164">
        <v>4</v>
      </c>
      <c r="C98" s="190" t="s">
        <v>188</v>
      </c>
      <c r="D98" s="166">
        <v>2</v>
      </c>
      <c r="E98" s="74"/>
      <c r="F98" s="75" t="s">
        <v>147</v>
      </c>
      <c r="G98" s="82">
        <v>120000</v>
      </c>
      <c r="H98" s="77"/>
      <c r="I98" s="45"/>
      <c r="J98" s="83">
        <f t="shared" si="2"/>
        <v>240000</v>
      </c>
      <c r="K98" s="179"/>
      <c r="L98" s="171"/>
    </row>
    <row r="99" spans="1:12" ht="21" customHeight="1">
      <c r="A99" s="122"/>
      <c r="B99" s="193"/>
      <c r="D99" s="166"/>
      <c r="E99" s="74"/>
      <c r="F99" s="75"/>
      <c r="G99" s="86"/>
      <c r="H99" s="77"/>
      <c r="I99" s="45"/>
      <c r="J99" s="87"/>
      <c r="K99" s="179"/>
      <c r="L99" s="171"/>
    </row>
    <row r="100" spans="1:12" ht="19.5" customHeight="1">
      <c r="A100" s="72"/>
      <c r="B100" s="572" t="s">
        <v>189</v>
      </c>
      <c r="C100" s="507"/>
      <c r="D100" s="73"/>
      <c r="E100" s="74"/>
      <c r="F100" s="75"/>
      <c r="G100" s="86"/>
      <c r="H100" s="77"/>
      <c r="I100" s="45"/>
      <c r="J100" s="79">
        <f>J101+J104+J107+J110+J113+J116</f>
        <v>29380000</v>
      </c>
      <c r="K100" s="179"/>
      <c r="L100" s="171"/>
    </row>
    <row r="101" spans="1:12" ht="19.5" customHeight="1">
      <c r="A101" s="72"/>
      <c r="B101" s="572" t="s">
        <v>190</v>
      </c>
      <c r="C101" s="507"/>
      <c r="D101" s="73"/>
      <c r="E101" s="74"/>
      <c r="F101" s="75"/>
      <c r="G101" s="86"/>
      <c r="H101" s="77"/>
      <c r="I101" s="45"/>
      <c r="J101" s="79">
        <f>J102+J103</f>
        <v>5360000</v>
      </c>
      <c r="K101" s="179"/>
      <c r="L101" s="171"/>
    </row>
    <row r="102" spans="1:12" ht="29.25" customHeight="1">
      <c r="A102" s="72"/>
      <c r="B102" s="571" t="s">
        <v>119</v>
      </c>
      <c r="C102" s="522"/>
      <c r="D102" s="73">
        <v>12</v>
      </c>
      <c r="E102" s="74">
        <v>2</v>
      </c>
      <c r="F102" s="75" t="s">
        <v>126</v>
      </c>
      <c r="G102" s="82">
        <v>170000</v>
      </c>
      <c r="H102" s="77"/>
      <c r="I102" s="45"/>
      <c r="J102" s="87">
        <f>D102*E102*G102</f>
        <v>4080000</v>
      </c>
      <c r="K102" s="179"/>
      <c r="L102" s="171"/>
    </row>
    <row r="103" spans="1:12" ht="24.75" customHeight="1">
      <c r="A103" s="72"/>
      <c r="B103" s="571" t="s">
        <v>191</v>
      </c>
      <c r="C103" s="522"/>
      <c r="D103" s="73">
        <v>2</v>
      </c>
      <c r="E103" s="74">
        <v>2</v>
      </c>
      <c r="F103" s="75" t="s">
        <v>126</v>
      </c>
      <c r="G103" s="82">
        <v>320000</v>
      </c>
      <c r="H103" s="77"/>
      <c r="I103" s="45"/>
      <c r="J103" s="87">
        <f t="shared" ref="J103:J118" si="3">D103*E103*G103</f>
        <v>1280000</v>
      </c>
      <c r="K103" s="179"/>
      <c r="L103" s="171"/>
    </row>
    <row r="104" spans="1:12" ht="24.75" customHeight="1">
      <c r="A104" s="72"/>
      <c r="B104" s="572" t="s">
        <v>192</v>
      </c>
      <c r="C104" s="507"/>
      <c r="D104" s="73"/>
      <c r="E104" s="74"/>
      <c r="F104" s="75"/>
      <c r="G104" s="82"/>
      <c r="H104" s="77"/>
      <c r="I104" s="45"/>
      <c r="J104" s="79">
        <f>J105+J106</f>
        <v>4960000</v>
      </c>
      <c r="K104" s="179"/>
      <c r="L104" s="171"/>
    </row>
    <row r="105" spans="1:12" ht="24.75" customHeight="1">
      <c r="A105" s="72"/>
      <c r="B105" s="571" t="s">
        <v>119</v>
      </c>
      <c r="C105" s="522"/>
      <c r="D105" s="73">
        <v>12</v>
      </c>
      <c r="E105" s="74">
        <v>2</v>
      </c>
      <c r="F105" s="75" t="s">
        <v>126</v>
      </c>
      <c r="G105" s="82">
        <v>170000</v>
      </c>
      <c r="H105" s="77"/>
      <c r="I105" s="45"/>
      <c r="J105" s="87">
        <f t="shared" si="3"/>
        <v>4080000</v>
      </c>
      <c r="K105" s="179"/>
      <c r="L105" s="171"/>
    </row>
    <row r="106" spans="1:12" ht="24.75" customHeight="1">
      <c r="A106" s="72"/>
      <c r="B106" s="571" t="s">
        <v>193</v>
      </c>
      <c r="C106" s="522"/>
      <c r="D106" s="73">
        <v>2</v>
      </c>
      <c r="E106" s="74">
        <v>2</v>
      </c>
      <c r="F106" s="75" t="s">
        <v>126</v>
      </c>
      <c r="G106" s="82">
        <v>220000</v>
      </c>
      <c r="H106" s="77"/>
      <c r="I106" s="45"/>
      <c r="J106" s="87">
        <f t="shared" si="3"/>
        <v>880000</v>
      </c>
      <c r="K106" s="179"/>
      <c r="L106" s="171"/>
    </row>
    <row r="107" spans="1:12" ht="24.75" customHeight="1">
      <c r="A107" s="72"/>
      <c r="B107" s="572" t="s">
        <v>194</v>
      </c>
      <c r="C107" s="507"/>
      <c r="D107" s="73"/>
      <c r="E107" s="74"/>
      <c r="F107" s="75"/>
      <c r="G107" s="82"/>
      <c r="H107" s="77"/>
      <c r="I107" s="45"/>
      <c r="J107" s="79">
        <f>J108+J109</f>
        <v>4820000</v>
      </c>
      <c r="K107" s="179"/>
      <c r="L107" s="171"/>
    </row>
    <row r="108" spans="1:12" ht="24.75" customHeight="1">
      <c r="A108" s="72"/>
      <c r="B108" s="571" t="s">
        <v>119</v>
      </c>
      <c r="C108" s="522"/>
      <c r="D108" s="73">
        <v>12</v>
      </c>
      <c r="E108" s="74">
        <v>2</v>
      </c>
      <c r="F108" s="75" t="s">
        <v>126</v>
      </c>
      <c r="G108" s="82">
        <v>170000</v>
      </c>
      <c r="H108" s="77"/>
      <c r="I108" s="45"/>
      <c r="J108" s="87">
        <f t="shared" si="3"/>
        <v>4080000</v>
      </c>
      <c r="K108" s="179"/>
      <c r="L108" s="171"/>
    </row>
    <row r="109" spans="1:12" ht="24.75" customHeight="1">
      <c r="A109" s="72"/>
      <c r="B109" s="571" t="s">
        <v>193</v>
      </c>
      <c r="C109" s="522"/>
      <c r="D109" s="73">
        <v>2</v>
      </c>
      <c r="E109" s="74">
        <v>2</v>
      </c>
      <c r="F109" s="75" t="s">
        <v>126</v>
      </c>
      <c r="G109" s="82">
        <v>185000</v>
      </c>
      <c r="H109" s="77"/>
      <c r="I109" s="45"/>
      <c r="J109" s="87">
        <f t="shared" si="3"/>
        <v>740000</v>
      </c>
      <c r="K109" s="179"/>
      <c r="L109" s="171"/>
    </row>
    <row r="110" spans="1:12" ht="24.75" customHeight="1">
      <c r="A110" s="72"/>
      <c r="B110" s="572" t="s">
        <v>195</v>
      </c>
      <c r="C110" s="507"/>
      <c r="D110" s="73"/>
      <c r="E110" s="74"/>
      <c r="F110" s="75"/>
      <c r="G110" s="82"/>
      <c r="H110" s="77"/>
      <c r="I110" s="45"/>
      <c r="J110" s="79">
        <f>J111+J112</f>
        <v>4660000</v>
      </c>
      <c r="K110" s="179"/>
      <c r="L110" s="171"/>
    </row>
    <row r="111" spans="1:12" ht="24.75" customHeight="1">
      <c r="A111" s="72"/>
      <c r="B111" s="571" t="s">
        <v>119</v>
      </c>
      <c r="C111" s="522"/>
      <c r="D111" s="73">
        <v>12</v>
      </c>
      <c r="E111" s="74">
        <v>2</v>
      </c>
      <c r="F111" s="75" t="s">
        <v>126</v>
      </c>
      <c r="G111" s="82">
        <v>170000</v>
      </c>
      <c r="H111" s="77"/>
      <c r="I111" s="45"/>
      <c r="J111" s="87">
        <f t="shared" si="3"/>
        <v>4080000</v>
      </c>
      <c r="K111" s="179"/>
      <c r="L111" s="171"/>
    </row>
    <row r="112" spans="1:12" ht="24.75" customHeight="1">
      <c r="A112" s="72"/>
      <c r="B112" s="571" t="s">
        <v>193</v>
      </c>
      <c r="C112" s="522"/>
      <c r="D112" s="73">
        <v>2</v>
      </c>
      <c r="E112" s="74">
        <v>2</v>
      </c>
      <c r="F112" s="75" t="s">
        <v>126</v>
      </c>
      <c r="G112" s="82">
        <v>145000</v>
      </c>
      <c r="H112" s="77"/>
      <c r="I112" s="45"/>
      <c r="J112" s="87">
        <f t="shared" si="3"/>
        <v>580000</v>
      </c>
      <c r="K112" s="179"/>
      <c r="L112" s="171"/>
    </row>
    <row r="113" spans="1:12" ht="24.75" customHeight="1">
      <c r="A113" s="72"/>
      <c r="B113" s="572" t="s">
        <v>196</v>
      </c>
      <c r="C113" s="507"/>
      <c r="D113" s="73"/>
      <c r="E113" s="74"/>
      <c r="F113" s="75"/>
      <c r="G113" s="82"/>
      <c r="H113" s="77"/>
      <c r="I113" s="45"/>
      <c r="J113" s="79">
        <f>J114+J115</f>
        <v>4620000</v>
      </c>
      <c r="K113" s="179"/>
      <c r="L113" s="171"/>
    </row>
    <row r="114" spans="1:12" ht="24.75" customHeight="1">
      <c r="A114" s="72"/>
      <c r="B114" s="571" t="s">
        <v>119</v>
      </c>
      <c r="C114" s="522"/>
      <c r="D114" s="73">
        <v>12</v>
      </c>
      <c r="E114" s="74">
        <v>2</v>
      </c>
      <c r="F114" s="75" t="s">
        <v>126</v>
      </c>
      <c r="G114" s="82">
        <v>170000</v>
      </c>
      <c r="H114" s="77"/>
      <c r="I114" s="45"/>
      <c r="J114" s="87">
        <f t="shared" si="3"/>
        <v>4080000</v>
      </c>
      <c r="K114" s="179"/>
      <c r="L114" s="171"/>
    </row>
    <row r="115" spans="1:12" ht="24.75" customHeight="1">
      <c r="A115" s="72"/>
      <c r="B115" s="571" t="s">
        <v>191</v>
      </c>
      <c r="C115" s="522"/>
      <c r="D115" s="73">
        <v>2</v>
      </c>
      <c r="E115" s="74">
        <v>2</v>
      </c>
      <c r="F115" s="75" t="s">
        <v>126</v>
      </c>
      <c r="G115" s="82">
        <v>135000</v>
      </c>
      <c r="H115" s="77"/>
      <c r="I115" s="45"/>
      <c r="J115" s="87">
        <f t="shared" si="3"/>
        <v>540000</v>
      </c>
      <c r="K115" s="179"/>
      <c r="L115" s="171"/>
    </row>
    <row r="116" spans="1:12" ht="24.75" customHeight="1">
      <c r="A116" s="72"/>
      <c r="B116" s="572" t="s">
        <v>197</v>
      </c>
      <c r="C116" s="507"/>
      <c r="D116" s="73"/>
      <c r="E116" s="74"/>
      <c r="F116" s="75"/>
      <c r="G116" s="82"/>
      <c r="H116" s="77"/>
      <c r="I116" s="45"/>
      <c r="J116" s="79">
        <f>J117+J118</f>
        <v>4960000</v>
      </c>
      <c r="K116" s="179"/>
      <c r="L116" s="171"/>
    </row>
    <row r="117" spans="1:12" ht="24.75" customHeight="1">
      <c r="A117" s="72"/>
      <c r="B117" s="571" t="s">
        <v>119</v>
      </c>
      <c r="C117" s="522"/>
      <c r="D117" s="73">
        <v>12</v>
      </c>
      <c r="E117" s="74">
        <v>2</v>
      </c>
      <c r="F117" s="75" t="s">
        <v>126</v>
      </c>
      <c r="G117" s="82">
        <v>170000</v>
      </c>
      <c r="H117" s="77"/>
      <c r="I117" s="45"/>
      <c r="J117" s="87">
        <f t="shared" si="3"/>
        <v>4080000</v>
      </c>
      <c r="K117" s="179"/>
      <c r="L117" s="171"/>
    </row>
    <row r="118" spans="1:12" ht="24.75" customHeight="1">
      <c r="A118" s="72"/>
      <c r="B118" s="571" t="s">
        <v>193</v>
      </c>
      <c r="C118" s="522"/>
      <c r="D118" s="73">
        <v>2</v>
      </c>
      <c r="E118" s="74">
        <v>2</v>
      </c>
      <c r="F118" s="75" t="s">
        <v>126</v>
      </c>
      <c r="G118" s="82">
        <v>220000</v>
      </c>
      <c r="H118" s="77"/>
      <c r="I118" s="45"/>
      <c r="J118" s="87">
        <f t="shared" si="3"/>
        <v>880000</v>
      </c>
      <c r="K118" s="179"/>
      <c r="L118" s="171"/>
    </row>
    <row r="119" spans="1:12" ht="20.25" customHeight="1">
      <c r="A119" s="72"/>
      <c r="B119" s="80"/>
      <c r="C119" s="81"/>
      <c r="D119" s="73"/>
      <c r="E119" s="74"/>
      <c r="F119" s="75"/>
      <c r="G119" s="82"/>
      <c r="H119" s="77"/>
      <c r="I119" s="45"/>
      <c r="J119" s="87"/>
      <c r="K119" s="179"/>
      <c r="L119" s="171"/>
    </row>
    <row r="120" spans="1:12" ht="35.25" customHeight="1">
      <c r="A120" s="122" t="s">
        <v>207</v>
      </c>
      <c r="B120" s="506" t="s">
        <v>253</v>
      </c>
      <c r="C120" s="532"/>
      <c r="D120" s="123"/>
      <c r="E120" s="117"/>
      <c r="F120" s="76"/>
      <c r="G120" s="86"/>
      <c r="H120" s="77"/>
      <c r="I120" s="45"/>
      <c r="J120" s="70">
        <f>SUM(J121:J123)</f>
        <v>241060000</v>
      </c>
      <c r="K120" s="179"/>
      <c r="L120" s="171"/>
    </row>
    <row r="121" spans="1:12" ht="33" customHeight="1">
      <c r="A121" s="72"/>
      <c r="B121" s="575" t="s">
        <v>462</v>
      </c>
      <c r="C121" s="535"/>
      <c r="D121" s="123">
        <v>130</v>
      </c>
      <c r="E121" s="117"/>
      <c r="F121" s="76" t="s">
        <v>111</v>
      </c>
      <c r="G121" s="86">
        <v>822000</v>
      </c>
      <c r="H121" s="77"/>
      <c r="I121" s="45"/>
      <c r="J121" s="119">
        <f>D121*G121</f>
        <v>106860000</v>
      </c>
      <c r="K121" s="179"/>
      <c r="L121" s="171"/>
    </row>
    <row r="122" spans="1:12" ht="54.75" customHeight="1">
      <c r="A122" s="72"/>
      <c r="B122" s="682" t="s">
        <v>165</v>
      </c>
      <c r="C122" s="619"/>
      <c r="D122" s="123">
        <v>110</v>
      </c>
      <c r="E122" s="117"/>
      <c r="F122" s="76" t="s">
        <v>111</v>
      </c>
      <c r="G122" s="86">
        <v>398000</v>
      </c>
      <c r="H122" s="109"/>
      <c r="I122" s="110"/>
      <c r="J122" s="119">
        <f>D122*G122</f>
        <v>43780000</v>
      </c>
      <c r="K122" s="179"/>
      <c r="L122" s="171"/>
    </row>
    <row r="123" spans="1:12" ht="31.5" customHeight="1">
      <c r="A123" s="72"/>
      <c r="B123" s="682" t="s">
        <v>461</v>
      </c>
      <c r="C123" s="619"/>
      <c r="D123" s="161">
        <v>110</v>
      </c>
      <c r="E123" s="189"/>
      <c r="F123" s="76" t="s">
        <v>111</v>
      </c>
      <c r="G123" s="86">
        <v>822000</v>
      </c>
      <c r="H123" s="109"/>
      <c r="I123" s="110"/>
      <c r="J123" s="119">
        <f>D123*G123</f>
        <v>90420000</v>
      </c>
      <c r="K123" s="179"/>
      <c r="L123" s="171"/>
    </row>
    <row r="124" spans="1:12" ht="20.25" customHeight="1" thickBot="1">
      <c r="A124" s="130"/>
      <c r="B124" s="131"/>
      <c r="C124" s="132"/>
      <c r="D124" s="133"/>
      <c r="E124" s="134"/>
      <c r="F124" s="135"/>
      <c r="G124" s="136"/>
      <c r="H124" s="130"/>
      <c r="I124" s="137"/>
      <c r="J124" s="138"/>
      <c r="K124" s="179"/>
      <c r="L124" s="171"/>
    </row>
    <row r="125" spans="1:12" ht="23.25" customHeight="1" thickBot="1">
      <c r="A125" s="661" t="s">
        <v>129</v>
      </c>
      <c r="B125" s="662"/>
      <c r="C125" s="662"/>
      <c r="D125" s="662"/>
      <c r="E125" s="662"/>
      <c r="F125" s="663"/>
      <c r="G125" s="663"/>
      <c r="H125" s="663"/>
      <c r="I125" s="664"/>
      <c r="J125" s="194">
        <f>J31</f>
        <v>639788300</v>
      </c>
      <c r="L125" s="171"/>
    </row>
    <row r="126" spans="1:12" ht="17.25" customHeight="1" thickTop="1">
      <c r="A126" s="665"/>
      <c r="B126" s="666"/>
      <c r="C126" s="666"/>
      <c r="D126" s="667"/>
      <c r="E126" s="672" t="s">
        <v>198</v>
      </c>
      <c r="F126" s="673"/>
      <c r="G126" s="673"/>
      <c r="H126" s="673"/>
      <c r="I126" s="673"/>
      <c r="J126" s="674"/>
    </row>
    <row r="127" spans="1:12">
      <c r="A127" s="545"/>
      <c r="B127" s="530"/>
      <c r="C127" s="530"/>
      <c r="D127" s="668"/>
      <c r="E127" s="675" t="s">
        <v>131</v>
      </c>
      <c r="F127" s="676"/>
      <c r="G127" s="676"/>
      <c r="H127" s="676"/>
      <c r="I127" s="676"/>
      <c r="J127" s="677"/>
    </row>
    <row r="128" spans="1:12">
      <c r="A128" s="545"/>
      <c r="B128" s="530"/>
      <c r="C128" s="530"/>
      <c r="D128" s="668"/>
      <c r="E128" s="678"/>
      <c r="F128" s="530"/>
      <c r="G128" s="530"/>
      <c r="H128" s="530"/>
      <c r="I128" s="530"/>
      <c r="J128" s="546"/>
    </row>
    <row r="129" spans="1:10">
      <c r="A129" s="545"/>
      <c r="B129" s="530"/>
      <c r="C129" s="530"/>
      <c r="D129" s="668"/>
      <c r="E129" s="678"/>
      <c r="F129" s="530"/>
      <c r="G129" s="530"/>
      <c r="H129" s="530"/>
      <c r="I129" s="530"/>
      <c r="J129" s="546"/>
    </row>
    <row r="130" spans="1:10">
      <c r="A130" s="545"/>
      <c r="B130" s="530"/>
      <c r="C130" s="530"/>
      <c r="D130" s="668"/>
      <c r="E130" s="678"/>
      <c r="F130" s="530"/>
      <c r="G130" s="530"/>
      <c r="H130" s="530"/>
      <c r="I130" s="530"/>
      <c r="J130" s="546"/>
    </row>
    <row r="131" spans="1:10" ht="13.5" thickBot="1">
      <c r="A131" s="669"/>
      <c r="B131" s="670"/>
      <c r="C131" s="670"/>
      <c r="D131" s="671"/>
      <c r="E131" s="679" t="s">
        <v>132</v>
      </c>
      <c r="F131" s="680"/>
      <c r="G131" s="680"/>
      <c r="H131" s="680"/>
      <c r="I131" s="680"/>
      <c r="J131" s="681"/>
    </row>
  </sheetData>
  <mergeCells count="97">
    <mergeCell ref="A26:B27"/>
    <mergeCell ref="C26:H27"/>
    <mergeCell ref="I26:J27"/>
    <mergeCell ref="A20:J20"/>
    <mergeCell ref="A21:B21"/>
    <mergeCell ref="C21:H21"/>
    <mergeCell ref="I21:J21"/>
    <mergeCell ref="A22:B23"/>
    <mergeCell ref="C22:H23"/>
    <mergeCell ref="I22:J23"/>
    <mergeCell ref="A24:B24"/>
    <mergeCell ref="C24:H24"/>
    <mergeCell ref="I24:J24"/>
    <mergeCell ref="A25:B25"/>
    <mergeCell ref="C25:H25"/>
    <mergeCell ref="I25:J25"/>
    <mergeCell ref="B36:C36"/>
    <mergeCell ref="A28:J28"/>
    <mergeCell ref="B29:C29"/>
    <mergeCell ref="D29:I29"/>
    <mergeCell ref="B30:C30"/>
    <mergeCell ref="D30:E30"/>
    <mergeCell ref="H30:I30"/>
    <mergeCell ref="B31:C31"/>
    <mergeCell ref="B32:C32"/>
    <mergeCell ref="B33:C33"/>
    <mergeCell ref="B34:C34"/>
    <mergeCell ref="B35:C35"/>
    <mergeCell ref="B50:C50"/>
    <mergeCell ref="B51:C51"/>
    <mergeCell ref="B53:C53"/>
    <mergeCell ref="B54:C54"/>
    <mergeCell ref="B59:C59"/>
    <mergeCell ref="B49:C49"/>
    <mergeCell ref="B47:C47"/>
    <mergeCell ref="B37:C37"/>
    <mergeCell ref="B38:C38"/>
    <mergeCell ref="B39:C39"/>
    <mergeCell ref="B40:C40"/>
    <mergeCell ref="B41:C41"/>
    <mergeCell ref="B42:C42"/>
    <mergeCell ref="B43:C43"/>
    <mergeCell ref="B44:C44"/>
    <mergeCell ref="B45:C45"/>
    <mergeCell ref="B46:C46"/>
    <mergeCell ref="B48:C48"/>
    <mergeCell ref="B66:C66"/>
    <mergeCell ref="B67:C67"/>
    <mergeCell ref="B61:C61"/>
    <mergeCell ref="B62:C62"/>
    <mergeCell ref="B63:C63"/>
    <mergeCell ref="B64:C64"/>
    <mergeCell ref="B60:C60"/>
    <mergeCell ref="B55:C55"/>
    <mergeCell ref="B56:C56"/>
    <mergeCell ref="B57:C57"/>
    <mergeCell ref="B65:C65"/>
    <mergeCell ref="B113:C113"/>
    <mergeCell ref="B114:C114"/>
    <mergeCell ref="B115:C115"/>
    <mergeCell ref="B116:C116"/>
    <mergeCell ref="B105:C105"/>
    <mergeCell ref="B69:C69"/>
    <mergeCell ref="B70:C70"/>
    <mergeCell ref="B71:C71"/>
    <mergeCell ref="B72:C72"/>
    <mergeCell ref="B73:C73"/>
    <mergeCell ref="B74:C74"/>
    <mergeCell ref="B100:C100"/>
    <mergeCell ref="B101:C101"/>
    <mergeCell ref="B102:C102"/>
    <mergeCell ref="B103:C103"/>
    <mergeCell ref="B104:C104"/>
    <mergeCell ref="A3:D3"/>
    <mergeCell ref="E3:J3"/>
    <mergeCell ref="A4:J4"/>
    <mergeCell ref="B118:C118"/>
    <mergeCell ref="A125:I125"/>
    <mergeCell ref="A126:D131"/>
    <mergeCell ref="E126:J126"/>
    <mergeCell ref="E127:J127"/>
    <mergeCell ref="E128:J128"/>
    <mergeCell ref="E129:J129"/>
    <mergeCell ref="E130:J130"/>
    <mergeCell ref="E131:J131"/>
    <mergeCell ref="B120:C120"/>
    <mergeCell ref="B121:C121"/>
    <mergeCell ref="B122:C122"/>
    <mergeCell ref="B123:C123"/>
    <mergeCell ref="B117:C117"/>
    <mergeCell ref="B106:C106"/>
    <mergeCell ref="B107:C107"/>
    <mergeCell ref="B108:C108"/>
    <mergeCell ref="B109:C109"/>
    <mergeCell ref="B110:C110"/>
    <mergeCell ref="B111:C111"/>
    <mergeCell ref="B112:C112"/>
  </mergeCells>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630B3-C993-4049-8132-79B0F552FD2D}">
  <dimension ref="A1:Z1042"/>
  <sheetViews>
    <sheetView workbookViewId="0">
      <selection activeCell="G28" sqref="G28"/>
    </sheetView>
  </sheetViews>
  <sheetFormatPr defaultColWidth="14.42578125" defaultRowHeight="15"/>
  <cols>
    <col min="1" max="1" width="18.42578125" bestFit="1" customWidth="1"/>
    <col min="2" max="2" width="18.85546875" customWidth="1"/>
    <col min="3" max="3" width="48.7109375" customWidth="1"/>
    <col min="4" max="4" width="10" customWidth="1"/>
    <col min="5" max="5" width="9.42578125" customWidth="1"/>
    <col min="6" max="6" width="13.140625" customWidth="1"/>
    <col min="7" max="7" width="14.5703125" customWidth="1"/>
    <col min="8" max="8" width="11.28515625" bestFit="1" customWidth="1"/>
    <col min="9" max="26" width="8.7109375" customWidth="1"/>
  </cols>
  <sheetData>
    <row r="1" spans="1:7" ht="44.25" customHeight="1">
      <c r="A1" s="646" t="s">
        <v>0</v>
      </c>
      <c r="B1" s="647"/>
      <c r="C1" s="647"/>
      <c r="D1" s="647"/>
      <c r="E1" s="648"/>
      <c r="F1" s="649" t="s">
        <v>1</v>
      </c>
      <c r="G1" s="650"/>
    </row>
    <row r="2" spans="1:7" s="27" customFormat="1" ht="15.75" thickBot="1">
      <c r="A2" s="651" t="s">
        <v>47</v>
      </c>
      <c r="B2" s="456"/>
      <c r="C2" s="456"/>
      <c r="D2" s="456"/>
      <c r="E2" s="456"/>
      <c r="F2" s="456"/>
      <c r="G2" s="459"/>
    </row>
    <row r="3" spans="1:7">
      <c r="A3" s="298"/>
      <c r="B3" s="298"/>
      <c r="C3" s="298"/>
      <c r="D3" s="298"/>
      <c r="E3" s="298"/>
      <c r="F3" s="298"/>
      <c r="G3" s="298"/>
    </row>
    <row r="4" spans="1:7" ht="16.5" customHeight="1">
      <c r="A4" s="299" t="s">
        <v>2</v>
      </c>
      <c r="B4" s="652" t="s">
        <v>3</v>
      </c>
      <c r="C4" s="638"/>
      <c r="D4" s="638"/>
      <c r="E4" s="638"/>
      <c r="F4" s="638"/>
      <c r="G4" s="638"/>
    </row>
    <row r="5" spans="1:7" ht="16.5" customHeight="1">
      <c r="A5" s="299" t="s">
        <v>4</v>
      </c>
      <c r="B5" s="652" t="s">
        <v>5</v>
      </c>
      <c r="C5" s="638"/>
      <c r="D5" s="638"/>
      <c r="E5" s="638"/>
      <c r="F5" s="638"/>
      <c r="G5" s="638"/>
    </row>
    <row r="6" spans="1:7" ht="16.5" customHeight="1">
      <c r="A6" s="299" t="s">
        <v>6</v>
      </c>
      <c r="B6" s="652" t="s">
        <v>397</v>
      </c>
      <c r="C6" s="638"/>
      <c r="D6" s="638"/>
      <c r="E6" s="638"/>
      <c r="F6" s="638"/>
      <c r="G6" s="638"/>
    </row>
    <row r="7" spans="1:7" ht="16.5" customHeight="1">
      <c r="A7" s="299" t="s">
        <v>7</v>
      </c>
      <c r="B7" s="652" t="s">
        <v>398</v>
      </c>
      <c r="C7" s="638"/>
      <c r="D7" s="638"/>
      <c r="E7" s="638"/>
      <c r="F7" s="638"/>
      <c r="G7" s="638"/>
    </row>
    <row r="8" spans="1:7" ht="16.5" customHeight="1">
      <c r="A8" s="299" t="s">
        <v>8</v>
      </c>
      <c r="B8" s="652" t="s">
        <v>399</v>
      </c>
      <c r="C8" s="638"/>
      <c r="D8" s="638"/>
      <c r="E8" s="638"/>
      <c r="F8" s="638"/>
      <c r="G8" s="638"/>
    </row>
    <row r="9" spans="1:7" ht="16.5" customHeight="1">
      <c r="A9" s="299" t="s">
        <v>9</v>
      </c>
      <c r="B9" s="660" t="s">
        <v>400</v>
      </c>
      <c r="C9" s="638"/>
      <c r="D9" s="638"/>
      <c r="E9" s="638"/>
      <c r="F9" s="638"/>
      <c r="G9" s="638"/>
    </row>
    <row r="10" spans="1:7" ht="16.5" customHeight="1">
      <c r="A10" s="299" t="s">
        <v>10</v>
      </c>
      <c r="B10" s="652" t="s">
        <v>57</v>
      </c>
      <c r="C10" s="638"/>
      <c r="D10" s="638"/>
      <c r="E10" s="638"/>
      <c r="F10" s="638"/>
      <c r="G10" s="638"/>
    </row>
    <row r="11" spans="1:7" ht="16.5" customHeight="1">
      <c r="A11" s="299" t="s">
        <v>11</v>
      </c>
      <c r="B11" s="652" t="s">
        <v>401</v>
      </c>
      <c r="C11" s="638"/>
      <c r="D11" s="638"/>
      <c r="E11" s="638"/>
      <c r="F11" s="638"/>
      <c r="G11" s="638"/>
    </row>
    <row r="12" spans="1:7" ht="16.5" customHeight="1">
      <c r="A12" s="299" t="s">
        <v>12</v>
      </c>
      <c r="B12" s="652" t="s">
        <v>465</v>
      </c>
      <c r="C12" s="638"/>
      <c r="D12" s="638"/>
      <c r="E12" s="638"/>
      <c r="F12" s="638"/>
      <c r="G12" s="638"/>
    </row>
    <row r="13" spans="1:7" ht="16.5" customHeight="1">
      <c r="A13" s="299" t="s">
        <v>14</v>
      </c>
      <c r="B13" s="299" t="s">
        <v>402</v>
      </c>
    </row>
    <row r="14" spans="1:7" ht="16.5" customHeight="1">
      <c r="A14" t="s">
        <v>46</v>
      </c>
      <c r="B14" s="374">
        <v>102617863</v>
      </c>
    </row>
    <row r="15" spans="1:7" ht="16.5" customHeight="1">
      <c r="A15" t="s">
        <v>48</v>
      </c>
      <c r="B15" s="823">
        <v>60000000</v>
      </c>
    </row>
    <row r="16" spans="1:7" ht="16.5" customHeight="1">
      <c r="A16" t="s">
        <v>49</v>
      </c>
      <c r="B16" s="375">
        <f>(B15*5%)+B15</f>
        <v>63000000</v>
      </c>
    </row>
    <row r="17" spans="1:9" ht="15.75" thickBot="1">
      <c r="C17" s="302"/>
      <c r="D17" s="302"/>
      <c r="E17" s="302"/>
      <c r="F17" s="302"/>
      <c r="G17" s="302"/>
    </row>
    <row r="18" spans="1:9">
      <c r="A18" s="653" t="s">
        <v>17</v>
      </c>
      <c r="B18" s="647"/>
      <c r="C18" s="647"/>
      <c r="D18" s="647"/>
      <c r="E18" s="647"/>
      <c r="F18" s="647"/>
      <c r="G18" s="650"/>
    </row>
    <row r="19" spans="1:9" ht="14.25" customHeight="1">
      <c r="A19" s="303" t="s">
        <v>18</v>
      </c>
      <c r="B19" s="654" t="s">
        <v>19</v>
      </c>
      <c r="C19" s="641"/>
      <c r="D19" s="641"/>
      <c r="E19" s="642"/>
      <c r="F19" s="654" t="s">
        <v>20</v>
      </c>
      <c r="G19" s="643"/>
    </row>
    <row r="20" spans="1:9">
      <c r="A20" s="306" t="s">
        <v>21</v>
      </c>
      <c r="B20" s="640" t="s">
        <v>483</v>
      </c>
      <c r="C20" s="641"/>
      <c r="D20" s="641"/>
      <c r="E20" s="642"/>
      <c r="F20" s="819">
        <v>0.67</v>
      </c>
      <c r="G20" s="820"/>
    </row>
    <row r="21" spans="1:9" ht="14.25" customHeight="1">
      <c r="A21" s="306" t="s">
        <v>22</v>
      </c>
      <c r="B21" s="640" t="s">
        <v>61</v>
      </c>
      <c r="C21" s="641"/>
      <c r="D21" s="641"/>
      <c r="E21" s="642"/>
      <c r="F21" s="821">
        <f>B15</f>
        <v>60000000</v>
      </c>
      <c r="G21" s="822"/>
    </row>
    <row r="22" spans="1:9" ht="15.75" customHeight="1">
      <c r="A22" s="306" t="s">
        <v>23</v>
      </c>
      <c r="B22" s="644" t="s">
        <v>481</v>
      </c>
      <c r="C22" s="641"/>
      <c r="D22" s="641"/>
      <c r="E22" s="642"/>
      <c r="F22" s="645" t="s">
        <v>482</v>
      </c>
      <c r="G22" s="643"/>
    </row>
    <row r="23" spans="1:9" ht="15.75" customHeight="1" thickBot="1">
      <c r="A23" s="307" t="s">
        <v>24</v>
      </c>
      <c r="B23" s="708" t="s">
        <v>480</v>
      </c>
      <c r="C23" s="636"/>
      <c r="D23" s="636"/>
      <c r="E23" s="637"/>
      <c r="F23" s="709">
        <v>0.81</v>
      </c>
      <c r="G23" s="710"/>
    </row>
    <row r="24" spans="1:9" ht="6" customHeight="1" thickBot="1">
      <c r="B24" s="302"/>
      <c r="C24" s="302"/>
      <c r="D24" s="302"/>
      <c r="E24" s="302"/>
      <c r="F24" s="302"/>
      <c r="G24" s="302"/>
    </row>
    <row r="25" spans="1:9" ht="14.25" customHeight="1">
      <c r="A25" s="655" t="s">
        <v>25</v>
      </c>
      <c r="B25" s="657" t="s">
        <v>26</v>
      </c>
      <c r="C25" s="712"/>
      <c r="D25" s="659" t="s">
        <v>27</v>
      </c>
      <c r="E25" s="647"/>
      <c r="F25" s="648"/>
      <c r="G25" s="308" t="s">
        <v>28</v>
      </c>
    </row>
    <row r="26" spans="1:9" ht="15.75" customHeight="1">
      <c r="A26" s="656"/>
      <c r="B26" s="658"/>
      <c r="C26" s="713"/>
      <c r="D26" s="309" t="s">
        <v>29</v>
      </c>
      <c r="E26" s="309" t="s">
        <v>30</v>
      </c>
      <c r="F26" s="309" t="s">
        <v>31</v>
      </c>
      <c r="G26" s="310" t="s">
        <v>32</v>
      </c>
    </row>
    <row r="27" spans="1:9" ht="15.75" customHeight="1">
      <c r="A27" s="335"/>
      <c r="B27" s="711"/>
      <c r="C27" s="641"/>
      <c r="D27" s="641"/>
      <c r="E27" s="641"/>
      <c r="F27" s="642"/>
      <c r="G27" s="310"/>
    </row>
    <row r="28" spans="1:9" ht="30" customHeight="1">
      <c r="A28" s="376">
        <v>5</v>
      </c>
      <c r="B28" s="704" t="s">
        <v>231</v>
      </c>
      <c r="C28" s="698"/>
      <c r="D28" s="377"/>
      <c r="E28" s="377"/>
      <c r="F28" s="377"/>
      <c r="G28" s="824">
        <f>G29</f>
        <v>60000000</v>
      </c>
      <c r="H28" s="316">
        <f>60000000-G28</f>
        <v>0</v>
      </c>
      <c r="I28" s="316">
        <f>H28/87875</f>
        <v>0</v>
      </c>
    </row>
    <row r="29" spans="1:9" ht="30" customHeight="1">
      <c r="A29" s="376" t="s">
        <v>66</v>
      </c>
      <c r="B29" s="704" t="s">
        <v>138</v>
      </c>
      <c r="C29" s="703"/>
      <c r="D29" s="377"/>
      <c r="E29" s="377"/>
      <c r="F29" s="377"/>
      <c r="G29" s="378">
        <f>G30</f>
        <v>60000000</v>
      </c>
    </row>
    <row r="30" spans="1:9" ht="30" customHeight="1">
      <c r="A30" s="376" t="s">
        <v>68</v>
      </c>
      <c r="B30" s="704" t="s">
        <v>69</v>
      </c>
      <c r="C30" s="703"/>
      <c r="D30" s="377"/>
      <c r="E30" s="377"/>
      <c r="F30" s="377"/>
      <c r="G30" s="378">
        <f>G31+G57</f>
        <v>60000000</v>
      </c>
    </row>
    <row r="31" spans="1:9" ht="30" customHeight="1">
      <c r="A31" s="376" t="s">
        <v>70</v>
      </c>
      <c r="B31" s="704" t="s">
        <v>71</v>
      </c>
      <c r="C31" s="703"/>
      <c r="D31" s="377"/>
      <c r="E31" s="377"/>
      <c r="F31" s="377"/>
      <c r="G31" s="378">
        <f>G32</f>
        <v>44295000</v>
      </c>
    </row>
    <row r="32" spans="1:9" ht="30" customHeight="1">
      <c r="A32" s="376" t="s">
        <v>232</v>
      </c>
      <c r="B32" s="704" t="s">
        <v>233</v>
      </c>
      <c r="C32" s="703"/>
      <c r="D32" s="377"/>
      <c r="E32" s="377"/>
      <c r="F32" s="377"/>
      <c r="G32" s="378">
        <f>G33+G41+G45+G51</f>
        <v>44295000</v>
      </c>
    </row>
    <row r="33" spans="1:7" ht="30" customHeight="1">
      <c r="A33" s="376" t="s">
        <v>403</v>
      </c>
      <c r="B33" s="702" t="s">
        <v>404</v>
      </c>
      <c r="C33" s="705"/>
      <c r="D33" s="377"/>
      <c r="E33" s="377"/>
      <c r="F33" s="377"/>
      <c r="G33" s="378">
        <f>G34</f>
        <v>3658125</v>
      </c>
    </row>
    <row r="34" spans="1:7" ht="30" customHeight="1">
      <c r="A34" s="376"/>
      <c r="B34" s="702" t="s">
        <v>405</v>
      </c>
      <c r="C34" s="703"/>
      <c r="D34" s="377"/>
      <c r="E34" s="377"/>
      <c r="F34" s="377"/>
      <c r="G34" s="378">
        <f>G35</f>
        <v>3658125</v>
      </c>
    </row>
    <row r="35" spans="1:7" ht="30" customHeight="1">
      <c r="A35" s="376"/>
      <c r="B35" s="704" t="s">
        <v>406</v>
      </c>
      <c r="C35" s="703"/>
      <c r="D35" s="377"/>
      <c r="E35" s="377"/>
      <c r="F35" s="377"/>
      <c r="G35" s="378">
        <f>SUM(G36:G39)</f>
        <v>3658125</v>
      </c>
    </row>
    <row r="36" spans="1:7" ht="51" customHeight="1">
      <c r="A36" s="376"/>
      <c r="B36" s="697" t="s">
        <v>407</v>
      </c>
      <c r="C36" s="701"/>
      <c r="D36" s="381">
        <v>24</v>
      </c>
      <c r="E36" s="381" t="s">
        <v>408</v>
      </c>
      <c r="F36" s="382">
        <v>64675</v>
      </c>
      <c r="G36" s="383">
        <f>D36*F36</f>
        <v>1552200</v>
      </c>
    </row>
    <row r="37" spans="1:7" ht="30" customHeight="1">
      <c r="A37" s="376"/>
      <c r="B37" s="697" t="s">
        <v>409</v>
      </c>
      <c r="C37" s="701"/>
      <c r="D37" s="381">
        <v>24</v>
      </c>
      <c r="E37" s="381" t="s">
        <v>408</v>
      </c>
      <c r="F37" s="382">
        <v>64200</v>
      </c>
      <c r="G37" s="383">
        <f t="shared" ref="G37:G38" si="0">D37*F37</f>
        <v>1540800</v>
      </c>
    </row>
    <row r="38" spans="1:7" ht="30" customHeight="1">
      <c r="A38" s="376"/>
      <c r="B38" s="697" t="s">
        <v>410</v>
      </c>
      <c r="C38" s="701"/>
      <c r="D38" s="381">
        <v>3</v>
      </c>
      <c r="E38" s="381" t="s">
        <v>411</v>
      </c>
      <c r="F38" s="382">
        <v>183350</v>
      </c>
      <c r="G38" s="383">
        <f t="shared" si="0"/>
        <v>550050</v>
      </c>
    </row>
    <row r="39" spans="1:7" ht="30" customHeight="1">
      <c r="A39" s="376"/>
      <c r="B39" s="706" t="s">
        <v>412</v>
      </c>
      <c r="C39" s="707"/>
      <c r="D39" s="381">
        <v>1</v>
      </c>
      <c r="E39" s="381"/>
      <c r="F39" s="382">
        <v>15075</v>
      </c>
      <c r="G39" s="383">
        <f>F39</f>
        <v>15075</v>
      </c>
    </row>
    <row r="40" spans="1:7" ht="21" customHeight="1">
      <c r="A40" s="376"/>
      <c r="B40" s="384"/>
      <c r="C40" s="385"/>
      <c r="D40" s="381"/>
      <c r="E40" s="381"/>
      <c r="F40" s="382"/>
      <c r="G40" s="383"/>
    </row>
    <row r="41" spans="1:7" ht="30" customHeight="1">
      <c r="A41" s="376" t="s">
        <v>377</v>
      </c>
      <c r="B41" s="702" t="s">
        <v>413</v>
      </c>
      <c r="C41" s="705"/>
      <c r="D41" s="377"/>
      <c r="E41" s="377"/>
      <c r="F41" s="377"/>
      <c r="G41" s="378">
        <f>G42</f>
        <v>9226875</v>
      </c>
    </row>
    <row r="42" spans="1:7" ht="30" customHeight="1">
      <c r="A42" s="376"/>
      <c r="B42" s="702" t="s">
        <v>414</v>
      </c>
      <c r="C42" s="703"/>
      <c r="D42" s="377"/>
      <c r="E42" s="377"/>
      <c r="F42" s="377"/>
      <c r="G42" s="378">
        <f>G43</f>
        <v>9226875</v>
      </c>
    </row>
    <row r="43" spans="1:7" ht="30" customHeight="1">
      <c r="A43" s="376"/>
      <c r="B43" s="704" t="s">
        <v>415</v>
      </c>
      <c r="C43" s="703"/>
      <c r="D43" s="377"/>
      <c r="E43" s="377"/>
      <c r="F43" s="377"/>
      <c r="G43" s="378">
        <f>G44</f>
        <v>9226875</v>
      </c>
    </row>
    <row r="44" spans="1:7" ht="30" customHeight="1">
      <c r="A44" s="376"/>
      <c r="B44" s="697" t="s">
        <v>416</v>
      </c>
      <c r="C44" s="701"/>
      <c r="D44" s="381">
        <v>105</v>
      </c>
      <c r="E44" s="381" t="s">
        <v>93</v>
      </c>
      <c r="F44" s="382">
        <v>87875</v>
      </c>
      <c r="G44" s="383">
        <f>D44*F44</f>
        <v>9226875</v>
      </c>
    </row>
    <row r="45" spans="1:7" ht="30" customHeight="1">
      <c r="A45" s="376" t="s">
        <v>417</v>
      </c>
      <c r="B45" s="702" t="s">
        <v>418</v>
      </c>
      <c r="C45" s="705"/>
      <c r="D45" s="377"/>
      <c r="E45" s="377"/>
      <c r="F45" s="377"/>
      <c r="G45" s="378">
        <f>G46</f>
        <v>12600000</v>
      </c>
    </row>
    <row r="46" spans="1:7" ht="30" customHeight="1">
      <c r="A46" s="376"/>
      <c r="B46" s="702" t="s">
        <v>419</v>
      </c>
      <c r="C46" s="703"/>
      <c r="D46" s="377"/>
      <c r="E46" s="377"/>
      <c r="F46" s="377"/>
      <c r="G46" s="378">
        <f>G47</f>
        <v>12600000</v>
      </c>
    </row>
    <row r="47" spans="1:7" ht="30" customHeight="1">
      <c r="A47" s="376"/>
      <c r="B47" s="704" t="s">
        <v>420</v>
      </c>
      <c r="C47" s="703"/>
      <c r="D47" s="377"/>
      <c r="E47" s="377"/>
      <c r="F47" s="377"/>
      <c r="G47" s="378">
        <f>SUM(G48:G49)</f>
        <v>12600000</v>
      </c>
    </row>
    <row r="48" spans="1:7" ht="30" customHeight="1">
      <c r="A48" s="376"/>
      <c r="B48" s="697" t="s">
        <v>421</v>
      </c>
      <c r="C48" s="701"/>
      <c r="D48" s="381">
        <v>20</v>
      </c>
      <c r="E48" s="381" t="s">
        <v>408</v>
      </c>
      <c r="F48" s="382">
        <v>157500</v>
      </c>
      <c r="G48" s="383">
        <f>D48*F48</f>
        <v>3150000</v>
      </c>
    </row>
    <row r="49" spans="1:7" ht="30" customHeight="1">
      <c r="A49" s="376"/>
      <c r="B49" s="697" t="s">
        <v>422</v>
      </c>
      <c r="C49" s="701"/>
      <c r="D49" s="381">
        <v>60</v>
      </c>
      <c r="E49" s="381" t="s">
        <v>408</v>
      </c>
      <c r="F49" s="382">
        <v>157500</v>
      </c>
      <c r="G49" s="383">
        <f>D49*F49</f>
        <v>9450000</v>
      </c>
    </row>
    <row r="50" spans="1:7" ht="17.25" customHeight="1">
      <c r="A50" s="376"/>
      <c r="B50" s="379"/>
      <c r="C50" s="380"/>
      <c r="D50" s="381"/>
      <c r="E50" s="381"/>
      <c r="F50" s="382"/>
      <c r="G50" s="383"/>
    </row>
    <row r="51" spans="1:7" ht="30" customHeight="1">
      <c r="A51" s="376" t="s">
        <v>379</v>
      </c>
      <c r="B51" s="702" t="s">
        <v>423</v>
      </c>
      <c r="C51" s="705"/>
      <c r="D51" s="381"/>
      <c r="E51" s="381"/>
      <c r="F51" s="382"/>
      <c r="G51" s="383">
        <f>G52</f>
        <v>18810000</v>
      </c>
    </row>
    <row r="52" spans="1:7" ht="30" customHeight="1">
      <c r="A52" s="376"/>
      <c r="B52" s="702" t="s">
        <v>424</v>
      </c>
      <c r="C52" s="703"/>
      <c r="D52" s="381"/>
      <c r="E52" s="381"/>
      <c r="F52" s="382"/>
      <c r="G52" s="383">
        <f>G53</f>
        <v>18810000</v>
      </c>
    </row>
    <row r="53" spans="1:7" ht="30" customHeight="1">
      <c r="A53" s="376"/>
      <c r="B53" s="704" t="s">
        <v>425</v>
      </c>
      <c r="C53" s="703"/>
      <c r="D53" s="381"/>
      <c r="E53" s="381"/>
      <c r="F53" s="382"/>
      <c r="G53" s="383">
        <f>SUM(G54:G55)</f>
        <v>18810000</v>
      </c>
    </row>
    <row r="54" spans="1:7" ht="46.5" customHeight="1">
      <c r="A54" s="376"/>
      <c r="B54" s="697" t="s">
        <v>426</v>
      </c>
      <c r="C54" s="701"/>
      <c r="D54" s="381">
        <v>380</v>
      </c>
      <c r="E54" s="381" t="s">
        <v>240</v>
      </c>
      <c r="F54" s="382">
        <v>33000</v>
      </c>
      <c r="G54" s="383">
        <f>D54*F54</f>
        <v>12540000</v>
      </c>
    </row>
    <row r="55" spans="1:7" ht="46.5" customHeight="1">
      <c r="A55" s="376"/>
      <c r="B55" s="697" t="s">
        <v>427</v>
      </c>
      <c r="C55" s="701"/>
      <c r="D55" s="381">
        <v>380</v>
      </c>
      <c r="E55" s="381" t="s">
        <v>240</v>
      </c>
      <c r="F55" s="382">
        <v>16500</v>
      </c>
      <c r="G55" s="383">
        <f t="shared" ref="G55" si="1">D55*F55</f>
        <v>6270000</v>
      </c>
    </row>
    <row r="56" spans="1:7" ht="18.75" customHeight="1">
      <c r="A56" s="376"/>
      <c r="B56" s="379"/>
      <c r="C56" s="380"/>
      <c r="D56" s="381"/>
      <c r="E56" s="381"/>
      <c r="F56" s="382"/>
      <c r="G56" s="383"/>
    </row>
    <row r="57" spans="1:7" ht="30" customHeight="1">
      <c r="A57" s="376" t="s">
        <v>112</v>
      </c>
      <c r="B57" s="704" t="s">
        <v>113</v>
      </c>
      <c r="C57" s="703"/>
      <c r="D57" s="377"/>
      <c r="E57" s="377"/>
      <c r="F57" s="377"/>
      <c r="G57" s="378">
        <f>G58</f>
        <v>15705000</v>
      </c>
    </row>
    <row r="58" spans="1:7" ht="30" customHeight="1">
      <c r="A58" s="376" t="s">
        <v>247</v>
      </c>
      <c r="B58" s="704" t="s">
        <v>115</v>
      </c>
      <c r="C58" s="703"/>
      <c r="D58" s="377"/>
      <c r="E58" s="377"/>
      <c r="F58" s="377"/>
      <c r="G58" s="378">
        <f>G59</f>
        <v>15705000</v>
      </c>
    </row>
    <row r="59" spans="1:7" ht="30" customHeight="1">
      <c r="A59" s="376" t="s">
        <v>381</v>
      </c>
      <c r="B59" s="702" t="s">
        <v>117</v>
      </c>
      <c r="C59" s="705"/>
      <c r="D59" s="377"/>
      <c r="E59" s="377"/>
      <c r="F59" s="377"/>
      <c r="G59" s="378">
        <f>G60</f>
        <v>15705000</v>
      </c>
    </row>
    <row r="60" spans="1:7" ht="30" customHeight="1">
      <c r="A60" s="376"/>
      <c r="B60" s="702" t="s">
        <v>428</v>
      </c>
      <c r="C60" s="703"/>
      <c r="D60" s="377"/>
      <c r="E60" s="377"/>
      <c r="F60" s="377"/>
      <c r="G60" s="378">
        <f>G61</f>
        <v>15705000</v>
      </c>
    </row>
    <row r="61" spans="1:7" ht="30" customHeight="1">
      <c r="A61" s="376"/>
      <c r="B61" s="704" t="s">
        <v>429</v>
      </c>
      <c r="C61" s="703"/>
      <c r="D61" s="377"/>
      <c r="E61" s="377"/>
      <c r="F61" s="377"/>
      <c r="G61" s="378">
        <f>SUM(G62:G71)</f>
        <v>15705000</v>
      </c>
    </row>
    <row r="62" spans="1:7" ht="30" customHeight="1">
      <c r="A62" s="376"/>
      <c r="B62" s="697" t="s">
        <v>430</v>
      </c>
      <c r="C62" s="701"/>
      <c r="D62" s="381">
        <f>23*3</f>
        <v>69</v>
      </c>
      <c r="E62" s="386" t="s">
        <v>431</v>
      </c>
      <c r="F62" s="382">
        <v>170000</v>
      </c>
      <c r="G62" s="383">
        <f>D62*F62</f>
        <v>11730000</v>
      </c>
    </row>
    <row r="63" spans="1:7" ht="36" customHeight="1">
      <c r="A63" s="376"/>
      <c r="B63" s="697" t="s">
        <v>432</v>
      </c>
      <c r="C63" s="701"/>
      <c r="D63" s="381">
        <v>3</v>
      </c>
      <c r="E63" s="386" t="s">
        <v>240</v>
      </c>
      <c r="F63" s="382">
        <v>245000</v>
      </c>
      <c r="G63" s="383">
        <f>D63*F63</f>
        <v>735000</v>
      </c>
    </row>
    <row r="64" spans="1:7" ht="30" customHeight="1">
      <c r="A64" s="376"/>
      <c r="B64" s="697" t="s">
        <v>433</v>
      </c>
      <c r="C64" s="701"/>
      <c r="D64" s="381">
        <v>2</v>
      </c>
      <c r="E64" s="386" t="s">
        <v>240</v>
      </c>
      <c r="F64" s="382">
        <v>185000</v>
      </c>
      <c r="G64" s="383">
        <f t="shared" ref="G64:G71" si="2">D64*F64</f>
        <v>370000</v>
      </c>
    </row>
    <row r="65" spans="1:26" ht="30" customHeight="1">
      <c r="A65" s="376"/>
      <c r="B65" s="697" t="s">
        <v>434</v>
      </c>
      <c r="C65" s="701"/>
      <c r="D65" s="381">
        <v>3</v>
      </c>
      <c r="E65" s="386" t="s">
        <v>240</v>
      </c>
      <c r="F65" s="382">
        <v>210000</v>
      </c>
      <c r="G65" s="383">
        <f t="shared" si="2"/>
        <v>630000</v>
      </c>
    </row>
    <row r="66" spans="1:26" ht="30" customHeight="1">
      <c r="A66" s="376"/>
      <c r="B66" s="697" t="s">
        <v>435</v>
      </c>
      <c r="C66" s="701"/>
      <c r="D66" s="381">
        <v>1</v>
      </c>
      <c r="E66" s="386" t="s">
        <v>240</v>
      </c>
      <c r="F66" s="382">
        <v>100000</v>
      </c>
      <c r="G66" s="383">
        <f t="shared" si="2"/>
        <v>100000</v>
      </c>
    </row>
    <row r="67" spans="1:26" ht="34.5" customHeight="1">
      <c r="A67" s="376"/>
      <c r="B67" s="697" t="s">
        <v>436</v>
      </c>
      <c r="C67" s="701"/>
      <c r="D67" s="381">
        <v>2</v>
      </c>
      <c r="E67" s="386" t="s">
        <v>240</v>
      </c>
      <c r="F67" s="382">
        <v>210000</v>
      </c>
      <c r="G67" s="383">
        <f t="shared" si="2"/>
        <v>420000</v>
      </c>
    </row>
    <row r="68" spans="1:26" ht="30" customHeight="1">
      <c r="A68" s="376"/>
      <c r="B68" s="697" t="s">
        <v>437</v>
      </c>
      <c r="C68" s="701"/>
      <c r="D68" s="381">
        <v>3</v>
      </c>
      <c r="E68" s="386" t="s">
        <v>240</v>
      </c>
      <c r="F68" s="382">
        <v>140000</v>
      </c>
      <c r="G68" s="383">
        <f t="shared" si="2"/>
        <v>420000</v>
      </c>
    </row>
    <row r="69" spans="1:26" ht="34.5" customHeight="1">
      <c r="A69" s="376"/>
      <c r="B69" s="697" t="s">
        <v>438</v>
      </c>
      <c r="C69" s="701"/>
      <c r="D69" s="381">
        <v>4</v>
      </c>
      <c r="E69" s="386" t="s">
        <v>240</v>
      </c>
      <c r="F69" s="382">
        <v>135000</v>
      </c>
      <c r="G69" s="383">
        <f t="shared" si="2"/>
        <v>540000</v>
      </c>
    </row>
    <row r="70" spans="1:26" ht="30" customHeight="1">
      <c r="A70" s="376"/>
      <c r="B70" s="697" t="s">
        <v>439</v>
      </c>
      <c r="C70" s="701"/>
      <c r="D70" s="381">
        <v>2</v>
      </c>
      <c r="E70" s="386" t="s">
        <v>240</v>
      </c>
      <c r="F70" s="382">
        <v>200000</v>
      </c>
      <c r="G70" s="383">
        <f t="shared" si="2"/>
        <v>400000</v>
      </c>
    </row>
    <row r="71" spans="1:26" ht="33" customHeight="1">
      <c r="A71" s="376"/>
      <c r="B71" s="697" t="s">
        <v>440</v>
      </c>
      <c r="C71" s="701"/>
      <c r="D71" s="381">
        <v>3</v>
      </c>
      <c r="E71" s="386" t="s">
        <v>240</v>
      </c>
      <c r="F71" s="382">
        <v>120000</v>
      </c>
      <c r="G71" s="383">
        <f t="shared" si="2"/>
        <v>360000</v>
      </c>
      <c r="H71" s="300"/>
      <c r="I71" s="300"/>
      <c r="J71" s="300"/>
      <c r="K71" s="300"/>
      <c r="L71" s="300"/>
      <c r="M71" s="300"/>
      <c r="N71" s="300"/>
      <c r="O71" s="300"/>
      <c r="P71" s="300"/>
      <c r="Q71" s="300"/>
      <c r="R71" s="300"/>
      <c r="S71" s="300"/>
      <c r="T71" s="300"/>
      <c r="U71" s="300"/>
      <c r="V71" s="300"/>
      <c r="W71" s="300"/>
      <c r="X71" s="300"/>
      <c r="Y71" s="300"/>
      <c r="Z71" s="300"/>
    </row>
    <row r="72" spans="1:26" ht="27.75" customHeight="1">
      <c r="A72" s="387"/>
      <c r="B72" s="697"/>
      <c r="C72" s="698"/>
      <c r="D72" s="350"/>
      <c r="E72" s="351"/>
      <c r="F72" s="351"/>
      <c r="G72" s="352"/>
    </row>
    <row r="73" spans="1:26" ht="15.75" customHeight="1" thickBot="1">
      <c r="A73" s="635" t="s">
        <v>33</v>
      </c>
      <c r="B73" s="636"/>
      <c r="C73" s="636"/>
      <c r="D73" s="636"/>
      <c r="E73" s="636"/>
      <c r="F73" s="637"/>
      <c r="G73" s="388">
        <f>G28</f>
        <v>60000000</v>
      </c>
      <c r="H73" s="354"/>
      <c r="I73" s="354"/>
      <c r="J73" s="354"/>
      <c r="K73" s="354"/>
      <c r="L73" s="354"/>
      <c r="M73" s="354"/>
      <c r="N73" s="354"/>
      <c r="O73" s="354"/>
      <c r="P73" s="354"/>
      <c r="Q73" s="354"/>
      <c r="R73" s="354"/>
      <c r="S73" s="354"/>
      <c r="T73" s="354"/>
      <c r="U73" s="354"/>
      <c r="V73" s="354"/>
      <c r="W73" s="354"/>
      <c r="X73" s="354"/>
      <c r="Y73" s="354"/>
      <c r="Z73" s="354"/>
    </row>
    <row r="74" spans="1:26" ht="15.75" customHeight="1">
      <c r="A74" s="349"/>
      <c r="B74" s="699"/>
      <c r="C74" s="642"/>
      <c r="D74" s="356"/>
      <c r="E74" s="351"/>
      <c r="F74" s="351"/>
      <c r="G74" s="352">
        <f>D74*F74</f>
        <v>0</v>
      </c>
    </row>
    <row r="75" spans="1:26" ht="15.75" customHeight="1">
      <c r="A75" s="306" t="s">
        <v>34</v>
      </c>
      <c r="B75" s="357"/>
      <c r="C75" s="696" t="s">
        <v>50</v>
      </c>
      <c r="D75" s="638"/>
      <c r="E75" s="638"/>
      <c r="F75" s="638"/>
      <c r="G75" s="639"/>
    </row>
    <row r="76" spans="1:26" ht="15.75" customHeight="1">
      <c r="A76" s="306" t="s">
        <v>35</v>
      </c>
      <c r="B76" s="357"/>
      <c r="C76" s="696" t="s">
        <v>51</v>
      </c>
      <c r="D76" s="638"/>
      <c r="E76" s="638"/>
      <c r="F76" s="638"/>
      <c r="G76" s="639"/>
    </row>
    <row r="77" spans="1:26" ht="15.75" customHeight="1">
      <c r="A77" s="306" t="s">
        <v>36</v>
      </c>
      <c r="B77" s="357"/>
      <c r="C77" s="389"/>
      <c r="G77" s="358"/>
    </row>
    <row r="78" spans="1:26" ht="15.75" customHeight="1">
      <c r="A78" s="306" t="s">
        <v>37</v>
      </c>
      <c r="B78" s="357"/>
      <c r="C78" s="389"/>
      <c r="G78" s="358"/>
    </row>
    <row r="79" spans="1:26" ht="15.75" customHeight="1">
      <c r="A79" s="306" t="s">
        <v>38</v>
      </c>
      <c r="B79" s="357"/>
      <c r="C79" s="389"/>
      <c r="G79" s="358"/>
    </row>
    <row r="80" spans="1:26" ht="15.75" customHeight="1">
      <c r="A80" s="306" t="s">
        <v>39</v>
      </c>
      <c r="B80" s="357"/>
      <c r="C80" s="389"/>
      <c r="G80" s="358"/>
    </row>
    <row r="81" spans="1:7" ht="15.75" customHeight="1">
      <c r="A81" s="306" t="s">
        <v>40</v>
      </c>
      <c r="B81" s="357"/>
      <c r="C81" s="700"/>
      <c r="D81" s="638"/>
      <c r="E81" s="638"/>
      <c r="F81" s="638"/>
      <c r="G81" s="639"/>
    </row>
    <row r="82" spans="1:7" ht="15.75" customHeight="1">
      <c r="A82" s="306" t="s">
        <v>41</v>
      </c>
      <c r="B82" s="357"/>
      <c r="C82" s="696"/>
      <c r="D82" s="638"/>
      <c r="E82" s="638"/>
      <c r="F82" s="638"/>
      <c r="G82" s="639"/>
    </row>
    <row r="83" spans="1:7" ht="15.75" customHeight="1">
      <c r="A83" s="306" t="s">
        <v>42</v>
      </c>
      <c r="B83" s="357"/>
      <c r="C83" s="389"/>
      <c r="G83" s="358"/>
    </row>
    <row r="84" spans="1:7" ht="15.75" customHeight="1">
      <c r="A84" s="306" t="s">
        <v>43</v>
      </c>
      <c r="B84" s="357"/>
      <c r="C84" s="389"/>
      <c r="G84" s="358"/>
    </row>
    <row r="85" spans="1:7" ht="15.75" customHeight="1">
      <c r="A85" s="306" t="s">
        <v>44</v>
      </c>
      <c r="B85" s="357"/>
      <c r="C85" s="389"/>
      <c r="G85" s="358"/>
    </row>
    <row r="86" spans="1:7" ht="15.75" customHeight="1">
      <c r="A86" s="306" t="s">
        <v>45</v>
      </c>
      <c r="B86" s="357"/>
      <c r="C86" s="389"/>
      <c r="G86" s="358"/>
    </row>
    <row r="87" spans="1:7" ht="15.75" customHeight="1" thickBot="1">
      <c r="A87" s="359" t="s">
        <v>28</v>
      </c>
      <c r="B87" s="360">
        <f>SUM(B75:B86)</f>
        <v>0</v>
      </c>
      <c r="C87" s="390"/>
      <c r="D87" s="361"/>
      <c r="E87" s="361"/>
      <c r="F87" s="361"/>
      <c r="G87" s="362"/>
    </row>
    <row r="88" spans="1:7" ht="15.75" customHeight="1">
      <c r="G88" s="363"/>
    </row>
    <row r="89" spans="1:7" ht="15.75" customHeight="1">
      <c r="G89" s="363"/>
    </row>
    <row r="90" spans="1:7" ht="15.75" customHeight="1">
      <c r="G90" s="363"/>
    </row>
    <row r="91" spans="1:7" ht="15.75" customHeight="1">
      <c r="G91" s="363"/>
    </row>
    <row r="92" spans="1:7" ht="15.75" customHeight="1">
      <c r="G92" s="363"/>
    </row>
    <row r="93" spans="1:7" ht="15.75" customHeight="1">
      <c r="G93" s="363"/>
    </row>
    <row r="94" spans="1:7" ht="15.75" customHeight="1">
      <c r="G94" s="363"/>
    </row>
    <row r="95" spans="1:7" ht="15.75" customHeight="1">
      <c r="G95" s="363"/>
    </row>
    <row r="96" spans="1:7" ht="15.75" customHeight="1">
      <c r="G96" s="363"/>
    </row>
    <row r="97" spans="7:7" ht="15.75" customHeight="1">
      <c r="G97" s="363"/>
    </row>
    <row r="98" spans="7:7" ht="15.75" customHeight="1">
      <c r="G98" s="363"/>
    </row>
    <row r="99" spans="7:7" ht="15.75" customHeight="1">
      <c r="G99" s="363"/>
    </row>
    <row r="100" spans="7:7" ht="15.75" customHeight="1">
      <c r="G100" s="363"/>
    </row>
    <row r="101" spans="7:7" ht="15.75" customHeight="1">
      <c r="G101" s="363"/>
    </row>
    <row r="102" spans="7:7" ht="15.75" customHeight="1">
      <c r="G102" s="363"/>
    </row>
    <row r="103" spans="7:7" ht="15.75" customHeight="1">
      <c r="G103" s="363"/>
    </row>
    <row r="104" spans="7:7" ht="15.75" customHeight="1">
      <c r="G104" s="363"/>
    </row>
    <row r="105" spans="7:7" ht="15.75" customHeight="1">
      <c r="G105" s="363"/>
    </row>
    <row r="106" spans="7:7" ht="15.75" customHeight="1">
      <c r="G106" s="363"/>
    </row>
    <row r="107" spans="7:7" ht="15.75" customHeight="1">
      <c r="G107" s="363"/>
    </row>
    <row r="108" spans="7:7" ht="15.75" customHeight="1">
      <c r="G108" s="363"/>
    </row>
    <row r="109" spans="7:7" ht="15.75" customHeight="1">
      <c r="G109" s="363"/>
    </row>
    <row r="110" spans="7:7" ht="15.75" customHeight="1">
      <c r="G110" s="363"/>
    </row>
    <row r="111" spans="7:7" ht="15.75" customHeight="1">
      <c r="G111" s="363"/>
    </row>
    <row r="112" spans="7:7" ht="15.75" customHeight="1">
      <c r="G112" s="363"/>
    </row>
    <row r="113" spans="7:7" ht="15.75" customHeight="1">
      <c r="G113" s="363"/>
    </row>
    <row r="114" spans="7:7" ht="15.75" customHeight="1">
      <c r="G114" s="363"/>
    </row>
    <row r="115" spans="7:7" ht="15.75" customHeight="1">
      <c r="G115" s="363"/>
    </row>
    <row r="116" spans="7:7" ht="15.75" customHeight="1">
      <c r="G116" s="363"/>
    </row>
    <row r="117" spans="7:7" ht="15.75" customHeight="1">
      <c r="G117" s="363"/>
    </row>
    <row r="118" spans="7:7" ht="15.75" customHeight="1">
      <c r="G118" s="363"/>
    </row>
    <row r="119" spans="7:7" ht="15.75" customHeight="1">
      <c r="G119" s="363"/>
    </row>
    <row r="120" spans="7:7" ht="15.75" customHeight="1">
      <c r="G120" s="363"/>
    </row>
    <row r="121" spans="7:7" ht="15.75" customHeight="1">
      <c r="G121" s="363"/>
    </row>
    <row r="122" spans="7:7" ht="15.75" customHeight="1">
      <c r="G122" s="363"/>
    </row>
    <row r="123" spans="7:7" ht="15.75" customHeight="1">
      <c r="G123" s="363"/>
    </row>
    <row r="124" spans="7:7" ht="15.75" customHeight="1">
      <c r="G124" s="363"/>
    </row>
    <row r="125" spans="7:7" ht="15.75" customHeight="1">
      <c r="G125" s="363"/>
    </row>
    <row r="126" spans="7:7" ht="15.75" customHeight="1">
      <c r="G126" s="363"/>
    </row>
    <row r="127" spans="7:7" ht="15.75" customHeight="1">
      <c r="G127" s="363"/>
    </row>
    <row r="128" spans="7:7" ht="15.75" customHeight="1">
      <c r="G128" s="363"/>
    </row>
    <row r="129" spans="7:7" ht="15.75" customHeight="1">
      <c r="G129" s="363"/>
    </row>
    <row r="130" spans="7:7" ht="15.75" customHeight="1">
      <c r="G130" s="363"/>
    </row>
    <row r="131" spans="7:7" ht="15.75" customHeight="1">
      <c r="G131" s="363"/>
    </row>
    <row r="132" spans="7:7" ht="15.75" customHeight="1">
      <c r="G132" s="363"/>
    </row>
    <row r="133" spans="7:7" ht="15.75" customHeight="1">
      <c r="G133" s="363"/>
    </row>
    <row r="134" spans="7:7" ht="15.75" customHeight="1">
      <c r="G134" s="363"/>
    </row>
    <row r="135" spans="7:7" ht="15.75" customHeight="1">
      <c r="G135" s="363"/>
    </row>
    <row r="136" spans="7:7" ht="15.75" customHeight="1">
      <c r="G136" s="363"/>
    </row>
    <row r="137" spans="7:7" ht="15.75" customHeight="1">
      <c r="G137" s="363"/>
    </row>
    <row r="138" spans="7:7" ht="15.75" customHeight="1">
      <c r="G138" s="363"/>
    </row>
    <row r="139" spans="7:7" ht="15.75" customHeight="1">
      <c r="G139" s="363"/>
    </row>
    <row r="140" spans="7:7" ht="15.75" customHeight="1">
      <c r="G140" s="363"/>
    </row>
    <row r="141" spans="7:7" ht="15.75" customHeight="1">
      <c r="G141" s="363"/>
    </row>
    <row r="142" spans="7:7" ht="15.75" customHeight="1">
      <c r="G142" s="363"/>
    </row>
    <row r="143" spans="7:7" ht="15.75" customHeight="1">
      <c r="G143" s="363"/>
    </row>
    <row r="144" spans="7:7" ht="15.75" customHeight="1">
      <c r="G144" s="363"/>
    </row>
    <row r="145" spans="7:7" ht="15.75" customHeight="1">
      <c r="G145" s="363"/>
    </row>
    <row r="146" spans="7:7" ht="15.75" customHeight="1">
      <c r="G146" s="363"/>
    </row>
    <row r="147" spans="7:7" ht="15.75" customHeight="1">
      <c r="G147" s="363"/>
    </row>
    <row r="148" spans="7:7" ht="15.75" customHeight="1">
      <c r="G148" s="363"/>
    </row>
    <row r="149" spans="7:7" ht="15.75" customHeight="1">
      <c r="G149" s="363"/>
    </row>
    <row r="150" spans="7:7" ht="15.75" customHeight="1">
      <c r="G150" s="363"/>
    </row>
    <row r="151" spans="7:7" ht="15.75" customHeight="1">
      <c r="G151" s="363"/>
    </row>
    <row r="152" spans="7:7" ht="15.75" customHeight="1">
      <c r="G152" s="363"/>
    </row>
    <row r="153" spans="7:7" ht="15.75" customHeight="1">
      <c r="G153" s="363"/>
    </row>
    <row r="154" spans="7:7" ht="15.75" customHeight="1">
      <c r="G154" s="363"/>
    </row>
    <row r="155" spans="7:7" ht="15.75" customHeight="1">
      <c r="G155" s="363"/>
    </row>
    <row r="156" spans="7:7" ht="15.75" customHeight="1">
      <c r="G156" s="363"/>
    </row>
    <row r="157" spans="7:7" ht="15.75" customHeight="1">
      <c r="G157" s="363"/>
    </row>
    <row r="158" spans="7:7" ht="15.75" customHeight="1">
      <c r="G158" s="363"/>
    </row>
    <row r="159" spans="7:7" ht="15.75" customHeight="1">
      <c r="G159" s="363"/>
    </row>
    <row r="160" spans="7:7" ht="15.75" customHeight="1">
      <c r="G160" s="363"/>
    </row>
    <row r="161" spans="7:7" ht="15.75" customHeight="1">
      <c r="G161" s="363"/>
    </row>
    <row r="162" spans="7:7" ht="15.75" customHeight="1">
      <c r="G162" s="363"/>
    </row>
    <row r="163" spans="7:7" ht="15.75" customHeight="1">
      <c r="G163" s="363"/>
    </row>
    <row r="164" spans="7:7" ht="15.75" customHeight="1">
      <c r="G164" s="363"/>
    </row>
    <row r="165" spans="7:7" ht="15.75" customHeight="1">
      <c r="G165" s="363"/>
    </row>
    <row r="166" spans="7:7" ht="15.75" customHeight="1">
      <c r="G166" s="363"/>
    </row>
    <row r="167" spans="7:7" ht="15.75" customHeight="1">
      <c r="G167" s="363"/>
    </row>
    <row r="168" spans="7:7" ht="15.75" customHeight="1">
      <c r="G168" s="363"/>
    </row>
    <row r="169" spans="7:7" ht="15.75" customHeight="1">
      <c r="G169" s="363"/>
    </row>
    <row r="170" spans="7:7" ht="15.75" customHeight="1">
      <c r="G170" s="363"/>
    </row>
    <row r="171" spans="7:7" ht="15.75" customHeight="1">
      <c r="G171" s="363"/>
    </row>
    <row r="172" spans="7:7" ht="15.75" customHeight="1">
      <c r="G172" s="363"/>
    </row>
    <row r="173" spans="7:7" ht="15.75" customHeight="1">
      <c r="G173" s="363"/>
    </row>
    <row r="174" spans="7:7" ht="15.75" customHeight="1">
      <c r="G174" s="363"/>
    </row>
    <row r="175" spans="7:7" ht="15.75" customHeight="1">
      <c r="G175" s="363"/>
    </row>
    <row r="176" spans="7:7" ht="15.75" customHeight="1">
      <c r="G176" s="363"/>
    </row>
    <row r="177" spans="7:7" ht="15.75" customHeight="1">
      <c r="G177" s="363"/>
    </row>
    <row r="178" spans="7:7" ht="15.75" customHeight="1">
      <c r="G178" s="363"/>
    </row>
    <row r="179" spans="7:7" ht="15.75" customHeight="1">
      <c r="G179" s="363"/>
    </row>
    <row r="180" spans="7:7" ht="15.75" customHeight="1">
      <c r="G180" s="363"/>
    </row>
    <row r="181" spans="7:7" ht="15.75" customHeight="1">
      <c r="G181" s="363"/>
    </row>
    <row r="182" spans="7:7" ht="15.75" customHeight="1">
      <c r="G182" s="363"/>
    </row>
    <row r="183" spans="7:7" ht="15.75" customHeight="1">
      <c r="G183" s="363"/>
    </row>
    <row r="184" spans="7:7" ht="15.75" customHeight="1">
      <c r="G184" s="363"/>
    </row>
    <row r="185" spans="7:7" ht="15.75" customHeight="1">
      <c r="G185" s="363"/>
    </row>
    <row r="186" spans="7:7" ht="15.75" customHeight="1">
      <c r="G186" s="363"/>
    </row>
    <row r="187" spans="7:7" ht="15.75" customHeight="1">
      <c r="G187" s="363"/>
    </row>
    <row r="188" spans="7:7" ht="15.75" customHeight="1">
      <c r="G188" s="363"/>
    </row>
    <row r="189" spans="7:7" ht="15.75" customHeight="1">
      <c r="G189" s="363"/>
    </row>
    <row r="190" spans="7:7" ht="15.75" customHeight="1">
      <c r="G190" s="363"/>
    </row>
    <row r="191" spans="7:7" ht="15.75" customHeight="1">
      <c r="G191" s="363"/>
    </row>
    <row r="192" spans="7:7" ht="15.75" customHeight="1">
      <c r="G192" s="363"/>
    </row>
    <row r="193" spans="7:7" ht="15.75" customHeight="1">
      <c r="G193" s="363"/>
    </row>
    <row r="194" spans="7:7" ht="15.75" customHeight="1">
      <c r="G194" s="363"/>
    </row>
    <row r="195" spans="7:7" ht="15.75" customHeight="1">
      <c r="G195" s="363"/>
    </row>
    <row r="196" spans="7:7" ht="15.75" customHeight="1">
      <c r="G196" s="363"/>
    </row>
    <row r="197" spans="7:7" ht="15.75" customHeight="1">
      <c r="G197" s="363"/>
    </row>
    <row r="198" spans="7:7" ht="15.75" customHeight="1">
      <c r="G198" s="363"/>
    </row>
    <row r="199" spans="7:7" ht="15.75" customHeight="1">
      <c r="G199" s="363"/>
    </row>
    <row r="200" spans="7:7" ht="15.75" customHeight="1">
      <c r="G200" s="363"/>
    </row>
    <row r="201" spans="7:7" ht="15.75" customHeight="1">
      <c r="G201" s="363"/>
    </row>
    <row r="202" spans="7:7" ht="15.75" customHeight="1">
      <c r="G202" s="363"/>
    </row>
    <row r="203" spans="7:7" ht="15.75" customHeight="1">
      <c r="G203" s="363"/>
    </row>
    <row r="204" spans="7:7" ht="15.75" customHeight="1">
      <c r="G204" s="363"/>
    </row>
    <row r="205" spans="7:7" ht="15.75" customHeight="1">
      <c r="G205" s="363"/>
    </row>
    <row r="206" spans="7:7" ht="15.75" customHeight="1">
      <c r="G206" s="363"/>
    </row>
    <row r="207" spans="7:7" ht="15.75" customHeight="1">
      <c r="G207" s="363"/>
    </row>
    <row r="208" spans="7:7" ht="15.75" customHeight="1">
      <c r="G208" s="363"/>
    </row>
    <row r="209" spans="7:7" ht="15.75" customHeight="1">
      <c r="G209" s="363"/>
    </row>
    <row r="210" spans="7:7" ht="15.75" customHeight="1">
      <c r="G210" s="363"/>
    </row>
    <row r="211" spans="7:7" ht="15.75" customHeight="1">
      <c r="G211" s="363"/>
    </row>
    <row r="212" spans="7:7" ht="15.75" customHeight="1">
      <c r="G212" s="363"/>
    </row>
    <row r="213" spans="7:7" ht="15.75" customHeight="1">
      <c r="G213" s="363"/>
    </row>
    <row r="214" spans="7:7" ht="15.75" customHeight="1">
      <c r="G214" s="363"/>
    </row>
    <row r="215" spans="7:7" ht="15.75" customHeight="1">
      <c r="G215" s="363"/>
    </row>
    <row r="216" spans="7:7" ht="15.75" customHeight="1">
      <c r="G216" s="363"/>
    </row>
    <row r="217" spans="7:7" ht="15.75" customHeight="1">
      <c r="G217" s="363"/>
    </row>
    <row r="218" spans="7:7" ht="15.75" customHeight="1">
      <c r="G218" s="363"/>
    </row>
    <row r="219" spans="7:7" ht="15.75" customHeight="1">
      <c r="G219" s="363"/>
    </row>
    <row r="220" spans="7:7" ht="15.75" customHeight="1">
      <c r="G220" s="363"/>
    </row>
    <row r="221" spans="7:7" ht="15.75" customHeight="1">
      <c r="G221" s="363"/>
    </row>
    <row r="222" spans="7:7" ht="15.75" customHeight="1">
      <c r="G222" s="363"/>
    </row>
    <row r="223" spans="7:7" ht="15.75" customHeight="1">
      <c r="G223" s="363"/>
    </row>
    <row r="224" spans="7:7" ht="15.75" customHeight="1">
      <c r="G224" s="363"/>
    </row>
    <row r="225" spans="7:7" ht="15.75" customHeight="1">
      <c r="G225" s="363"/>
    </row>
    <row r="226" spans="7:7" ht="15.75" customHeight="1">
      <c r="G226" s="363"/>
    </row>
    <row r="227" spans="7:7" ht="15.75" customHeight="1">
      <c r="G227" s="363"/>
    </row>
    <row r="228" spans="7:7" ht="15.75" customHeight="1">
      <c r="G228" s="363"/>
    </row>
    <row r="229" spans="7:7" ht="15.75" customHeight="1">
      <c r="G229" s="363"/>
    </row>
    <row r="230" spans="7:7" ht="15.75" customHeight="1">
      <c r="G230" s="363"/>
    </row>
    <row r="231" spans="7:7" ht="15.75" customHeight="1">
      <c r="G231" s="363"/>
    </row>
    <row r="232" spans="7:7" ht="15.75" customHeight="1">
      <c r="G232" s="363"/>
    </row>
    <row r="233" spans="7:7" ht="15.75" customHeight="1">
      <c r="G233" s="363"/>
    </row>
    <row r="234" spans="7:7" ht="15.75" customHeight="1">
      <c r="G234" s="363"/>
    </row>
    <row r="235" spans="7:7" ht="15.75" customHeight="1">
      <c r="G235" s="363"/>
    </row>
    <row r="236" spans="7:7" ht="15.75" customHeight="1">
      <c r="G236" s="363"/>
    </row>
    <row r="237" spans="7:7" ht="15.75" customHeight="1">
      <c r="G237" s="363"/>
    </row>
    <row r="238" spans="7:7" ht="15.75" customHeight="1">
      <c r="G238" s="363"/>
    </row>
    <row r="239" spans="7:7" ht="15.75" customHeight="1">
      <c r="G239" s="363"/>
    </row>
    <row r="240" spans="7:7" ht="15.75" customHeight="1">
      <c r="G240" s="363"/>
    </row>
    <row r="241" spans="7:7" ht="15.75" customHeight="1">
      <c r="G241" s="363"/>
    </row>
    <row r="242" spans="7:7" ht="15.75" customHeight="1">
      <c r="G242" s="363"/>
    </row>
    <row r="243" spans="7:7" ht="15.75" customHeight="1">
      <c r="G243" s="363"/>
    </row>
    <row r="244" spans="7:7" ht="15.75" customHeight="1">
      <c r="G244" s="363"/>
    </row>
    <row r="245" spans="7:7" ht="15.75" customHeight="1">
      <c r="G245" s="363"/>
    </row>
    <row r="246" spans="7:7" ht="15.75" customHeight="1">
      <c r="G246" s="363"/>
    </row>
    <row r="247" spans="7:7" ht="15.75" customHeight="1">
      <c r="G247" s="363"/>
    </row>
    <row r="248" spans="7:7" ht="15.75" customHeight="1">
      <c r="G248" s="363"/>
    </row>
    <row r="249" spans="7:7" ht="15.75" customHeight="1">
      <c r="G249" s="363"/>
    </row>
    <row r="250" spans="7:7" ht="15.75" customHeight="1">
      <c r="G250" s="363"/>
    </row>
    <row r="251" spans="7:7" ht="15.75" customHeight="1">
      <c r="G251" s="363"/>
    </row>
    <row r="252" spans="7:7" ht="15.75" customHeight="1">
      <c r="G252" s="363"/>
    </row>
    <row r="253" spans="7:7" ht="15.75" customHeight="1">
      <c r="G253" s="363"/>
    </row>
    <row r="254" spans="7:7" ht="15.75" customHeight="1">
      <c r="G254" s="363"/>
    </row>
    <row r="255" spans="7:7" ht="15.75" customHeight="1">
      <c r="G255" s="363"/>
    </row>
    <row r="256" spans="7:7" ht="15.75" customHeight="1">
      <c r="G256" s="363"/>
    </row>
    <row r="257" spans="7:7" ht="15.75" customHeight="1">
      <c r="G257" s="363"/>
    </row>
    <row r="258" spans="7:7" ht="15.75" customHeight="1">
      <c r="G258" s="363"/>
    </row>
    <row r="259" spans="7:7" ht="15.75" customHeight="1">
      <c r="G259" s="363"/>
    </row>
    <row r="260" spans="7:7" ht="15.75" customHeight="1">
      <c r="G260" s="363"/>
    </row>
    <row r="261" spans="7:7" ht="15.75" customHeight="1">
      <c r="G261" s="363"/>
    </row>
    <row r="262" spans="7:7" ht="15.75" customHeight="1">
      <c r="G262" s="363"/>
    </row>
    <row r="263" spans="7:7" ht="15.75" customHeight="1">
      <c r="G263" s="363"/>
    </row>
    <row r="264" spans="7:7" ht="15.75" customHeight="1">
      <c r="G264" s="363"/>
    </row>
    <row r="265" spans="7:7" ht="15.75" customHeight="1">
      <c r="G265" s="363"/>
    </row>
    <row r="266" spans="7:7" ht="15.75" customHeight="1">
      <c r="G266" s="363"/>
    </row>
    <row r="267" spans="7:7" ht="15.75" customHeight="1">
      <c r="G267" s="363"/>
    </row>
    <row r="268" spans="7:7" ht="15.75" customHeight="1">
      <c r="G268" s="363"/>
    </row>
    <row r="269" spans="7:7" ht="15.75" customHeight="1">
      <c r="G269" s="363"/>
    </row>
    <row r="270" spans="7:7" ht="15.75" customHeight="1">
      <c r="G270" s="363"/>
    </row>
    <row r="271" spans="7:7" ht="15.75" customHeight="1">
      <c r="G271" s="363"/>
    </row>
    <row r="272" spans="7:7" ht="15.75" customHeight="1">
      <c r="G272" s="363"/>
    </row>
    <row r="273" spans="7:7" ht="15.75" customHeight="1">
      <c r="G273" s="363"/>
    </row>
    <row r="274" spans="7:7" ht="15.75" customHeight="1">
      <c r="G274" s="363"/>
    </row>
    <row r="275" spans="7:7" ht="15.75" customHeight="1">
      <c r="G275" s="363"/>
    </row>
    <row r="276" spans="7:7" ht="15.75" customHeight="1">
      <c r="G276" s="363"/>
    </row>
    <row r="277" spans="7:7" ht="15.75" customHeight="1">
      <c r="G277" s="363"/>
    </row>
    <row r="278" spans="7:7" ht="15.75" customHeight="1">
      <c r="G278" s="363"/>
    </row>
    <row r="279" spans="7:7" ht="15.75" customHeight="1">
      <c r="G279" s="363"/>
    </row>
    <row r="280" spans="7:7" ht="15.75" customHeight="1">
      <c r="G280" s="363"/>
    </row>
    <row r="281" spans="7:7" ht="15.75" customHeight="1">
      <c r="G281" s="363"/>
    </row>
    <row r="282" spans="7:7" ht="15.75" customHeight="1">
      <c r="G282" s="363"/>
    </row>
    <row r="283" spans="7:7" ht="15.75" customHeight="1">
      <c r="G283" s="363"/>
    </row>
    <row r="284" spans="7:7" ht="15.75" customHeight="1">
      <c r="G284" s="363"/>
    </row>
    <row r="285" spans="7:7" ht="15.75" customHeight="1">
      <c r="G285" s="363"/>
    </row>
    <row r="286" spans="7:7" ht="15.75" customHeight="1">
      <c r="G286" s="363"/>
    </row>
    <row r="287" spans="7:7" ht="15.75" customHeight="1">
      <c r="G287" s="363"/>
    </row>
    <row r="288" spans="7:7" ht="15.75" customHeight="1">
      <c r="G288" s="363"/>
    </row>
    <row r="289" spans="7:7" ht="15.75" customHeight="1">
      <c r="G289" s="363"/>
    </row>
    <row r="290" spans="7:7" ht="15.75" customHeight="1">
      <c r="G290" s="363"/>
    </row>
    <row r="291" spans="7:7" ht="15.75" customHeight="1">
      <c r="G291" s="363"/>
    </row>
    <row r="292" spans="7:7" ht="15.75" customHeight="1">
      <c r="G292" s="363"/>
    </row>
    <row r="293" spans="7:7" ht="15.75" customHeight="1">
      <c r="G293" s="363"/>
    </row>
    <row r="294" spans="7:7" ht="15.75" customHeight="1">
      <c r="G294" s="363"/>
    </row>
    <row r="295" spans="7:7" ht="15.75" customHeight="1">
      <c r="G295" s="363"/>
    </row>
    <row r="296" spans="7:7" ht="15.75" customHeight="1">
      <c r="G296" s="363"/>
    </row>
    <row r="297" spans="7:7" ht="15.75" customHeight="1">
      <c r="G297" s="363"/>
    </row>
    <row r="298" spans="7:7" ht="15.75" customHeight="1">
      <c r="G298" s="363"/>
    </row>
    <row r="299" spans="7:7" ht="15.75" customHeight="1">
      <c r="G299" s="363"/>
    </row>
    <row r="300" spans="7:7" ht="15.75" customHeight="1">
      <c r="G300" s="363"/>
    </row>
    <row r="301" spans="7:7" ht="15.75" customHeight="1">
      <c r="G301" s="363"/>
    </row>
    <row r="302" spans="7:7" ht="15.75" customHeight="1">
      <c r="G302" s="363"/>
    </row>
    <row r="303" spans="7:7" ht="15.75" customHeight="1">
      <c r="G303" s="363"/>
    </row>
    <row r="304" spans="7:7" ht="15.75" customHeight="1">
      <c r="G304" s="363"/>
    </row>
    <row r="305" spans="7:7" ht="15.75" customHeight="1">
      <c r="G305" s="363"/>
    </row>
    <row r="306" spans="7:7" ht="15.75" customHeight="1">
      <c r="G306" s="363"/>
    </row>
    <row r="307" spans="7:7" ht="15.75" customHeight="1">
      <c r="G307" s="363"/>
    </row>
    <row r="308" spans="7:7" ht="15.75" customHeight="1">
      <c r="G308" s="363"/>
    </row>
    <row r="309" spans="7:7" ht="15.75" customHeight="1">
      <c r="G309" s="363"/>
    </row>
    <row r="310" spans="7:7" ht="15.75" customHeight="1">
      <c r="G310" s="363"/>
    </row>
    <row r="311" spans="7:7" ht="15.75" customHeight="1">
      <c r="G311" s="363"/>
    </row>
    <row r="312" spans="7:7" ht="15.75" customHeight="1">
      <c r="G312" s="363"/>
    </row>
    <row r="313" spans="7:7" ht="15.75" customHeight="1">
      <c r="G313" s="363"/>
    </row>
    <row r="314" spans="7:7" ht="15.75" customHeight="1">
      <c r="G314" s="363"/>
    </row>
    <row r="315" spans="7:7" ht="15.75" customHeight="1">
      <c r="G315" s="363"/>
    </row>
    <row r="316" spans="7:7" ht="15.75" customHeight="1">
      <c r="G316" s="363"/>
    </row>
    <row r="317" spans="7:7" ht="15.75" customHeight="1">
      <c r="G317" s="363"/>
    </row>
    <row r="318" spans="7:7" ht="15.75" customHeight="1">
      <c r="G318" s="363"/>
    </row>
    <row r="319" spans="7:7" ht="15.75" customHeight="1">
      <c r="G319" s="363"/>
    </row>
    <row r="320" spans="7:7" ht="15.75" customHeight="1">
      <c r="G320" s="363"/>
    </row>
    <row r="321" spans="7:7" ht="15.75" customHeight="1">
      <c r="G321" s="363"/>
    </row>
    <row r="322" spans="7:7" ht="15.75" customHeight="1">
      <c r="G322" s="363"/>
    </row>
    <row r="323" spans="7:7" ht="15.75" customHeight="1">
      <c r="G323" s="363"/>
    </row>
    <row r="324" spans="7:7" ht="15.75" customHeight="1">
      <c r="G324" s="363"/>
    </row>
    <row r="325" spans="7:7" ht="15.75" customHeight="1">
      <c r="G325" s="363"/>
    </row>
    <row r="326" spans="7:7" ht="15.75" customHeight="1">
      <c r="G326" s="363"/>
    </row>
    <row r="327" spans="7:7" ht="15.75" customHeight="1">
      <c r="G327" s="363"/>
    </row>
    <row r="328" spans="7:7" ht="15.75" customHeight="1">
      <c r="G328" s="363"/>
    </row>
    <row r="329" spans="7:7" ht="15.75" customHeight="1">
      <c r="G329" s="363"/>
    </row>
    <row r="330" spans="7:7" ht="15.75" customHeight="1">
      <c r="G330" s="363"/>
    </row>
    <row r="331" spans="7:7" ht="15.75" customHeight="1">
      <c r="G331" s="363"/>
    </row>
    <row r="332" spans="7:7" ht="15.75" customHeight="1">
      <c r="G332" s="363"/>
    </row>
    <row r="333" spans="7:7" ht="15.75" customHeight="1">
      <c r="G333" s="363"/>
    </row>
    <row r="334" spans="7:7" ht="15.75" customHeight="1">
      <c r="G334" s="363"/>
    </row>
    <row r="335" spans="7:7" ht="15.75" customHeight="1">
      <c r="G335" s="363"/>
    </row>
    <row r="336" spans="7:7" ht="15.75" customHeight="1">
      <c r="G336" s="363"/>
    </row>
    <row r="337" spans="7:7" ht="15.75" customHeight="1">
      <c r="G337" s="363"/>
    </row>
    <row r="338" spans="7:7" ht="15.75" customHeight="1">
      <c r="G338" s="363"/>
    </row>
    <row r="339" spans="7:7" ht="15.75" customHeight="1">
      <c r="G339" s="363"/>
    </row>
    <row r="340" spans="7:7" ht="15.75" customHeight="1">
      <c r="G340" s="363"/>
    </row>
    <row r="341" spans="7:7" ht="15.75" customHeight="1">
      <c r="G341" s="363"/>
    </row>
    <row r="342" spans="7:7" ht="15.75" customHeight="1">
      <c r="G342" s="363"/>
    </row>
    <row r="343" spans="7:7" ht="15.75" customHeight="1">
      <c r="G343" s="363"/>
    </row>
    <row r="344" spans="7:7" ht="15.75" customHeight="1">
      <c r="G344" s="363"/>
    </row>
    <row r="345" spans="7:7" ht="15.75" customHeight="1">
      <c r="G345" s="363"/>
    </row>
    <row r="346" spans="7:7" ht="15.75" customHeight="1">
      <c r="G346" s="363"/>
    </row>
    <row r="347" spans="7:7" ht="15.75" customHeight="1">
      <c r="G347" s="363"/>
    </row>
    <row r="348" spans="7:7" ht="15.75" customHeight="1">
      <c r="G348" s="363"/>
    </row>
    <row r="349" spans="7:7" ht="15.75" customHeight="1">
      <c r="G349" s="363"/>
    </row>
    <row r="350" spans="7:7" ht="15.75" customHeight="1">
      <c r="G350" s="363"/>
    </row>
    <row r="351" spans="7:7" ht="15.75" customHeight="1">
      <c r="G351" s="363"/>
    </row>
    <row r="352" spans="7:7" ht="15.75" customHeight="1">
      <c r="G352" s="363"/>
    </row>
    <row r="353" spans="7:7" ht="15.75" customHeight="1">
      <c r="G353" s="363"/>
    </row>
    <row r="354" spans="7:7" ht="15.75" customHeight="1">
      <c r="G354" s="363"/>
    </row>
    <row r="355" spans="7:7" ht="15.75" customHeight="1">
      <c r="G355" s="363"/>
    </row>
    <row r="356" spans="7:7" ht="15.75" customHeight="1">
      <c r="G356" s="363"/>
    </row>
    <row r="357" spans="7:7" ht="15.75" customHeight="1">
      <c r="G357" s="363"/>
    </row>
    <row r="358" spans="7:7" ht="15.75" customHeight="1">
      <c r="G358" s="363"/>
    </row>
    <row r="359" spans="7:7" ht="15.75" customHeight="1">
      <c r="G359" s="363"/>
    </row>
    <row r="360" spans="7:7" ht="15.75" customHeight="1">
      <c r="G360" s="363"/>
    </row>
    <row r="361" spans="7:7" ht="15.75" customHeight="1">
      <c r="G361" s="363"/>
    </row>
    <row r="362" spans="7:7" ht="15.75" customHeight="1">
      <c r="G362" s="363"/>
    </row>
    <row r="363" spans="7:7" ht="15.75" customHeight="1">
      <c r="G363" s="363"/>
    </row>
    <row r="364" spans="7:7" ht="15.75" customHeight="1">
      <c r="G364" s="363"/>
    </row>
    <row r="365" spans="7:7" ht="15.75" customHeight="1">
      <c r="G365" s="363"/>
    </row>
    <row r="366" spans="7:7" ht="15.75" customHeight="1">
      <c r="G366" s="363"/>
    </row>
    <row r="367" spans="7:7" ht="15.75" customHeight="1">
      <c r="G367" s="363"/>
    </row>
    <row r="368" spans="7:7" ht="15.75" customHeight="1">
      <c r="G368" s="363"/>
    </row>
    <row r="369" spans="7:7" ht="15.75" customHeight="1">
      <c r="G369" s="363"/>
    </row>
    <row r="370" spans="7:7" ht="15.75" customHeight="1">
      <c r="G370" s="363"/>
    </row>
    <row r="371" spans="7:7" ht="15.75" customHeight="1">
      <c r="G371" s="363"/>
    </row>
    <row r="372" spans="7:7" ht="15.75" customHeight="1">
      <c r="G372" s="363"/>
    </row>
    <row r="373" spans="7:7" ht="15.75" customHeight="1">
      <c r="G373" s="363"/>
    </row>
    <row r="374" spans="7:7" ht="15.75" customHeight="1">
      <c r="G374" s="363"/>
    </row>
    <row r="375" spans="7:7" ht="15.75" customHeight="1">
      <c r="G375" s="363"/>
    </row>
    <row r="376" spans="7:7" ht="15.75" customHeight="1">
      <c r="G376" s="363"/>
    </row>
    <row r="377" spans="7:7" ht="15.75" customHeight="1">
      <c r="G377" s="363"/>
    </row>
    <row r="378" spans="7:7" ht="15.75" customHeight="1">
      <c r="G378" s="363"/>
    </row>
    <row r="379" spans="7:7" ht="15.75" customHeight="1">
      <c r="G379" s="363"/>
    </row>
    <row r="380" spans="7:7" ht="15.75" customHeight="1">
      <c r="G380" s="363"/>
    </row>
    <row r="381" spans="7:7" ht="15.75" customHeight="1">
      <c r="G381" s="363"/>
    </row>
    <row r="382" spans="7:7" ht="15.75" customHeight="1">
      <c r="G382" s="363"/>
    </row>
    <row r="383" spans="7:7" ht="15.75" customHeight="1">
      <c r="G383" s="363"/>
    </row>
    <row r="384" spans="7:7" ht="15.75" customHeight="1">
      <c r="G384" s="363"/>
    </row>
    <row r="385" spans="7:7" ht="15.75" customHeight="1">
      <c r="G385" s="363"/>
    </row>
    <row r="386" spans="7:7" ht="15.75" customHeight="1">
      <c r="G386" s="363"/>
    </row>
    <row r="387" spans="7:7" ht="15.75" customHeight="1">
      <c r="G387" s="363"/>
    </row>
    <row r="388" spans="7:7" ht="15.75" customHeight="1">
      <c r="G388" s="363"/>
    </row>
    <row r="389" spans="7:7" ht="15.75" customHeight="1">
      <c r="G389" s="363"/>
    </row>
    <row r="390" spans="7:7" ht="15.75" customHeight="1">
      <c r="G390" s="363"/>
    </row>
    <row r="391" spans="7:7" ht="15.75" customHeight="1">
      <c r="G391" s="363"/>
    </row>
    <row r="392" spans="7:7" ht="15.75" customHeight="1">
      <c r="G392" s="363"/>
    </row>
    <row r="393" spans="7:7" ht="15.75" customHeight="1">
      <c r="G393" s="363"/>
    </row>
    <row r="394" spans="7:7" ht="15.75" customHeight="1">
      <c r="G394" s="363"/>
    </row>
    <row r="395" spans="7:7" ht="15.75" customHeight="1">
      <c r="G395" s="363"/>
    </row>
    <row r="396" spans="7:7" ht="15.75" customHeight="1">
      <c r="G396" s="363"/>
    </row>
    <row r="397" spans="7:7" ht="15.75" customHeight="1">
      <c r="G397" s="363"/>
    </row>
    <row r="398" spans="7:7" ht="15.75" customHeight="1">
      <c r="G398" s="363"/>
    </row>
    <row r="399" spans="7:7" ht="15.75" customHeight="1">
      <c r="G399" s="363"/>
    </row>
    <row r="400" spans="7:7" ht="15.75" customHeight="1">
      <c r="G400" s="363"/>
    </row>
    <row r="401" spans="7:7" ht="15.75" customHeight="1">
      <c r="G401" s="363"/>
    </row>
    <row r="402" spans="7:7" ht="15.75" customHeight="1">
      <c r="G402" s="363"/>
    </row>
    <row r="403" spans="7:7" ht="15.75" customHeight="1">
      <c r="G403" s="363"/>
    </row>
    <row r="404" spans="7:7" ht="15.75" customHeight="1">
      <c r="G404" s="363"/>
    </row>
    <row r="405" spans="7:7" ht="15.75" customHeight="1">
      <c r="G405" s="363"/>
    </row>
    <row r="406" spans="7:7" ht="15.75" customHeight="1">
      <c r="G406" s="363"/>
    </row>
    <row r="407" spans="7:7" ht="15.75" customHeight="1">
      <c r="G407" s="363"/>
    </row>
    <row r="408" spans="7:7" ht="15.75" customHeight="1">
      <c r="G408" s="363"/>
    </row>
    <row r="409" spans="7:7" ht="15.75" customHeight="1">
      <c r="G409" s="363"/>
    </row>
    <row r="410" spans="7:7" ht="15.75" customHeight="1">
      <c r="G410" s="363"/>
    </row>
    <row r="411" spans="7:7" ht="15.75" customHeight="1">
      <c r="G411" s="363"/>
    </row>
    <row r="412" spans="7:7" ht="15.75" customHeight="1">
      <c r="G412" s="363"/>
    </row>
    <row r="413" spans="7:7" ht="15.75" customHeight="1">
      <c r="G413" s="363"/>
    </row>
    <row r="414" spans="7:7" ht="15.75" customHeight="1">
      <c r="G414" s="363"/>
    </row>
    <row r="415" spans="7:7" ht="15.75" customHeight="1">
      <c r="G415" s="363"/>
    </row>
    <row r="416" spans="7:7" ht="15.75" customHeight="1">
      <c r="G416" s="363"/>
    </row>
    <row r="417" spans="7:7" ht="15.75" customHeight="1">
      <c r="G417" s="363"/>
    </row>
    <row r="418" spans="7:7" ht="15.75" customHeight="1">
      <c r="G418" s="363"/>
    </row>
    <row r="419" spans="7:7" ht="15.75" customHeight="1">
      <c r="G419" s="363"/>
    </row>
    <row r="420" spans="7:7" ht="15.75" customHeight="1">
      <c r="G420" s="363"/>
    </row>
    <row r="421" spans="7:7" ht="15.75" customHeight="1">
      <c r="G421" s="363"/>
    </row>
    <row r="422" spans="7:7" ht="15.75" customHeight="1">
      <c r="G422" s="363"/>
    </row>
    <row r="423" spans="7:7" ht="15.75" customHeight="1">
      <c r="G423" s="363"/>
    </row>
    <row r="424" spans="7:7" ht="15.75" customHeight="1">
      <c r="G424" s="363"/>
    </row>
    <row r="425" spans="7:7" ht="15.75" customHeight="1">
      <c r="G425" s="363"/>
    </row>
    <row r="426" spans="7:7" ht="15.75" customHeight="1">
      <c r="G426" s="363"/>
    </row>
    <row r="427" spans="7:7" ht="15.75" customHeight="1">
      <c r="G427" s="363"/>
    </row>
    <row r="428" spans="7:7" ht="15.75" customHeight="1">
      <c r="G428" s="363"/>
    </row>
    <row r="429" spans="7:7" ht="15.75" customHeight="1">
      <c r="G429" s="363"/>
    </row>
    <row r="430" spans="7:7" ht="15.75" customHeight="1">
      <c r="G430" s="363"/>
    </row>
    <row r="431" spans="7:7" ht="15.75" customHeight="1">
      <c r="G431" s="363"/>
    </row>
    <row r="432" spans="7:7" ht="15.75" customHeight="1">
      <c r="G432" s="363"/>
    </row>
    <row r="433" spans="7:7" ht="15.75" customHeight="1">
      <c r="G433" s="363"/>
    </row>
    <row r="434" spans="7:7" ht="15.75" customHeight="1">
      <c r="G434" s="363"/>
    </row>
    <row r="435" spans="7:7" ht="15.75" customHeight="1">
      <c r="G435" s="363"/>
    </row>
    <row r="436" spans="7:7" ht="15.75" customHeight="1">
      <c r="G436" s="363"/>
    </row>
    <row r="437" spans="7:7" ht="15.75" customHeight="1">
      <c r="G437" s="363"/>
    </row>
    <row r="438" spans="7:7" ht="15.75" customHeight="1">
      <c r="G438" s="363"/>
    </row>
    <row r="439" spans="7:7" ht="15.75" customHeight="1">
      <c r="G439" s="363"/>
    </row>
    <row r="440" spans="7:7" ht="15.75" customHeight="1">
      <c r="G440" s="363"/>
    </row>
    <row r="441" spans="7:7" ht="15.75" customHeight="1">
      <c r="G441" s="363"/>
    </row>
    <row r="442" spans="7:7" ht="15.75" customHeight="1">
      <c r="G442" s="363"/>
    </row>
    <row r="443" spans="7:7" ht="15.75" customHeight="1">
      <c r="G443" s="363"/>
    </row>
    <row r="444" spans="7:7" ht="15.75" customHeight="1">
      <c r="G444" s="363"/>
    </row>
    <row r="445" spans="7:7" ht="15.75" customHeight="1">
      <c r="G445" s="363"/>
    </row>
    <row r="446" spans="7:7" ht="15.75" customHeight="1">
      <c r="G446" s="363"/>
    </row>
    <row r="447" spans="7:7" ht="15.75" customHeight="1">
      <c r="G447" s="363"/>
    </row>
    <row r="448" spans="7:7" ht="15.75" customHeight="1">
      <c r="G448" s="363"/>
    </row>
    <row r="449" spans="7:7" ht="15.75" customHeight="1">
      <c r="G449" s="363"/>
    </row>
    <row r="450" spans="7:7" ht="15.75" customHeight="1">
      <c r="G450" s="363"/>
    </row>
    <row r="451" spans="7:7" ht="15.75" customHeight="1">
      <c r="G451" s="363"/>
    </row>
    <row r="452" spans="7:7" ht="15.75" customHeight="1">
      <c r="G452" s="363"/>
    </row>
    <row r="453" spans="7:7" ht="15.75" customHeight="1">
      <c r="G453" s="363"/>
    </row>
    <row r="454" spans="7:7" ht="15.75" customHeight="1">
      <c r="G454" s="363"/>
    </row>
    <row r="455" spans="7:7" ht="15.75" customHeight="1">
      <c r="G455" s="363"/>
    </row>
    <row r="456" spans="7:7" ht="15.75" customHeight="1">
      <c r="G456" s="363"/>
    </row>
    <row r="457" spans="7:7" ht="15.75" customHeight="1">
      <c r="G457" s="363"/>
    </row>
    <row r="458" spans="7:7" ht="15.75" customHeight="1">
      <c r="G458" s="363"/>
    </row>
    <row r="459" spans="7:7" ht="15.75" customHeight="1">
      <c r="G459" s="363"/>
    </row>
    <row r="460" spans="7:7" ht="15.75" customHeight="1">
      <c r="G460" s="363"/>
    </row>
    <row r="461" spans="7:7" ht="15.75" customHeight="1">
      <c r="G461" s="363"/>
    </row>
    <row r="462" spans="7:7" ht="15.75" customHeight="1">
      <c r="G462" s="363"/>
    </row>
    <row r="463" spans="7:7" ht="15.75" customHeight="1">
      <c r="G463" s="363"/>
    </row>
    <row r="464" spans="7:7" ht="15.75" customHeight="1">
      <c r="G464" s="363"/>
    </row>
    <row r="465" spans="7:7" ht="15.75" customHeight="1">
      <c r="G465" s="363"/>
    </row>
    <row r="466" spans="7:7" ht="15.75" customHeight="1">
      <c r="G466" s="363"/>
    </row>
    <row r="467" spans="7:7" ht="15.75" customHeight="1">
      <c r="G467" s="363"/>
    </row>
    <row r="468" spans="7:7" ht="15.75" customHeight="1">
      <c r="G468" s="363"/>
    </row>
    <row r="469" spans="7:7" ht="15.75" customHeight="1">
      <c r="G469" s="363"/>
    </row>
    <row r="470" spans="7:7" ht="15.75" customHeight="1">
      <c r="G470" s="363"/>
    </row>
    <row r="471" spans="7:7" ht="15.75" customHeight="1">
      <c r="G471" s="363"/>
    </row>
    <row r="472" spans="7:7" ht="15.75" customHeight="1">
      <c r="G472" s="363"/>
    </row>
    <row r="473" spans="7:7" ht="15.75" customHeight="1">
      <c r="G473" s="363"/>
    </row>
    <row r="474" spans="7:7" ht="15.75" customHeight="1">
      <c r="G474" s="363"/>
    </row>
    <row r="475" spans="7:7" ht="15.75" customHeight="1">
      <c r="G475" s="363"/>
    </row>
    <row r="476" spans="7:7" ht="15.75" customHeight="1">
      <c r="G476" s="363"/>
    </row>
    <row r="477" spans="7:7" ht="15.75" customHeight="1">
      <c r="G477" s="363"/>
    </row>
    <row r="478" spans="7:7" ht="15.75" customHeight="1">
      <c r="G478" s="363"/>
    </row>
    <row r="479" spans="7:7" ht="15.75" customHeight="1">
      <c r="G479" s="363"/>
    </row>
    <row r="480" spans="7:7" ht="15.75" customHeight="1">
      <c r="G480" s="363"/>
    </row>
    <row r="481" spans="7:7" ht="15.75" customHeight="1">
      <c r="G481" s="363"/>
    </row>
    <row r="482" spans="7:7" ht="15.75" customHeight="1">
      <c r="G482" s="363"/>
    </row>
    <row r="483" spans="7:7" ht="15.75" customHeight="1">
      <c r="G483" s="363"/>
    </row>
    <row r="484" spans="7:7" ht="15.75" customHeight="1">
      <c r="G484" s="363"/>
    </row>
    <row r="485" spans="7:7" ht="15.75" customHeight="1">
      <c r="G485" s="363"/>
    </row>
    <row r="486" spans="7:7" ht="15.75" customHeight="1">
      <c r="G486" s="363"/>
    </row>
    <row r="487" spans="7:7" ht="15.75" customHeight="1">
      <c r="G487" s="363"/>
    </row>
    <row r="488" spans="7:7" ht="15.75" customHeight="1">
      <c r="G488" s="363"/>
    </row>
    <row r="489" spans="7:7" ht="15.75" customHeight="1">
      <c r="G489" s="363"/>
    </row>
    <row r="490" spans="7:7" ht="15.75" customHeight="1">
      <c r="G490" s="363"/>
    </row>
    <row r="491" spans="7:7" ht="15.75" customHeight="1">
      <c r="G491" s="363"/>
    </row>
    <row r="492" spans="7:7" ht="15.75" customHeight="1">
      <c r="G492" s="363"/>
    </row>
    <row r="493" spans="7:7" ht="15.75" customHeight="1">
      <c r="G493" s="363"/>
    </row>
    <row r="494" spans="7:7" ht="15.75" customHeight="1">
      <c r="G494" s="363"/>
    </row>
    <row r="495" spans="7:7" ht="15.75" customHeight="1">
      <c r="G495" s="363"/>
    </row>
    <row r="496" spans="7:7" ht="15.75" customHeight="1">
      <c r="G496" s="363"/>
    </row>
    <row r="497" spans="7:7" ht="15.75" customHeight="1">
      <c r="G497" s="363"/>
    </row>
    <row r="498" spans="7:7" ht="15.75" customHeight="1">
      <c r="G498" s="363"/>
    </row>
    <row r="499" spans="7:7" ht="15.75" customHeight="1">
      <c r="G499" s="363"/>
    </row>
    <row r="500" spans="7:7" ht="15.75" customHeight="1">
      <c r="G500" s="363"/>
    </row>
    <row r="501" spans="7:7" ht="15.75" customHeight="1">
      <c r="G501" s="363"/>
    </row>
    <row r="502" spans="7:7" ht="15.75" customHeight="1">
      <c r="G502" s="363"/>
    </row>
    <row r="503" spans="7:7" ht="15.75" customHeight="1">
      <c r="G503" s="363"/>
    </row>
    <row r="504" spans="7:7" ht="15.75" customHeight="1">
      <c r="G504" s="363"/>
    </row>
    <row r="505" spans="7:7" ht="15.75" customHeight="1">
      <c r="G505" s="363"/>
    </row>
    <row r="506" spans="7:7" ht="15.75" customHeight="1">
      <c r="G506" s="363"/>
    </row>
    <row r="507" spans="7:7" ht="15.75" customHeight="1">
      <c r="G507" s="363"/>
    </row>
    <row r="508" spans="7:7" ht="15.75" customHeight="1">
      <c r="G508" s="363"/>
    </row>
    <row r="509" spans="7:7" ht="15.75" customHeight="1">
      <c r="G509" s="363"/>
    </row>
    <row r="510" spans="7:7" ht="15.75" customHeight="1">
      <c r="G510" s="363"/>
    </row>
    <row r="511" spans="7:7" ht="15.75" customHeight="1">
      <c r="G511" s="363"/>
    </row>
    <row r="512" spans="7:7" ht="15.75" customHeight="1">
      <c r="G512" s="363"/>
    </row>
    <row r="513" spans="7:7" ht="15.75" customHeight="1">
      <c r="G513" s="363"/>
    </row>
    <row r="514" spans="7:7" ht="15.75" customHeight="1">
      <c r="G514" s="363"/>
    </row>
    <row r="515" spans="7:7" ht="15.75" customHeight="1">
      <c r="G515" s="363"/>
    </row>
    <row r="516" spans="7:7" ht="15.75" customHeight="1">
      <c r="G516" s="363"/>
    </row>
    <row r="517" spans="7:7" ht="15.75" customHeight="1">
      <c r="G517" s="363"/>
    </row>
    <row r="518" spans="7:7" ht="15.75" customHeight="1">
      <c r="G518" s="363"/>
    </row>
    <row r="519" spans="7:7" ht="15.75" customHeight="1">
      <c r="G519" s="363"/>
    </row>
    <row r="520" spans="7:7" ht="15.75" customHeight="1">
      <c r="G520" s="363"/>
    </row>
    <row r="521" spans="7:7" ht="15.75" customHeight="1">
      <c r="G521" s="363"/>
    </row>
    <row r="522" spans="7:7" ht="15.75" customHeight="1">
      <c r="G522" s="363"/>
    </row>
    <row r="523" spans="7:7" ht="15.75" customHeight="1">
      <c r="G523" s="363"/>
    </row>
    <row r="524" spans="7:7" ht="15.75" customHeight="1">
      <c r="G524" s="363"/>
    </row>
    <row r="525" spans="7:7" ht="15.75" customHeight="1">
      <c r="G525" s="363"/>
    </row>
    <row r="526" spans="7:7" ht="15.75" customHeight="1">
      <c r="G526" s="363"/>
    </row>
    <row r="527" spans="7:7" ht="15.75" customHeight="1">
      <c r="G527" s="363"/>
    </row>
    <row r="528" spans="7:7" ht="15.75" customHeight="1">
      <c r="G528" s="363"/>
    </row>
    <row r="529" spans="7:7" ht="15.75" customHeight="1">
      <c r="G529" s="363"/>
    </row>
    <row r="530" spans="7:7" ht="15.75" customHeight="1">
      <c r="G530" s="363"/>
    </row>
    <row r="531" spans="7:7" ht="15.75" customHeight="1">
      <c r="G531" s="363"/>
    </row>
    <row r="532" spans="7:7" ht="15.75" customHeight="1">
      <c r="G532" s="363"/>
    </row>
    <row r="533" spans="7:7" ht="15.75" customHeight="1">
      <c r="G533" s="363"/>
    </row>
    <row r="534" spans="7:7" ht="15.75" customHeight="1">
      <c r="G534" s="363"/>
    </row>
    <row r="535" spans="7:7" ht="15.75" customHeight="1">
      <c r="G535" s="363"/>
    </row>
    <row r="536" spans="7:7" ht="15.75" customHeight="1">
      <c r="G536" s="363"/>
    </row>
    <row r="537" spans="7:7" ht="15.75" customHeight="1">
      <c r="G537" s="363"/>
    </row>
    <row r="538" spans="7:7" ht="15.75" customHeight="1">
      <c r="G538" s="363"/>
    </row>
    <row r="539" spans="7:7" ht="15.75" customHeight="1">
      <c r="G539" s="363"/>
    </row>
    <row r="540" spans="7:7" ht="15.75" customHeight="1">
      <c r="G540" s="363"/>
    </row>
    <row r="541" spans="7:7" ht="15.75" customHeight="1">
      <c r="G541" s="363"/>
    </row>
    <row r="542" spans="7:7" ht="15.75" customHeight="1">
      <c r="G542" s="363"/>
    </row>
    <row r="543" spans="7:7" ht="15.75" customHeight="1">
      <c r="G543" s="363"/>
    </row>
    <row r="544" spans="7:7" ht="15.75" customHeight="1">
      <c r="G544" s="363"/>
    </row>
    <row r="545" spans="7:7" ht="15.75" customHeight="1">
      <c r="G545" s="363"/>
    </row>
    <row r="546" spans="7:7" ht="15.75" customHeight="1">
      <c r="G546" s="363"/>
    </row>
    <row r="547" spans="7:7" ht="15.75" customHeight="1">
      <c r="G547" s="363"/>
    </row>
    <row r="548" spans="7:7" ht="15.75" customHeight="1">
      <c r="G548" s="363"/>
    </row>
    <row r="549" spans="7:7" ht="15.75" customHeight="1">
      <c r="G549" s="363"/>
    </row>
    <row r="550" spans="7:7" ht="15.75" customHeight="1">
      <c r="G550" s="363"/>
    </row>
    <row r="551" spans="7:7" ht="15.75" customHeight="1">
      <c r="G551" s="363"/>
    </row>
    <row r="552" spans="7:7" ht="15.75" customHeight="1">
      <c r="G552" s="363"/>
    </row>
    <row r="553" spans="7:7" ht="15.75" customHeight="1">
      <c r="G553" s="363"/>
    </row>
    <row r="554" spans="7:7" ht="15.75" customHeight="1">
      <c r="G554" s="363"/>
    </row>
    <row r="555" spans="7:7" ht="15.75" customHeight="1">
      <c r="G555" s="363"/>
    </row>
    <row r="556" spans="7:7" ht="15.75" customHeight="1">
      <c r="G556" s="363"/>
    </row>
    <row r="557" spans="7:7" ht="15.75" customHeight="1">
      <c r="G557" s="363"/>
    </row>
    <row r="558" spans="7:7" ht="15.75" customHeight="1">
      <c r="G558" s="363"/>
    </row>
    <row r="559" spans="7:7" ht="15.75" customHeight="1">
      <c r="G559" s="363"/>
    </row>
    <row r="560" spans="7:7" ht="15.75" customHeight="1">
      <c r="G560" s="363"/>
    </row>
    <row r="561" spans="7:7" ht="15.75" customHeight="1">
      <c r="G561" s="363"/>
    </row>
    <row r="562" spans="7:7" ht="15.75" customHeight="1">
      <c r="G562" s="363"/>
    </row>
    <row r="563" spans="7:7" ht="15.75" customHeight="1">
      <c r="G563" s="363"/>
    </row>
    <row r="564" spans="7:7" ht="15.75" customHeight="1">
      <c r="G564" s="363"/>
    </row>
    <row r="565" spans="7:7" ht="15.75" customHeight="1">
      <c r="G565" s="363"/>
    </row>
    <row r="566" spans="7:7" ht="15.75" customHeight="1">
      <c r="G566" s="363"/>
    </row>
    <row r="567" spans="7:7" ht="15.75" customHeight="1">
      <c r="G567" s="363"/>
    </row>
    <row r="568" spans="7:7" ht="15.75" customHeight="1">
      <c r="G568" s="363"/>
    </row>
    <row r="569" spans="7:7" ht="15.75" customHeight="1">
      <c r="G569" s="363"/>
    </row>
    <row r="570" spans="7:7" ht="15.75" customHeight="1">
      <c r="G570" s="363"/>
    </row>
    <row r="571" spans="7:7" ht="15.75" customHeight="1">
      <c r="G571" s="363"/>
    </row>
    <row r="572" spans="7:7" ht="15.75" customHeight="1">
      <c r="G572" s="363"/>
    </row>
    <row r="573" spans="7:7" ht="15.75" customHeight="1">
      <c r="G573" s="363"/>
    </row>
    <row r="574" spans="7:7" ht="15.75" customHeight="1">
      <c r="G574" s="363"/>
    </row>
    <row r="575" spans="7:7" ht="15.75" customHeight="1">
      <c r="G575" s="363"/>
    </row>
    <row r="576" spans="7:7" ht="15.75" customHeight="1">
      <c r="G576" s="363"/>
    </row>
    <row r="577" spans="7:7" ht="15.75" customHeight="1">
      <c r="G577" s="363"/>
    </row>
    <row r="578" spans="7:7" ht="15.75" customHeight="1">
      <c r="G578" s="363"/>
    </row>
    <row r="579" spans="7:7" ht="15.75" customHeight="1">
      <c r="G579" s="363"/>
    </row>
    <row r="580" spans="7:7" ht="15.75" customHeight="1">
      <c r="G580" s="363"/>
    </row>
    <row r="581" spans="7:7" ht="15.75" customHeight="1">
      <c r="G581" s="363"/>
    </row>
    <row r="582" spans="7:7" ht="15.75" customHeight="1">
      <c r="G582" s="363"/>
    </row>
    <row r="583" spans="7:7" ht="15.75" customHeight="1">
      <c r="G583" s="363"/>
    </row>
    <row r="584" spans="7:7" ht="15.75" customHeight="1">
      <c r="G584" s="363"/>
    </row>
    <row r="585" spans="7:7" ht="15.75" customHeight="1">
      <c r="G585" s="363"/>
    </row>
    <row r="586" spans="7:7" ht="15.75" customHeight="1">
      <c r="G586" s="363"/>
    </row>
    <row r="587" spans="7:7" ht="15.75" customHeight="1">
      <c r="G587" s="363"/>
    </row>
    <row r="588" spans="7:7" ht="15.75" customHeight="1">
      <c r="G588" s="363"/>
    </row>
    <row r="589" spans="7:7" ht="15.75" customHeight="1">
      <c r="G589" s="363"/>
    </row>
    <row r="590" spans="7:7" ht="15.75" customHeight="1">
      <c r="G590" s="363"/>
    </row>
    <row r="591" spans="7:7" ht="15.75" customHeight="1">
      <c r="G591" s="363"/>
    </row>
    <row r="592" spans="7:7" ht="15.75" customHeight="1">
      <c r="G592" s="363"/>
    </row>
    <row r="593" spans="7:7" ht="15.75" customHeight="1">
      <c r="G593" s="363"/>
    </row>
    <row r="594" spans="7:7" ht="15.75" customHeight="1">
      <c r="G594" s="363"/>
    </row>
    <row r="595" spans="7:7" ht="15.75" customHeight="1">
      <c r="G595" s="363"/>
    </row>
    <row r="596" spans="7:7" ht="15.75" customHeight="1">
      <c r="G596" s="363"/>
    </row>
    <row r="597" spans="7:7" ht="15.75" customHeight="1">
      <c r="G597" s="363"/>
    </row>
    <row r="598" spans="7:7" ht="15.75" customHeight="1">
      <c r="G598" s="363"/>
    </row>
    <row r="599" spans="7:7" ht="15.75" customHeight="1">
      <c r="G599" s="363"/>
    </row>
    <row r="600" spans="7:7" ht="15.75" customHeight="1">
      <c r="G600" s="363"/>
    </row>
    <row r="601" spans="7:7" ht="15.75" customHeight="1">
      <c r="G601" s="363"/>
    </row>
    <row r="602" spans="7:7" ht="15.75" customHeight="1">
      <c r="G602" s="363"/>
    </row>
    <row r="603" spans="7:7" ht="15.75" customHeight="1">
      <c r="G603" s="363"/>
    </row>
    <row r="604" spans="7:7" ht="15.75" customHeight="1">
      <c r="G604" s="363"/>
    </row>
    <row r="605" spans="7:7" ht="15.75" customHeight="1">
      <c r="G605" s="363"/>
    </row>
    <row r="606" spans="7:7" ht="15.75" customHeight="1">
      <c r="G606" s="363"/>
    </row>
    <row r="607" spans="7:7" ht="15.75" customHeight="1">
      <c r="G607" s="363"/>
    </row>
    <row r="608" spans="7:7" ht="15.75" customHeight="1">
      <c r="G608" s="363"/>
    </row>
    <row r="609" spans="7:7" ht="15.75" customHeight="1">
      <c r="G609" s="363"/>
    </row>
    <row r="610" spans="7:7" ht="15.75" customHeight="1">
      <c r="G610" s="363"/>
    </row>
    <row r="611" spans="7:7" ht="15.75" customHeight="1">
      <c r="G611" s="363"/>
    </row>
    <row r="612" spans="7:7" ht="15.75" customHeight="1">
      <c r="G612" s="363"/>
    </row>
    <row r="613" spans="7:7" ht="15.75" customHeight="1">
      <c r="G613" s="363"/>
    </row>
    <row r="614" spans="7:7" ht="15.75" customHeight="1">
      <c r="G614" s="363"/>
    </row>
    <row r="615" spans="7:7" ht="15.75" customHeight="1">
      <c r="G615" s="363"/>
    </row>
    <row r="616" spans="7:7" ht="15.75" customHeight="1">
      <c r="G616" s="363"/>
    </row>
    <row r="617" spans="7:7" ht="15.75" customHeight="1">
      <c r="G617" s="363"/>
    </row>
    <row r="618" spans="7:7" ht="15.75" customHeight="1">
      <c r="G618" s="363"/>
    </row>
    <row r="619" spans="7:7" ht="15.75" customHeight="1">
      <c r="G619" s="363"/>
    </row>
    <row r="620" spans="7:7" ht="15.75" customHeight="1">
      <c r="G620" s="363"/>
    </row>
    <row r="621" spans="7:7" ht="15.75" customHeight="1">
      <c r="G621" s="363"/>
    </row>
    <row r="622" spans="7:7" ht="15.75" customHeight="1">
      <c r="G622" s="363"/>
    </row>
    <row r="623" spans="7:7" ht="15.75" customHeight="1">
      <c r="G623" s="363"/>
    </row>
    <row r="624" spans="7:7" ht="15.75" customHeight="1">
      <c r="G624" s="363"/>
    </row>
    <row r="625" spans="7:7" ht="15.75" customHeight="1">
      <c r="G625" s="363"/>
    </row>
    <row r="626" spans="7:7" ht="15.75" customHeight="1">
      <c r="G626" s="363"/>
    </row>
    <row r="627" spans="7:7" ht="15.75" customHeight="1">
      <c r="G627" s="363"/>
    </row>
    <row r="628" spans="7:7" ht="15.75" customHeight="1">
      <c r="G628" s="363"/>
    </row>
    <row r="629" spans="7:7" ht="15.75" customHeight="1">
      <c r="G629" s="363"/>
    </row>
    <row r="630" spans="7:7" ht="15.75" customHeight="1">
      <c r="G630" s="363"/>
    </row>
    <row r="631" spans="7:7" ht="15.75" customHeight="1">
      <c r="G631" s="363"/>
    </row>
    <row r="632" spans="7:7" ht="15.75" customHeight="1">
      <c r="G632" s="363"/>
    </row>
    <row r="633" spans="7:7" ht="15.75" customHeight="1">
      <c r="G633" s="363"/>
    </row>
    <row r="634" spans="7:7" ht="15.75" customHeight="1">
      <c r="G634" s="363"/>
    </row>
    <row r="635" spans="7:7" ht="15.75" customHeight="1">
      <c r="G635" s="363"/>
    </row>
    <row r="636" spans="7:7" ht="15.75" customHeight="1">
      <c r="G636" s="363"/>
    </row>
    <row r="637" spans="7:7" ht="15.75" customHeight="1">
      <c r="G637" s="363"/>
    </row>
    <row r="638" spans="7:7" ht="15.75" customHeight="1">
      <c r="G638" s="363"/>
    </row>
    <row r="639" spans="7:7" ht="15.75" customHeight="1">
      <c r="G639" s="363"/>
    </row>
    <row r="640" spans="7:7" ht="15.75" customHeight="1">
      <c r="G640" s="363"/>
    </row>
    <row r="641" spans="7:7" ht="15.75" customHeight="1">
      <c r="G641" s="363"/>
    </row>
    <row r="642" spans="7:7" ht="15.75" customHeight="1">
      <c r="G642" s="363"/>
    </row>
    <row r="643" spans="7:7" ht="15.75" customHeight="1">
      <c r="G643" s="363"/>
    </row>
    <row r="644" spans="7:7" ht="15.75" customHeight="1">
      <c r="G644" s="363"/>
    </row>
    <row r="645" spans="7:7" ht="15.75" customHeight="1">
      <c r="G645" s="363"/>
    </row>
    <row r="646" spans="7:7" ht="15.75" customHeight="1">
      <c r="G646" s="363"/>
    </row>
    <row r="647" spans="7:7" ht="15.75" customHeight="1">
      <c r="G647" s="363"/>
    </row>
    <row r="648" spans="7:7" ht="15.75" customHeight="1">
      <c r="G648" s="363"/>
    </row>
    <row r="649" spans="7:7" ht="15.75" customHeight="1">
      <c r="G649" s="363"/>
    </row>
    <row r="650" spans="7:7" ht="15.75" customHeight="1">
      <c r="G650" s="363"/>
    </row>
    <row r="651" spans="7:7" ht="15.75" customHeight="1">
      <c r="G651" s="363"/>
    </row>
    <row r="652" spans="7:7" ht="15.75" customHeight="1">
      <c r="G652" s="363"/>
    </row>
    <row r="653" spans="7:7" ht="15.75" customHeight="1">
      <c r="G653" s="363"/>
    </row>
    <row r="654" spans="7:7" ht="15.75" customHeight="1">
      <c r="G654" s="363"/>
    </row>
    <row r="655" spans="7:7" ht="15.75" customHeight="1">
      <c r="G655" s="363"/>
    </row>
    <row r="656" spans="7:7" ht="15.75" customHeight="1">
      <c r="G656" s="363"/>
    </row>
    <row r="657" spans="7:7" ht="15.75" customHeight="1">
      <c r="G657" s="363"/>
    </row>
    <row r="658" spans="7:7" ht="15.75" customHeight="1">
      <c r="G658" s="363"/>
    </row>
    <row r="659" spans="7:7" ht="15.75" customHeight="1">
      <c r="G659" s="363"/>
    </row>
    <row r="660" spans="7:7" ht="15.75" customHeight="1">
      <c r="G660" s="363"/>
    </row>
    <row r="661" spans="7:7" ht="15.75" customHeight="1">
      <c r="G661" s="363"/>
    </row>
    <row r="662" spans="7:7" ht="15.75" customHeight="1">
      <c r="G662" s="363"/>
    </row>
    <row r="663" spans="7:7" ht="15.75" customHeight="1">
      <c r="G663" s="363"/>
    </row>
    <row r="664" spans="7:7" ht="15.75" customHeight="1">
      <c r="G664" s="363"/>
    </row>
    <row r="665" spans="7:7" ht="15.75" customHeight="1">
      <c r="G665" s="363"/>
    </row>
    <row r="666" spans="7:7" ht="15.75" customHeight="1">
      <c r="G666" s="363"/>
    </row>
    <row r="667" spans="7:7" ht="15.75" customHeight="1">
      <c r="G667" s="363"/>
    </row>
    <row r="668" spans="7:7" ht="15.75" customHeight="1">
      <c r="G668" s="363"/>
    </row>
    <row r="669" spans="7:7" ht="15.75" customHeight="1">
      <c r="G669" s="363"/>
    </row>
    <row r="670" spans="7:7" ht="15.75" customHeight="1">
      <c r="G670" s="363"/>
    </row>
    <row r="671" spans="7:7" ht="15.75" customHeight="1">
      <c r="G671" s="363"/>
    </row>
    <row r="672" spans="7:7" ht="15.75" customHeight="1">
      <c r="G672" s="363"/>
    </row>
    <row r="673" spans="7:7" ht="15.75" customHeight="1">
      <c r="G673" s="363"/>
    </row>
    <row r="674" spans="7:7" ht="15.75" customHeight="1">
      <c r="G674" s="363"/>
    </row>
    <row r="675" spans="7:7" ht="15.75" customHeight="1">
      <c r="G675" s="363"/>
    </row>
    <row r="676" spans="7:7" ht="15.75" customHeight="1">
      <c r="G676" s="363"/>
    </row>
    <row r="677" spans="7:7" ht="15.75" customHeight="1">
      <c r="G677" s="363"/>
    </row>
    <row r="678" spans="7:7" ht="15.75" customHeight="1">
      <c r="G678" s="363"/>
    </row>
    <row r="679" spans="7:7" ht="15.75" customHeight="1">
      <c r="G679" s="363"/>
    </row>
    <row r="680" spans="7:7" ht="15.75" customHeight="1">
      <c r="G680" s="363"/>
    </row>
    <row r="681" spans="7:7" ht="15.75" customHeight="1">
      <c r="G681" s="363"/>
    </row>
    <row r="682" spans="7:7" ht="15.75" customHeight="1">
      <c r="G682" s="363"/>
    </row>
    <row r="683" spans="7:7" ht="15.75" customHeight="1">
      <c r="G683" s="363"/>
    </row>
    <row r="684" spans="7:7" ht="15.75" customHeight="1">
      <c r="G684" s="363"/>
    </row>
    <row r="685" spans="7:7" ht="15.75" customHeight="1">
      <c r="G685" s="363"/>
    </row>
    <row r="686" spans="7:7" ht="15.75" customHeight="1">
      <c r="G686" s="363"/>
    </row>
    <row r="687" spans="7:7" ht="15.75" customHeight="1">
      <c r="G687" s="363"/>
    </row>
    <row r="688" spans="7:7" ht="15.75" customHeight="1">
      <c r="G688" s="363"/>
    </row>
    <row r="689" spans="7:7" ht="15.75" customHeight="1">
      <c r="G689" s="363"/>
    </row>
    <row r="690" spans="7:7" ht="15.75" customHeight="1">
      <c r="G690" s="363"/>
    </row>
    <row r="691" spans="7:7" ht="15.75" customHeight="1">
      <c r="G691" s="363"/>
    </row>
    <row r="692" spans="7:7" ht="15.75" customHeight="1">
      <c r="G692" s="363"/>
    </row>
    <row r="693" spans="7:7" ht="15.75" customHeight="1">
      <c r="G693" s="363"/>
    </row>
    <row r="694" spans="7:7" ht="15.75" customHeight="1">
      <c r="G694" s="363"/>
    </row>
    <row r="695" spans="7:7" ht="15.75" customHeight="1">
      <c r="G695" s="363"/>
    </row>
    <row r="696" spans="7:7" ht="15.75" customHeight="1">
      <c r="G696" s="363"/>
    </row>
    <row r="697" spans="7:7" ht="15.75" customHeight="1">
      <c r="G697" s="363"/>
    </row>
    <row r="698" spans="7:7" ht="15.75" customHeight="1">
      <c r="G698" s="363"/>
    </row>
    <row r="699" spans="7:7" ht="15.75" customHeight="1">
      <c r="G699" s="363"/>
    </row>
    <row r="700" spans="7:7" ht="15.75" customHeight="1">
      <c r="G700" s="363"/>
    </row>
    <row r="701" spans="7:7" ht="15.75" customHeight="1">
      <c r="G701" s="363"/>
    </row>
    <row r="702" spans="7:7" ht="15.75" customHeight="1">
      <c r="G702" s="363"/>
    </row>
    <row r="703" spans="7:7" ht="15.75" customHeight="1">
      <c r="G703" s="363"/>
    </row>
    <row r="704" spans="7:7" ht="15.75" customHeight="1">
      <c r="G704" s="363"/>
    </row>
    <row r="705" spans="7:7" ht="15.75" customHeight="1">
      <c r="G705" s="363"/>
    </row>
    <row r="706" spans="7:7" ht="15.75" customHeight="1">
      <c r="G706" s="363"/>
    </row>
    <row r="707" spans="7:7" ht="15.75" customHeight="1">
      <c r="G707" s="363"/>
    </row>
    <row r="708" spans="7:7" ht="15.75" customHeight="1">
      <c r="G708" s="363"/>
    </row>
    <row r="709" spans="7:7" ht="15.75" customHeight="1">
      <c r="G709" s="363"/>
    </row>
    <row r="710" spans="7:7" ht="15.75" customHeight="1">
      <c r="G710" s="363"/>
    </row>
    <row r="711" spans="7:7" ht="15.75" customHeight="1">
      <c r="G711" s="363"/>
    </row>
    <row r="712" spans="7:7" ht="15.75" customHeight="1">
      <c r="G712" s="363"/>
    </row>
    <row r="713" spans="7:7" ht="15.75" customHeight="1">
      <c r="G713" s="363"/>
    </row>
    <row r="714" spans="7:7" ht="15.75" customHeight="1">
      <c r="G714" s="363"/>
    </row>
    <row r="715" spans="7:7" ht="15.75" customHeight="1">
      <c r="G715" s="363"/>
    </row>
    <row r="716" spans="7:7" ht="15.75" customHeight="1">
      <c r="G716" s="363"/>
    </row>
    <row r="717" spans="7:7" ht="15.75" customHeight="1">
      <c r="G717" s="363"/>
    </row>
    <row r="718" spans="7:7" ht="15.75" customHeight="1">
      <c r="G718" s="363"/>
    </row>
    <row r="719" spans="7:7" ht="15.75" customHeight="1">
      <c r="G719" s="363"/>
    </row>
    <row r="720" spans="7:7" ht="15.75" customHeight="1">
      <c r="G720" s="363"/>
    </row>
    <row r="721" spans="7:7" ht="15.75" customHeight="1">
      <c r="G721" s="363"/>
    </row>
    <row r="722" spans="7:7" ht="15.75" customHeight="1">
      <c r="G722" s="363"/>
    </row>
    <row r="723" spans="7:7" ht="15.75" customHeight="1">
      <c r="G723" s="363"/>
    </row>
    <row r="724" spans="7:7" ht="15.75" customHeight="1">
      <c r="G724" s="363"/>
    </row>
    <row r="725" spans="7:7" ht="15.75" customHeight="1">
      <c r="G725" s="363"/>
    </row>
    <row r="726" spans="7:7" ht="15.75" customHeight="1">
      <c r="G726" s="363"/>
    </row>
    <row r="727" spans="7:7" ht="15.75" customHeight="1">
      <c r="G727" s="363"/>
    </row>
    <row r="728" spans="7:7" ht="15.75" customHeight="1">
      <c r="G728" s="363"/>
    </row>
    <row r="729" spans="7:7" ht="15.75" customHeight="1">
      <c r="G729" s="363"/>
    </row>
    <row r="730" spans="7:7" ht="15.75" customHeight="1">
      <c r="G730" s="363"/>
    </row>
    <row r="731" spans="7:7" ht="15.75" customHeight="1">
      <c r="G731" s="363"/>
    </row>
    <row r="732" spans="7:7" ht="15.75" customHeight="1">
      <c r="G732" s="363"/>
    </row>
    <row r="733" spans="7:7" ht="15.75" customHeight="1">
      <c r="G733" s="363"/>
    </row>
    <row r="734" spans="7:7" ht="15.75" customHeight="1">
      <c r="G734" s="363"/>
    </row>
    <row r="735" spans="7:7" ht="15.75" customHeight="1">
      <c r="G735" s="363"/>
    </row>
    <row r="736" spans="7:7" ht="15.75" customHeight="1">
      <c r="G736" s="363"/>
    </row>
    <row r="737" spans="7:7" ht="15.75" customHeight="1">
      <c r="G737" s="363"/>
    </row>
    <row r="738" spans="7:7" ht="15.75" customHeight="1">
      <c r="G738" s="363"/>
    </row>
    <row r="739" spans="7:7" ht="15.75" customHeight="1">
      <c r="G739" s="363"/>
    </row>
    <row r="740" spans="7:7" ht="15.75" customHeight="1">
      <c r="G740" s="363"/>
    </row>
    <row r="741" spans="7:7" ht="15.75" customHeight="1">
      <c r="G741" s="363"/>
    </row>
    <row r="742" spans="7:7" ht="15.75" customHeight="1">
      <c r="G742" s="363"/>
    </row>
    <row r="743" spans="7:7" ht="15.75" customHeight="1">
      <c r="G743" s="363"/>
    </row>
    <row r="744" spans="7:7" ht="15.75" customHeight="1">
      <c r="G744" s="363"/>
    </row>
    <row r="745" spans="7:7" ht="15.75" customHeight="1">
      <c r="G745" s="363"/>
    </row>
    <row r="746" spans="7:7" ht="15.75" customHeight="1">
      <c r="G746" s="363"/>
    </row>
    <row r="747" spans="7:7" ht="15.75" customHeight="1">
      <c r="G747" s="363"/>
    </row>
    <row r="748" spans="7:7" ht="15.75" customHeight="1">
      <c r="G748" s="363"/>
    </row>
    <row r="749" spans="7:7" ht="15.75" customHeight="1">
      <c r="G749" s="363"/>
    </row>
    <row r="750" spans="7:7" ht="15.75" customHeight="1">
      <c r="G750" s="363"/>
    </row>
    <row r="751" spans="7:7" ht="15.75" customHeight="1">
      <c r="G751" s="363"/>
    </row>
    <row r="752" spans="7:7" ht="15.75" customHeight="1">
      <c r="G752" s="363"/>
    </row>
    <row r="753" spans="7:7" ht="15.75" customHeight="1">
      <c r="G753" s="363"/>
    </row>
    <row r="754" spans="7:7" ht="15.75" customHeight="1">
      <c r="G754" s="363"/>
    </row>
    <row r="755" spans="7:7" ht="15.75" customHeight="1">
      <c r="G755" s="363"/>
    </row>
    <row r="756" spans="7:7" ht="15.75" customHeight="1">
      <c r="G756" s="363"/>
    </row>
    <row r="757" spans="7:7" ht="15.75" customHeight="1">
      <c r="G757" s="363"/>
    </row>
    <row r="758" spans="7:7" ht="15.75" customHeight="1">
      <c r="G758" s="363"/>
    </row>
    <row r="759" spans="7:7" ht="15.75" customHeight="1">
      <c r="G759" s="363"/>
    </row>
    <row r="760" spans="7:7" ht="15.75" customHeight="1">
      <c r="G760" s="363"/>
    </row>
    <row r="761" spans="7:7" ht="15.75" customHeight="1">
      <c r="G761" s="363"/>
    </row>
    <row r="762" spans="7:7" ht="15.75" customHeight="1">
      <c r="G762" s="363"/>
    </row>
    <row r="763" spans="7:7" ht="15.75" customHeight="1">
      <c r="G763" s="363"/>
    </row>
    <row r="764" spans="7:7" ht="15.75" customHeight="1">
      <c r="G764" s="363"/>
    </row>
    <row r="765" spans="7:7" ht="15.75" customHeight="1">
      <c r="G765" s="363"/>
    </row>
    <row r="766" spans="7:7" ht="15.75" customHeight="1">
      <c r="G766" s="363"/>
    </row>
    <row r="767" spans="7:7" ht="15.75" customHeight="1">
      <c r="G767" s="363"/>
    </row>
    <row r="768" spans="7:7" ht="15.75" customHeight="1">
      <c r="G768" s="363"/>
    </row>
    <row r="769" spans="7:7" ht="15.75" customHeight="1">
      <c r="G769" s="363"/>
    </row>
    <row r="770" spans="7:7" ht="15.75" customHeight="1">
      <c r="G770" s="363"/>
    </row>
    <row r="771" spans="7:7" ht="15.75" customHeight="1">
      <c r="G771" s="363"/>
    </row>
    <row r="772" spans="7:7" ht="15.75" customHeight="1">
      <c r="G772" s="363"/>
    </row>
    <row r="773" spans="7:7" ht="15.75" customHeight="1">
      <c r="G773" s="363"/>
    </row>
    <row r="774" spans="7:7" ht="15.75" customHeight="1">
      <c r="G774" s="363"/>
    </row>
    <row r="775" spans="7:7" ht="15.75" customHeight="1">
      <c r="G775" s="363"/>
    </row>
    <row r="776" spans="7:7" ht="15.75" customHeight="1">
      <c r="G776" s="363"/>
    </row>
    <row r="777" spans="7:7" ht="15.75" customHeight="1">
      <c r="G777" s="363"/>
    </row>
    <row r="778" spans="7:7" ht="15.75" customHeight="1">
      <c r="G778" s="363"/>
    </row>
    <row r="779" spans="7:7" ht="15.75" customHeight="1">
      <c r="G779" s="363"/>
    </row>
    <row r="780" spans="7:7" ht="15.75" customHeight="1">
      <c r="G780" s="363"/>
    </row>
    <row r="781" spans="7:7" ht="15.75" customHeight="1">
      <c r="G781" s="363"/>
    </row>
    <row r="782" spans="7:7" ht="15.75" customHeight="1">
      <c r="G782" s="363"/>
    </row>
    <row r="783" spans="7:7" ht="15.75" customHeight="1">
      <c r="G783" s="363"/>
    </row>
    <row r="784" spans="7:7" ht="15.75" customHeight="1">
      <c r="G784" s="363"/>
    </row>
    <row r="785" spans="7:7" ht="15.75" customHeight="1">
      <c r="G785" s="363"/>
    </row>
    <row r="786" spans="7:7" ht="15.75" customHeight="1">
      <c r="G786" s="363"/>
    </row>
    <row r="787" spans="7:7" ht="15.75" customHeight="1">
      <c r="G787" s="363"/>
    </row>
    <row r="788" spans="7:7" ht="15.75" customHeight="1">
      <c r="G788" s="363"/>
    </row>
    <row r="789" spans="7:7" ht="15.75" customHeight="1">
      <c r="G789" s="363"/>
    </row>
    <row r="790" spans="7:7" ht="15.75" customHeight="1">
      <c r="G790" s="363"/>
    </row>
    <row r="791" spans="7:7" ht="15.75" customHeight="1">
      <c r="G791" s="363"/>
    </row>
    <row r="792" spans="7:7" ht="15.75" customHeight="1">
      <c r="G792" s="363"/>
    </row>
    <row r="793" spans="7:7" ht="15.75" customHeight="1">
      <c r="G793" s="363"/>
    </row>
    <row r="794" spans="7:7" ht="15.75" customHeight="1">
      <c r="G794" s="363"/>
    </row>
    <row r="795" spans="7:7" ht="15.75" customHeight="1">
      <c r="G795" s="363"/>
    </row>
    <row r="796" spans="7:7" ht="15.75" customHeight="1">
      <c r="G796" s="363"/>
    </row>
    <row r="797" spans="7:7" ht="15.75" customHeight="1">
      <c r="G797" s="363"/>
    </row>
    <row r="798" spans="7:7" ht="15.75" customHeight="1">
      <c r="G798" s="363"/>
    </row>
    <row r="799" spans="7:7" ht="15.75" customHeight="1">
      <c r="G799" s="363"/>
    </row>
    <row r="800" spans="7:7" ht="15.75" customHeight="1">
      <c r="G800" s="363"/>
    </row>
    <row r="801" spans="7:7" ht="15.75" customHeight="1">
      <c r="G801" s="363"/>
    </row>
    <row r="802" spans="7:7" ht="15.75" customHeight="1">
      <c r="G802" s="363"/>
    </row>
    <row r="803" spans="7:7" ht="15.75" customHeight="1">
      <c r="G803" s="363"/>
    </row>
    <row r="804" spans="7:7" ht="15.75" customHeight="1">
      <c r="G804" s="363"/>
    </row>
    <row r="805" spans="7:7" ht="15.75" customHeight="1">
      <c r="G805" s="363"/>
    </row>
    <row r="806" spans="7:7" ht="15.75" customHeight="1">
      <c r="G806" s="363"/>
    </row>
    <row r="807" spans="7:7" ht="15.75" customHeight="1">
      <c r="G807" s="363"/>
    </row>
    <row r="808" spans="7:7" ht="15.75" customHeight="1">
      <c r="G808" s="363"/>
    </row>
    <row r="809" spans="7:7" ht="15.75" customHeight="1">
      <c r="G809" s="363"/>
    </row>
    <row r="810" spans="7:7" ht="15.75" customHeight="1">
      <c r="G810" s="363"/>
    </row>
    <row r="811" spans="7:7" ht="15.75" customHeight="1">
      <c r="G811" s="363"/>
    </row>
    <row r="812" spans="7:7" ht="15.75" customHeight="1">
      <c r="G812" s="363"/>
    </row>
    <row r="813" spans="7:7" ht="15.75" customHeight="1">
      <c r="G813" s="363"/>
    </row>
    <row r="814" spans="7:7" ht="15.75" customHeight="1">
      <c r="G814" s="363"/>
    </row>
    <row r="815" spans="7:7" ht="15.75" customHeight="1">
      <c r="G815" s="363"/>
    </row>
    <row r="816" spans="7:7" ht="15.75" customHeight="1">
      <c r="G816" s="363"/>
    </row>
    <row r="817" spans="7:7" ht="15.75" customHeight="1">
      <c r="G817" s="363"/>
    </row>
    <row r="818" spans="7:7" ht="15.75" customHeight="1">
      <c r="G818" s="363"/>
    </row>
    <row r="819" spans="7:7" ht="15.75" customHeight="1">
      <c r="G819" s="363"/>
    </row>
    <row r="820" spans="7:7" ht="15.75" customHeight="1">
      <c r="G820" s="363"/>
    </row>
    <row r="821" spans="7:7" ht="15.75" customHeight="1">
      <c r="G821" s="363"/>
    </row>
    <row r="822" spans="7:7" ht="15.75" customHeight="1">
      <c r="G822" s="363"/>
    </row>
    <row r="823" spans="7:7" ht="15.75" customHeight="1">
      <c r="G823" s="363"/>
    </row>
    <row r="824" spans="7:7" ht="15.75" customHeight="1">
      <c r="G824" s="363"/>
    </row>
    <row r="825" spans="7:7" ht="15.75" customHeight="1">
      <c r="G825" s="363"/>
    </row>
    <row r="826" spans="7:7" ht="15.75" customHeight="1">
      <c r="G826" s="363"/>
    </row>
    <row r="827" spans="7:7" ht="15.75" customHeight="1">
      <c r="G827" s="363"/>
    </row>
    <row r="828" spans="7:7" ht="15.75" customHeight="1">
      <c r="G828" s="363"/>
    </row>
    <row r="829" spans="7:7" ht="15.75" customHeight="1">
      <c r="G829" s="363"/>
    </row>
    <row r="830" spans="7:7" ht="15.75" customHeight="1">
      <c r="G830" s="363"/>
    </row>
    <row r="831" spans="7:7" ht="15.75" customHeight="1">
      <c r="G831" s="363"/>
    </row>
    <row r="832" spans="7:7" ht="15.75" customHeight="1">
      <c r="G832" s="363"/>
    </row>
    <row r="833" spans="7:7" ht="15.75" customHeight="1">
      <c r="G833" s="363"/>
    </row>
    <row r="834" spans="7:7" ht="15.75" customHeight="1">
      <c r="G834" s="363"/>
    </row>
    <row r="835" spans="7:7" ht="15.75" customHeight="1">
      <c r="G835" s="363"/>
    </row>
    <row r="836" spans="7:7" ht="15.75" customHeight="1">
      <c r="G836" s="363"/>
    </row>
    <row r="837" spans="7:7" ht="15.75" customHeight="1">
      <c r="G837" s="363"/>
    </row>
    <row r="838" spans="7:7" ht="15.75" customHeight="1">
      <c r="G838" s="363"/>
    </row>
    <row r="839" spans="7:7" ht="15.75" customHeight="1">
      <c r="G839" s="363"/>
    </row>
    <row r="840" spans="7:7" ht="15.75" customHeight="1">
      <c r="G840" s="363"/>
    </row>
    <row r="841" spans="7:7" ht="15.75" customHeight="1">
      <c r="G841" s="363"/>
    </row>
    <row r="842" spans="7:7" ht="15.75" customHeight="1">
      <c r="G842" s="363"/>
    </row>
    <row r="843" spans="7:7" ht="15.75" customHeight="1">
      <c r="G843" s="363"/>
    </row>
    <row r="844" spans="7:7" ht="15.75" customHeight="1">
      <c r="G844" s="363"/>
    </row>
    <row r="845" spans="7:7" ht="15.75" customHeight="1">
      <c r="G845" s="363"/>
    </row>
    <row r="846" spans="7:7" ht="15.75" customHeight="1">
      <c r="G846" s="363"/>
    </row>
    <row r="847" spans="7:7" ht="15.75" customHeight="1">
      <c r="G847" s="363"/>
    </row>
    <row r="848" spans="7:7" ht="15.75" customHeight="1">
      <c r="G848" s="363"/>
    </row>
    <row r="849" spans="7:7" ht="15.75" customHeight="1">
      <c r="G849" s="363"/>
    </row>
    <row r="850" spans="7:7" ht="15.75" customHeight="1">
      <c r="G850" s="363"/>
    </row>
    <row r="851" spans="7:7" ht="15.75" customHeight="1">
      <c r="G851" s="363"/>
    </row>
    <row r="852" spans="7:7" ht="15.75" customHeight="1">
      <c r="G852" s="363"/>
    </row>
    <row r="853" spans="7:7" ht="15.75" customHeight="1">
      <c r="G853" s="363"/>
    </row>
    <row r="854" spans="7:7" ht="15.75" customHeight="1">
      <c r="G854" s="363"/>
    </row>
    <row r="855" spans="7:7" ht="15.75" customHeight="1">
      <c r="G855" s="363"/>
    </row>
    <row r="856" spans="7:7" ht="15.75" customHeight="1">
      <c r="G856" s="363"/>
    </row>
    <row r="857" spans="7:7" ht="15.75" customHeight="1">
      <c r="G857" s="363"/>
    </row>
    <row r="858" spans="7:7" ht="15.75" customHeight="1">
      <c r="G858" s="363"/>
    </row>
    <row r="859" spans="7:7" ht="15.75" customHeight="1">
      <c r="G859" s="363"/>
    </row>
    <row r="860" spans="7:7" ht="15.75" customHeight="1">
      <c r="G860" s="363"/>
    </row>
    <row r="861" spans="7:7" ht="15.75" customHeight="1">
      <c r="G861" s="363"/>
    </row>
    <row r="862" spans="7:7" ht="15.75" customHeight="1">
      <c r="G862" s="363"/>
    </row>
    <row r="863" spans="7:7" ht="15.75" customHeight="1">
      <c r="G863" s="363"/>
    </row>
    <row r="864" spans="7:7" ht="15.75" customHeight="1">
      <c r="G864" s="363"/>
    </row>
    <row r="865" spans="7:7" ht="15.75" customHeight="1">
      <c r="G865" s="363"/>
    </row>
    <row r="866" spans="7:7" ht="15.75" customHeight="1">
      <c r="G866" s="363"/>
    </row>
    <row r="867" spans="7:7" ht="15.75" customHeight="1">
      <c r="G867" s="363"/>
    </row>
    <row r="868" spans="7:7" ht="15.75" customHeight="1">
      <c r="G868" s="363"/>
    </row>
    <row r="869" spans="7:7" ht="15.75" customHeight="1">
      <c r="G869" s="363"/>
    </row>
    <row r="870" spans="7:7" ht="15.75" customHeight="1">
      <c r="G870" s="363"/>
    </row>
    <row r="871" spans="7:7" ht="15.75" customHeight="1">
      <c r="G871" s="363"/>
    </row>
    <row r="872" spans="7:7" ht="15.75" customHeight="1">
      <c r="G872" s="363"/>
    </row>
    <row r="873" spans="7:7" ht="15.75" customHeight="1">
      <c r="G873" s="363"/>
    </row>
    <row r="874" spans="7:7" ht="15.75" customHeight="1">
      <c r="G874" s="363"/>
    </row>
    <row r="875" spans="7:7" ht="15.75" customHeight="1">
      <c r="G875" s="363"/>
    </row>
    <row r="876" spans="7:7" ht="15.75" customHeight="1">
      <c r="G876" s="363"/>
    </row>
    <row r="877" spans="7:7" ht="15.75" customHeight="1">
      <c r="G877" s="363"/>
    </row>
    <row r="878" spans="7:7" ht="15.75" customHeight="1">
      <c r="G878" s="363"/>
    </row>
    <row r="879" spans="7:7" ht="15.75" customHeight="1">
      <c r="G879" s="363"/>
    </row>
    <row r="880" spans="7:7" ht="15.75" customHeight="1">
      <c r="G880" s="363"/>
    </row>
    <row r="881" spans="7:7" ht="15.75" customHeight="1">
      <c r="G881" s="363"/>
    </row>
    <row r="882" spans="7:7" ht="15.75" customHeight="1">
      <c r="G882" s="363"/>
    </row>
    <row r="883" spans="7:7" ht="15.75" customHeight="1">
      <c r="G883" s="363"/>
    </row>
    <row r="884" spans="7:7" ht="15.75" customHeight="1">
      <c r="G884" s="363"/>
    </row>
    <row r="885" spans="7:7" ht="15.75" customHeight="1">
      <c r="G885" s="363"/>
    </row>
    <row r="886" spans="7:7" ht="15.75" customHeight="1">
      <c r="G886" s="363"/>
    </row>
    <row r="887" spans="7:7" ht="15.75" customHeight="1">
      <c r="G887" s="363"/>
    </row>
    <row r="888" spans="7:7" ht="15.75" customHeight="1">
      <c r="G888" s="363"/>
    </row>
    <row r="889" spans="7:7" ht="15.75" customHeight="1">
      <c r="G889" s="363"/>
    </row>
    <row r="890" spans="7:7" ht="15.75" customHeight="1">
      <c r="G890" s="363"/>
    </row>
    <row r="891" spans="7:7" ht="15.75" customHeight="1">
      <c r="G891" s="363"/>
    </row>
    <row r="892" spans="7:7" ht="15.75" customHeight="1">
      <c r="G892" s="363"/>
    </row>
    <row r="893" spans="7:7" ht="15.75" customHeight="1">
      <c r="G893" s="363"/>
    </row>
    <row r="894" spans="7:7" ht="15.75" customHeight="1">
      <c r="G894" s="363"/>
    </row>
    <row r="895" spans="7:7" ht="15.75" customHeight="1">
      <c r="G895" s="363"/>
    </row>
    <row r="896" spans="7:7" ht="15.75" customHeight="1">
      <c r="G896" s="363"/>
    </row>
    <row r="897" spans="7:7" ht="15.75" customHeight="1">
      <c r="G897" s="363"/>
    </row>
    <row r="898" spans="7:7" ht="15.75" customHeight="1">
      <c r="G898" s="363"/>
    </row>
    <row r="899" spans="7:7" ht="15.75" customHeight="1">
      <c r="G899" s="363"/>
    </row>
    <row r="900" spans="7:7" ht="15.75" customHeight="1">
      <c r="G900" s="363"/>
    </row>
    <row r="901" spans="7:7" ht="15.75" customHeight="1">
      <c r="G901" s="363"/>
    </row>
    <row r="902" spans="7:7" ht="15.75" customHeight="1">
      <c r="G902" s="363"/>
    </row>
    <row r="903" spans="7:7" ht="15.75" customHeight="1">
      <c r="G903" s="363"/>
    </row>
    <row r="904" spans="7:7" ht="15.75" customHeight="1">
      <c r="G904" s="363"/>
    </row>
    <row r="905" spans="7:7" ht="15.75" customHeight="1">
      <c r="G905" s="363"/>
    </row>
    <row r="906" spans="7:7" ht="15.75" customHeight="1">
      <c r="G906" s="363"/>
    </row>
    <row r="907" spans="7:7" ht="15.75" customHeight="1">
      <c r="G907" s="363"/>
    </row>
    <row r="908" spans="7:7" ht="15.75" customHeight="1">
      <c r="G908" s="363"/>
    </row>
    <row r="909" spans="7:7" ht="15.75" customHeight="1">
      <c r="G909" s="363"/>
    </row>
    <row r="910" spans="7:7" ht="15.75" customHeight="1">
      <c r="G910" s="363"/>
    </row>
    <row r="911" spans="7:7" ht="15.75" customHeight="1">
      <c r="G911" s="363"/>
    </row>
    <row r="912" spans="7:7" ht="15.75" customHeight="1">
      <c r="G912" s="363"/>
    </row>
    <row r="913" spans="7:7" ht="15.75" customHeight="1">
      <c r="G913" s="363"/>
    </row>
    <row r="914" spans="7:7" ht="15.75" customHeight="1">
      <c r="G914" s="363"/>
    </row>
    <row r="915" spans="7:7" ht="15.75" customHeight="1">
      <c r="G915" s="363"/>
    </row>
    <row r="916" spans="7:7" ht="15.75" customHeight="1">
      <c r="G916" s="363"/>
    </row>
    <row r="917" spans="7:7" ht="15.75" customHeight="1">
      <c r="G917" s="363"/>
    </row>
    <row r="918" spans="7:7" ht="15.75" customHeight="1">
      <c r="G918" s="363"/>
    </row>
    <row r="919" spans="7:7" ht="15.75" customHeight="1">
      <c r="G919" s="363"/>
    </row>
    <row r="920" spans="7:7" ht="15.75" customHeight="1">
      <c r="G920" s="363"/>
    </row>
    <row r="921" spans="7:7" ht="15.75" customHeight="1">
      <c r="G921" s="363"/>
    </row>
    <row r="922" spans="7:7" ht="15.75" customHeight="1">
      <c r="G922" s="363"/>
    </row>
    <row r="923" spans="7:7" ht="15.75" customHeight="1">
      <c r="G923" s="363"/>
    </row>
    <row r="924" spans="7:7" ht="15.75" customHeight="1">
      <c r="G924" s="363"/>
    </row>
    <row r="925" spans="7:7" ht="15.75" customHeight="1">
      <c r="G925" s="363"/>
    </row>
    <row r="926" spans="7:7" ht="15.75" customHeight="1">
      <c r="G926" s="363"/>
    </row>
    <row r="927" spans="7:7" ht="15.75" customHeight="1">
      <c r="G927" s="363"/>
    </row>
    <row r="928" spans="7:7" ht="15.75" customHeight="1">
      <c r="G928" s="363"/>
    </row>
    <row r="929" spans="7:7" ht="15.75" customHeight="1">
      <c r="G929" s="363"/>
    </row>
    <row r="930" spans="7:7" ht="15.75" customHeight="1">
      <c r="G930" s="363"/>
    </row>
    <row r="931" spans="7:7" ht="15.75" customHeight="1">
      <c r="G931" s="363"/>
    </row>
    <row r="932" spans="7:7" ht="15.75" customHeight="1">
      <c r="G932" s="363"/>
    </row>
    <row r="933" spans="7:7" ht="15.75" customHeight="1">
      <c r="G933" s="363"/>
    </row>
    <row r="934" spans="7:7" ht="15.75" customHeight="1">
      <c r="G934" s="363"/>
    </row>
    <row r="935" spans="7:7" ht="15.75" customHeight="1">
      <c r="G935" s="363"/>
    </row>
    <row r="936" spans="7:7" ht="15.75" customHeight="1">
      <c r="G936" s="363"/>
    </row>
    <row r="937" spans="7:7" ht="15.75" customHeight="1">
      <c r="G937" s="363"/>
    </row>
    <row r="938" spans="7:7" ht="15.75" customHeight="1">
      <c r="G938" s="363"/>
    </row>
    <row r="939" spans="7:7" ht="15.75" customHeight="1">
      <c r="G939" s="363"/>
    </row>
    <row r="940" spans="7:7" ht="15.75" customHeight="1">
      <c r="G940" s="363"/>
    </row>
    <row r="941" spans="7:7" ht="15.75" customHeight="1">
      <c r="G941" s="363"/>
    </row>
    <row r="942" spans="7:7" ht="15.75" customHeight="1">
      <c r="G942" s="363"/>
    </row>
    <row r="943" spans="7:7" ht="15.75" customHeight="1">
      <c r="G943" s="363"/>
    </row>
    <row r="944" spans="7:7" ht="15.75" customHeight="1">
      <c r="G944" s="363"/>
    </row>
    <row r="945" spans="7:7" ht="15.75" customHeight="1">
      <c r="G945" s="363"/>
    </row>
    <row r="946" spans="7:7" ht="15.75" customHeight="1">
      <c r="G946" s="363"/>
    </row>
    <row r="947" spans="7:7" ht="15.75" customHeight="1">
      <c r="G947" s="363"/>
    </row>
    <row r="948" spans="7:7" ht="15.75" customHeight="1">
      <c r="G948" s="363"/>
    </row>
    <row r="949" spans="7:7" ht="15.75" customHeight="1">
      <c r="G949" s="363"/>
    </row>
    <row r="950" spans="7:7" ht="15.75" customHeight="1">
      <c r="G950" s="363"/>
    </row>
    <row r="951" spans="7:7" ht="15.75" customHeight="1">
      <c r="G951" s="363"/>
    </row>
    <row r="952" spans="7:7" ht="15.75" customHeight="1">
      <c r="G952" s="363"/>
    </row>
    <row r="953" spans="7:7" ht="15.75" customHeight="1">
      <c r="G953" s="363"/>
    </row>
    <row r="954" spans="7:7" ht="15.75" customHeight="1">
      <c r="G954" s="363"/>
    </row>
    <row r="955" spans="7:7" ht="15.75" customHeight="1">
      <c r="G955" s="363"/>
    </row>
    <row r="956" spans="7:7" ht="15.75" customHeight="1">
      <c r="G956" s="363"/>
    </row>
    <row r="957" spans="7:7" ht="15.75" customHeight="1">
      <c r="G957" s="363"/>
    </row>
    <row r="958" spans="7:7" ht="15.75" customHeight="1">
      <c r="G958" s="363"/>
    </row>
    <row r="959" spans="7:7" ht="15.75" customHeight="1">
      <c r="G959" s="363"/>
    </row>
    <row r="960" spans="7:7" ht="15.75" customHeight="1">
      <c r="G960" s="363"/>
    </row>
    <row r="961" spans="7:7" ht="15.75" customHeight="1">
      <c r="G961" s="363"/>
    </row>
    <row r="962" spans="7:7" ht="15.75" customHeight="1">
      <c r="G962" s="363"/>
    </row>
    <row r="963" spans="7:7" ht="15.75" customHeight="1">
      <c r="G963" s="363"/>
    </row>
    <row r="964" spans="7:7" ht="15.75" customHeight="1">
      <c r="G964" s="363"/>
    </row>
    <row r="965" spans="7:7" ht="15.75" customHeight="1">
      <c r="G965" s="363"/>
    </row>
    <row r="966" spans="7:7" ht="15.75" customHeight="1">
      <c r="G966" s="363"/>
    </row>
    <row r="967" spans="7:7" ht="15.75" customHeight="1">
      <c r="G967" s="363"/>
    </row>
    <row r="968" spans="7:7" ht="15.75" customHeight="1">
      <c r="G968" s="363"/>
    </row>
    <row r="969" spans="7:7" ht="15.75" customHeight="1">
      <c r="G969" s="363"/>
    </row>
    <row r="970" spans="7:7" ht="15.75" customHeight="1">
      <c r="G970" s="363"/>
    </row>
    <row r="971" spans="7:7" ht="15.75" customHeight="1">
      <c r="G971" s="363"/>
    </row>
    <row r="972" spans="7:7" ht="15.75" customHeight="1">
      <c r="G972" s="363"/>
    </row>
    <row r="973" spans="7:7" ht="15.75" customHeight="1">
      <c r="G973" s="363"/>
    </row>
    <row r="974" spans="7:7" ht="15.75" customHeight="1">
      <c r="G974" s="363"/>
    </row>
    <row r="975" spans="7:7" ht="15.75" customHeight="1">
      <c r="G975" s="363"/>
    </row>
    <row r="976" spans="7:7" ht="15.75" customHeight="1">
      <c r="G976" s="363"/>
    </row>
    <row r="977" spans="7:7" ht="15.75" customHeight="1">
      <c r="G977" s="363"/>
    </row>
    <row r="978" spans="7:7" ht="15.75" customHeight="1">
      <c r="G978" s="363"/>
    </row>
    <row r="979" spans="7:7" ht="15.75" customHeight="1">
      <c r="G979" s="363"/>
    </row>
    <row r="980" spans="7:7" ht="15.75" customHeight="1">
      <c r="G980" s="363"/>
    </row>
    <row r="981" spans="7:7" ht="15.75" customHeight="1">
      <c r="G981" s="363"/>
    </row>
    <row r="982" spans="7:7" ht="15.75" customHeight="1">
      <c r="G982" s="363"/>
    </row>
    <row r="983" spans="7:7" ht="15.75" customHeight="1">
      <c r="G983" s="363"/>
    </row>
    <row r="984" spans="7:7" ht="15.75" customHeight="1">
      <c r="G984" s="363"/>
    </row>
    <row r="985" spans="7:7" ht="15.75" customHeight="1">
      <c r="G985" s="363"/>
    </row>
    <row r="986" spans="7:7" ht="15.75" customHeight="1">
      <c r="G986" s="363"/>
    </row>
    <row r="987" spans="7:7" ht="15.75" customHeight="1">
      <c r="G987" s="363"/>
    </row>
    <row r="988" spans="7:7" ht="15.75" customHeight="1">
      <c r="G988" s="363"/>
    </row>
    <row r="989" spans="7:7" ht="15.75" customHeight="1">
      <c r="G989" s="363"/>
    </row>
    <row r="990" spans="7:7" ht="15.75" customHeight="1">
      <c r="G990" s="363"/>
    </row>
    <row r="991" spans="7:7" ht="15.75" customHeight="1">
      <c r="G991" s="363"/>
    </row>
    <row r="992" spans="7:7" ht="15.75" customHeight="1">
      <c r="G992" s="363"/>
    </row>
    <row r="993" spans="7:7" ht="15.75" customHeight="1">
      <c r="G993" s="363"/>
    </row>
    <row r="994" spans="7:7" ht="15.75" customHeight="1">
      <c r="G994" s="363"/>
    </row>
    <row r="995" spans="7:7" ht="15.75" customHeight="1">
      <c r="G995" s="363"/>
    </row>
    <row r="996" spans="7:7" ht="15.75" customHeight="1">
      <c r="G996" s="363"/>
    </row>
    <row r="997" spans="7:7" ht="15.75" customHeight="1">
      <c r="G997" s="363"/>
    </row>
    <row r="998" spans="7:7" ht="15.75" customHeight="1">
      <c r="G998" s="363"/>
    </row>
    <row r="999" spans="7:7" ht="15.75" customHeight="1">
      <c r="G999" s="363"/>
    </row>
    <row r="1000" spans="7:7" ht="15.75" customHeight="1">
      <c r="G1000" s="363"/>
    </row>
    <row r="1001" spans="7:7" ht="15.75" customHeight="1">
      <c r="G1001" s="363"/>
    </row>
    <row r="1002" spans="7:7" ht="15.75" customHeight="1">
      <c r="G1002" s="363"/>
    </row>
    <row r="1003" spans="7:7" ht="15.75" customHeight="1">
      <c r="G1003" s="363"/>
    </row>
    <row r="1004" spans="7:7" ht="15.75" customHeight="1">
      <c r="G1004" s="363"/>
    </row>
    <row r="1005" spans="7:7" ht="15.75" customHeight="1">
      <c r="G1005" s="363"/>
    </row>
    <row r="1006" spans="7:7" ht="15.75" customHeight="1">
      <c r="G1006" s="363"/>
    </row>
    <row r="1007" spans="7:7" ht="15.75" customHeight="1">
      <c r="G1007" s="363"/>
    </row>
    <row r="1008" spans="7:7" ht="15.75" customHeight="1">
      <c r="G1008" s="363"/>
    </row>
    <row r="1009" spans="7:7" ht="15.75" customHeight="1">
      <c r="G1009" s="363"/>
    </row>
    <row r="1010" spans="7:7" ht="15.75" customHeight="1">
      <c r="G1010" s="363"/>
    </row>
    <row r="1011" spans="7:7" ht="15.75" customHeight="1">
      <c r="G1011" s="363"/>
    </row>
    <row r="1012" spans="7:7" ht="15.75" customHeight="1">
      <c r="G1012" s="363"/>
    </row>
    <row r="1013" spans="7:7" ht="15.75" customHeight="1">
      <c r="G1013" s="363"/>
    </row>
    <row r="1014" spans="7:7" ht="15.75" customHeight="1">
      <c r="G1014" s="363"/>
    </row>
    <row r="1015" spans="7:7" ht="15.75" customHeight="1">
      <c r="G1015" s="363"/>
    </row>
    <row r="1016" spans="7:7" ht="15.75" customHeight="1">
      <c r="G1016" s="363"/>
    </row>
    <row r="1017" spans="7:7" ht="15.75" customHeight="1">
      <c r="G1017" s="363"/>
    </row>
    <row r="1018" spans="7:7" ht="15.75" customHeight="1">
      <c r="G1018" s="363"/>
    </row>
    <row r="1019" spans="7:7" ht="15.75" customHeight="1">
      <c r="G1019" s="363"/>
    </row>
    <row r="1020" spans="7:7" ht="15.75" customHeight="1">
      <c r="G1020" s="363"/>
    </row>
    <row r="1021" spans="7:7" ht="15.75" customHeight="1">
      <c r="G1021" s="363"/>
    </row>
    <row r="1022" spans="7:7" ht="15.75" customHeight="1">
      <c r="G1022" s="363"/>
    </row>
    <row r="1023" spans="7:7" ht="15.75" customHeight="1">
      <c r="G1023" s="363"/>
    </row>
    <row r="1024" spans="7:7" ht="15.75" customHeight="1">
      <c r="G1024" s="363"/>
    </row>
    <row r="1025" spans="7:7" ht="15.75" customHeight="1">
      <c r="G1025" s="363"/>
    </row>
    <row r="1026" spans="7:7" ht="15.75" customHeight="1">
      <c r="G1026" s="363"/>
    </row>
    <row r="1027" spans="7:7" ht="15.75" customHeight="1">
      <c r="G1027" s="363"/>
    </row>
    <row r="1028" spans="7:7" ht="15.75" customHeight="1">
      <c r="G1028" s="363"/>
    </row>
    <row r="1029" spans="7:7" ht="15.75" customHeight="1">
      <c r="G1029" s="363"/>
    </row>
    <row r="1030" spans="7:7" ht="15.75" customHeight="1">
      <c r="G1030" s="363"/>
    </row>
    <row r="1031" spans="7:7" ht="15.75" customHeight="1">
      <c r="G1031" s="363"/>
    </row>
    <row r="1032" spans="7:7" ht="15.75" customHeight="1">
      <c r="G1032" s="363"/>
    </row>
    <row r="1033" spans="7:7" ht="15.75" customHeight="1">
      <c r="G1033" s="363"/>
    </row>
    <row r="1034" spans="7:7" ht="15.75" customHeight="1">
      <c r="G1034" s="363"/>
    </row>
    <row r="1035" spans="7:7" ht="15.75" customHeight="1">
      <c r="G1035" s="363"/>
    </row>
    <row r="1036" spans="7:7" ht="15.75" customHeight="1">
      <c r="G1036" s="363"/>
    </row>
    <row r="1037" spans="7:7" ht="15.75" customHeight="1">
      <c r="G1037" s="363"/>
    </row>
    <row r="1038" spans="7:7" ht="15.75" customHeight="1">
      <c r="G1038" s="363"/>
    </row>
    <row r="1039" spans="7:7" ht="15.75" customHeight="1">
      <c r="G1039" s="363"/>
    </row>
    <row r="1040" spans="7:7" ht="15.75" customHeight="1">
      <c r="G1040" s="363"/>
    </row>
    <row r="1041" spans="7:7" ht="15.75" customHeight="1">
      <c r="G1041" s="363"/>
    </row>
    <row r="1042" spans="7:7" ht="15.75" customHeight="1">
      <c r="G1042" s="363"/>
    </row>
  </sheetData>
  <mergeCells count="75">
    <mergeCell ref="B12:G12"/>
    <mergeCell ref="A1:E1"/>
    <mergeCell ref="F1:G1"/>
    <mergeCell ref="A2:G2"/>
    <mergeCell ref="B4:G4"/>
    <mergeCell ref="B5:G5"/>
    <mergeCell ref="B6:G6"/>
    <mergeCell ref="B7:G7"/>
    <mergeCell ref="B8:G8"/>
    <mergeCell ref="B9:G9"/>
    <mergeCell ref="B10:G10"/>
    <mergeCell ref="B11:G11"/>
    <mergeCell ref="A25:A26"/>
    <mergeCell ref="B25:C26"/>
    <mergeCell ref="D25:F25"/>
    <mergeCell ref="A18:G18"/>
    <mergeCell ref="B19:E19"/>
    <mergeCell ref="F19:G19"/>
    <mergeCell ref="B20:E20"/>
    <mergeCell ref="F20:G20"/>
    <mergeCell ref="B21:E21"/>
    <mergeCell ref="F21:G21"/>
    <mergeCell ref="B32:C32"/>
    <mergeCell ref="B22:E22"/>
    <mergeCell ref="F22:G22"/>
    <mergeCell ref="B23:E23"/>
    <mergeCell ref="F23:G23"/>
    <mergeCell ref="B27:F27"/>
    <mergeCell ref="B28:C28"/>
    <mergeCell ref="B29:C29"/>
    <mergeCell ref="B30:C30"/>
    <mergeCell ref="B31:C31"/>
    <mergeCell ref="B45:C45"/>
    <mergeCell ref="B33:C33"/>
    <mergeCell ref="B34:C34"/>
    <mergeCell ref="B35:C35"/>
    <mergeCell ref="B36:C36"/>
    <mergeCell ref="B37:C37"/>
    <mergeCell ref="B38:C38"/>
    <mergeCell ref="B39:C39"/>
    <mergeCell ref="B41:C41"/>
    <mergeCell ref="B42:C42"/>
    <mergeCell ref="B43:C43"/>
    <mergeCell ref="B44:C44"/>
    <mergeCell ref="B59:C59"/>
    <mergeCell ref="B46:C46"/>
    <mergeCell ref="B47:C47"/>
    <mergeCell ref="B48:C48"/>
    <mergeCell ref="B49:C49"/>
    <mergeCell ref="B51:C51"/>
    <mergeCell ref="B52:C52"/>
    <mergeCell ref="B53:C53"/>
    <mergeCell ref="B54:C54"/>
    <mergeCell ref="B55:C55"/>
    <mergeCell ref="B57:C57"/>
    <mergeCell ref="B58:C58"/>
    <mergeCell ref="B71:C71"/>
    <mergeCell ref="B60:C60"/>
    <mergeCell ref="B61:C61"/>
    <mergeCell ref="B62:C62"/>
    <mergeCell ref="B63:C63"/>
    <mergeCell ref="B64:C64"/>
    <mergeCell ref="B65:C65"/>
    <mergeCell ref="B66:C66"/>
    <mergeCell ref="B67:C67"/>
    <mergeCell ref="B68:C68"/>
    <mergeCell ref="B69:C69"/>
    <mergeCell ref="B70:C70"/>
    <mergeCell ref="C82:G82"/>
    <mergeCell ref="B72:C72"/>
    <mergeCell ref="A73:F73"/>
    <mergeCell ref="B74:C74"/>
    <mergeCell ref="C75:G75"/>
    <mergeCell ref="C76:G76"/>
    <mergeCell ref="C81:G8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8"/>
  <sheetViews>
    <sheetView workbookViewId="0">
      <selection sqref="A1:E1"/>
    </sheetView>
  </sheetViews>
  <sheetFormatPr defaultColWidth="14.42578125" defaultRowHeight="15" customHeight="1"/>
  <cols>
    <col min="1" max="1" width="18.42578125" bestFit="1" customWidth="1"/>
    <col min="2" max="2" width="18.85546875" customWidth="1"/>
    <col min="3" max="3" width="33.5703125" customWidth="1"/>
    <col min="4" max="4" width="10" customWidth="1"/>
    <col min="5" max="5" width="9.42578125" customWidth="1"/>
    <col min="6" max="6" width="13.140625" customWidth="1"/>
    <col min="7" max="7" width="14.5703125" customWidth="1"/>
    <col min="8" max="26" width="8.7109375" customWidth="1"/>
  </cols>
  <sheetData>
    <row r="1" spans="1:7" ht="44.25" customHeight="1">
      <c r="A1" s="714" t="s">
        <v>0</v>
      </c>
      <c r="B1" s="715"/>
      <c r="C1" s="715"/>
      <c r="D1" s="715"/>
      <c r="E1" s="716"/>
      <c r="F1" s="717" t="s">
        <v>1</v>
      </c>
      <c r="G1" s="718"/>
    </row>
    <row r="2" spans="1:7" s="27" customFormat="1">
      <c r="A2" s="719" t="s">
        <v>47</v>
      </c>
      <c r="B2" s="720"/>
      <c r="C2" s="720"/>
      <c r="D2" s="720"/>
      <c r="E2" s="720"/>
      <c r="F2" s="720"/>
      <c r="G2" s="721"/>
    </row>
    <row r="3" spans="1:7">
      <c r="A3" s="1"/>
      <c r="B3" s="1"/>
      <c r="C3" s="1"/>
      <c r="D3" s="1"/>
      <c r="E3" s="1"/>
      <c r="F3" s="1"/>
      <c r="G3" s="1"/>
    </row>
    <row r="4" spans="1:7" ht="14.25" customHeight="1">
      <c r="A4" s="2" t="s">
        <v>2</v>
      </c>
      <c r="B4" s="722" t="s">
        <v>3</v>
      </c>
      <c r="C4" s="638"/>
      <c r="D4" s="638"/>
      <c r="E4" s="638"/>
      <c r="F4" s="638"/>
      <c r="G4" s="638"/>
    </row>
    <row r="5" spans="1:7" ht="14.25" customHeight="1">
      <c r="A5" s="2" t="s">
        <v>4</v>
      </c>
      <c r="B5" s="722" t="s">
        <v>5</v>
      </c>
      <c r="C5" s="638"/>
      <c r="D5" s="638"/>
      <c r="E5" s="638"/>
      <c r="F5" s="638"/>
      <c r="G5" s="638"/>
    </row>
    <row r="6" spans="1:7" ht="14.25" customHeight="1">
      <c r="A6" s="2" t="s">
        <v>6</v>
      </c>
      <c r="B6" s="722" t="s">
        <v>15</v>
      </c>
      <c r="C6" s="638"/>
      <c r="D6" s="638"/>
      <c r="E6" s="638"/>
      <c r="F6" s="638"/>
      <c r="G6" s="638"/>
    </row>
    <row r="7" spans="1:7" ht="14.25" customHeight="1">
      <c r="A7" s="2" t="s">
        <v>7</v>
      </c>
      <c r="B7" s="722" t="s">
        <v>15</v>
      </c>
      <c r="C7" s="638"/>
      <c r="D7" s="638"/>
      <c r="E7" s="638"/>
      <c r="F7" s="638"/>
      <c r="G7" s="638"/>
    </row>
    <row r="8" spans="1:7" ht="14.25" customHeight="1">
      <c r="A8" s="2" t="s">
        <v>8</v>
      </c>
      <c r="B8" s="722" t="s">
        <v>15</v>
      </c>
      <c r="C8" s="638"/>
      <c r="D8" s="638"/>
      <c r="E8" s="638"/>
      <c r="F8" s="638"/>
      <c r="G8" s="638"/>
    </row>
    <row r="9" spans="1:7" ht="14.25" customHeight="1">
      <c r="A9" s="2" t="s">
        <v>9</v>
      </c>
      <c r="B9" s="723" t="s">
        <v>15</v>
      </c>
      <c r="C9" s="638"/>
      <c r="D9" s="638"/>
      <c r="E9" s="638"/>
      <c r="F9" s="638"/>
      <c r="G9" s="638"/>
    </row>
    <row r="10" spans="1:7" ht="14.25" customHeight="1">
      <c r="A10" s="2" t="s">
        <v>10</v>
      </c>
      <c r="B10" s="722" t="s">
        <v>15</v>
      </c>
      <c r="C10" s="638"/>
      <c r="D10" s="638"/>
      <c r="E10" s="638"/>
      <c r="F10" s="638"/>
      <c r="G10" s="638"/>
    </row>
    <row r="11" spans="1:7" ht="14.25" customHeight="1">
      <c r="A11" s="2" t="s">
        <v>11</v>
      </c>
      <c r="B11" s="722" t="s">
        <v>15</v>
      </c>
      <c r="C11" s="638"/>
      <c r="D11" s="638"/>
      <c r="E11" s="638"/>
      <c r="F11" s="638"/>
      <c r="G11" s="638"/>
    </row>
    <row r="12" spans="1:7" ht="14.25" customHeight="1">
      <c r="A12" s="2" t="s">
        <v>12</v>
      </c>
      <c r="B12" s="722" t="s">
        <v>13</v>
      </c>
      <c r="C12" s="638"/>
      <c r="D12" s="638"/>
      <c r="E12" s="638"/>
      <c r="F12" s="638"/>
      <c r="G12" s="638"/>
    </row>
    <row r="13" spans="1:7" ht="14.25" customHeight="1">
      <c r="A13" s="2" t="s">
        <v>14</v>
      </c>
      <c r="B13" s="2" t="s">
        <v>15</v>
      </c>
    </row>
    <row r="14" spans="1:7" ht="14.25" customHeight="1">
      <c r="A14" t="s">
        <v>46</v>
      </c>
      <c r="B14" s="2" t="s">
        <v>16</v>
      </c>
    </row>
    <row r="15" spans="1:7" ht="14.25" customHeight="1">
      <c r="A15" t="s">
        <v>48</v>
      </c>
      <c r="B15" t="s">
        <v>15</v>
      </c>
    </row>
    <row r="16" spans="1:7" ht="14.25" customHeight="1">
      <c r="A16" t="s">
        <v>49</v>
      </c>
      <c r="B16" t="s">
        <v>15</v>
      </c>
    </row>
    <row r="17" spans="1:7">
      <c r="C17" s="4"/>
      <c r="D17" s="4"/>
      <c r="E17" s="4"/>
      <c r="F17" s="4"/>
      <c r="G17" s="4"/>
    </row>
    <row r="18" spans="1:7">
      <c r="A18" s="724" t="s">
        <v>17</v>
      </c>
      <c r="B18" s="715"/>
      <c r="C18" s="715"/>
      <c r="D18" s="715"/>
      <c r="E18" s="715"/>
      <c r="F18" s="715"/>
      <c r="G18" s="718"/>
    </row>
    <row r="19" spans="1:7" ht="14.25" customHeight="1">
      <c r="A19" s="5" t="s">
        <v>18</v>
      </c>
      <c r="B19" s="725" t="s">
        <v>19</v>
      </c>
      <c r="C19" s="727"/>
      <c r="D19" s="727"/>
      <c r="E19" s="728"/>
      <c r="F19" s="725" t="s">
        <v>20</v>
      </c>
      <c r="G19" s="726"/>
    </row>
    <row r="20" spans="1:7">
      <c r="A20" s="6" t="s">
        <v>21</v>
      </c>
      <c r="B20" s="729"/>
      <c r="C20" s="727"/>
      <c r="D20" s="727"/>
      <c r="E20" s="728"/>
      <c r="F20" s="729"/>
      <c r="G20" s="726"/>
    </row>
    <row r="21" spans="1:7" ht="14.25" customHeight="1">
      <c r="A21" s="6" t="s">
        <v>22</v>
      </c>
      <c r="B21" s="729"/>
      <c r="C21" s="727"/>
      <c r="D21" s="727"/>
      <c r="E21" s="728"/>
      <c r="F21" s="730"/>
      <c r="G21" s="726"/>
    </row>
    <row r="22" spans="1:7" ht="15.75" customHeight="1">
      <c r="A22" s="6" t="s">
        <v>23</v>
      </c>
      <c r="B22" s="729"/>
      <c r="C22" s="727"/>
      <c r="D22" s="727"/>
      <c r="E22" s="728"/>
      <c r="F22" s="731"/>
      <c r="G22" s="726"/>
    </row>
    <row r="23" spans="1:7" ht="15.75" customHeight="1">
      <c r="A23" s="7" t="s">
        <v>24</v>
      </c>
      <c r="B23" s="735"/>
      <c r="C23" s="736"/>
      <c r="D23" s="736"/>
      <c r="E23" s="737"/>
      <c r="F23" s="738"/>
      <c r="G23" s="739"/>
    </row>
    <row r="24" spans="1:7" ht="6" customHeight="1">
      <c r="B24" s="4"/>
      <c r="C24" s="4"/>
      <c r="D24" s="4"/>
      <c r="E24" s="4"/>
      <c r="F24" s="4"/>
      <c r="G24" s="4"/>
    </row>
    <row r="25" spans="1:7" ht="14.25" customHeight="1">
      <c r="A25" s="744" t="s">
        <v>25</v>
      </c>
      <c r="B25" s="746" t="s">
        <v>26</v>
      </c>
      <c r="C25" s="747"/>
      <c r="D25" s="750" t="s">
        <v>27</v>
      </c>
      <c r="E25" s="715"/>
      <c r="F25" s="716"/>
      <c r="G25" s="8" t="s">
        <v>28</v>
      </c>
    </row>
    <row r="26" spans="1:7" ht="15.75" customHeight="1">
      <c r="A26" s="745"/>
      <c r="B26" s="748"/>
      <c r="C26" s="749"/>
      <c r="D26" s="30" t="s">
        <v>29</v>
      </c>
      <c r="E26" s="30" t="s">
        <v>30</v>
      </c>
      <c r="F26" s="30" t="s">
        <v>31</v>
      </c>
      <c r="G26" s="9" t="s">
        <v>32</v>
      </c>
    </row>
    <row r="27" spans="1:7" ht="15.75" customHeight="1">
      <c r="A27" s="34"/>
      <c r="B27" s="751"/>
      <c r="C27" s="752"/>
      <c r="D27" s="752"/>
      <c r="E27" s="752"/>
      <c r="F27" s="752"/>
      <c r="G27" s="28"/>
    </row>
    <row r="28" spans="1:7" ht="17.25" customHeight="1">
      <c r="A28" s="34"/>
      <c r="B28" s="35"/>
      <c r="C28" s="36"/>
      <c r="D28" s="36"/>
      <c r="E28" s="36"/>
      <c r="F28" s="36"/>
      <c r="G28" s="28"/>
    </row>
    <row r="29" spans="1:7" ht="17.25" customHeight="1">
      <c r="A29" s="34"/>
      <c r="B29" s="35"/>
      <c r="C29" s="36"/>
      <c r="D29" s="36"/>
      <c r="E29" s="36"/>
      <c r="F29" s="36"/>
      <c r="G29" s="28"/>
    </row>
    <row r="30" spans="1:7" ht="17.25" customHeight="1">
      <c r="A30" s="34"/>
      <c r="B30" s="35"/>
      <c r="C30" s="36"/>
      <c r="D30" s="36"/>
      <c r="E30" s="36"/>
      <c r="F30" s="36"/>
      <c r="G30" s="28"/>
    </row>
    <row r="31" spans="1:7" ht="17.25" customHeight="1">
      <c r="A31" s="34"/>
      <c r="B31" s="35"/>
      <c r="C31" s="36"/>
      <c r="D31" s="36"/>
      <c r="E31" s="36"/>
      <c r="F31" s="36"/>
      <c r="G31" s="28"/>
    </row>
    <row r="32" spans="1:7" ht="17.25" customHeight="1">
      <c r="A32" s="34"/>
      <c r="B32" s="35"/>
      <c r="C32" s="36"/>
      <c r="D32" s="36"/>
      <c r="E32" s="36"/>
      <c r="F32" s="36"/>
      <c r="G32" s="28"/>
    </row>
    <row r="33" spans="1:26" ht="17.25" customHeight="1">
      <c r="A33" s="34"/>
      <c r="B33" s="35"/>
      <c r="C33" s="36"/>
      <c r="D33" s="36"/>
      <c r="E33" s="36"/>
      <c r="F33" s="36"/>
      <c r="G33" s="28"/>
    </row>
    <row r="34" spans="1:26" ht="17.25" customHeight="1">
      <c r="A34" s="34"/>
      <c r="B34" s="35"/>
      <c r="C34" s="36"/>
      <c r="D34" s="36"/>
      <c r="E34" s="36"/>
      <c r="F34" s="36"/>
      <c r="G34" s="28"/>
    </row>
    <row r="35" spans="1:26" ht="17.25" customHeight="1">
      <c r="A35" s="34"/>
      <c r="B35" s="35"/>
      <c r="C35" s="36"/>
      <c r="D35" s="36"/>
      <c r="E35" s="36"/>
      <c r="F35" s="36"/>
      <c r="G35" s="28"/>
    </row>
    <row r="36" spans="1:26" ht="17.25" customHeight="1">
      <c r="A36" s="34"/>
      <c r="B36" s="35"/>
      <c r="C36" s="36"/>
      <c r="D36" s="36"/>
      <c r="E36" s="36"/>
      <c r="F36" s="36"/>
      <c r="G36" s="28"/>
    </row>
    <row r="37" spans="1:26" ht="17.25" customHeight="1">
      <c r="A37" s="34"/>
      <c r="B37" s="35"/>
      <c r="C37" s="36"/>
      <c r="D37" s="36"/>
      <c r="E37" s="36"/>
      <c r="F37" s="36"/>
      <c r="G37" s="28"/>
    </row>
    <row r="38" spans="1:26" ht="17.25" customHeight="1">
      <c r="A38" s="34"/>
      <c r="B38" s="35"/>
      <c r="C38" s="36"/>
      <c r="D38" s="36"/>
      <c r="E38" s="36"/>
      <c r="F38" s="36"/>
      <c r="G38" s="28"/>
    </row>
    <row r="39" spans="1:26" ht="17.25" customHeight="1">
      <c r="A39" s="34"/>
      <c r="B39" s="35"/>
      <c r="C39" s="36"/>
      <c r="D39" s="36"/>
      <c r="E39" s="36"/>
      <c r="F39" s="36"/>
      <c r="G39" s="28"/>
    </row>
    <row r="40" spans="1:26" ht="17.25" customHeight="1">
      <c r="A40" s="34"/>
      <c r="B40" s="35"/>
      <c r="C40" s="36"/>
      <c r="D40" s="36"/>
      <c r="E40" s="36"/>
      <c r="F40" s="36"/>
      <c r="G40" s="28"/>
    </row>
    <row r="41" spans="1:26" ht="17.25" customHeight="1">
      <c r="A41" s="34"/>
      <c r="B41" s="35"/>
      <c r="C41" s="36"/>
      <c r="D41" s="36"/>
      <c r="E41" s="36"/>
      <c r="F41" s="36"/>
      <c r="G41" s="28"/>
    </row>
    <row r="42" spans="1:26" ht="17.25" customHeight="1">
      <c r="A42" s="34"/>
      <c r="B42" s="35"/>
      <c r="C42" s="36"/>
      <c r="D42" s="36"/>
      <c r="E42" s="36"/>
      <c r="F42" s="36"/>
      <c r="G42" s="28"/>
    </row>
    <row r="43" spans="1:26" ht="17.25" customHeight="1">
      <c r="A43" s="34"/>
      <c r="B43" s="35"/>
      <c r="C43" s="36"/>
      <c r="D43" s="36"/>
      <c r="E43" s="36"/>
      <c r="F43" s="36"/>
      <c r="G43" s="28"/>
    </row>
    <row r="44" spans="1:26" ht="17.25" customHeight="1">
      <c r="A44" s="34"/>
      <c r="B44" s="35"/>
      <c r="C44" s="36"/>
      <c r="D44" s="36"/>
      <c r="E44" s="36"/>
      <c r="F44" s="36"/>
      <c r="G44" s="28"/>
    </row>
    <row r="45" spans="1:26" ht="17.25" customHeight="1">
      <c r="A45" s="34"/>
      <c r="B45" s="35"/>
      <c r="C45" s="36"/>
      <c r="D45" s="36"/>
      <c r="E45" s="36"/>
      <c r="F45" s="36"/>
      <c r="G45" s="28"/>
    </row>
    <row r="46" spans="1:26" ht="17.25" customHeight="1">
      <c r="A46" s="34"/>
      <c r="B46" s="753"/>
      <c r="C46" s="752"/>
      <c r="D46" s="34"/>
      <c r="E46" s="34"/>
      <c r="F46" s="34"/>
      <c r="G46" s="29"/>
    </row>
    <row r="47" spans="1:26" ht="17.25" customHeight="1">
      <c r="A47" s="31"/>
      <c r="B47" s="740"/>
      <c r="C47" s="741"/>
      <c r="D47" s="32"/>
      <c r="E47" s="33"/>
      <c r="F47" s="33"/>
      <c r="G47" s="10"/>
      <c r="H47" s="3"/>
      <c r="I47" s="3"/>
      <c r="J47" s="3"/>
      <c r="K47" s="3"/>
      <c r="L47" s="3"/>
      <c r="M47" s="3"/>
      <c r="N47" s="3"/>
      <c r="O47" s="3"/>
      <c r="P47" s="3"/>
      <c r="Q47" s="3"/>
      <c r="R47" s="3"/>
      <c r="S47" s="3"/>
      <c r="T47" s="3"/>
      <c r="U47" s="3"/>
      <c r="V47" s="3"/>
      <c r="W47" s="3"/>
      <c r="X47" s="3"/>
      <c r="Y47" s="3"/>
      <c r="Z47" s="3"/>
    </row>
    <row r="48" spans="1:26" ht="17.25" customHeight="1">
      <c r="A48" s="11"/>
      <c r="B48" s="742"/>
      <c r="C48" s="728"/>
      <c r="D48" s="12"/>
      <c r="E48" s="13"/>
      <c r="F48" s="13"/>
      <c r="G48" s="14"/>
    </row>
    <row r="49" spans="1:26" ht="15.75" customHeight="1">
      <c r="A49" s="743" t="s">
        <v>33</v>
      </c>
      <c r="B49" s="736"/>
      <c r="C49" s="736"/>
      <c r="D49" s="736"/>
      <c r="E49" s="736"/>
      <c r="F49" s="737"/>
      <c r="G49" s="15">
        <f>G46</f>
        <v>0</v>
      </c>
      <c r="H49" s="16"/>
      <c r="I49" s="16"/>
      <c r="J49" s="16"/>
      <c r="K49" s="16"/>
      <c r="L49" s="16"/>
      <c r="M49" s="16"/>
      <c r="N49" s="16"/>
      <c r="O49" s="16"/>
      <c r="P49" s="16"/>
      <c r="Q49" s="16"/>
      <c r="R49" s="16"/>
      <c r="S49" s="16"/>
      <c r="T49" s="16"/>
      <c r="U49" s="16"/>
      <c r="V49" s="16"/>
      <c r="W49" s="16"/>
      <c r="X49" s="16"/>
      <c r="Y49" s="16"/>
      <c r="Z49" s="16"/>
    </row>
    <row r="50" spans="1:26" ht="15.75" customHeight="1">
      <c r="A50" s="11"/>
      <c r="B50" s="742"/>
      <c r="C50" s="728"/>
      <c r="D50" s="17"/>
      <c r="E50" s="13"/>
      <c r="F50" s="13"/>
      <c r="G50" s="14">
        <f>D50*F50</f>
        <v>0</v>
      </c>
    </row>
    <row r="51" spans="1:26" ht="15.75" customHeight="1">
      <c r="A51" s="6" t="s">
        <v>34</v>
      </c>
      <c r="B51" s="18"/>
      <c r="C51" s="732" t="s">
        <v>50</v>
      </c>
      <c r="D51" s="638"/>
      <c r="E51" s="638"/>
      <c r="F51" s="638"/>
      <c r="G51" s="733"/>
    </row>
    <row r="52" spans="1:26" ht="15.75" customHeight="1">
      <c r="A52" s="6" t="s">
        <v>35</v>
      </c>
      <c r="B52" s="18"/>
      <c r="C52" s="732" t="s">
        <v>51</v>
      </c>
      <c r="D52" s="638"/>
      <c r="E52" s="638"/>
      <c r="F52" s="638"/>
      <c r="G52" s="733"/>
    </row>
    <row r="53" spans="1:26" ht="15.75" customHeight="1">
      <c r="A53" s="6" t="s">
        <v>36</v>
      </c>
      <c r="B53" s="18"/>
      <c r="C53" s="19"/>
      <c r="G53" s="20"/>
    </row>
    <row r="54" spans="1:26" ht="15.75" customHeight="1">
      <c r="A54" s="6" t="s">
        <v>37</v>
      </c>
      <c r="B54" s="18"/>
      <c r="C54" s="19"/>
      <c r="G54" s="20"/>
    </row>
    <row r="55" spans="1:26" ht="15.75" customHeight="1">
      <c r="A55" s="6" t="s">
        <v>38</v>
      </c>
      <c r="B55" s="18"/>
      <c r="C55" s="19"/>
      <c r="G55" s="20"/>
    </row>
    <row r="56" spans="1:26" ht="15.75" customHeight="1">
      <c r="A56" s="6" t="s">
        <v>39</v>
      </c>
      <c r="B56" s="18"/>
      <c r="C56" s="19"/>
      <c r="G56" s="20"/>
    </row>
    <row r="57" spans="1:26" ht="15.75" customHeight="1">
      <c r="A57" s="6" t="s">
        <v>40</v>
      </c>
      <c r="B57" s="18"/>
      <c r="C57" s="734"/>
      <c r="D57" s="638"/>
      <c r="E57" s="638"/>
      <c r="F57" s="638"/>
      <c r="G57" s="733"/>
    </row>
    <row r="58" spans="1:26" ht="15.75" customHeight="1">
      <c r="A58" s="6" t="s">
        <v>41</v>
      </c>
      <c r="B58" s="18"/>
      <c r="C58" s="732"/>
      <c r="D58" s="638"/>
      <c r="E58" s="638"/>
      <c r="F58" s="638"/>
      <c r="G58" s="733"/>
    </row>
    <row r="59" spans="1:26" ht="15.75" customHeight="1">
      <c r="A59" s="6" t="s">
        <v>42</v>
      </c>
      <c r="B59" s="18"/>
      <c r="C59" s="19"/>
      <c r="G59" s="20"/>
    </row>
    <row r="60" spans="1:26" ht="15.75" customHeight="1">
      <c r="A60" s="6" t="s">
        <v>43</v>
      </c>
      <c r="B60" s="18"/>
      <c r="C60" s="19"/>
      <c r="G60" s="20"/>
    </row>
    <row r="61" spans="1:26" ht="15.75" customHeight="1">
      <c r="A61" s="6" t="s">
        <v>44</v>
      </c>
      <c r="B61" s="18"/>
      <c r="C61" s="19"/>
      <c r="G61" s="20"/>
    </row>
    <row r="62" spans="1:26" ht="15.75" customHeight="1">
      <c r="A62" s="6" t="s">
        <v>45</v>
      </c>
      <c r="B62" s="18"/>
      <c r="C62" s="19"/>
      <c r="G62" s="20"/>
    </row>
    <row r="63" spans="1:26" ht="15.75" customHeight="1">
      <c r="A63" s="21" t="s">
        <v>28</v>
      </c>
      <c r="B63" s="22">
        <f>SUM(B51:B62)</f>
        <v>0</v>
      </c>
      <c r="C63" s="23"/>
      <c r="D63" s="24"/>
      <c r="E63" s="24"/>
      <c r="F63" s="24"/>
      <c r="G63" s="25"/>
    </row>
    <row r="64" spans="1:26" ht="15.75" customHeight="1">
      <c r="G64" s="26"/>
    </row>
    <row r="65" spans="7:7" ht="15.75" customHeight="1">
      <c r="G65" s="26"/>
    </row>
    <row r="66" spans="7:7" ht="15.75" customHeight="1">
      <c r="G66" s="26"/>
    </row>
    <row r="67" spans="7:7" ht="15.75" customHeight="1">
      <c r="G67" s="26"/>
    </row>
    <row r="68" spans="7:7" ht="15.75" customHeight="1">
      <c r="G68" s="26"/>
    </row>
    <row r="69" spans="7:7" ht="15.75" customHeight="1">
      <c r="G69" s="26"/>
    </row>
    <row r="70" spans="7:7" ht="15.75" customHeight="1">
      <c r="G70" s="26"/>
    </row>
    <row r="71" spans="7:7" ht="15.75" customHeight="1">
      <c r="G71" s="26"/>
    </row>
    <row r="72" spans="7:7" ht="15.75" customHeight="1">
      <c r="G72" s="26"/>
    </row>
    <row r="73" spans="7:7" ht="15.75" customHeight="1">
      <c r="G73" s="26"/>
    </row>
    <row r="74" spans="7:7" ht="15.75" customHeight="1">
      <c r="G74" s="26"/>
    </row>
    <row r="75" spans="7:7" ht="15.75" customHeight="1">
      <c r="G75" s="26"/>
    </row>
    <row r="76" spans="7:7" ht="15.75" customHeight="1">
      <c r="G76" s="26"/>
    </row>
    <row r="77" spans="7:7" ht="15.75" customHeight="1">
      <c r="G77" s="26"/>
    </row>
    <row r="78" spans="7:7" ht="15.75" customHeight="1">
      <c r="G78" s="26"/>
    </row>
    <row r="79" spans="7:7" ht="15.75" customHeight="1">
      <c r="G79" s="26"/>
    </row>
    <row r="80" spans="7:7" ht="15.75" customHeight="1">
      <c r="G80" s="26"/>
    </row>
    <row r="81" spans="7:7" ht="15.75" customHeight="1">
      <c r="G81" s="26"/>
    </row>
    <row r="82" spans="7:7" ht="15.75" customHeight="1">
      <c r="G82" s="26"/>
    </row>
    <row r="83" spans="7:7" ht="15.75" customHeight="1">
      <c r="G83" s="26"/>
    </row>
    <row r="84" spans="7:7" ht="15.75" customHeight="1">
      <c r="G84" s="26"/>
    </row>
    <row r="85" spans="7:7" ht="15.75" customHeight="1">
      <c r="G85" s="26"/>
    </row>
    <row r="86" spans="7:7" ht="15.75" customHeight="1">
      <c r="G86" s="26"/>
    </row>
    <row r="87" spans="7:7" ht="15.75" customHeight="1">
      <c r="G87" s="26"/>
    </row>
    <row r="88" spans="7:7" ht="15.75" customHeight="1">
      <c r="G88" s="26"/>
    </row>
    <row r="89" spans="7:7" ht="15.75" customHeight="1">
      <c r="G89" s="26"/>
    </row>
    <row r="90" spans="7:7" ht="15.75" customHeight="1">
      <c r="G90" s="26"/>
    </row>
    <row r="91" spans="7:7" ht="15.75" customHeight="1">
      <c r="G91" s="26"/>
    </row>
    <row r="92" spans="7:7" ht="15.75" customHeight="1">
      <c r="G92" s="26"/>
    </row>
    <row r="93" spans="7:7" ht="15.75" customHeight="1">
      <c r="G93" s="26"/>
    </row>
    <row r="94" spans="7:7" ht="15.75" customHeight="1">
      <c r="G94" s="26"/>
    </row>
    <row r="95" spans="7:7" ht="15.75" customHeight="1">
      <c r="G95" s="26"/>
    </row>
    <row r="96" spans="7:7" ht="15.75" customHeight="1">
      <c r="G96" s="26"/>
    </row>
    <row r="97" spans="7:7" ht="15.75" customHeight="1">
      <c r="G97" s="26"/>
    </row>
    <row r="98" spans="7:7" ht="15.75" customHeight="1">
      <c r="G98" s="26"/>
    </row>
    <row r="99" spans="7:7" ht="15.75" customHeight="1">
      <c r="G99" s="26"/>
    </row>
    <row r="100" spans="7:7" ht="15.75" customHeight="1">
      <c r="G100" s="26"/>
    </row>
    <row r="101" spans="7:7" ht="15.75" customHeight="1">
      <c r="G101" s="26"/>
    </row>
    <row r="102" spans="7:7" ht="15.75" customHeight="1">
      <c r="G102" s="26"/>
    </row>
    <row r="103" spans="7:7" ht="15.75" customHeight="1">
      <c r="G103" s="26"/>
    </row>
    <row r="104" spans="7:7" ht="15.75" customHeight="1">
      <c r="G104" s="26"/>
    </row>
    <row r="105" spans="7:7" ht="15.75" customHeight="1">
      <c r="G105" s="26"/>
    </row>
    <row r="106" spans="7:7" ht="15.75" customHeight="1">
      <c r="G106" s="26"/>
    </row>
    <row r="107" spans="7:7" ht="15.75" customHeight="1">
      <c r="G107" s="26"/>
    </row>
    <row r="108" spans="7:7" ht="15.75" customHeight="1">
      <c r="G108" s="26"/>
    </row>
    <row r="109" spans="7:7" ht="15.75" customHeight="1">
      <c r="G109" s="26"/>
    </row>
    <row r="110" spans="7:7" ht="15.75" customHeight="1">
      <c r="G110" s="26"/>
    </row>
    <row r="111" spans="7:7" ht="15.75" customHeight="1">
      <c r="G111" s="26"/>
    </row>
    <row r="112" spans="7:7" ht="15.75" customHeight="1">
      <c r="G112" s="26"/>
    </row>
    <row r="113" spans="7:7" ht="15.75" customHeight="1">
      <c r="G113" s="26"/>
    </row>
    <row r="114" spans="7:7" ht="15.75" customHeight="1">
      <c r="G114" s="26"/>
    </row>
    <row r="115" spans="7:7" ht="15.75" customHeight="1">
      <c r="G115" s="26"/>
    </row>
    <row r="116" spans="7:7" ht="15.75" customHeight="1">
      <c r="G116" s="26"/>
    </row>
    <row r="117" spans="7:7" ht="15.75" customHeight="1">
      <c r="G117" s="26"/>
    </row>
    <row r="118" spans="7:7" ht="15.75" customHeight="1">
      <c r="G118" s="26"/>
    </row>
    <row r="119" spans="7:7" ht="15.75" customHeight="1">
      <c r="G119" s="26"/>
    </row>
    <row r="120" spans="7:7" ht="15.75" customHeight="1">
      <c r="G120" s="26"/>
    </row>
    <row r="121" spans="7:7" ht="15.75" customHeight="1">
      <c r="G121" s="26"/>
    </row>
    <row r="122" spans="7:7" ht="15.75" customHeight="1">
      <c r="G122" s="26"/>
    </row>
    <row r="123" spans="7:7" ht="15.75" customHeight="1">
      <c r="G123" s="26"/>
    </row>
    <row r="124" spans="7:7" ht="15.75" customHeight="1">
      <c r="G124" s="26"/>
    </row>
    <row r="125" spans="7:7" ht="15.75" customHeight="1">
      <c r="G125" s="26"/>
    </row>
    <row r="126" spans="7:7" ht="15.75" customHeight="1">
      <c r="G126" s="26"/>
    </row>
    <row r="127" spans="7:7" ht="15.75" customHeight="1">
      <c r="G127" s="26"/>
    </row>
    <row r="128" spans="7:7" ht="15.75" customHeight="1">
      <c r="G128" s="26"/>
    </row>
    <row r="129" spans="7:7" ht="15.75" customHeight="1">
      <c r="G129" s="26"/>
    </row>
    <row r="130" spans="7:7" ht="15.75" customHeight="1">
      <c r="G130" s="26"/>
    </row>
    <row r="131" spans="7:7" ht="15.75" customHeight="1">
      <c r="G131" s="26"/>
    </row>
    <row r="132" spans="7:7" ht="15.75" customHeight="1">
      <c r="G132" s="26"/>
    </row>
    <row r="133" spans="7:7" ht="15.75" customHeight="1">
      <c r="G133" s="26"/>
    </row>
    <row r="134" spans="7:7" ht="15.75" customHeight="1">
      <c r="G134" s="26"/>
    </row>
    <row r="135" spans="7:7" ht="15.75" customHeight="1">
      <c r="G135" s="26"/>
    </row>
    <row r="136" spans="7:7" ht="15.75" customHeight="1">
      <c r="G136" s="26"/>
    </row>
    <row r="137" spans="7:7" ht="15.75" customHeight="1">
      <c r="G137" s="26"/>
    </row>
    <row r="138" spans="7:7" ht="15.75" customHeight="1">
      <c r="G138" s="26"/>
    </row>
    <row r="139" spans="7:7" ht="15.75" customHeight="1">
      <c r="G139" s="26"/>
    </row>
    <row r="140" spans="7:7" ht="15.75" customHeight="1">
      <c r="G140" s="26"/>
    </row>
    <row r="141" spans="7:7" ht="15.75" customHeight="1">
      <c r="G141" s="26"/>
    </row>
    <row r="142" spans="7:7" ht="15.75" customHeight="1">
      <c r="G142" s="26"/>
    </row>
    <row r="143" spans="7:7" ht="15.75" customHeight="1">
      <c r="G143" s="26"/>
    </row>
    <row r="144" spans="7:7" ht="15.75" customHeight="1">
      <c r="G144" s="26"/>
    </row>
    <row r="145" spans="7:7" ht="15.75" customHeight="1">
      <c r="G145" s="26"/>
    </row>
    <row r="146" spans="7:7" ht="15.75" customHeight="1">
      <c r="G146" s="26"/>
    </row>
    <row r="147" spans="7:7" ht="15.75" customHeight="1">
      <c r="G147" s="26"/>
    </row>
    <row r="148" spans="7:7" ht="15.75" customHeight="1">
      <c r="G148" s="26"/>
    </row>
    <row r="149" spans="7:7" ht="15.75" customHeight="1">
      <c r="G149" s="26"/>
    </row>
    <row r="150" spans="7:7" ht="15.75" customHeight="1">
      <c r="G150" s="26"/>
    </row>
    <row r="151" spans="7:7" ht="15.75" customHeight="1">
      <c r="G151" s="26"/>
    </row>
    <row r="152" spans="7:7" ht="15.75" customHeight="1">
      <c r="G152" s="26"/>
    </row>
    <row r="153" spans="7:7" ht="15.75" customHeight="1">
      <c r="G153" s="26"/>
    </row>
    <row r="154" spans="7:7" ht="15.75" customHeight="1">
      <c r="G154" s="26"/>
    </row>
    <row r="155" spans="7:7" ht="15.75" customHeight="1">
      <c r="G155" s="26"/>
    </row>
    <row r="156" spans="7:7" ht="15.75" customHeight="1">
      <c r="G156" s="26"/>
    </row>
    <row r="157" spans="7:7" ht="15.75" customHeight="1">
      <c r="G157" s="26"/>
    </row>
    <row r="158" spans="7:7" ht="15.75" customHeight="1">
      <c r="G158" s="26"/>
    </row>
    <row r="159" spans="7:7" ht="15.75" customHeight="1">
      <c r="G159" s="26"/>
    </row>
    <row r="160" spans="7:7" ht="15.75" customHeight="1">
      <c r="G160" s="26"/>
    </row>
    <row r="161" spans="7:7" ht="15.75" customHeight="1">
      <c r="G161" s="26"/>
    </row>
    <row r="162" spans="7:7" ht="15.75" customHeight="1">
      <c r="G162" s="26"/>
    </row>
    <row r="163" spans="7:7" ht="15.75" customHeight="1">
      <c r="G163" s="26"/>
    </row>
    <row r="164" spans="7:7" ht="15.75" customHeight="1">
      <c r="G164" s="26"/>
    </row>
    <row r="165" spans="7:7" ht="15.75" customHeight="1">
      <c r="G165" s="26"/>
    </row>
    <row r="166" spans="7:7" ht="15.75" customHeight="1">
      <c r="G166" s="26"/>
    </row>
    <row r="167" spans="7:7" ht="15.75" customHeight="1">
      <c r="G167" s="26"/>
    </row>
    <row r="168" spans="7:7" ht="15.75" customHeight="1">
      <c r="G168" s="26"/>
    </row>
    <row r="169" spans="7:7" ht="15.75" customHeight="1">
      <c r="G169" s="26"/>
    </row>
    <row r="170" spans="7:7" ht="15.75" customHeight="1">
      <c r="G170" s="26"/>
    </row>
    <row r="171" spans="7:7" ht="15.75" customHeight="1">
      <c r="G171" s="26"/>
    </row>
    <row r="172" spans="7:7" ht="15.75" customHeight="1">
      <c r="G172" s="26"/>
    </row>
    <row r="173" spans="7:7" ht="15.75" customHeight="1">
      <c r="G173" s="26"/>
    </row>
    <row r="174" spans="7:7" ht="15.75" customHeight="1">
      <c r="G174" s="26"/>
    </row>
    <row r="175" spans="7:7" ht="15.75" customHeight="1">
      <c r="G175" s="26"/>
    </row>
    <row r="176" spans="7:7" ht="15.75" customHeight="1">
      <c r="G176" s="26"/>
    </row>
    <row r="177" spans="7:7" ht="15.75" customHeight="1">
      <c r="G177" s="26"/>
    </row>
    <row r="178" spans="7:7" ht="15.75" customHeight="1">
      <c r="G178" s="26"/>
    </row>
    <row r="179" spans="7:7" ht="15.75" customHeight="1">
      <c r="G179" s="26"/>
    </row>
    <row r="180" spans="7:7" ht="15.75" customHeight="1">
      <c r="G180" s="26"/>
    </row>
    <row r="181" spans="7:7" ht="15.75" customHeight="1">
      <c r="G181" s="26"/>
    </row>
    <row r="182" spans="7:7" ht="15.75" customHeight="1">
      <c r="G182" s="26"/>
    </row>
    <row r="183" spans="7:7" ht="15.75" customHeight="1">
      <c r="G183" s="26"/>
    </row>
    <row r="184" spans="7:7" ht="15.75" customHeight="1">
      <c r="G184" s="26"/>
    </row>
    <row r="185" spans="7:7" ht="15.75" customHeight="1">
      <c r="G185" s="26"/>
    </row>
    <row r="186" spans="7:7" ht="15.75" customHeight="1">
      <c r="G186" s="26"/>
    </row>
    <row r="187" spans="7:7" ht="15.75" customHeight="1">
      <c r="G187" s="26"/>
    </row>
    <row r="188" spans="7:7" ht="15.75" customHeight="1">
      <c r="G188" s="26"/>
    </row>
    <row r="189" spans="7:7" ht="15.75" customHeight="1">
      <c r="G189" s="26"/>
    </row>
    <row r="190" spans="7:7" ht="15.75" customHeight="1">
      <c r="G190" s="26"/>
    </row>
    <row r="191" spans="7:7" ht="15.75" customHeight="1">
      <c r="G191" s="26"/>
    </row>
    <row r="192" spans="7:7" ht="15.75" customHeight="1">
      <c r="G192" s="26"/>
    </row>
    <row r="193" spans="7:7" ht="15.75" customHeight="1">
      <c r="G193" s="26"/>
    </row>
    <row r="194" spans="7:7" ht="15.75" customHeight="1">
      <c r="G194" s="26"/>
    </row>
    <row r="195" spans="7:7" ht="15.75" customHeight="1">
      <c r="G195" s="26"/>
    </row>
    <row r="196" spans="7:7" ht="15.75" customHeight="1">
      <c r="G196" s="26"/>
    </row>
    <row r="197" spans="7:7" ht="15.75" customHeight="1">
      <c r="G197" s="26"/>
    </row>
    <row r="198" spans="7:7" ht="15.75" customHeight="1">
      <c r="G198" s="26"/>
    </row>
    <row r="199" spans="7:7" ht="15.75" customHeight="1">
      <c r="G199" s="26"/>
    </row>
    <row r="200" spans="7:7" ht="15.75" customHeight="1">
      <c r="G200" s="26"/>
    </row>
    <row r="201" spans="7:7" ht="15.75" customHeight="1">
      <c r="G201" s="26"/>
    </row>
    <row r="202" spans="7:7" ht="15.75" customHeight="1">
      <c r="G202" s="26"/>
    </row>
    <row r="203" spans="7:7" ht="15.75" customHeight="1">
      <c r="G203" s="26"/>
    </row>
    <row r="204" spans="7:7" ht="15.75" customHeight="1">
      <c r="G204" s="26"/>
    </row>
    <row r="205" spans="7:7" ht="15.75" customHeight="1">
      <c r="G205" s="26"/>
    </row>
    <row r="206" spans="7:7" ht="15.75" customHeight="1">
      <c r="G206" s="26"/>
    </row>
    <row r="207" spans="7:7" ht="15.75" customHeight="1">
      <c r="G207" s="26"/>
    </row>
    <row r="208" spans="7:7" ht="15.75" customHeight="1">
      <c r="G208" s="26"/>
    </row>
    <row r="209" spans="7:7" ht="15.75" customHeight="1">
      <c r="G209" s="26"/>
    </row>
    <row r="210" spans="7:7" ht="15.75" customHeight="1">
      <c r="G210" s="26"/>
    </row>
    <row r="211" spans="7:7" ht="15.75" customHeight="1">
      <c r="G211" s="26"/>
    </row>
    <row r="212" spans="7:7" ht="15.75" customHeight="1">
      <c r="G212" s="26"/>
    </row>
    <row r="213" spans="7:7" ht="15.75" customHeight="1">
      <c r="G213" s="26"/>
    </row>
    <row r="214" spans="7:7" ht="15.75" customHeight="1">
      <c r="G214" s="26"/>
    </row>
    <row r="215" spans="7:7" ht="15.75" customHeight="1">
      <c r="G215" s="26"/>
    </row>
    <row r="216" spans="7:7" ht="15.75" customHeight="1">
      <c r="G216" s="26"/>
    </row>
    <row r="217" spans="7:7" ht="15.75" customHeight="1">
      <c r="G217" s="26"/>
    </row>
    <row r="218" spans="7:7" ht="15.75" customHeight="1">
      <c r="G218" s="26"/>
    </row>
    <row r="219" spans="7:7" ht="15.75" customHeight="1">
      <c r="G219" s="26"/>
    </row>
    <row r="220" spans="7:7" ht="15.75" customHeight="1">
      <c r="G220" s="26"/>
    </row>
    <row r="221" spans="7:7" ht="15.75" customHeight="1">
      <c r="G221" s="26"/>
    </row>
    <row r="222" spans="7:7" ht="15.75" customHeight="1">
      <c r="G222" s="26"/>
    </row>
    <row r="223" spans="7:7" ht="15.75" customHeight="1">
      <c r="G223" s="26"/>
    </row>
    <row r="224" spans="7:7" ht="15.75" customHeight="1">
      <c r="G224" s="26"/>
    </row>
    <row r="225" spans="7:7" ht="15.75" customHeight="1">
      <c r="G225" s="26"/>
    </row>
    <row r="226" spans="7:7" ht="15.75" customHeight="1">
      <c r="G226" s="26"/>
    </row>
    <row r="227" spans="7:7" ht="15.75" customHeight="1">
      <c r="G227" s="26"/>
    </row>
    <row r="228" spans="7:7" ht="15.75" customHeight="1">
      <c r="G228" s="26"/>
    </row>
    <row r="229" spans="7:7" ht="15.75" customHeight="1">
      <c r="G229" s="26"/>
    </row>
    <row r="230" spans="7:7" ht="15.75" customHeight="1">
      <c r="G230" s="26"/>
    </row>
    <row r="231" spans="7:7" ht="15.75" customHeight="1">
      <c r="G231" s="26"/>
    </row>
    <row r="232" spans="7:7" ht="15.75" customHeight="1">
      <c r="G232" s="26"/>
    </row>
    <row r="233" spans="7:7" ht="15.75" customHeight="1">
      <c r="G233" s="26"/>
    </row>
    <row r="234" spans="7:7" ht="15.75" customHeight="1">
      <c r="G234" s="26"/>
    </row>
    <row r="235" spans="7:7" ht="15.75" customHeight="1">
      <c r="G235" s="26"/>
    </row>
    <row r="236" spans="7:7" ht="15.75" customHeight="1">
      <c r="G236" s="26"/>
    </row>
    <row r="237" spans="7:7" ht="15.75" customHeight="1">
      <c r="G237" s="26"/>
    </row>
    <row r="238" spans="7:7" ht="15.75" customHeight="1">
      <c r="G238" s="26"/>
    </row>
    <row r="239" spans="7:7" ht="15.75" customHeight="1">
      <c r="G239" s="26"/>
    </row>
    <row r="240" spans="7:7" ht="15.75" customHeight="1">
      <c r="G240" s="26"/>
    </row>
    <row r="241" spans="7:7" ht="15.75" customHeight="1">
      <c r="G241" s="26"/>
    </row>
    <row r="242" spans="7:7" ht="15.75" customHeight="1">
      <c r="G242" s="26"/>
    </row>
    <row r="243" spans="7:7" ht="15.75" customHeight="1">
      <c r="G243" s="26"/>
    </row>
    <row r="244" spans="7:7" ht="15.75" customHeight="1">
      <c r="G244" s="26"/>
    </row>
    <row r="245" spans="7:7" ht="15.75" customHeight="1">
      <c r="G245" s="26"/>
    </row>
    <row r="246" spans="7:7" ht="15.75" customHeight="1">
      <c r="G246" s="26"/>
    </row>
    <row r="247" spans="7:7" ht="15.75" customHeight="1">
      <c r="G247" s="26"/>
    </row>
    <row r="248" spans="7:7" ht="15.75" customHeight="1">
      <c r="G248" s="26"/>
    </row>
    <row r="249" spans="7:7" ht="15.75" customHeight="1">
      <c r="G249" s="26"/>
    </row>
    <row r="250" spans="7:7" ht="15.75" customHeight="1">
      <c r="G250" s="26"/>
    </row>
    <row r="251" spans="7:7" ht="15.75" customHeight="1">
      <c r="G251" s="26"/>
    </row>
    <row r="252" spans="7:7" ht="15.75" customHeight="1">
      <c r="G252" s="26"/>
    </row>
    <row r="253" spans="7:7" ht="15.75" customHeight="1">
      <c r="G253" s="26"/>
    </row>
    <row r="254" spans="7:7" ht="15.75" customHeight="1">
      <c r="G254" s="26"/>
    </row>
    <row r="255" spans="7:7" ht="15.75" customHeight="1">
      <c r="G255" s="26"/>
    </row>
    <row r="256" spans="7:7" ht="15.75" customHeight="1">
      <c r="G256" s="26"/>
    </row>
    <row r="257" spans="7:7" ht="15.75" customHeight="1">
      <c r="G257" s="26"/>
    </row>
    <row r="258" spans="7:7" ht="15.75" customHeight="1">
      <c r="G258" s="26"/>
    </row>
    <row r="259" spans="7:7" ht="15.75" customHeight="1">
      <c r="G259" s="26"/>
    </row>
    <row r="260" spans="7:7" ht="15.75" customHeight="1">
      <c r="G260" s="26"/>
    </row>
    <row r="261" spans="7:7" ht="15.75" customHeight="1">
      <c r="G261" s="26"/>
    </row>
    <row r="262" spans="7:7" ht="15.75" customHeight="1">
      <c r="G262" s="26"/>
    </row>
    <row r="263" spans="7:7" ht="15.75" customHeight="1">
      <c r="G263" s="26"/>
    </row>
    <row r="264" spans="7:7" ht="15.75" customHeight="1">
      <c r="G264" s="26"/>
    </row>
    <row r="265" spans="7:7" ht="15.75" customHeight="1">
      <c r="G265" s="26"/>
    </row>
    <row r="266" spans="7:7" ht="15.75" customHeight="1">
      <c r="G266" s="26"/>
    </row>
    <row r="267" spans="7:7" ht="15.75" customHeight="1">
      <c r="G267" s="26"/>
    </row>
    <row r="268" spans="7:7" ht="15.75" customHeight="1">
      <c r="G268" s="26"/>
    </row>
    <row r="269" spans="7:7" ht="15.75" customHeight="1">
      <c r="G269" s="26"/>
    </row>
    <row r="270" spans="7:7" ht="15.75" customHeight="1">
      <c r="G270" s="26"/>
    </row>
    <row r="271" spans="7:7" ht="15.75" customHeight="1">
      <c r="G271" s="26"/>
    </row>
    <row r="272" spans="7:7" ht="15.75" customHeight="1">
      <c r="G272" s="26"/>
    </row>
    <row r="273" spans="7:7" ht="15.75" customHeight="1">
      <c r="G273" s="26"/>
    </row>
    <row r="274" spans="7:7" ht="15.75" customHeight="1">
      <c r="G274" s="26"/>
    </row>
    <row r="275" spans="7:7" ht="15.75" customHeight="1">
      <c r="G275" s="26"/>
    </row>
    <row r="276" spans="7:7" ht="15.75" customHeight="1">
      <c r="G276" s="26"/>
    </row>
    <row r="277" spans="7:7" ht="15.75" customHeight="1">
      <c r="G277" s="26"/>
    </row>
    <row r="278" spans="7:7" ht="15.75" customHeight="1">
      <c r="G278" s="26"/>
    </row>
    <row r="279" spans="7:7" ht="15.75" customHeight="1">
      <c r="G279" s="26"/>
    </row>
    <row r="280" spans="7:7" ht="15.75" customHeight="1">
      <c r="G280" s="26"/>
    </row>
    <row r="281" spans="7:7" ht="15.75" customHeight="1">
      <c r="G281" s="26"/>
    </row>
    <row r="282" spans="7:7" ht="15.75" customHeight="1">
      <c r="G282" s="26"/>
    </row>
    <row r="283" spans="7:7" ht="15.75" customHeight="1">
      <c r="G283" s="26"/>
    </row>
    <row r="284" spans="7:7" ht="15.75" customHeight="1">
      <c r="G284" s="26"/>
    </row>
    <row r="285" spans="7:7" ht="15.75" customHeight="1">
      <c r="G285" s="26"/>
    </row>
    <row r="286" spans="7:7" ht="15.75" customHeight="1">
      <c r="G286" s="26"/>
    </row>
    <row r="287" spans="7:7" ht="15.75" customHeight="1">
      <c r="G287" s="26"/>
    </row>
    <row r="288" spans="7:7" ht="15.75" customHeight="1">
      <c r="G288" s="26"/>
    </row>
    <row r="289" spans="7:7" ht="15.75" customHeight="1">
      <c r="G289" s="26"/>
    </row>
    <row r="290" spans="7:7" ht="15.75" customHeight="1">
      <c r="G290" s="26"/>
    </row>
    <row r="291" spans="7:7" ht="15.75" customHeight="1">
      <c r="G291" s="26"/>
    </row>
    <row r="292" spans="7:7" ht="15.75" customHeight="1">
      <c r="G292" s="26"/>
    </row>
    <row r="293" spans="7:7" ht="15.75" customHeight="1">
      <c r="G293" s="26"/>
    </row>
    <row r="294" spans="7:7" ht="15.75" customHeight="1">
      <c r="G294" s="26"/>
    </row>
    <row r="295" spans="7:7" ht="15.75" customHeight="1">
      <c r="G295" s="26"/>
    </row>
    <row r="296" spans="7:7" ht="15.75" customHeight="1">
      <c r="G296" s="26"/>
    </row>
    <row r="297" spans="7:7" ht="15.75" customHeight="1">
      <c r="G297" s="26"/>
    </row>
    <row r="298" spans="7:7" ht="15.75" customHeight="1">
      <c r="G298" s="26"/>
    </row>
    <row r="299" spans="7:7" ht="15.75" customHeight="1">
      <c r="G299" s="26"/>
    </row>
    <row r="300" spans="7:7" ht="15.75" customHeight="1">
      <c r="G300" s="26"/>
    </row>
    <row r="301" spans="7:7" ht="15.75" customHeight="1">
      <c r="G301" s="26"/>
    </row>
    <row r="302" spans="7:7" ht="15.75" customHeight="1">
      <c r="G302" s="26"/>
    </row>
    <row r="303" spans="7:7" ht="15.75" customHeight="1">
      <c r="G303" s="26"/>
    </row>
    <row r="304" spans="7:7" ht="15.75" customHeight="1">
      <c r="G304" s="26"/>
    </row>
    <row r="305" spans="7:7" ht="15.75" customHeight="1">
      <c r="G305" s="26"/>
    </row>
    <row r="306" spans="7:7" ht="15.75" customHeight="1">
      <c r="G306" s="26"/>
    </row>
    <row r="307" spans="7:7" ht="15.75" customHeight="1">
      <c r="G307" s="26"/>
    </row>
    <row r="308" spans="7:7" ht="15.75" customHeight="1">
      <c r="G308" s="26"/>
    </row>
    <row r="309" spans="7:7" ht="15.75" customHeight="1">
      <c r="G309" s="26"/>
    </row>
    <row r="310" spans="7:7" ht="15.75" customHeight="1">
      <c r="G310" s="26"/>
    </row>
    <row r="311" spans="7:7" ht="15.75" customHeight="1">
      <c r="G311" s="26"/>
    </row>
    <row r="312" spans="7:7" ht="15.75" customHeight="1">
      <c r="G312" s="26"/>
    </row>
    <row r="313" spans="7:7" ht="15.75" customHeight="1">
      <c r="G313" s="26"/>
    </row>
    <row r="314" spans="7:7" ht="15.75" customHeight="1">
      <c r="G314" s="26"/>
    </row>
    <row r="315" spans="7:7" ht="15.75" customHeight="1">
      <c r="G315" s="26"/>
    </row>
    <row r="316" spans="7:7" ht="15.75" customHeight="1">
      <c r="G316" s="26"/>
    </row>
    <row r="317" spans="7:7" ht="15.75" customHeight="1">
      <c r="G317" s="26"/>
    </row>
    <row r="318" spans="7:7" ht="15.75" customHeight="1">
      <c r="G318" s="26"/>
    </row>
    <row r="319" spans="7:7" ht="15.75" customHeight="1">
      <c r="G319" s="26"/>
    </row>
    <row r="320" spans="7:7" ht="15.75" customHeight="1">
      <c r="G320" s="26"/>
    </row>
    <row r="321" spans="7:7" ht="15.75" customHeight="1">
      <c r="G321" s="26"/>
    </row>
    <row r="322" spans="7:7" ht="15.75" customHeight="1">
      <c r="G322" s="26"/>
    </row>
    <row r="323" spans="7:7" ht="15.75" customHeight="1">
      <c r="G323" s="26"/>
    </row>
    <row r="324" spans="7:7" ht="15.75" customHeight="1">
      <c r="G324" s="26"/>
    </row>
    <row r="325" spans="7:7" ht="15.75" customHeight="1">
      <c r="G325" s="26"/>
    </row>
    <row r="326" spans="7:7" ht="15.75" customHeight="1">
      <c r="G326" s="26"/>
    </row>
    <row r="327" spans="7:7" ht="15.75" customHeight="1">
      <c r="G327" s="26"/>
    </row>
    <row r="328" spans="7:7" ht="15.75" customHeight="1">
      <c r="G328" s="26"/>
    </row>
    <row r="329" spans="7:7" ht="15.75" customHeight="1">
      <c r="G329" s="26"/>
    </row>
    <row r="330" spans="7:7" ht="15.75" customHeight="1">
      <c r="G330" s="26"/>
    </row>
    <row r="331" spans="7:7" ht="15.75" customHeight="1">
      <c r="G331" s="26"/>
    </row>
    <row r="332" spans="7:7" ht="15.75" customHeight="1">
      <c r="G332" s="26"/>
    </row>
    <row r="333" spans="7:7" ht="15.75" customHeight="1">
      <c r="G333" s="26"/>
    </row>
    <row r="334" spans="7:7" ht="15.75" customHeight="1">
      <c r="G334" s="26"/>
    </row>
    <row r="335" spans="7:7" ht="15.75" customHeight="1">
      <c r="G335" s="26"/>
    </row>
    <row r="336" spans="7:7" ht="15.75" customHeight="1">
      <c r="G336" s="26"/>
    </row>
    <row r="337" spans="7:7" ht="15.75" customHeight="1">
      <c r="G337" s="26"/>
    </row>
    <row r="338" spans="7:7" ht="15.75" customHeight="1">
      <c r="G338" s="26"/>
    </row>
    <row r="339" spans="7:7" ht="15.75" customHeight="1">
      <c r="G339" s="26"/>
    </row>
    <row r="340" spans="7:7" ht="15.75" customHeight="1">
      <c r="G340" s="26"/>
    </row>
    <row r="341" spans="7:7" ht="15.75" customHeight="1">
      <c r="G341" s="26"/>
    </row>
    <row r="342" spans="7:7" ht="15.75" customHeight="1">
      <c r="G342" s="26"/>
    </row>
    <row r="343" spans="7:7" ht="15.75" customHeight="1">
      <c r="G343" s="26"/>
    </row>
    <row r="344" spans="7:7" ht="15.75" customHeight="1">
      <c r="G344" s="26"/>
    </row>
    <row r="345" spans="7:7" ht="15.75" customHeight="1">
      <c r="G345" s="26"/>
    </row>
    <row r="346" spans="7:7" ht="15.75" customHeight="1">
      <c r="G346" s="26"/>
    </row>
    <row r="347" spans="7:7" ht="15.75" customHeight="1">
      <c r="G347" s="26"/>
    </row>
    <row r="348" spans="7:7" ht="15.75" customHeight="1">
      <c r="G348" s="26"/>
    </row>
    <row r="349" spans="7:7" ht="15.75" customHeight="1">
      <c r="G349" s="26"/>
    </row>
    <row r="350" spans="7:7" ht="15.75" customHeight="1">
      <c r="G350" s="26"/>
    </row>
    <row r="351" spans="7:7" ht="15.75" customHeight="1">
      <c r="G351" s="26"/>
    </row>
    <row r="352" spans="7:7" ht="15.75" customHeight="1">
      <c r="G352" s="26"/>
    </row>
    <row r="353" spans="7:7" ht="15.75" customHeight="1">
      <c r="G353" s="26"/>
    </row>
    <row r="354" spans="7:7" ht="15.75" customHeight="1">
      <c r="G354" s="26"/>
    </row>
    <row r="355" spans="7:7" ht="15.75" customHeight="1">
      <c r="G355" s="26"/>
    </row>
    <row r="356" spans="7:7" ht="15.75" customHeight="1">
      <c r="G356" s="26"/>
    </row>
    <row r="357" spans="7:7" ht="15.75" customHeight="1">
      <c r="G357" s="26"/>
    </row>
    <row r="358" spans="7:7" ht="15.75" customHeight="1">
      <c r="G358" s="26"/>
    </row>
    <row r="359" spans="7:7" ht="15.75" customHeight="1">
      <c r="G359" s="26"/>
    </row>
    <row r="360" spans="7:7" ht="15.75" customHeight="1">
      <c r="G360" s="26"/>
    </row>
    <row r="361" spans="7:7" ht="15.75" customHeight="1">
      <c r="G361" s="26"/>
    </row>
    <row r="362" spans="7:7" ht="15.75" customHeight="1">
      <c r="G362" s="26"/>
    </row>
    <row r="363" spans="7:7" ht="15.75" customHeight="1">
      <c r="G363" s="26"/>
    </row>
    <row r="364" spans="7:7" ht="15.75" customHeight="1">
      <c r="G364" s="26"/>
    </row>
    <row r="365" spans="7:7" ht="15.75" customHeight="1">
      <c r="G365" s="26"/>
    </row>
    <row r="366" spans="7:7" ht="15.75" customHeight="1">
      <c r="G366" s="26"/>
    </row>
    <row r="367" spans="7:7" ht="15.75" customHeight="1">
      <c r="G367" s="26"/>
    </row>
    <row r="368" spans="7:7" ht="15.75" customHeight="1">
      <c r="G368" s="26"/>
    </row>
    <row r="369" spans="7:7" ht="15.75" customHeight="1">
      <c r="G369" s="26"/>
    </row>
    <row r="370" spans="7:7" ht="15.75" customHeight="1">
      <c r="G370" s="26"/>
    </row>
    <row r="371" spans="7:7" ht="15.75" customHeight="1">
      <c r="G371" s="26"/>
    </row>
    <row r="372" spans="7:7" ht="15.75" customHeight="1">
      <c r="G372" s="26"/>
    </row>
    <row r="373" spans="7:7" ht="15.75" customHeight="1">
      <c r="G373" s="26"/>
    </row>
    <row r="374" spans="7:7" ht="15.75" customHeight="1">
      <c r="G374" s="26"/>
    </row>
    <row r="375" spans="7:7" ht="15.75" customHeight="1">
      <c r="G375" s="26"/>
    </row>
    <row r="376" spans="7:7" ht="15.75" customHeight="1">
      <c r="G376" s="26"/>
    </row>
    <row r="377" spans="7:7" ht="15.75" customHeight="1">
      <c r="G377" s="26"/>
    </row>
    <row r="378" spans="7:7" ht="15.75" customHeight="1">
      <c r="G378" s="26"/>
    </row>
    <row r="379" spans="7:7" ht="15.75" customHeight="1">
      <c r="G379" s="26"/>
    </row>
    <row r="380" spans="7:7" ht="15.75" customHeight="1">
      <c r="G380" s="26"/>
    </row>
    <row r="381" spans="7:7" ht="15.75" customHeight="1">
      <c r="G381" s="26"/>
    </row>
    <row r="382" spans="7:7" ht="15.75" customHeight="1">
      <c r="G382" s="26"/>
    </row>
    <row r="383" spans="7:7" ht="15.75" customHeight="1">
      <c r="G383" s="26"/>
    </row>
    <row r="384" spans="7:7" ht="15.75" customHeight="1">
      <c r="G384" s="26"/>
    </row>
    <row r="385" spans="7:7" ht="15.75" customHeight="1">
      <c r="G385" s="26"/>
    </row>
    <row r="386" spans="7:7" ht="15.75" customHeight="1">
      <c r="G386" s="26"/>
    </row>
    <row r="387" spans="7:7" ht="15.75" customHeight="1">
      <c r="G387" s="26"/>
    </row>
    <row r="388" spans="7:7" ht="15.75" customHeight="1">
      <c r="G388" s="26"/>
    </row>
    <row r="389" spans="7:7" ht="15.75" customHeight="1">
      <c r="G389" s="26"/>
    </row>
    <row r="390" spans="7:7" ht="15.75" customHeight="1">
      <c r="G390" s="26"/>
    </row>
    <row r="391" spans="7:7" ht="15.75" customHeight="1">
      <c r="G391" s="26"/>
    </row>
    <row r="392" spans="7:7" ht="15.75" customHeight="1">
      <c r="G392" s="26"/>
    </row>
    <row r="393" spans="7:7" ht="15.75" customHeight="1">
      <c r="G393" s="26"/>
    </row>
    <row r="394" spans="7:7" ht="15.75" customHeight="1">
      <c r="G394" s="26"/>
    </row>
    <row r="395" spans="7:7" ht="15.75" customHeight="1">
      <c r="G395" s="26"/>
    </row>
    <row r="396" spans="7:7" ht="15.75" customHeight="1">
      <c r="G396" s="26"/>
    </row>
    <row r="397" spans="7:7" ht="15.75" customHeight="1">
      <c r="G397" s="26"/>
    </row>
    <row r="398" spans="7:7" ht="15.75" customHeight="1">
      <c r="G398" s="26"/>
    </row>
    <row r="399" spans="7:7" ht="15.75" customHeight="1">
      <c r="G399" s="26"/>
    </row>
    <row r="400" spans="7:7" ht="15.75" customHeight="1">
      <c r="G400" s="26"/>
    </row>
    <row r="401" spans="7:7" ht="15.75" customHeight="1">
      <c r="G401" s="26"/>
    </row>
    <row r="402" spans="7:7" ht="15.75" customHeight="1">
      <c r="G402" s="26"/>
    </row>
    <row r="403" spans="7:7" ht="15.75" customHeight="1">
      <c r="G403" s="26"/>
    </row>
    <row r="404" spans="7:7" ht="15.75" customHeight="1">
      <c r="G404" s="26"/>
    </row>
    <row r="405" spans="7:7" ht="15.75" customHeight="1">
      <c r="G405" s="26"/>
    </row>
    <row r="406" spans="7:7" ht="15.75" customHeight="1">
      <c r="G406" s="26"/>
    </row>
    <row r="407" spans="7:7" ht="15.75" customHeight="1">
      <c r="G407" s="26"/>
    </row>
    <row r="408" spans="7:7" ht="15.75" customHeight="1">
      <c r="G408" s="26"/>
    </row>
    <row r="409" spans="7:7" ht="15.75" customHeight="1">
      <c r="G409" s="26"/>
    </row>
    <row r="410" spans="7:7" ht="15.75" customHeight="1">
      <c r="G410" s="26"/>
    </row>
    <row r="411" spans="7:7" ht="15.75" customHeight="1">
      <c r="G411" s="26"/>
    </row>
    <row r="412" spans="7:7" ht="15.75" customHeight="1">
      <c r="G412" s="26"/>
    </row>
    <row r="413" spans="7:7" ht="15.75" customHeight="1">
      <c r="G413" s="26"/>
    </row>
    <row r="414" spans="7:7" ht="15.75" customHeight="1">
      <c r="G414" s="26"/>
    </row>
    <row r="415" spans="7:7" ht="15.75" customHeight="1">
      <c r="G415" s="26"/>
    </row>
    <row r="416" spans="7:7" ht="15.75" customHeight="1">
      <c r="G416" s="26"/>
    </row>
    <row r="417" spans="7:7" ht="15.75" customHeight="1">
      <c r="G417" s="26"/>
    </row>
    <row r="418" spans="7:7" ht="15.75" customHeight="1">
      <c r="G418" s="26"/>
    </row>
    <row r="419" spans="7:7" ht="15.75" customHeight="1">
      <c r="G419" s="26"/>
    </row>
    <row r="420" spans="7:7" ht="15.75" customHeight="1">
      <c r="G420" s="26"/>
    </row>
    <row r="421" spans="7:7" ht="15.75" customHeight="1">
      <c r="G421" s="26"/>
    </row>
    <row r="422" spans="7:7" ht="15.75" customHeight="1">
      <c r="G422" s="26"/>
    </row>
    <row r="423" spans="7:7" ht="15.75" customHeight="1">
      <c r="G423" s="26"/>
    </row>
    <row r="424" spans="7:7" ht="15.75" customHeight="1">
      <c r="G424" s="26"/>
    </row>
    <row r="425" spans="7:7" ht="15.75" customHeight="1">
      <c r="G425" s="26"/>
    </row>
    <row r="426" spans="7:7" ht="15.75" customHeight="1">
      <c r="G426" s="26"/>
    </row>
    <row r="427" spans="7:7" ht="15.75" customHeight="1">
      <c r="G427" s="26"/>
    </row>
    <row r="428" spans="7:7" ht="15.75" customHeight="1">
      <c r="G428" s="26"/>
    </row>
    <row r="429" spans="7:7" ht="15.75" customHeight="1">
      <c r="G429" s="26"/>
    </row>
    <row r="430" spans="7:7" ht="15.75" customHeight="1">
      <c r="G430" s="26"/>
    </row>
    <row r="431" spans="7:7" ht="15.75" customHeight="1">
      <c r="G431" s="26"/>
    </row>
    <row r="432" spans="7:7" ht="15.75" customHeight="1">
      <c r="G432" s="26"/>
    </row>
    <row r="433" spans="7:7" ht="15.75" customHeight="1">
      <c r="G433" s="26"/>
    </row>
    <row r="434" spans="7:7" ht="15.75" customHeight="1">
      <c r="G434" s="26"/>
    </row>
    <row r="435" spans="7:7" ht="15.75" customHeight="1">
      <c r="G435" s="26"/>
    </row>
    <row r="436" spans="7:7" ht="15.75" customHeight="1">
      <c r="G436" s="26"/>
    </row>
    <row r="437" spans="7:7" ht="15.75" customHeight="1">
      <c r="G437" s="26"/>
    </row>
    <row r="438" spans="7:7" ht="15.75" customHeight="1">
      <c r="G438" s="26"/>
    </row>
    <row r="439" spans="7:7" ht="15.75" customHeight="1">
      <c r="G439" s="26"/>
    </row>
    <row r="440" spans="7:7" ht="15.75" customHeight="1">
      <c r="G440" s="26"/>
    </row>
    <row r="441" spans="7:7" ht="15.75" customHeight="1">
      <c r="G441" s="26"/>
    </row>
    <row r="442" spans="7:7" ht="15.75" customHeight="1">
      <c r="G442" s="26"/>
    </row>
    <row r="443" spans="7:7" ht="15.75" customHeight="1">
      <c r="G443" s="26"/>
    </row>
    <row r="444" spans="7:7" ht="15.75" customHeight="1">
      <c r="G444" s="26"/>
    </row>
    <row r="445" spans="7:7" ht="15.75" customHeight="1">
      <c r="G445" s="26"/>
    </row>
    <row r="446" spans="7:7" ht="15.75" customHeight="1">
      <c r="G446" s="26"/>
    </row>
    <row r="447" spans="7:7" ht="15.75" customHeight="1">
      <c r="G447" s="26"/>
    </row>
    <row r="448" spans="7:7" ht="15.75" customHeight="1">
      <c r="G448" s="26"/>
    </row>
    <row r="449" spans="7:7" ht="15.75" customHeight="1">
      <c r="G449" s="26"/>
    </row>
    <row r="450" spans="7:7" ht="15.75" customHeight="1">
      <c r="G450" s="26"/>
    </row>
    <row r="451" spans="7:7" ht="15.75" customHeight="1">
      <c r="G451" s="26"/>
    </row>
    <row r="452" spans="7:7" ht="15.75" customHeight="1">
      <c r="G452" s="26"/>
    </row>
    <row r="453" spans="7:7" ht="15.75" customHeight="1">
      <c r="G453" s="26"/>
    </row>
    <row r="454" spans="7:7" ht="15.75" customHeight="1">
      <c r="G454" s="26"/>
    </row>
    <row r="455" spans="7:7" ht="15.75" customHeight="1">
      <c r="G455" s="26"/>
    </row>
    <row r="456" spans="7:7" ht="15.75" customHeight="1">
      <c r="G456" s="26"/>
    </row>
    <row r="457" spans="7:7" ht="15.75" customHeight="1">
      <c r="G457" s="26"/>
    </row>
    <row r="458" spans="7:7" ht="15.75" customHeight="1">
      <c r="G458" s="26"/>
    </row>
    <row r="459" spans="7:7" ht="15.75" customHeight="1">
      <c r="G459" s="26"/>
    </row>
    <row r="460" spans="7:7" ht="15.75" customHeight="1">
      <c r="G460" s="26"/>
    </row>
    <row r="461" spans="7:7" ht="15.75" customHeight="1">
      <c r="G461" s="26"/>
    </row>
    <row r="462" spans="7:7" ht="15.75" customHeight="1">
      <c r="G462" s="26"/>
    </row>
    <row r="463" spans="7:7" ht="15.75" customHeight="1">
      <c r="G463" s="26"/>
    </row>
    <row r="464" spans="7:7" ht="15.75" customHeight="1">
      <c r="G464" s="26"/>
    </row>
    <row r="465" spans="7:7" ht="15.75" customHeight="1">
      <c r="G465" s="26"/>
    </row>
    <row r="466" spans="7:7" ht="15.75" customHeight="1">
      <c r="G466" s="26"/>
    </row>
    <row r="467" spans="7:7" ht="15.75" customHeight="1">
      <c r="G467" s="26"/>
    </row>
    <row r="468" spans="7:7" ht="15.75" customHeight="1">
      <c r="G468" s="26"/>
    </row>
    <row r="469" spans="7:7" ht="15.75" customHeight="1">
      <c r="G469" s="26"/>
    </row>
    <row r="470" spans="7:7" ht="15.75" customHeight="1">
      <c r="G470" s="26"/>
    </row>
    <row r="471" spans="7:7" ht="15.75" customHeight="1">
      <c r="G471" s="26"/>
    </row>
    <row r="472" spans="7:7" ht="15.75" customHeight="1">
      <c r="G472" s="26"/>
    </row>
    <row r="473" spans="7:7" ht="15.75" customHeight="1">
      <c r="G473" s="26"/>
    </row>
    <row r="474" spans="7:7" ht="15.75" customHeight="1">
      <c r="G474" s="26"/>
    </row>
    <row r="475" spans="7:7" ht="15.75" customHeight="1">
      <c r="G475" s="26"/>
    </row>
    <row r="476" spans="7:7" ht="15.75" customHeight="1">
      <c r="G476" s="26"/>
    </row>
    <row r="477" spans="7:7" ht="15.75" customHeight="1">
      <c r="G477" s="26"/>
    </row>
    <row r="478" spans="7:7" ht="15.75" customHeight="1">
      <c r="G478" s="26"/>
    </row>
    <row r="479" spans="7:7" ht="15.75" customHeight="1">
      <c r="G479" s="26"/>
    </row>
    <row r="480" spans="7:7" ht="15.75" customHeight="1">
      <c r="G480" s="26"/>
    </row>
    <row r="481" spans="7:7" ht="15.75" customHeight="1">
      <c r="G481" s="26"/>
    </row>
    <row r="482" spans="7:7" ht="15.75" customHeight="1">
      <c r="G482" s="26"/>
    </row>
    <row r="483" spans="7:7" ht="15.75" customHeight="1">
      <c r="G483" s="26"/>
    </row>
    <row r="484" spans="7:7" ht="15.75" customHeight="1">
      <c r="G484" s="26"/>
    </row>
    <row r="485" spans="7:7" ht="15.75" customHeight="1">
      <c r="G485" s="26"/>
    </row>
    <row r="486" spans="7:7" ht="15.75" customHeight="1">
      <c r="G486" s="26"/>
    </row>
    <row r="487" spans="7:7" ht="15.75" customHeight="1">
      <c r="G487" s="26"/>
    </row>
    <row r="488" spans="7:7" ht="15.75" customHeight="1">
      <c r="G488" s="26"/>
    </row>
    <row r="489" spans="7:7" ht="15.75" customHeight="1">
      <c r="G489" s="26"/>
    </row>
    <row r="490" spans="7:7" ht="15.75" customHeight="1">
      <c r="G490" s="26"/>
    </row>
    <row r="491" spans="7:7" ht="15.75" customHeight="1">
      <c r="G491" s="26"/>
    </row>
    <row r="492" spans="7:7" ht="15.75" customHeight="1">
      <c r="G492" s="26"/>
    </row>
    <row r="493" spans="7:7" ht="15.75" customHeight="1">
      <c r="G493" s="26"/>
    </row>
    <row r="494" spans="7:7" ht="15.75" customHeight="1">
      <c r="G494" s="26"/>
    </row>
    <row r="495" spans="7:7" ht="15.75" customHeight="1">
      <c r="G495" s="26"/>
    </row>
    <row r="496" spans="7:7" ht="15.75" customHeight="1">
      <c r="G496" s="26"/>
    </row>
    <row r="497" spans="7:7" ht="15.75" customHeight="1">
      <c r="G497" s="26"/>
    </row>
    <row r="498" spans="7:7" ht="15.75" customHeight="1">
      <c r="G498" s="26"/>
    </row>
    <row r="499" spans="7:7" ht="15.75" customHeight="1">
      <c r="G499" s="26"/>
    </row>
    <row r="500" spans="7:7" ht="15.75" customHeight="1">
      <c r="G500" s="26"/>
    </row>
    <row r="501" spans="7:7" ht="15.75" customHeight="1">
      <c r="G501" s="26"/>
    </row>
    <row r="502" spans="7:7" ht="15.75" customHeight="1">
      <c r="G502" s="26"/>
    </row>
    <row r="503" spans="7:7" ht="15.75" customHeight="1">
      <c r="G503" s="26"/>
    </row>
    <row r="504" spans="7:7" ht="15.75" customHeight="1">
      <c r="G504" s="26"/>
    </row>
    <row r="505" spans="7:7" ht="15.75" customHeight="1">
      <c r="G505" s="26"/>
    </row>
    <row r="506" spans="7:7" ht="15.75" customHeight="1">
      <c r="G506" s="26"/>
    </row>
    <row r="507" spans="7:7" ht="15.75" customHeight="1">
      <c r="G507" s="26"/>
    </row>
    <row r="508" spans="7:7" ht="15.75" customHeight="1">
      <c r="G508" s="26"/>
    </row>
    <row r="509" spans="7:7" ht="15.75" customHeight="1">
      <c r="G509" s="26"/>
    </row>
    <row r="510" spans="7:7" ht="15.75" customHeight="1">
      <c r="G510" s="26"/>
    </row>
    <row r="511" spans="7:7" ht="15.75" customHeight="1">
      <c r="G511" s="26"/>
    </row>
    <row r="512" spans="7:7" ht="15.75" customHeight="1">
      <c r="G512" s="26"/>
    </row>
    <row r="513" spans="7:7" ht="15.75" customHeight="1">
      <c r="G513" s="26"/>
    </row>
    <row r="514" spans="7:7" ht="15.75" customHeight="1">
      <c r="G514" s="26"/>
    </row>
    <row r="515" spans="7:7" ht="15.75" customHeight="1">
      <c r="G515" s="26"/>
    </row>
    <row r="516" spans="7:7" ht="15.75" customHeight="1">
      <c r="G516" s="26"/>
    </row>
    <row r="517" spans="7:7" ht="15.75" customHeight="1">
      <c r="G517" s="26"/>
    </row>
    <row r="518" spans="7:7" ht="15.75" customHeight="1">
      <c r="G518" s="26"/>
    </row>
    <row r="519" spans="7:7" ht="15.75" customHeight="1">
      <c r="G519" s="26"/>
    </row>
    <row r="520" spans="7:7" ht="15.75" customHeight="1">
      <c r="G520" s="26"/>
    </row>
    <row r="521" spans="7:7" ht="15.75" customHeight="1">
      <c r="G521" s="26"/>
    </row>
    <row r="522" spans="7:7" ht="15.75" customHeight="1">
      <c r="G522" s="26"/>
    </row>
    <row r="523" spans="7:7" ht="15.75" customHeight="1">
      <c r="G523" s="26"/>
    </row>
    <row r="524" spans="7:7" ht="15.75" customHeight="1">
      <c r="G524" s="26"/>
    </row>
    <row r="525" spans="7:7" ht="15.75" customHeight="1">
      <c r="G525" s="26"/>
    </row>
    <row r="526" spans="7:7" ht="15.75" customHeight="1">
      <c r="G526" s="26"/>
    </row>
    <row r="527" spans="7:7" ht="15.75" customHeight="1">
      <c r="G527" s="26"/>
    </row>
    <row r="528" spans="7:7" ht="15.75" customHeight="1">
      <c r="G528" s="26"/>
    </row>
    <row r="529" spans="7:7" ht="15.75" customHeight="1">
      <c r="G529" s="26"/>
    </row>
    <row r="530" spans="7:7" ht="15.75" customHeight="1">
      <c r="G530" s="26"/>
    </row>
    <row r="531" spans="7:7" ht="15.75" customHeight="1">
      <c r="G531" s="26"/>
    </row>
    <row r="532" spans="7:7" ht="15.75" customHeight="1">
      <c r="G532" s="26"/>
    </row>
    <row r="533" spans="7:7" ht="15.75" customHeight="1">
      <c r="G533" s="26"/>
    </row>
    <row r="534" spans="7:7" ht="15.75" customHeight="1">
      <c r="G534" s="26"/>
    </row>
    <row r="535" spans="7:7" ht="15.75" customHeight="1">
      <c r="G535" s="26"/>
    </row>
    <row r="536" spans="7:7" ht="15.75" customHeight="1">
      <c r="G536" s="26"/>
    </row>
    <row r="537" spans="7:7" ht="15.75" customHeight="1">
      <c r="G537" s="26"/>
    </row>
    <row r="538" spans="7:7" ht="15.75" customHeight="1">
      <c r="G538" s="26"/>
    </row>
    <row r="539" spans="7:7" ht="15.75" customHeight="1">
      <c r="G539" s="26"/>
    </row>
    <row r="540" spans="7:7" ht="15.75" customHeight="1">
      <c r="G540" s="26"/>
    </row>
    <row r="541" spans="7:7" ht="15.75" customHeight="1">
      <c r="G541" s="26"/>
    </row>
    <row r="542" spans="7:7" ht="15.75" customHeight="1">
      <c r="G542" s="26"/>
    </row>
    <row r="543" spans="7:7" ht="15.75" customHeight="1">
      <c r="G543" s="26"/>
    </row>
    <row r="544" spans="7:7" ht="15.75" customHeight="1">
      <c r="G544" s="26"/>
    </row>
    <row r="545" spans="7:7" ht="15.75" customHeight="1">
      <c r="G545" s="26"/>
    </row>
    <row r="546" spans="7:7" ht="15.75" customHeight="1">
      <c r="G546" s="26"/>
    </row>
    <row r="547" spans="7:7" ht="15.75" customHeight="1">
      <c r="G547" s="26"/>
    </row>
    <row r="548" spans="7:7" ht="15.75" customHeight="1">
      <c r="G548" s="26"/>
    </row>
    <row r="549" spans="7:7" ht="15.75" customHeight="1">
      <c r="G549" s="26"/>
    </row>
    <row r="550" spans="7:7" ht="15.75" customHeight="1">
      <c r="G550" s="26"/>
    </row>
    <row r="551" spans="7:7" ht="15.75" customHeight="1">
      <c r="G551" s="26"/>
    </row>
    <row r="552" spans="7:7" ht="15.75" customHeight="1">
      <c r="G552" s="26"/>
    </row>
    <row r="553" spans="7:7" ht="15.75" customHeight="1">
      <c r="G553" s="26"/>
    </row>
    <row r="554" spans="7:7" ht="15.75" customHeight="1">
      <c r="G554" s="26"/>
    </row>
    <row r="555" spans="7:7" ht="15.75" customHeight="1">
      <c r="G555" s="26"/>
    </row>
    <row r="556" spans="7:7" ht="15.75" customHeight="1">
      <c r="G556" s="26"/>
    </row>
    <row r="557" spans="7:7" ht="15.75" customHeight="1">
      <c r="G557" s="26"/>
    </row>
    <row r="558" spans="7:7" ht="15.75" customHeight="1">
      <c r="G558" s="26"/>
    </row>
    <row r="559" spans="7:7" ht="15.75" customHeight="1">
      <c r="G559" s="26"/>
    </row>
    <row r="560" spans="7:7" ht="15.75" customHeight="1">
      <c r="G560" s="26"/>
    </row>
    <row r="561" spans="7:7" ht="15.75" customHeight="1">
      <c r="G561" s="26"/>
    </row>
    <row r="562" spans="7:7" ht="15.75" customHeight="1">
      <c r="G562" s="26"/>
    </row>
    <row r="563" spans="7:7" ht="15.75" customHeight="1">
      <c r="G563" s="26"/>
    </row>
    <row r="564" spans="7:7" ht="15.75" customHeight="1">
      <c r="G564" s="26"/>
    </row>
    <row r="565" spans="7:7" ht="15.75" customHeight="1">
      <c r="G565" s="26"/>
    </row>
    <row r="566" spans="7:7" ht="15.75" customHeight="1">
      <c r="G566" s="26"/>
    </row>
    <row r="567" spans="7:7" ht="15.75" customHeight="1">
      <c r="G567" s="26"/>
    </row>
    <row r="568" spans="7:7" ht="15.75" customHeight="1">
      <c r="G568" s="26"/>
    </row>
    <row r="569" spans="7:7" ht="15.75" customHeight="1">
      <c r="G569" s="26"/>
    </row>
    <row r="570" spans="7:7" ht="15.75" customHeight="1">
      <c r="G570" s="26"/>
    </row>
    <row r="571" spans="7:7" ht="15.75" customHeight="1">
      <c r="G571" s="26"/>
    </row>
    <row r="572" spans="7:7" ht="15.75" customHeight="1">
      <c r="G572" s="26"/>
    </row>
    <row r="573" spans="7:7" ht="15.75" customHeight="1">
      <c r="G573" s="26"/>
    </row>
    <row r="574" spans="7:7" ht="15.75" customHeight="1">
      <c r="G574" s="26"/>
    </row>
    <row r="575" spans="7:7" ht="15.75" customHeight="1">
      <c r="G575" s="26"/>
    </row>
    <row r="576" spans="7:7" ht="15.75" customHeight="1">
      <c r="G576" s="26"/>
    </row>
    <row r="577" spans="7:7" ht="15.75" customHeight="1">
      <c r="G577" s="26"/>
    </row>
    <row r="578" spans="7:7" ht="15.75" customHeight="1">
      <c r="G578" s="26"/>
    </row>
    <row r="579" spans="7:7" ht="15.75" customHeight="1">
      <c r="G579" s="26"/>
    </row>
    <row r="580" spans="7:7" ht="15.75" customHeight="1">
      <c r="G580" s="26"/>
    </row>
    <row r="581" spans="7:7" ht="15.75" customHeight="1">
      <c r="G581" s="26"/>
    </row>
    <row r="582" spans="7:7" ht="15.75" customHeight="1">
      <c r="G582" s="26"/>
    </row>
    <row r="583" spans="7:7" ht="15.75" customHeight="1">
      <c r="G583" s="26"/>
    </row>
    <row r="584" spans="7:7" ht="15.75" customHeight="1">
      <c r="G584" s="26"/>
    </row>
    <row r="585" spans="7:7" ht="15.75" customHeight="1">
      <c r="G585" s="26"/>
    </row>
    <row r="586" spans="7:7" ht="15.75" customHeight="1">
      <c r="G586" s="26"/>
    </row>
    <row r="587" spans="7:7" ht="15.75" customHeight="1">
      <c r="G587" s="26"/>
    </row>
    <row r="588" spans="7:7" ht="15.75" customHeight="1">
      <c r="G588" s="26"/>
    </row>
    <row r="589" spans="7:7" ht="15.75" customHeight="1">
      <c r="G589" s="26"/>
    </row>
    <row r="590" spans="7:7" ht="15.75" customHeight="1">
      <c r="G590" s="26"/>
    </row>
    <row r="591" spans="7:7" ht="15.75" customHeight="1">
      <c r="G591" s="26"/>
    </row>
    <row r="592" spans="7:7" ht="15.75" customHeight="1">
      <c r="G592" s="26"/>
    </row>
    <row r="593" spans="7:7" ht="15.75" customHeight="1">
      <c r="G593" s="26"/>
    </row>
    <row r="594" spans="7:7" ht="15.75" customHeight="1">
      <c r="G594" s="26"/>
    </row>
    <row r="595" spans="7:7" ht="15.75" customHeight="1">
      <c r="G595" s="26"/>
    </row>
    <row r="596" spans="7:7" ht="15.75" customHeight="1">
      <c r="G596" s="26"/>
    </row>
    <row r="597" spans="7:7" ht="15.75" customHeight="1">
      <c r="G597" s="26"/>
    </row>
    <row r="598" spans="7:7" ht="15.75" customHeight="1">
      <c r="G598" s="26"/>
    </row>
    <row r="599" spans="7:7" ht="15.75" customHeight="1">
      <c r="G599" s="26"/>
    </row>
    <row r="600" spans="7:7" ht="15.75" customHeight="1">
      <c r="G600" s="26"/>
    </row>
    <row r="601" spans="7:7" ht="15.75" customHeight="1">
      <c r="G601" s="26"/>
    </row>
    <row r="602" spans="7:7" ht="15.75" customHeight="1">
      <c r="G602" s="26"/>
    </row>
    <row r="603" spans="7:7" ht="15.75" customHeight="1">
      <c r="G603" s="26"/>
    </row>
    <row r="604" spans="7:7" ht="15.75" customHeight="1">
      <c r="G604" s="26"/>
    </row>
    <row r="605" spans="7:7" ht="15.75" customHeight="1">
      <c r="G605" s="26"/>
    </row>
    <row r="606" spans="7:7" ht="15.75" customHeight="1">
      <c r="G606" s="26"/>
    </row>
    <row r="607" spans="7:7" ht="15.75" customHeight="1">
      <c r="G607" s="26"/>
    </row>
    <row r="608" spans="7:7" ht="15.75" customHeight="1">
      <c r="G608" s="26"/>
    </row>
    <row r="609" spans="7:7" ht="15.75" customHeight="1">
      <c r="G609" s="26"/>
    </row>
    <row r="610" spans="7:7" ht="15.75" customHeight="1">
      <c r="G610" s="26"/>
    </row>
    <row r="611" spans="7:7" ht="15.75" customHeight="1">
      <c r="G611" s="26"/>
    </row>
    <row r="612" spans="7:7" ht="15.75" customHeight="1">
      <c r="G612" s="26"/>
    </row>
    <row r="613" spans="7:7" ht="15.75" customHeight="1">
      <c r="G613" s="26"/>
    </row>
    <row r="614" spans="7:7" ht="15.75" customHeight="1">
      <c r="G614" s="26"/>
    </row>
    <row r="615" spans="7:7" ht="15.75" customHeight="1">
      <c r="G615" s="26"/>
    </row>
    <row r="616" spans="7:7" ht="15.75" customHeight="1">
      <c r="G616" s="26"/>
    </row>
    <row r="617" spans="7:7" ht="15.75" customHeight="1">
      <c r="G617" s="26"/>
    </row>
    <row r="618" spans="7:7" ht="15.75" customHeight="1">
      <c r="G618" s="26"/>
    </row>
    <row r="619" spans="7:7" ht="15.75" customHeight="1">
      <c r="G619" s="26"/>
    </row>
    <row r="620" spans="7:7" ht="15.75" customHeight="1">
      <c r="G620" s="26"/>
    </row>
    <row r="621" spans="7:7" ht="15.75" customHeight="1">
      <c r="G621" s="26"/>
    </row>
    <row r="622" spans="7:7" ht="15.75" customHeight="1">
      <c r="G622" s="26"/>
    </row>
    <row r="623" spans="7:7" ht="15.75" customHeight="1">
      <c r="G623" s="26"/>
    </row>
    <row r="624" spans="7:7" ht="15.75" customHeight="1">
      <c r="G624" s="26"/>
    </row>
    <row r="625" spans="7:7" ht="15.75" customHeight="1">
      <c r="G625" s="26"/>
    </row>
    <row r="626" spans="7:7" ht="15.75" customHeight="1">
      <c r="G626" s="26"/>
    </row>
    <row r="627" spans="7:7" ht="15.75" customHeight="1">
      <c r="G627" s="26"/>
    </row>
    <row r="628" spans="7:7" ht="15.75" customHeight="1">
      <c r="G628" s="26"/>
    </row>
    <row r="629" spans="7:7" ht="15.75" customHeight="1">
      <c r="G629" s="26"/>
    </row>
    <row r="630" spans="7:7" ht="15.75" customHeight="1">
      <c r="G630" s="26"/>
    </row>
    <row r="631" spans="7:7" ht="15.75" customHeight="1">
      <c r="G631" s="26"/>
    </row>
    <row r="632" spans="7:7" ht="15.75" customHeight="1">
      <c r="G632" s="26"/>
    </row>
    <row r="633" spans="7:7" ht="15.75" customHeight="1">
      <c r="G633" s="26"/>
    </row>
    <row r="634" spans="7:7" ht="15.75" customHeight="1">
      <c r="G634" s="26"/>
    </row>
    <row r="635" spans="7:7" ht="15.75" customHeight="1">
      <c r="G635" s="26"/>
    </row>
    <row r="636" spans="7:7" ht="15.75" customHeight="1">
      <c r="G636" s="26"/>
    </row>
    <row r="637" spans="7:7" ht="15.75" customHeight="1">
      <c r="G637" s="26"/>
    </row>
    <row r="638" spans="7:7" ht="15.75" customHeight="1">
      <c r="G638" s="26"/>
    </row>
    <row r="639" spans="7:7" ht="15.75" customHeight="1">
      <c r="G639" s="26"/>
    </row>
    <row r="640" spans="7:7" ht="15.75" customHeight="1">
      <c r="G640" s="26"/>
    </row>
    <row r="641" spans="7:7" ht="15.75" customHeight="1">
      <c r="G641" s="26"/>
    </row>
    <row r="642" spans="7:7" ht="15.75" customHeight="1">
      <c r="G642" s="26"/>
    </row>
    <row r="643" spans="7:7" ht="15.75" customHeight="1">
      <c r="G643" s="26"/>
    </row>
    <row r="644" spans="7:7" ht="15.75" customHeight="1">
      <c r="G644" s="26"/>
    </row>
    <row r="645" spans="7:7" ht="15.75" customHeight="1">
      <c r="G645" s="26"/>
    </row>
    <row r="646" spans="7:7" ht="15.75" customHeight="1">
      <c r="G646" s="26"/>
    </row>
    <row r="647" spans="7:7" ht="15.75" customHeight="1">
      <c r="G647" s="26"/>
    </row>
    <row r="648" spans="7:7" ht="15.75" customHeight="1">
      <c r="G648" s="26"/>
    </row>
    <row r="649" spans="7:7" ht="15.75" customHeight="1">
      <c r="G649" s="26"/>
    </row>
    <row r="650" spans="7:7" ht="15.75" customHeight="1">
      <c r="G650" s="26"/>
    </row>
    <row r="651" spans="7:7" ht="15.75" customHeight="1">
      <c r="G651" s="26"/>
    </row>
    <row r="652" spans="7:7" ht="15.75" customHeight="1">
      <c r="G652" s="26"/>
    </row>
    <row r="653" spans="7:7" ht="15.75" customHeight="1">
      <c r="G653" s="26"/>
    </row>
    <row r="654" spans="7:7" ht="15.75" customHeight="1">
      <c r="G654" s="26"/>
    </row>
    <row r="655" spans="7:7" ht="15.75" customHeight="1">
      <c r="G655" s="26"/>
    </row>
    <row r="656" spans="7:7" ht="15.75" customHeight="1">
      <c r="G656" s="26"/>
    </row>
    <row r="657" spans="7:7" ht="15.75" customHeight="1">
      <c r="G657" s="26"/>
    </row>
    <row r="658" spans="7:7" ht="15.75" customHeight="1">
      <c r="G658" s="26"/>
    </row>
    <row r="659" spans="7:7" ht="15.75" customHeight="1">
      <c r="G659" s="26"/>
    </row>
    <row r="660" spans="7:7" ht="15.75" customHeight="1">
      <c r="G660" s="26"/>
    </row>
    <row r="661" spans="7:7" ht="15.75" customHeight="1">
      <c r="G661" s="26"/>
    </row>
    <row r="662" spans="7:7" ht="15.75" customHeight="1">
      <c r="G662" s="26"/>
    </row>
    <row r="663" spans="7:7" ht="15.75" customHeight="1">
      <c r="G663" s="26"/>
    </row>
    <row r="664" spans="7:7" ht="15.75" customHeight="1">
      <c r="G664" s="26"/>
    </row>
    <row r="665" spans="7:7" ht="15.75" customHeight="1">
      <c r="G665" s="26"/>
    </row>
    <row r="666" spans="7:7" ht="15.75" customHeight="1">
      <c r="G666" s="26"/>
    </row>
    <row r="667" spans="7:7" ht="15.75" customHeight="1">
      <c r="G667" s="26"/>
    </row>
    <row r="668" spans="7:7" ht="15.75" customHeight="1">
      <c r="G668" s="26"/>
    </row>
    <row r="669" spans="7:7" ht="15.75" customHeight="1">
      <c r="G669" s="26"/>
    </row>
    <row r="670" spans="7:7" ht="15.75" customHeight="1">
      <c r="G670" s="26"/>
    </row>
    <row r="671" spans="7:7" ht="15.75" customHeight="1">
      <c r="G671" s="26"/>
    </row>
    <row r="672" spans="7:7" ht="15.75" customHeight="1">
      <c r="G672" s="26"/>
    </row>
    <row r="673" spans="7:7" ht="15.75" customHeight="1">
      <c r="G673" s="26"/>
    </row>
    <row r="674" spans="7:7" ht="15.75" customHeight="1">
      <c r="G674" s="26"/>
    </row>
    <row r="675" spans="7:7" ht="15.75" customHeight="1">
      <c r="G675" s="26"/>
    </row>
    <row r="676" spans="7:7" ht="15.75" customHeight="1">
      <c r="G676" s="26"/>
    </row>
    <row r="677" spans="7:7" ht="15.75" customHeight="1">
      <c r="G677" s="26"/>
    </row>
    <row r="678" spans="7:7" ht="15.75" customHeight="1">
      <c r="G678" s="26"/>
    </row>
    <row r="679" spans="7:7" ht="15.75" customHeight="1">
      <c r="G679" s="26"/>
    </row>
    <row r="680" spans="7:7" ht="15.75" customHeight="1">
      <c r="G680" s="26"/>
    </row>
    <row r="681" spans="7:7" ht="15.75" customHeight="1">
      <c r="G681" s="26"/>
    </row>
    <row r="682" spans="7:7" ht="15.75" customHeight="1">
      <c r="G682" s="26"/>
    </row>
    <row r="683" spans="7:7" ht="15.75" customHeight="1">
      <c r="G683" s="26"/>
    </row>
    <row r="684" spans="7:7" ht="15.75" customHeight="1">
      <c r="G684" s="26"/>
    </row>
    <row r="685" spans="7:7" ht="15.75" customHeight="1">
      <c r="G685" s="26"/>
    </row>
    <row r="686" spans="7:7" ht="15.75" customHeight="1">
      <c r="G686" s="26"/>
    </row>
    <row r="687" spans="7:7" ht="15.75" customHeight="1">
      <c r="G687" s="26"/>
    </row>
    <row r="688" spans="7:7" ht="15.75" customHeight="1">
      <c r="G688" s="26"/>
    </row>
    <row r="689" spans="7:7" ht="15.75" customHeight="1">
      <c r="G689" s="26"/>
    </row>
    <row r="690" spans="7:7" ht="15.75" customHeight="1">
      <c r="G690" s="26"/>
    </row>
    <row r="691" spans="7:7" ht="15.75" customHeight="1">
      <c r="G691" s="26"/>
    </row>
    <row r="692" spans="7:7" ht="15.75" customHeight="1">
      <c r="G692" s="26"/>
    </row>
    <row r="693" spans="7:7" ht="15.75" customHeight="1">
      <c r="G693" s="26"/>
    </row>
    <row r="694" spans="7:7" ht="15.75" customHeight="1">
      <c r="G694" s="26"/>
    </row>
    <row r="695" spans="7:7" ht="15.75" customHeight="1">
      <c r="G695" s="26"/>
    </row>
    <row r="696" spans="7:7" ht="15.75" customHeight="1">
      <c r="G696" s="26"/>
    </row>
    <row r="697" spans="7:7" ht="15.75" customHeight="1">
      <c r="G697" s="26"/>
    </row>
    <row r="698" spans="7:7" ht="15.75" customHeight="1">
      <c r="G698" s="26"/>
    </row>
    <row r="699" spans="7:7" ht="15.75" customHeight="1">
      <c r="G699" s="26"/>
    </row>
    <row r="700" spans="7:7" ht="15.75" customHeight="1">
      <c r="G700" s="26"/>
    </row>
    <row r="701" spans="7:7" ht="15.75" customHeight="1">
      <c r="G701" s="26"/>
    </row>
    <row r="702" spans="7:7" ht="15.75" customHeight="1">
      <c r="G702" s="26"/>
    </row>
    <row r="703" spans="7:7" ht="15.75" customHeight="1">
      <c r="G703" s="26"/>
    </row>
    <row r="704" spans="7:7" ht="15.75" customHeight="1">
      <c r="G704" s="26"/>
    </row>
    <row r="705" spans="7:7" ht="15.75" customHeight="1">
      <c r="G705" s="26"/>
    </row>
    <row r="706" spans="7:7" ht="15.75" customHeight="1">
      <c r="G706" s="26"/>
    </row>
    <row r="707" spans="7:7" ht="15.75" customHeight="1">
      <c r="G707" s="26"/>
    </row>
    <row r="708" spans="7:7" ht="15.75" customHeight="1">
      <c r="G708" s="26"/>
    </row>
    <row r="709" spans="7:7" ht="15.75" customHeight="1">
      <c r="G709" s="26"/>
    </row>
    <row r="710" spans="7:7" ht="15.75" customHeight="1">
      <c r="G710" s="26"/>
    </row>
    <row r="711" spans="7:7" ht="15.75" customHeight="1">
      <c r="G711" s="26"/>
    </row>
    <row r="712" spans="7:7" ht="15.75" customHeight="1">
      <c r="G712" s="26"/>
    </row>
    <row r="713" spans="7:7" ht="15.75" customHeight="1">
      <c r="G713" s="26"/>
    </row>
    <row r="714" spans="7:7" ht="15.75" customHeight="1">
      <c r="G714" s="26"/>
    </row>
    <row r="715" spans="7:7" ht="15.75" customHeight="1">
      <c r="G715" s="26"/>
    </row>
    <row r="716" spans="7:7" ht="15.75" customHeight="1">
      <c r="G716" s="26"/>
    </row>
    <row r="717" spans="7:7" ht="15.75" customHeight="1">
      <c r="G717" s="26"/>
    </row>
    <row r="718" spans="7:7" ht="15.75" customHeight="1">
      <c r="G718" s="26"/>
    </row>
    <row r="719" spans="7:7" ht="15.75" customHeight="1">
      <c r="G719" s="26"/>
    </row>
    <row r="720" spans="7:7" ht="15.75" customHeight="1">
      <c r="G720" s="26"/>
    </row>
    <row r="721" spans="7:7" ht="15.75" customHeight="1">
      <c r="G721" s="26"/>
    </row>
    <row r="722" spans="7:7" ht="15.75" customHeight="1">
      <c r="G722" s="26"/>
    </row>
    <row r="723" spans="7:7" ht="15.75" customHeight="1">
      <c r="G723" s="26"/>
    </row>
    <row r="724" spans="7:7" ht="15.75" customHeight="1">
      <c r="G724" s="26"/>
    </row>
    <row r="725" spans="7:7" ht="15.75" customHeight="1">
      <c r="G725" s="26"/>
    </row>
    <row r="726" spans="7:7" ht="15.75" customHeight="1">
      <c r="G726" s="26"/>
    </row>
    <row r="727" spans="7:7" ht="15.75" customHeight="1">
      <c r="G727" s="26"/>
    </row>
    <row r="728" spans="7:7" ht="15.75" customHeight="1">
      <c r="G728" s="26"/>
    </row>
    <row r="729" spans="7:7" ht="15.75" customHeight="1">
      <c r="G729" s="26"/>
    </row>
    <row r="730" spans="7:7" ht="15.75" customHeight="1">
      <c r="G730" s="26"/>
    </row>
    <row r="731" spans="7:7" ht="15.75" customHeight="1">
      <c r="G731" s="26"/>
    </row>
    <row r="732" spans="7:7" ht="15.75" customHeight="1">
      <c r="G732" s="26"/>
    </row>
    <row r="733" spans="7:7" ht="15.75" customHeight="1">
      <c r="G733" s="26"/>
    </row>
    <row r="734" spans="7:7" ht="15.75" customHeight="1">
      <c r="G734" s="26"/>
    </row>
    <row r="735" spans="7:7" ht="15.75" customHeight="1">
      <c r="G735" s="26"/>
    </row>
    <row r="736" spans="7:7" ht="15.75" customHeight="1">
      <c r="G736" s="26"/>
    </row>
    <row r="737" spans="7:7" ht="15.75" customHeight="1">
      <c r="G737" s="26"/>
    </row>
    <row r="738" spans="7:7" ht="15.75" customHeight="1">
      <c r="G738" s="26"/>
    </row>
    <row r="739" spans="7:7" ht="15.75" customHeight="1">
      <c r="G739" s="26"/>
    </row>
    <row r="740" spans="7:7" ht="15.75" customHeight="1">
      <c r="G740" s="26"/>
    </row>
    <row r="741" spans="7:7" ht="15.75" customHeight="1">
      <c r="G741" s="26"/>
    </row>
    <row r="742" spans="7:7" ht="15.75" customHeight="1">
      <c r="G742" s="26"/>
    </row>
    <row r="743" spans="7:7" ht="15.75" customHeight="1">
      <c r="G743" s="26"/>
    </row>
    <row r="744" spans="7:7" ht="15.75" customHeight="1">
      <c r="G744" s="26"/>
    </row>
    <row r="745" spans="7:7" ht="15.75" customHeight="1">
      <c r="G745" s="26"/>
    </row>
    <row r="746" spans="7:7" ht="15.75" customHeight="1">
      <c r="G746" s="26"/>
    </row>
    <row r="747" spans="7:7" ht="15.75" customHeight="1">
      <c r="G747" s="26"/>
    </row>
    <row r="748" spans="7:7" ht="15.75" customHeight="1">
      <c r="G748" s="26"/>
    </row>
    <row r="749" spans="7:7" ht="15.75" customHeight="1">
      <c r="G749" s="26"/>
    </row>
    <row r="750" spans="7:7" ht="15.75" customHeight="1">
      <c r="G750" s="26"/>
    </row>
    <row r="751" spans="7:7" ht="15.75" customHeight="1">
      <c r="G751" s="26"/>
    </row>
    <row r="752" spans="7:7" ht="15.75" customHeight="1">
      <c r="G752" s="26"/>
    </row>
    <row r="753" spans="7:7" ht="15.75" customHeight="1">
      <c r="G753" s="26"/>
    </row>
    <row r="754" spans="7:7" ht="15.75" customHeight="1">
      <c r="G754" s="26"/>
    </row>
    <row r="755" spans="7:7" ht="15.75" customHeight="1">
      <c r="G755" s="26"/>
    </row>
    <row r="756" spans="7:7" ht="15.75" customHeight="1">
      <c r="G756" s="26"/>
    </row>
    <row r="757" spans="7:7" ht="15.75" customHeight="1">
      <c r="G757" s="26"/>
    </row>
    <row r="758" spans="7:7" ht="15.75" customHeight="1">
      <c r="G758" s="26"/>
    </row>
    <row r="759" spans="7:7" ht="15.75" customHeight="1">
      <c r="G759" s="26"/>
    </row>
    <row r="760" spans="7:7" ht="15.75" customHeight="1">
      <c r="G760" s="26"/>
    </row>
    <row r="761" spans="7:7" ht="15.75" customHeight="1">
      <c r="G761" s="26"/>
    </row>
    <row r="762" spans="7:7" ht="15.75" customHeight="1">
      <c r="G762" s="26"/>
    </row>
    <row r="763" spans="7:7" ht="15.75" customHeight="1">
      <c r="G763" s="26"/>
    </row>
    <row r="764" spans="7:7" ht="15.75" customHeight="1">
      <c r="G764" s="26"/>
    </row>
    <row r="765" spans="7:7" ht="15.75" customHeight="1">
      <c r="G765" s="26"/>
    </row>
    <row r="766" spans="7:7" ht="15.75" customHeight="1">
      <c r="G766" s="26"/>
    </row>
    <row r="767" spans="7:7" ht="15.75" customHeight="1">
      <c r="G767" s="26"/>
    </row>
    <row r="768" spans="7:7" ht="15.75" customHeight="1">
      <c r="G768" s="26"/>
    </row>
    <row r="769" spans="7:7" ht="15.75" customHeight="1">
      <c r="G769" s="26"/>
    </row>
    <row r="770" spans="7:7" ht="15.75" customHeight="1">
      <c r="G770" s="26"/>
    </row>
    <row r="771" spans="7:7" ht="15.75" customHeight="1">
      <c r="G771" s="26"/>
    </row>
    <row r="772" spans="7:7" ht="15.75" customHeight="1">
      <c r="G772" s="26"/>
    </row>
    <row r="773" spans="7:7" ht="15.75" customHeight="1">
      <c r="G773" s="26"/>
    </row>
    <row r="774" spans="7:7" ht="15.75" customHeight="1">
      <c r="G774" s="26"/>
    </row>
    <row r="775" spans="7:7" ht="15.75" customHeight="1">
      <c r="G775" s="26"/>
    </row>
    <row r="776" spans="7:7" ht="15.75" customHeight="1">
      <c r="G776" s="26"/>
    </row>
    <row r="777" spans="7:7" ht="15.75" customHeight="1">
      <c r="G777" s="26"/>
    </row>
    <row r="778" spans="7:7" ht="15.75" customHeight="1">
      <c r="G778" s="26"/>
    </row>
    <row r="779" spans="7:7" ht="15.75" customHeight="1">
      <c r="G779" s="26"/>
    </row>
    <row r="780" spans="7:7" ht="15.75" customHeight="1">
      <c r="G780" s="26"/>
    </row>
    <row r="781" spans="7:7" ht="15.75" customHeight="1">
      <c r="G781" s="26"/>
    </row>
    <row r="782" spans="7:7" ht="15.75" customHeight="1">
      <c r="G782" s="26"/>
    </row>
    <row r="783" spans="7:7" ht="15.75" customHeight="1">
      <c r="G783" s="26"/>
    </row>
    <row r="784" spans="7:7" ht="15.75" customHeight="1">
      <c r="G784" s="26"/>
    </row>
    <row r="785" spans="7:7" ht="15.75" customHeight="1">
      <c r="G785" s="26"/>
    </row>
    <row r="786" spans="7:7" ht="15.75" customHeight="1">
      <c r="G786" s="26"/>
    </row>
    <row r="787" spans="7:7" ht="15.75" customHeight="1">
      <c r="G787" s="26"/>
    </row>
    <row r="788" spans="7:7" ht="15.75" customHeight="1">
      <c r="G788" s="26"/>
    </row>
    <row r="789" spans="7:7" ht="15.75" customHeight="1">
      <c r="G789" s="26"/>
    </row>
    <row r="790" spans="7:7" ht="15.75" customHeight="1">
      <c r="G790" s="26"/>
    </row>
    <row r="791" spans="7:7" ht="15.75" customHeight="1">
      <c r="G791" s="26"/>
    </row>
    <row r="792" spans="7:7" ht="15.75" customHeight="1">
      <c r="G792" s="26"/>
    </row>
    <row r="793" spans="7:7" ht="15.75" customHeight="1">
      <c r="G793" s="26"/>
    </row>
    <row r="794" spans="7:7" ht="15.75" customHeight="1">
      <c r="G794" s="26"/>
    </row>
    <row r="795" spans="7:7" ht="15.75" customHeight="1">
      <c r="G795" s="26"/>
    </row>
    <row r="796" spans="7:7" ht="15.75" customHeight="1">
      <c r="G796" s="26"/>
    </row>
    <row r="797" spans="7:7" ht="15.75" customHeight="1">
      <c r="G797" s="26"/>
    </row>
    <row r="798" spans="7:7" ht="15.75" customHeight="1">
      <c r="G798" s="26"/>
    </row>
    <row r="799" spans="7:7" ht="15.75" customHeight="1">
      <c r="G799" s="26"/>
    </row>
    <row r="800" spans="7:7" ht="15.75" customHeight="1">
      <c r="G800" s="26"/>
    </row>
    <row r="801" spans="7:7" ht="15.75" customHeight="1">
      <c r="G801" s="26"/>
    </row>
    <row r="802" spans="7:7" ht="15.75" customHeight="1">
      <c r="G802" s="26"/>
    </row>
    <row r="803" spans="7:7" ht="15.75" customHeight="1">
      <c r="G803" s="26"/>
    </row>
    <row r="804" spans="7:7" ht="15.75" customHeight="1">
      <c r="G804" s="26"/>
    </row>
    <row r="805" spans="7:7" ht="15.75" customHeight="1">
      <c r="G805" s="26"/>
    </row>
    <row r="806" spans="7:7" ht="15.75" customHeight="1">
      <c r="G806" s="26"/>
    </row>
    <row r="807" spans="7:7" ht="15.75" customHeight="1">
      <c r="G807" s="26"/>
    </row>
    <row r="808" spans="7:7" ht="15.75" customHeight="1">
      <c r="G808" s="26"/>
    </row>
    <row r="809" spans="7:7" ht="15.75" customHeight="1">
      <c r="G809" s="26"/>
    </row>
    <row r="810" spans="7:7" ht="15.75" customHeight="1">
      <c r="G810" s="26"/>
    </row>
    <row r="811" spans="7:7" ht="15.75" customHeight="1">
      <c r="G811" s="26"/>
    </row>
    <row r="812" spans="7:7" ht="15.75" customHeight="1">
      <c r="G812" s="26"/>
    </row>
    <row r="813" spans="7:7" ht="15.75" customHeight="1">
      <c r="G813" s="26"/>
    </row>
    <row r="814" spans="7:7" ht="15.75" customHeight="1">
      <c r="G814" s="26"/>
    </row>
    <row r="815" spans="7:7" ht="15.75" customHeight="1">
      <c r="G815" s="26"/>
    </row>
    <row r="816" spans="7:7" ht="15.75" customHeight="1">
      <c r="G816" s="26"/>
    </row>
    <row r="817" spans="7:7" ht="15.75" customHeight="1">
      <c r="G817" s="26"/>
    </row>
    <row r="818" spans="7:7" ht="15.75" customHeight="1">
      <c r="G818" s="26"/>
    </row>
    <row r="819" spans="7:7" ht="15.75" customHeight="1">
      <c r="G819" s="26"/>
    </row>
    <row r="820" spans="7:7" ht="15.75" customHeight="1">
      <c r="G820" s="26"/>
    </row>
    <row r="821" spans="7:7" ht="15.75" customHeight="1">
      <c r="G821" s="26"/>
    </row>
    <row r="822" spans="7:7" ht="15.75" customHeight="1">
      <c r="G822" s="26"/>
    </row>
    <row r="823" spans="7:7" ht="15.75" customHeight="1">
      <c r="G823" s="26"/>
    </row>
    <row r="824" spans="7:7" ht="15.75" customHeight="1">
      <c r="G824" s="26"/>
    </row>
    <row r="825" spans="7:7" ht="15.75" customHeight="1">
      <c r="G825" s="26"/>
    </row>
    <row r="826" spans="7:7" ht="15.75" customHeight="1">
      <c r="G826" s="26"/>
    </row>
    <row r="827" spans="7:7" ht="15.75" customHeight="1">
      <c r="G827" s="26"/>
    </row>
    <row r="828" spans="7:7" ht="15.75" customHeight="1">
      <c r="G828" s="26"/>
    </row>
    <row r="829" spans="7:7" ht="15.75" customHeight="1">
      <c r="G829" s="26"/>
    </row>
    <row r="830" spans="7:7" ht="15.75" customHeight="1">
      <c r="G830" s="26"/>
    </row>
    <row r="831" spans="7:7" ht="15.75" customHeight="1">
      <c r="G831" s="26"/>
    </row>
    <row r="832" spans="7:7" ht="15.75" customHeight="1">
      <c r="G832" s="26"/>
    </row>
    <row r="833" spans="7:7" ht="15.75" customHeight="1">
      <c r="G833" s="26"/>
    </row>
    <row r="834" spans="7:7" ht="15.75" customHeight="1">
      <c r="G834" s="26"/>
    </row>
    <row r="835" spans="7:7" ht="15.75" customHeight="1">
      <c r="G835" s="26"/>
    </row>
    <row r="836" spans="7:7" ht="15.75" customHeight="1">
      <c r="G836" s="26"/>
    </row>
    <row r="837" spans="7:7" ht="15.75" customHeight="1">
      <c r="G837" s="26"/>
    </row>
    <row r="838" spans="7:7" ht="15.75" customHeight="1">
      <c r="G838" s="26"/>
    </row>
    <row r="839" spans="7:7" ht="15.75" customHeight="1">
      <c r="G839" s="26"/>
    </row>
    <row r="840" spans="7:7" ht="15.75" customHeight="1">
      <c r="G840" s="26"/>
    </row>
    <row r="841" spans="7:7" ht="15.75" customHeight="1">
      <c r="G841" s="26"/>
    </row>
    <row r="842" spans="7:7" ht="15.75" customHeight="1">
      <c r="G842" s="26"/>
    </row>
    <row r="843" spans="7:7" ht="15.75" customHeight="1">
      <c r="G843" s="26"/>
    </row>
    <row r="844" spans="7:7" ht="15.75" customHeight="1">
      <c r="G844" s="26"/>
    </row>
    <row r="845" spans="7:7" ht="15.75" customHeight="1">
      <c r="G845" s="26"/>
    </row>
    <row r="846" spans="7:7" ht="15.75" customHeight="1">
      <c r="G846" s="26"/>
    </row>
    <row r="847" spans="7:7" ht="15.75" customHeight="1">
      <c r="G847" s="26"/>
    </row>
    <row r="848" spans="7:7" ht="15.75" customHeight="1">
      <c r="G848" s="26"/>
    </row>
    <row r="849" spans="7:7" ht="15.75" customHeight="1">
      <c r="G849" s="26"/>
    </row>
    <row r="850" spans="7:7" ht="15.75" customHeight="1">
      <c r="G850" s="26"/>
    </row>
    <row r="851" spans="7:7" ht="15.75" customHeight="1">
      <c r="G851" s="26"/>
    </row>
    <row r="852" spans="7:7" ht="15.75" customHeight="1">
      <c r="G852" s="26"/>
    </row>
    <row r="853" spans="7:7" ht="15.75" customHeight="1">
      <c r="G853" s="26"/>
    </row>
    <row r="854" spans="7:7" ht="15.75" customHeight="1">
      <c r="G854" s="26"/>
    </row>
    <row r="855" spans="7:7" ht="15.75" customHeight="1">
      <c r="G855" s="26"/>
    </row>
    <row r="856" spans="7:7" ht="15.75" customHeight="1">
      <c r="G856" s="26"/>
    </row>
    <row r="857" spans="7:7" ht="15.75" customHeight="1">
      <c r="G857" s="26"/>
    </row>
    <row r="858" spans="7:7" ht="15.75" customHeight="1">
      <c r="G858" s="26"/>
    </row>
    <row r="859" spans="7:7" ht="15.75" customHeight="1">
      <c r="G859" s="26"/>
    </row>
    <row r="860" spans="7:7" ht="15.75" customHeight="1">
      <c r="G860" s="26"/>
    </row>
    <row r="861" spans="7:7" ht="15.75" customHeight="1">
      <c r="G861" s="26"/>
    </row>
    <row r="862" spans="7:7" ht="15.75" customHeight="1">
      <c r="G862" s="26"/>
    </row>
    <row r="863" spans="7:7" ht="15.75" customHeight="1">
      <c r="G863" s="26"/>
    </row>
    <row r="864" spans="7:7" ht="15.75" customHeight="1">
      <c r="G864" s="26"/>
    </row>
    <row r="865" spans="7:7" ht="15.75" customHeight="1">
      <c r="G865" s="26"/>
    </row>
    <row r="866" spans="7:7" ht="15.75" customHeight="1">
      <c r="G866" s="26"/>
    </row>
    <row r="867" spans="7:7" ht="15.75" customHeight="1">
      <c r="G867" s="26"/>
    </row>
    <row r="868" spans="7:7" ht="15.75" customHeight="1">
      <c r="G868" s="26"/>
    </row>
    <row r="869" spans="7:7" ht="15.75" customHeight="1">
      <c r="G869" s="26"/>
    </row>
    <row r="870" spans="7:7" ht="15.75" customHeight="1">
      <c r="G870" s="26"/>
    </row>
    <row r="871" spans="7:7" ht="15.75" customHeight="1">
      <c r="G871" s="26"/>
    </row>
    <row r="872" spans="7:7" ht="15.75" customHeight="1">
      <c r="G872" s="26"/>
    </row>
    <row r="873" spans="7:7" ht="15.75" customHeight="1">
      <c r="G873" s="26"/>
    </row>
    <row r="874" spans="7:7" ht="15.75" customHeight="1">
      <c r="G874" s="26"/>
    </row>
    <row r="875" spans="7:7" ht="15.75" customHeight="1">
      <c r="G875" s="26"/>
    </row>
    <row r="876" spans="7:7" ht="15.75" customHeight="1">
      <c r="G876" s="26"/>
    </row>
    <row r="877" spans="7:7" ht="15.75" customHeight="1">
      <c r="G877" s="26"/>
    </row>
    <row r="878" spans="7:7" ht="15.75" customHeight="1">
      <c r="G878" s="26"/>
    </row>
    <row r="879" spans="7:7" ht="15.75" customHeight="1">
      <c r="G879" s="26"/>
    </row>
    <row r="880" spans="7:7" ht="15.75" customHeight="1">
      <c r="G880" s="26"/>
    </row>
    <row r="881" spans="7:7" ht="15.75" customHeight="1">
      <c r="G881" s="26"/>
    </row>
    <row r="882" spans="7:7" ht="15.75" customHeight="1">
      <c r="G882" s="26"/>
    </row>
    <row r="883" spans="7:7" ht="15.75" customHeight="1">
      <c r="G883" s="26"/>
    </row>
    <row r="884" spans="7:7" ht="15.75" customHeight="1">
      <c r="G884" s="26"/>
    </row>
    <row r="885" spans="7:7" ht="15.75" customHeight="1">
      <c r="G885" s="26"/>
    </row>
    <row r="886" spans="7:7" ht="15.75" customHeight="1">
      <c r="G886" s="26"/>
    </row>
    <row r="887" spans="7:7" ht="15.75" customHeight="1">
      <c r="G887" s="26"/>
    </row>
    <row r="888" spans="7:7" ht="15.75" customHeight="1">
      <c r="G888" s="26"/>
    </row>
    <row r="889" spans="7:7" ht="15.75" customHeight="1">
      <c r="G889" s="26"/>
    </row>
    <row r="890" spans="7:7" ht="15.75" customHeight="1">
      <c r="G890" s="26"/>
    </row>
    <row r="891" spans="7:7" ht="15.75" customHeight="1">
      <c r="G891" s="26"/>
    </row>
    <row r="892" spans="7:7" ht="15.75" customHeight="1">
      <c r="G892" s="26"/>
    </row>
    <row r="893" spans="7:7" ht="15.75" customHeight="1">
      <c r="G893" s="26"/>
    </row>
    <row r="894" spans="7:7" ht="15.75" customHeight="1">
      <c r="G894" s="26"/>
    </row>
    <row r="895" spans="7:7" ht="15.75" customHeight="1">
      <c r="G895" s="26"/>
    </row>
    <row r="896" spans="7:7" ht="15.75" customHeight="1">
      <c r="G896" s="26"/>
    </row>
    <row r="897" spans="7:7" ht="15.75" customHeight="1">
      <c r="G897" s="26"/>
    </row>
    <row r="898" spans="7:7" ht="15.75" customHeight="1">
      <c r="G898" s="26"/>
    </row>
    <row r="899" spans="7:7" ht="15.75" customHeight="1">
      <c r="G899" s="26"/>
    </row>
    <row r="900" spans="7:7" ht="15.75" customHeight="1">
      <c r="G900" s="26"/>
    </row>
    <row r="901" spans="7:7" ht="15.75" customHeight="1">
      <c r="G901" s="26"/>
    </row>
    <row r="902" spans="7:7" ht="15.75" customHeight="1">
      <c r="G902" s="26"/>
    </row>
    <row r="903" spans="7:7" ht="15.75" customHeight="1">
      <c r="G903" s="26"/>
    </row>
    <row r="904" spans="7:7" ht="15.75" customHeight="1">
      <c r="G904" s="26"/>
    </row>
    <row r="905" spans="7:7" ht="15.75" customHeight="1">
      <c r="G905" s="26"/>
    </row>
    <row r="906" spans="7:7" ht="15.75" customHeight="1">
      <c r="G906" s="26"/>
    </row>
    <row r="907" spans="7:7" ht="15.75" customHeight="1">
      <c r="G907" s="26"/>
    </row>
    <row r="908" spans="7:7" ht="15.75" customHeight="1">
      <c r="G908" s="26"/>
    </row>
    <row r="909" spans="7:7" ht="15.75" customHeight="1">
      <c r="G909" s="26"/>
    </row>
    <row r="910" spans="7:7" ht="15.75" customHeight="1">
      <c r="G910" s="26"/>
    </row>
    <row r="911" spans="7:7" ht="15.75" customHeight="1">
      <c r="G911" s="26"/>
    </row>
    <row r="912" spans="7:7" ht="15.75" customHeight="1">
      <c r="G912" s="26"/>
    </row>
    <row r="913" spans="7:7" ht="15.75" customHeight="1">
      <c r="G913" s="26"/>
    </row>
    <row r="914" spans="7:7" ht="15.75" customHeight="1">
      <c r="G914" s="26"/>
    </row>
    <row r="915" spans="7:7" ht="15.75" customHeight="1">
      <c r="G915" s="26"/>
    </row>
    <row r="916" spans="7:7" ht="15.75" customHeight="1">
      <c r="G916" s="26"/>
    </row>
    <row r="917" spans="7:7" ht="15.75" customHeight="1">
      <c r="G917" s="26"/>
    </row>
    <row r="918" spans="7:7" ht="15.75" customHeight="1">
      <c r="G918" s="26"/>
    </row>
    <row r="919" spans="7:7" ht="15.75" customHeight="1">
      <c r="G919" s="26"/>
    </row>
    <row r="920" spans="7:7" ht="15.75" customHeight="1">
      <c r="G920" s="26"/>
    </row>
    <row r="921" spans="7:7" ht="15.75" customHeight="1">
      <c r="G921" s="26"/>
    </row>
    <row r="922" spans="7:7" ht="15.75" customHeight="1">
      <c r="G922" s="26"/>
    </row>
    <row r="923" spans="7:7" ht="15.75" customHeight="1">
      <c r="G923" s="26"/>
    </row>
    <row r="924" spans="7:7" ht="15.75" customHeight="1">
      <c r="G924" s="26"/>
    </row>
    <row r="925" spans="7:7" ht="15.75" customHeight="1">
      <c r="G925" s="26"/>
    </row>
    <row r="926" spans="7:7" ht="15.75" customHeight="1">
      <c r="G926" s="26"/>
    </row>
    <row r="927" spans="7:7" ht="15.75" customHeight="1">
      <c r="G927" s="26"/>
    </row>
    <row r="928" spans="7:7" ht="15.75" customHeight="1">
      <c r="G928" s="26"/>
    </row>
    <row r="929" spans="7:7" ht="15.75" customHeight="1">
      <c r="G929" s="26"/>
    </row>
    <row r="930" spans="7:7" ht="15.75" customHeight="1">
      <c r="G930" s="26"/>
    </row>
    <row r="931" spans="7:7" ht="15.75" customHeight="1">
      <c r="G931" s="26"/>
    </row>
    <row r="932" spans="7:7" ht="15.75" customHeight="1">
      <c r="G932" s="26"/>
    </row>
    <row r="933" spans="7:7" ht="15.75" customHeight="1">
      <c r="G933" s="26"/>
    </row>
    <row r="934" spans="7:7" ht="15.75" customHeight="1">
      <c r="G934" s="26"/>
    </row>
    <row r="935" spans="7:7" ht="15.75" customHeight="1">
      <c r="G935" s="26"/>
    </row>
    <row r="936" spans="7:7" ht="15.75" customHeight="1">
      <c r="G936" s="26"/>
    </row>
    <row r="937" spans="7:7" ht="15.75" customHeight="1">
      <c r="G937" s="26"/>
    </row>
    <row r="938" spans="7:7" ht="15.75" customHeight="1">
      <c r="G938" s="26"/>
    </row>
    <row r="939" spans="7:7" ht="15.75" customHeight="1">
      <c r="G939" s="26"/>
    </row>
    <row r="940" spans="7:7" ht="15.75" customHeight="1">
      <c r="G940" s="26"/>
    </row>
    <row r="941" spans="7:7" ht="15.75" customHeight="1">
      <c r="G941" s="26"/>
    </row>
    <row r="942" spans="7:7" ht="15.75" customHeight="1">
      <c r="G942" s="26"/>
    </row>
    <row r="943" spans="7:7" ht="15.75" customHeight="1">
      <c r="G943" s="26"/>
    </row>
    <row r="944" spans="7:7" ht="15.75" customHeight="1">
      <c r="G944" s="26"/>
    </row>
    <row r="945" spans="7:7" ht="15.75" customHeight="1">
      <c r="G945" s="26"/>
    </row>
    <row r="946" spans="7:7" ht="15.75" customHeight="1">
      <c r="G946" s="26"/>
    </row>
    <row r="947" spans="7:7" ht="15.75" customHeight="1">
      <c r="G947" s="26"/>
    </row>
    <row r="948" spans="7:7" ht="15.75" customHeight="1">
      <c r="G948" s="26"/>
    </row>
    <row r="949" spans="7:7" ht="15.75" customHeight="1">
      <c r="G949" s="26"/>
    </row>
    <row r="950" spans="7:7" ht="15.75" customHeight="1">
      <c r="G950" s="26"/>
    </row>
    <row r="951" spans="7:7" ht="15.75" customHeight="1">
      <c r="G951" s="26"/>
    </row>
    <row r="952" spans="7:7" ht="15.75" customHeight="1">
      <c r="G952" s="26"/>
    </row>
    <row r="953" spans="7:7" ht="15.75" customHeight="1">
      <c r="G953" s="26"/>
    </row>
    <row r="954" spans="7:7" ht="15.75" customHeight="1">
      <c r="G954" s="26"/>
    </row>
    <row r="955" spans="7:7" ht="15.75" customHeight="1">
      <c r="G955" s="26"/>
    </row>
    <row r="956" spans="7:7" ht="15.75" customHeight="1">
      <c r="G956" s="26"/>
    </row>
    <row r="957" spans="7:7" ht="15.75" customHeight="1">
      <c r="G957" s="26"/>
    </row>
    <row r="958" spans="7:7" ht="15.75" customHeight="1">
      <c r="G958" s="26"/>
    </row>
    <row r="959" spans="7:7" ht="15.75" customHeight="1">
      <c r="G959" s="26"/>
    </row>
    <row r="960" spans="7:7" ht="15.75" customHeight="1">
      <c r="G960" s="26"/>
    </row>
    <row r="961" spans="7:7" ht="15.75" customHeight="1">
      <c r="G961" s="26"/>
    </row>
    <row r="962" spans="7:7" ht="15.75" customHeight="1">
      <c r="G962" s="26"/>
    </row>
    <row r="963" spans="7:7" ht="15.75" customHeight="1">
      <c r="G963" s="26"/>
    </row>
    <row r="964" spans="7:7" ht="15.75" customHeight="1">
      <c r="G964" s="26"/>
    </row>
    <row r="965" spans="7:7" ht="15.75" customHeight="1">
      <c r="G965" s="26"/>
    </row>
    <row r="966" spans="7:7" ht="15.75" customHeight="1">
      <c r="G966" s="26"/>
    </row>
    <row r="967" spans="7:7" ht="15.75" customHeight="1">
      <c r="G967" s="26"/>
    </row>
    <row r="968" spans="7:7" ht="15.75" customHeight="1">
      <c r="G968" s="26"/>
    </row>
    <row r="969" spans="7:7" ht="15.75" customHeight="1">
      <c r="G969" s="26"/>
    </row>
    <row r="970" spans="7:7" ht="15.75" customHeight="1">
      <c r="G970" s="26"/>
    </row>
    <row r="971" spans="7:7" ht="15.75" customHeight="1">
      <c r="G971" s="26"/>
    </row>
    <row r="972" spans="7:7" ht="15.75" customHeight="1">
      <c r="G972" s="26"/>
    </row>
    <row r="973" spans="7:7" ht="15.75" customHeight="1">
      <c r="G973" s="26"/>
    </row>
    <row r="974" spans="7:7" ht="15.75" customHeight="1">
      <c r="G974" s="26"/>
    </row>
    <row r="975" spans="7:7" ht="15.75" customHeight="1">
      <c r="G975" s="26"/>
    </row>
    <row r="976" spans="7:7" ht="15.75" customHeight="1">
      <c r="G976" s="26"/>
    </row>
    <row r="977" spans="7:7" ht="15.75" customHeight="1">
      <c r="G977" s="26"/>
    </row>
    <row r="978" spans="7:7" ht="15.75" customHeight="1">
      <c r="G978" s="26"/>
    </row>
    <row r="979" spans="7:7" ht="15.75" customHeight="1">
      <c r="G979" s="26"/>
    </row>
    <row r="980" spans="7:7" ht="15.75" customHeight="1">
      <c r="G980" s="26"/>
    </row>
    <row r="981" spans="7:7" ht="15.75" customHeight="1">
      <c r="G981" s="26"/>
    </row>
    <row r="982" spans="7:7" ht="15.75" customHeight="1">
      <c r="G982" s="26"/>
    </row>
    <row r="983" spans="7:7" ht="15.75" customHeight="1">
      <c r="G983" s="26"/>
    </row>
    <row r="984" spans="7:7" ht="15.75" customHeight="1">
      <c r="G984" s="26"/>
    </row>
    <row r="985" spans="7:7" ht="15.75" customHeight="1">
      <c r="G985" s="26"/>
    </row>
    <row r="986" spans="7:7" ht="15.75" customHeight="1">
      <c r="G986" s="26"/>
    </row>
    <row r="987" spans="7:7" ht="15.75" customHeight="1">
      <c r="G987" s="26"/>
    </row>
    <row r="988" spans="7:7" ht="15.75" customHeight="1">
      <c r="G988" s="26"/>
    </row>
    <row r="989" spans="7:7" ht="15.75" customHeight="1">
      <c r="G989" s="26"/>
    </row>
    <row r="990" spans="7:7" ht="15.75" customHeight="1">
      <c r="G990" s="26"/>
    </row>
    <row r="991" spans="7:7" ht="15.75" customHeight="1">
      <c r="G991" s="26"/>
    </row>
    <row r="992" spans="7:7" ht="15.75" customHeight="1">
      <c r="G992" s="26"/>
    </row>
    <row r="993" spans="7:7" ht="15.75" customHeight="1">
      <c r="G993" s="26"/>
    </row>
    <row r="994" spans="7:7" ht="15.75" customHeight="1">
      <c r="G994" s="26"/>
    </row>
    <row r="995" spans="7:7" ht="15.75" customHeight="1">
      <c r="G995" s="26"/>
    </row>
    <row r="996" spans="7:7" ht="15.75" customHeight="1">
      <c r="G996" s="26"/>
    </row>
    <row r="997" spans="7:7" ht="15.75" customHeight="1">
      <c r="G997" s="26"/>
    </row>
    <row r="998" spans="7:7" ht="15.75" customHeight="1">
      <c r="G998" s="26"/>
    </row>
    <row r="999" spans="7:7" ht="15.75" customHeight="1">
      <c r="G999" s="26"/>
    </row>
    <row r="1000" spans="7:7" ht="15.75" customHeight="1">
      <c r="G1000" s="26"/>
    </row>
    <row r="1001" spans="7:7" ht="15.75" customHeight="1">
      <c r="G1001" s="26"/>
    </row>
    <row r="1002" spans="7:7" ht="15.75" customHeight="1">
      <c r="G1002" s="26"/>
    </row>
    <row r="1003" spans="7:7" ht="15.75" customHeight="1">
      <c r="G1003" s="26"/>
    </row>
    <row r="1004" spans="7:7" ht="15.75" customHeight="1">
      <c r="G1004" s="26"/>
    </row>
    <row r="1005" spans="7:7" ht="15.75" customHeight="1">
      <c r="G1005" s="26"/>
    </row>
    <row r="1006" spans="7:7" ht="15.75" customHeight="1">
      <c r="G1006" s="26"/>
    </row>
    <row r="1007" spans="7:7" ht="15.75" customHeight="1">
      <c r="G1007" s="26"/>
    </row>
    <row r="1008" spans="7:7" ht="15.75" customHeight="1">
      <c r="G1008" s="26"/>
    </row>
    <row r="1009" spans="7:7" ht="15.75" customHeight="1">
      <c r="G1009" s="26"/>
    </row>
    <row r="1010" spans="7:7" ht="15.75" customHeight="1">
      <c r="G1010" s="26"/>
    </row>
    <row r="1011" spans="7:7" ht="15.75" customHeight="1">
      <c r="G1011" s="26"/>
    </row>
    <row r="1012" spans="7:7" ht="15.75" customHeight="1">
      <c r="G1012" s="26"/>
    </row>
    <row r="1013" spans="7:7" ht="15.75" customHeight="1">
      <c r="G1013" s="26"/>
    </row>
    <row r="1014" spans="7:7" ht="15.75" customHeight="1">
      <c r="G1014" s="26"/>
    </row>
    <row r="1015" spans="7:7" ht="15.75" customHeight="1">
      <c r="G1015" s="26"/>
    </row>
    <row r="1016" spans="7:7" ht="15.75" customHeight="1">
      <c r="G1016" s="26"/>
    </row>
    <row r="1017" spans="7:7" ht="15.75" customHeight="1">
      <c r="G1017" s="26"/>
    </row>
    <row r="1018" spans="7:7" ht="15.75" customHeight="1">
      <c r="G1018" s="26"/>
    </row>
  </sheetData>
  <mergeCells count="36">
    <mergeCell ref="C52:G52"/>
    <mergeCell ref="C57:G57"/>
    <mergeCell ref="C58:G58"/>
    <mergeCell ref="B23:E23"/>
    <mergeCell ref="F23:G23"/>
    <mergeCell ref="B47:C47"/>
    <mergeCell ref="B48:C48"/>
    <mergeCell ref="A49:F49"/>
    <mergeCell ref="B50:C50"/>
    <mergeCell ref="C51:G51"/>
    <mergeCell ref="A25:A26"/>
    <mergeCell ref="B25:C26"/>
    <mergeCell ref="D25:F25"/>
    <mergeCell ref="B27:F27"/>
    <mergeCell ref="B46:C46"/>
    <mergeCell ref="B20:E20"/>
    <mergeCell ref="F20:G20"/>
    <mergeCell ref="B21:E21"/>
    <mergeCell ref="F21:G21"/>
    <mergeCell ref="B22:E22"/>
    <mergeCell ref="F22:G22"/>
    <mergeCell ref="B11:G11"/>
    <mergeCell ref="B12:G12"/>
    <mergeCell ref="A18:G18"/>
    <mergeCell ref="F19:G19"/>
    <mergeCell ref="B19:E19"/>
    <mergeCell ref="B6:G6"/>
    <mergeCell ref="B7:G7"/>
    <mergeCell ref="B8:G8"/>
    <mergeCell ref="B9:G9"/>
    <mergeCell ref="B10:G10"/>
    <mergeCell ref="A1:E1"/>
    <mergeCell ref="F1:G1"/>
    <mergeCell ref="A2:G2"/>
    <mergeCell ref="B4:G4"/>
    <mergeCell ref="B5:G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Krisben 60,122,000</vt:lpstr>
      <vt:lpstr>kestrad 59,264,000</vt:lpstr>
      <vt:lpstr>SPGDT 258,493,750</vt:lpstr>
      <vt:lpstr>PSC 119 856.481.250</vt:lpstr>
      <vt:lpstr>Akreditasi 168,923,000</vt:lpstr>
      <vt:lpstr>SIK 167,128,000</vt:lpstr>
      <vt:lpstr>Mutu 639,788,300</vt:lpstr>
      <vt:lpstr>Pembinaan Nakes 60,000,000</vt:lpstr>
      <vt:lpstr>(kode sub kegiatan)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prola</dc:creator>
  <cp:lastModifiedBy>Ditha Satya</cp:lastModifiedBy>
  <dcterms:created xsi:type="dcterms:W3CDTF">2022-02-03T05:54:32Z</dcterms:created>
  <dcterms:modified xsi:type="dcterms:W3CDTF">2026-02-26T08:20:18Z</dcterms:modified>
</cp:coreProperties>
</file>