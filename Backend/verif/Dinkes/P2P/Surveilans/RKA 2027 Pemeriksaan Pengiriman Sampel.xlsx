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cuments\DINAS KESEHATAN KAB BOGOR P2P\TAHUN 2026\"/>
    </mc:Choice>
  </mc:AlternateContent>
  <xr:revisionPtr revIDLastSave="0" documentId="13_ncr:1_{6B64416B-3484-4C58-B2CC-EFBDEDC561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(kode sub kegiata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" roundtripDataChecksum="eOFbojenaZYJi3fO66NsIv0blmS2lpBK3+Bh1gm1Ru4="/>
    </ext>
  </extLst>
</workbook>
</file>

<file path=xl/calcChain.xml><?xml version="1.0" encoding="utf-8"?>
<calcChain xmlns="http://schemas.openxmlformats.org/spreadsheetml/2006/main">
  <c r="G47" i="1" l="1"/>
  <c r="G43" i="1"/>
  <c r="G44" i="1"/>
  <c r="G37" i="1"/>
  <c r="G52" i="1"/>
  <c r="G51" i="1"/>
  <c r="G53" i="1"/>
  <c r="G54" i="1"/>
  <c r="G46" i="1"/>
  <c r="G45" i="1"/>
  <c r="G39" i="1"/>
  <c r="G38" i="1"/>
  <c r="G33" i="1"/>
  <c r="G32" i="1"/>
  <c r="G31" i="1"/>
  <c r="G30" i="1"/>
  <c r="B67" i="1"/>
  <c r="J33" i="1" l="1"/>
</calcChain>
</file>

<file path=xl/sharedStrings.xml><?xml version="1.0" encoding="utf-8"?>
<sst xmlns="http://schemas.openxmlformats.org/spreadsheetml/2006/main" count="123" uniqueCount="109">
  <si>
    <t>RENCANA KERJA DAN ANGGARAN
SATUAN KERJA PERANGKAT DAERAH</t>
  </si>
  <si>
    <t>Formulir 
RKA-RINCIAN BELANJA
SKPD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</si>
  <si>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</si>
  <si>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</si>
  <si>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</si>
  <si>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</si>
  <si>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</si>
  <si>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</si>
  <si>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</si>
  <si>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</si>
  <si>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</si>
  <si>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</si>
  <si>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</si>
  <si>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: Januari s.d. Desember</t>
  </si>
  <si>
    <t>Kelompok Sasaran</t>
  </si>
  <si>
    <t>:</t>
  </si>
  <si>
    <t xml:space="preserve">: 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</si>
  <si>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</si>
  <si>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</si>
  <si>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</si>
  <si>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</si>
  <si>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</si>
  <si>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</si>
  <si>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</si>
  <si>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</si>
  <si>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</si>
  <si>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</si>
  <si>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</si>
  <si>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</si>
  <si>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</si>
  <si>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</si>
  <si>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</si>
  <si>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</si>
  <si>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Jumlah Anggaran Sub Kegiatan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</si>
  <si>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</si>
  <si>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</si>
  <si>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</si>
  <si>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</si>
  <si>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</si>
  <si>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</si>
  <si>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</si>
  <si>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</si>
  <si>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</si>
  <si>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</si>
  <si>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</si>
  <si>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</si>
  <si>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2026</t>
  </si>
  <si>
    <t>Pemerintah Kabupaten Bogor Tahun Anggaran 2027</t>
  </si>
  <si>
    <t>Jumlah 2027</t>
  </si>
  <si>
    <t>Jumlah 2028</t>
  </si>
  <si>
    <t>Kabupaten Bogor,                                2026</t>
  </si>
  <si>
    <t>Kepala ...</t>
  </si>
  <si>
    <t>: 1.02.02 PROGRAM PEMENUHAN UPAYA KESEHATAN PERORANGAN DAN UPAYA KESEHATAN MASYARAKAT</t>
  </si>
  <si>
    <t>: 1.02.02.2.02 Penyediaan Layanan Kesehatan untuk UKM dan UKP Rujukan Tingkat Daerah  Kabupaten/Kota</t>
  </si>
  <si>
    <t>: PENDAPATAN ASLI DAERAH (PAD) DAK Non Fisik-Dana BOK-BOK Dinas-BOK Kabupaten/Kota</t>
  </si>
  <si>
    <t>: Semua Kota/Kab, Semua Kecamatan, Semua Kel/Desa</t>
  </si>
  <si>
    <t>: -</t>
  </si>
  <si>
    <t>: Rp. 612,143,000.00</t>
  </si>
  <si>
    <t>5.1.02.04.001.00001</t>
  </si>
  <si>
    <t>Belanja Perjalanan Dinas Biasa</t>
  </si>
  <si>
    <t>[-] Pengiriman Sampel PD3I, KLB/Sampel Penyakit Menular ke Lab Rujukan</t>
  </si>
  <si>
    <t>Orang/Kali</t>
  </si>
  <si>
    <t>5.1.02.02.001.00015</t>
  </si>
  <si>
    <t>Belanja Jasa Tenaga Laboratorium</t>
  </si>
  <si>
    <t>[#] Belanja Jasa Tenaga Laboratorium                                                                   Sumber Dana: DAK Non Fisik-Dana BOK-BOK Dinas-BOK Kabupaten/Kota</t>
  </si>
  <si>
    <t>[#] Perjalanan Dinas                                                                                         Sumber Dana: Pendapatan Asli Daerah (PAD)</t>
  </si>
  <si>
    <t xml:space="preserve">[-] Jasa Pemeriksaan Spesimen di Laboratorium dalam rangka PD3I </t>
  </si>
  <si>
    <t>Biaya Transportasi Perjalanan Dinas Dalam Negeri                              Spesifikasi: dari Kabupaten Bogor ke DKI Jakarta (one way)</t>
  </si>
  <si>
    <t>Biaya Transportasi Perjalanan Dinas Dalam Negeri                                      Spesifikasi: dari Kabupaten Bogor ke Kota Bandung (one way)</t>
  </si>
  <si>
    <t>Uang Harian Perjalanan Dinas Dalam Negeri                                           Spesifikasi: ke DKI Jakarta (luar kota)</t>
  </si>
  <si>
    <t>Uang Harian Perjalanan Dinas Dalam Negeri                                       Spesifikasi: ke Kota Bandung (luar kota)</t>
  </si>
  <si>
    <t>Jasa Pemeriksaan Laboratorium Penyakit Campak</t>
  </si>
  <si>
    <t>Sampel</t>
  </si>
  <si>
    <t>Jasa Pemeriksaan Laboratorium Penyakit Difteri</t>
  </si>
  <si>
    <t>330.000 + 5%</t>
  </si>
  <si>
    <t>460.000 +5%</t>
  </si>
  <si>
    <t>Jasa Pemeriksaan Laboratorium Penyakit Pertusis</t>
  </si>
  <si>
    <t>300.000 + 5%</t>
  </si>
  <si>
    <t>50 Sampel</t>
  </si>
  <si>
    <t>84 Sampel</t>
  </si>
  <si>
    <t>50 Kali</t>
  </si>
  <si>
    <t>30 Kali</t>
  </si>
  <si>
    <t>2 Orang x 50 kali</t>
  </si>
  <si>
    <t>2 Orang x 30 kali</t>
  </si>
  <si>
    <t>5.1.02.01.001.00012</t>
  </si>
  <si>
    <t xml:space="preserve">Belanja Bahan Lainnya </t>
  </si>
  <si>
    <t>[#] Belanja Bahan-Bahan Lainnya                                                                   Sumber Dana: DAK Non Fisik-Dana BOK-BOK Dinas-BOK Kabupaten/Kota</t>
  </si>
  <si>
    <t>[-] Bahan Pengepakan/Pengemasan Spesimen PD3I</t>
  </si>
  <si>
    <t>Ice Gel                                                                                                             Spesifikasi: Isi 12 pcs</t>
  </si>
  <si>
    <t>Buah</t>
  </si>
  <si>
    <t>Parafilm                                                                                                             Spesifikasi: Ukuran 5 cm x 100 cm</t>
  </si>
  <si>
    <t>Plastik Zip Lock                                                                                                             Spesifikasi: Ukuran 16 cm x 25 cm, isi 100 pcs</t>
  </si>
  <si>
    <t>101 Pack</t>
  </si>
  <si>
    <t>Pack</t>
  </si>
  <si>
    <t>Plastik Zip Lock                                                                                                             Spesifikasi: Ukuran 5 cm x 8 cm, isi 100 pcs</t>
  </si>
  <si>
    <t>Tissue                                                                                                             Spesifikasi: Isi 60 sheets</t>
  </si>
  <si>
    <t>202 Pcs</t>
  </si>
  <si>
    <t>Pcs</t>
  </si>
  <si>
    <t>5.1.02.01.001.00025</t>
  </si>
  <si>
    <t>Belanja Alat/Bahan untuk Kegiatan Kantor Kertas dan Cover</t>
  </si>
  <si>
    <t>[#]Belanja Alat/Bahan untuk Kegiatan Kantor Kertas dan Cover                                                             Sumber Dana: DAK Non Fisik-Dana BOK-BOK Dinas-BOK Kabupaten/Kota</t>
  </si>
  <si>
    <t>Kertas Label                                                                                                            Spesifikasi: No. 121, isi 10 Lbr</t>
  </si>
  <si>
    <t>101 Pcs</t>
  </si>
  <si>
    <t>Kertas Label                                                                                                            Spesifikasi: No. 103, isi 10 Lbr</t>
  </si>
  <si>
    <t>1224 Sampel</t>
  </si>
  <si>
    <t>200 Buah</t>
  </si>
  <si>
    <t>401 Buah</t>
  </si>
  <si>
    <t>PEMBULATAN 5.073</t>
  </si>
  <si>
    <t>: 1.02.02.2.02.0053 Pengambilan, Pemeriksaan, dan Pengiriman Spesimen Penyakit Potensial KLB ke Laboratorium Rujukan/Nasional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</si>
</sst>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6" formatCode="_(* #,##0.00_);_(* \(#,##0.00\);_(* &quot;-&quot;??_);_(@_)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2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4" xfId="0" applyFont="1" applyBorder="1"/>
    <xf numFmtId="164" fontId="2" fillId="0" borderId="20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164" fontId="2" fillId="0" borderId="25" xfId="0" applyNumberFormat="1" applyFont="1" applyBorder="1" applyAlignment="1">
      <alignment vertical="top"/>
    </xf>
    <xf numFmtId="0" fontId="2" fillId="0" borderId="24" xfId="0" applyFont="1" applyBorder="1" applyAlignment="1">
      <alignment horizontal="center" vertical="top"/>
    </xf>
    <xf numFmtId="0" fontId="5" fillId="0" borderId="9" xfId="0" applyFont="1" applyBorder="1" applyAlignment="1">
      <alignment vertical="top"/>
    </xf>
    <xf numFmtId="0" fontId="5" fillId="0" borderId="24" xfId="0" applyFont="1" applyBorder="1" applyAlignment="1">
      <alignment vertical="top"/>
    </xf>
    <xf numFmtId="164" fontId="5" fillId="0" borderId="25" xfId="0" applyNumberFormat="1" applyFont="1" applyBorder="1" applyAlignment="1">
      <alignment vertical="top"/>
    </xf>
    <xf numFmtId="164" fontId="2" fillId="0" borderId="26" xfId="0" applyNumberFormat="1" applyFont="1" applyBorder="1" applyAlignment="1">
      <alignment horizontal="right" vertical="top"/>
    </xf>
    <xf numFmtId="0" fontId="5" fillId="0" borderId="0" xfId="0" applyFont="1" applyAlignment="1">
      <alignment horizontal="right"/>
    </xf>
    <xf numFmtId="0" fontId="5" fillId="0" borderId="24" xfId="0" applyFont="1" applyBorder="1" applyAlignment="1">
      <alignment horizontal="center" vertical="center"/>
    </xf>
    <xf numFmtId="164" fontId="5" fillId="0" borderId="25" xfId="0" applyNumberFormat="1" applyFont="1" applyBorder="1"/>
    <xf numFmtId="0" fontId="5" fillId="0" borderId="27" xfId="0" applyFont="1" applyBorder="1"/>
    <xf numFmtId="164" fontId="5" fillId="0" borderId="28" xfId="0" applyNumberFormat="1" applyFont="1" applyBorder="1"/>
    <xf numFmtId="0" fontId="5" fillId="0" borderId="14" xfId="0" applyFont="1" applyBorder="1" applyAlignment="1">
      <alignment horizontal="center"/>
    </xf>
    <xf numFmtId="164" fontId="5" fillId="0" borderId="26" xfId="0" applyNumberFormat="1" applyFont="1" applyBorder="1"/>
    <xf numFmtId="0" fontId="5" fillId="0" borderId="29" xfId="0" applyFont="1" applyBorder="1"/>
    <xf numFmtId="0" fontId="5" fillId="0" borderId="30" xfId="0" applyFont="1" applyBorder="1"/>
    <xf numFmtId="164" fontId="5" fillId="0" borderId="31" xfId="0" applyNumberFormat="1" applyFont="1" applyBorder="1"/>
    <xf numFmtId="164" fontId="5" fillId="0" borderId="0" xfId="0" applyNumberFormat="1" applyFont="1"/>
    <xf numFmtId="0" fontId="0" fillId="0" borderId="0" xfId="0"/>
    <xf numFmtId="0" fontId="0" fillId="0" borderId="0" xfId="0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/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0" xfId="0" applyFont="1"/>
    <xf numFmtId="0" fontId="0" fillId="0" borderId="0" xfId="0" applyFont="1" applyAlignment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5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5" fillId="0" borderId="27" xfId="0" applyFont="1" applyBorder="1" applyAlignment="1">
      <alignment horizontal="center"/>
    </xf>
    <xf numFmtId="0" fontId="3" fillId="0" borderId="28" xfId="0" applyFont="1" applyBorder="1"/>
    <xf numFmtId="0" fontId="6" fillId="0" borderId="27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3" fillId="0" borderId="7" xfId="0" applyFont="1" applyBorder="1"/>
    <xf numFmtId="0" fontId="3" fillId="0" borderId="16" xfId="0" applyFont="1" applyBorder="1"/>
    <xf numFmtId="9" fontId="5" fillId="0" borderId="15" xfId="0" applyNumberFormat="1" applyFont="1" applyBorder="1" applyAlignment="1">
      <alignment horizontal="right"/>
    </xf>
    <xf numFmtId="0" fontId="3" fillId="0" borderId="8" xfId="0" applyFont="1" applyBorder="1"/>
    <xf numFmtId="0" fontId="2" fillId="0" borderId="1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right" vertical="top"/>
    </xf>
    <xf numFmtId="0" fontId="2" fillId="0" borderId="17" xfId="0" applyFont="1" applyBorder="1" applyAlignment="1">
      <alignment horizontal="center" vertical="center"/>
    </xf>
    <xf numFmtId="0" fontId="3" fillId="0" borderId="21" xfId="0" applyFont="1" applyBorder="1"/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2" xfId="0" applyFont="1" applyBorder="1"/>
    <xf numFmtId="0" fontId="3" fillId="0" borderId="23" xfId="0" applyFont="1" applyBorder="1"/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wrapText="1"/>
    </xf>
    <xf numFmtId="0" fontId="7" fillId="0" borderId="10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center" vertical="top"/>
    </xf>
    <xf numFmtId="0" fontId="9" fillId="0" borderId="24" xfId="0" applyFont="1" applyBorder="1" applyAlignment="1">
      <alignment vertical="top"/>
    </xf>
    <xf numFmtId="4" fontId="2" fillId="0" borderId="24" xfId="0" applyNumberFormat="1" applyFont="1" applyBorder="1" applyAlignment="1">
      <alignment vertical="top"/>
    </xf>
    <xf numFmtId="166" fontId="2" fillId="0" borderId="25" xfId="0" applyNumberFormat="1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4" fontId="7" fillId="0" borderId="24" xfId="0" applyNumberFormat="1" applyFont="1" applyBorder="1" applyAlignment="1">
      <alignment vertical="top"/>
    </xf>
    <xf numFmtId="166" fontId="7" fillId="0" borderId="25" xfId="0" applyNumberFormat="1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horizontal="left" vertical="center"/>
    </xf>
    <xf numFmtId="0" fontId="9" fillId="0" borderId="0" xfId="0" applyFont="1"/>
    <xf numFmtId="43" fontId="2" fillId="0" borderId="0" xfId="0" applyNumberFormat="1" applyFont="1"/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right" vertical="top"/>
    </xf>
    <xf numFmtId="0" fontId="2" fillId="0" borderId="16" xfId="0" applyFont="1" applyBorder="1" applyAlignment="1">
      <alignment horizontal="right" vertical="top"/>
    </xf>
    <xf numFmtId="166" fontId="5" fillId="0" borderId="25" xfId="0" applyNumberFormat="1" applyFont="1" applyBorder="1" applyAlignment="1">
      <alignment vertical="top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2"/>
  <sheetViews>
    <sheetView tabSelected="1" workbookViewId="0">
      <selection activeCell="D14" sqref="D14"/>
    </sheetView>
  </sheetViews>
  <sheetFormatPr defaultColWidth="14.453125" defaultRowHeight="15" customHeight="1"/>
  <cols>
    <col min="1" max="1" width="18.453125" bestFit="1" customWidth="1"/>
    <col min="2" max="2" width="18.81640625" customWidth="1"/>
    <col min="3" max="3" width="44.36328125" customWidth="1"/>
    <col min="4" max="4" width="14.81640625" customWidth="1"/>
    <col min="5" max="5" width="9.453125" customWidth="1"/>
    <col min="6" max="6" width="13.1796875" customWidth="1"/>
    <col min="7" max="7" width="14.54296875" customWidth="1"/>
    <col min="8" max="9" width="8.7265625" customWidth="1"/>
    <col min="10" max="10" width="17" customWidth="1"/>
    <col min="11" max="26" width="8.7265625" customWidth="1"/>
  </cols>
  <sheetData>
    <row r="1" spans="1:7" ht="44.25" customHeight="1">
      <c r="A1" s="35" t="s">
        <v>0</v>
      </c>
      <c r="B1" s="36"/>
      <c r="C1" s="36"/>
      <c r="D1" s="36"/>
      <c r="E1" s="37"/>
      <c r="F1" s="38" t="s">
        <v>1</v>
      </c>
      <c r="G1" s="39"/>
    </row>
    <row r="2" spans="1:7" s="32" customFormat="1" ht="14.5">
      <c r="A2" s="40" t="s">
        <v>47</v>
      </c>
      <c r="B2" s="41"/>
      <c r="C2" s="41"/>
      <c r="D2" s="41"/>
      <c r="E2" s="41"/>
      <c r="F2" s="41"/>
      <c r="G2" s="42"/>
    </row>
    <row r="3" spans="1:7" ht="14.5">
      <c r="A3" s="1"/>
      <c r="B3" s="1"/>
      <c r="C3" s="1"/>
      <c r="D3" s="1"/>
      <c r="E3" s="1"/>
      <c r="F3" s="1"/>
      <c r="G3" s="1"/>
    </row>
    <row r="4" spans="1:7" ht="14.25" customHeight="1">
      <c r="A4" s="2" t="s">
        <v>2</v>
      </c>
      <c r="B4" s="43" t="s">
        <v>3</v>
      </c>
      <c r="C4" s="44"/>
      <c r="D4" s="44"/>
      <c r="E4" s="44"/>
      <c r="F4" s="44"/>
      <c r="G4" s="44"/>
    </row>
    <row r="5" spans="1:7" ht="14.25" customHeight="1">
      <c r="A5" s="2" t="s">
        <v>4</v>
      </c>
      <c r="B5" s="43" t="s">
        <v>5</v>
      </c>
      <c r="C5" s="44"/>
      <c r="D5" s="44"/>
      <c r="E5" s="44"/>
      <c r="F5" s="44"/>
      <c r="G5" s="44"/>
    </row>
    <row r="6" spans="1:7" ht="14.25" customHeight="1">
      <c r="A6" s="2" t="s">
        <v>6</v>
      </c>
      <c r="B6" s="43" t="s">
        <v>5</v>
      </c>
      <c r="C6" s="44"/>
      <c r="D6" s="44"/>
      <c r="E6" s="44"/>
      <c r="F6" s="44"/>
      <c r="G6" s="44"/>
    </row>
    <row r="7" spans="1:7" ht="14.25" customHeight="1">
      <c r="A7" s="2" t="s">
        <v>7</v>
      </c>
      <c r="B7" s="43" t="s">
        <v>52</v>
      </c>
      <c r="C7" s="44"/>
      <c r="D7" s="44"/>
      <c r="E7" s="44"/>
      <c r="F7" s="44"/>
      <c r="G7" s="44"/>
    </row>
    <row r="8" spans="1:7" ht="14.25" customHeight="1">
      <c r="A8" s="2" t="s">
        <v>8</v>
      </c>
      <c r="B8" s="43" t="s">
        <v>53</v>
      </c>
      <c r="C8" s="44"/>
      <c r="D8" s="44"/>
      <c r="E8" s="44"/>
      <c r="F8" s="44"/>
      <c r="G8" s="44"/>
    </row>
    <row r="9" spans="1:7" ht="14.25" customHeight="1">
      <c r="A9" s="2" t="s">
        <v>9</v>
      </c>
      <c r="B9" s="45" t="s">
        <v>108</v>
      </c>
      <c r="C9" s="44"/>
      <c r="D9" s="44"/>
      <c r="E9" s="44"/>
      <c r="F9" s="44"/>
      <c r="G9" s="44"/>
    </row>
    <row r="10" spans="1:7" ht="14.25" customHeight="1">
      <c r="A10" s="2" t="s">
        <v>10</v>
      </c>
      <c r="B10" s="45" t="s">
        <v>54</v>
      </c>
      <c r="C10" s="44"/>
      <c r="D10" s="44"/>
      <c r="E10" s="44"/>
      <c r="F10" s="44"/>
      <c r="G10" s="44"/>
    </row>
    <row r="11" spans="1:7" ht="14.25" customHeight="1">
      <c r="A11" s="2" t="s">
        <v>11</v>
      </c>
      <c r="B11" s="45" t="s">
        <v>55</v>
      </c>
      <c r="C11" s="44"/>
      <c r="D11" s="44"/>
      <c r="E11" s="44"/>
      <c r="F11" s="44"/>
      <c r="G11" s="44"/>
    </row>
    <row r="12" spans="1:7" ht="14.25" customHeight="1">
      <c r="A12" s="2" t="s">
        <v>12</v>
      </c>
      <c r="B12" s="43" t="s">
        <v>13</v>
      </c>
      <c r="C12" s="44"/>
      <c r="D12" s="44"/>
      <c r="E12" s="44"/>
      <c r="F12" s="44"/>
      <c r="G12" s="44"/>
    </row>
    <row r="13" spans="1:7" ht="14.25" customHeight="1">
      <c r="A13" s="2" t="s">
        <v>14</v>
      </c>
      <c r="B13" s="34" t="s">
        <v>56</v>
      </c>
    </row>
    <row r="14" spans="1:7" ht="14.25" customHeight="1">
      <c r="A14" s="30" t="s">
        <v>46</v>
      </c>
      <c r="B14" s="2" t="s">
        <v>16</v>
      </c>
    </row>
    <row r="15" spans="1:7" ht="14.25" customHeight="1">
      <c r="A15" s="30" t="s">
        <v>48</v>
      </c>
      <c r="B15" s="34" t="s">
        <v>57</v>
      </c>
    </row>
    <row r="16" spans="1:7" ht="14.25" customHeight="1">
      <c r="A16" s="30" t="s">
        <v>49</v>
      </c>
      <c r="B16" s="31" t="s">
        <v>15</v>
      </c>
    </row>
    <row r="17" spans="1:26" ht="14.5">
      <c r="C17" s="4"/>
      <c r="D17" s="4"/>
      <c r="E17" s="4"/>
      <c r="F17" s="4"/>
      <c r="G17" s="4"/>
    </row>
    <row r="18" spans="1:26" ht="14.5">
      <c r="A18" s="46" t="s">
        <v>17</v>
      </c>
      <c r="B18" s="36"/>
      <c r="C18" s="36"/>
      <c r="D18" s="36"/>
      <c r="E18" s="36"/>
      <c r="F18" s="36"/>
      <c r="G18" s="39"/>
    </row>
    <row r="19" spans="1:26" ht="14.25" customHeight="1">
      <c r="A19" s="5" t="s">
        <v>18</v>
      </c>
      <c r="B19" s="47" t="s">
        <v>19</v>
      </c>
      <c r="C19" s="49"/>
      <c r="D19" s="49"/>
      <c r="E19" s="50"/>
      <c r="F19" s="47" t="s">
        <v>20</v>
      </c>
      <c r="G19" s="48"/>
    </row>
    <row r="20" spans="1:26" ht="14.5">
      <c r="A20" s="6" t="s">
        <v>21</v>
      </c>
      <c r="B20" s="51"/>
      <c r="C20" s="49"/>
      <c r="D20" s="49"/>
      <c r="E20" s="50"/>
      <c r="F20" s="51"/>
      <c r="G20" s="48"/>
    </row>
    <row r="21" spans="1:26" ht="14.25" customHeight="1">
      <c r="A21" s="6" t="s">
        <v>22</v>
      </c>
      <c r="B21" s="51"/>
      <c r="C21" s="49"/>
      <c r="D21" s="49"/>
      <c r="E21" s="50"/>
      <c r="F21" s="52"/>
      <c r="G21" s="48"/>
    </row>
    <row r="22" spans="1:26" ht="15.75" customHeight="1">
      <c r="A22" s="6" t="s">
        <v>23</v>
      </c>
      <c r="B22" s="51"/>
      <c r="C22" s="49"/>
      <c r="D22" s="49"/>
      <c r="E22" s="50"/>
      <c r="F22" s="53"/>
      <c r="G22" s="48"/>
    </row>
    <row r="23" spans="1:26" ht="15.75" customHeight="1">
      <c r="A23" s="7" t="s">
        <v>24</v>
      </c>
      <c r="B23" s="57"/>
      <c r="C23" s="58"/>
      <c r="D23" s="58"/>
      <c r="E23" s="59"/>
      <c r="F23" s="60"/>
      <c r="G23" s="61"/>
    </row>
    <row r="24" spans="1:26" ht="6" customHeight="1">
      <c r="B24" s="4"/>
      <c r="C24" s="4"/>
      <c r="D24" s="4"/>
      <c r="E24" s="4"/>
      <c r="F24" s="4"/>
      <c r="G24" s="4"/>
    </row>
    <row r="25" spans="1:26" ht="14.25" customHeight="1">
      <c r="A25" s="64" t="s">
        <v>25</v>
      </c>
      <c r="B25" s="66" t="s">
        <v>26</v>
      </c>
      <c r="C25" s="67"/>
      <c r="D25" s="70" t="s">
        <v>27</v>
      </c>
      <c r="E25" s="36"/>
      <c r="F25" s="37"/>
      <c r="G25" s="8" t="s">
        <v>28</v>
      </c>
    </row>
    <row r="26" spans="1:26" ht="15.75" customHeight="1">
      <c r="A26" s="65"/>
      <c r="B26" s="68"/>
      <c r="C26" s="69"/>
      <c r="D26" s="9" t="s">
        <v>29</v>
      </c>
      <c r="E26" s="9" t="s">
        <v>30</v>
      </c>
      <c r="F26" s="9" t="s">
        <v>31</v>
      </c>
      <c r="G26" s="10" t="s">
        <v>32</v>
      </c>
    </row>
    <row r="27" spans="1:26" ht="15.75" customHeight="1">
      <c r="A27" s="11" t="s">
        <v>58</v>
      </c>
      <c r="B27" s="71" t="s">
        <v>59</v>
      </c>
      <c r="C27" s="49"/>
      <c r="D27" s="49"/>
      <c r="E27" s="49"/>
      <c r="F27" s="50"/>
      <c r="G27" s="10"/>
    </row>
    <row r="28" spans="1:26" ht="30" customHeight="1">
      <c r="A28" s="11"/>
      <c r="B28" s="75" t="s">
        <v>65</v>
      </c>
      <c r="C28" s="72"/>
      <c r="D28" s="12"/>
      <c r="E28" s="12"/>
      <c r="F28" s="12"/>
      <c r="G28" s="13"/>
    </row>
    <row r="29" spans="1:26" ht="33" customHeight="1">
      <c r="A29" s="11"/>
      <c r="B29" s="62" t="s">
        <v>60</v>
      </c>
      <c r="C29" s="50"/>
      <c r="D29" s="14"/>
      <c r="E29" s="12"/>
      <c r="F29" s="12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33" customFormat="1" ht="33" customHeight="1">
      <c r="A30" s="11"/>
      <c r="B30" s="73" t="s">
        <v>67</v>
      </c>
      <c r="C30" s="74"/>
      <c r="D30" s="80" t="s">
        <v>80</v>
      </c>
      <c r="E30" s="81" t="s">
        <v>61</v>
      </c>
      <c r="F30" s="82">
        <v>300000</v>
      </c>
      <c r="G30" s="83">
        <f>F30*50</f>
        <v>15000000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33" customFormat="1" ht="33" customHeight="1">
      <c r="A31" s="11"/>
      <c r="B31" s="73" t="s">
        <v>68</v>
      </c>
      <c r="C31" s="74"/>
      <c r="D31" s="80" t="s">
        <v>81</v>
      </c>
      <c r="E31" s="81" t="s">
        <v>61</v>
      </c>
      <c r="F31" s="82">
        <v>185000</v>
      </c>
      <c r="G31" s="83">
        <f>F31*30</f>
        <v>5550000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33" customFormat="1" ht="33" customHeight="1">
      <c r="A32" s="11"/>
      <c r="B32" s="73" t="s">
        <v>69</v>
      </c>
      <c r="C32" s="74"/>
      <c r="D32" s="80" t="s">
        <v>82</v>
      </c>
      <c r="E32" s="81" t="s">
        <v>61</v>
      </c>
      <c r="F32" s="82">
        <v>530000</v>
      </c>
      <c r="G32" s="83">
        <f>F32*100</f>
        <v>53000000</v>
      </c>
      <c r="H32" s="3"/>
      <c r="I32" s="3"/>
      <c r="J32" s="8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33" customFormat="1" ht="33" customHeight="1">
      <c r="A33" s="11"/>
      <c r="B33" s="73" t="s">
        <v>70</v>
      </c>
      <c r="C33" s="74"/>
      <c r="D33" s="80" t="s">
        <v>83</v>
      </c>
      <c r="E33" s="81" t="s">
        <v>61</v>
      </c>
      <c r="F33" s="82">
        <v>430000</v>
      </c>
      <c r="G33" s="83">
        <f>F33*60</f>
        <v>25800000</v>
      </c>
      <c r="H33" s="3"/>
      <c r="I33" s="3"/>
      <c r="J33" s="87">
        <f>G30+G31+G32+G33+G37+G38+G39+G43+G44+G45+G46+G47+G51+G52</f>
        <v>612137972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33" customFormat="1" ht="22.5" customHeight="1">
      <c r="A34" s="84" t="s">
        <v>62</v>
      </c>
      <c r="B34" s="85" t="s">
        <v>63</v>
      </c>
      <c r="C34" s="49"/>
      <c r="D34" s="49"/>
      <c r="E34" s="49"/>
      <c r="F34" s="50"/>
      <c r="G34" s="1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s="33" customFormat="1" ht="33" customHeight="1">
      <c r="A35" s="11"/>
      <c r="B35" s="75" t="s">
        <v>64</v>
      </c>
      <c r="C35" s="72"/>
      <c r="D35" s="14"/>
      <c r="E35" s="12"/>
      <c r="F35" s="12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33" customFormat="1" ht="33" customHeight="1">
      <c r="A36" s="11"/>
      <c r="B36" s="75" t="s">
        <v>66</v>
      </c>
      <c r="C36" s="50"/>
      <c r="D36" s="14"/>
      <c r="E36" s="12"/>
      <c r="F36" s="12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s="33" customFormat="1" ht="33" customHeight="1">
      <c r="A37" s="11"/>
      <c r="B37" s="73" t="s">
        <v>71</v>
      </c>
      <c r="C37" s="74"/>
      <c r="D37" s="76" t="s">
        <v>104</v>
      </c>
      <c r="E37" s="77" t="s">
        <v>72</v>
      </c>
      <c r="F37" s="78">
        <v>346500</v>
      </c>
      <c r="G37" s="79">
        <f>F37*1224</f>
        <v>424116000</v>
      </c>
      <c r="H37" s="3"/>
      <c r="I37" s="86" t="s">
        <v>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s="33" customFormat="1" ht="33" customHeight="1">
      <c r="A38" s="11"/>
      <c r="B38" s="73" t="s">
        <v>73</v>
      </c>
      <c r="C38" s="74"/>
      <c r="D38" s="76" t="s">
        <v>78</v>
      </c>
      <c r="E38" s="77" t="s">
        <v>72</v>
      </c>
      <c r="F38" s="78">
        <v>483000</v>
      </c>
      <c r="G38" s="79">
        <f>F38*75</f>
        <v>36225000</v>
      </c>
      <c r="H38" s="3"/>
      <c r="I38" s="86" t="s">
        <v>75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s="33" customFormat="1" ht="33" customHeight="1">
      <c r="A39" s="11"/>
      <c r="B39" s="73" t="s">
        <v>76</v>
      </c>
      <c r="C39" s="74"/>
      <c r="D39" s="76" t="s">
        <v>79</v>
      </c>
      <c r="E39" s="77" t="s">
        <v>72</v>
      </c>
      <c r="F39" s="78">
        <v>315000</v>
      </c>
      <c r="G39" s="79">
        <f>F39*100</f>
        <v>31500000</v>
      </c>
      <c r="H39" s="3"/>
      <c r="I39" s="86" t="s">
        <v>77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s="33" customFormat="1" ht="24" customHeight="1">
      <c r="A40" s="84" t="s">
        <v>84</v>
      </c>
      <c r="B40" s="85" t="s">
        <v>85</v>
      </c>
      <c r="C40" s="49"/>
      <c r="D40" s="49"/>
      <c r="E40" s="49"/>
      <c r="F40" s="50"/>
      <c r="G40" s="79"/>
      <c r="H40" s="3"/>
      <c r="I40" s="8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s="33" customFormat="1" ht="33" customHeight="1">
      <c r="A41" s="11"/>
      <c r="B41" s="75" t="s">
        <v>86</v>
      </c>
      <c r="C41" s="72"/>
      <c r="D41" s="76"/>
      <c r="E41" s="77"/>
      <c r="F41" s="78"/>
      <c r="G41" s="79"/>
      <c r="H41" s="3"/>
      <c r="I41" s="8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s="33" customFormat="1" ht="33" customHeight="1">
      <c r="A42" s="11"/>
      <c r="B42" s="75" t="s">
        <v>87</v>
      </c>
      <c r="C42" s="50"/>
      <c r="D42" s="76"/>
      <c r="E42" s="77"/>
      <c r="F42" s="78"/>
      <c r="G42" s="79"/>
      <c r="H42" s="3"/>
      <c r="I42" s="8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s="33" customFormat="1" ht="33" customHeight="1">
      <c r="A43" s="11"/>
      <c r="B43" s="73" t="s">
        <v>88</v>
      </c>
      <c r="C43" s="74"/>
      <c r="D43" s="76" t="s">
        <v>106</v>
      </c>
      <c r="E43" s="77" t="s">
        <v>89</v>
      </c>
      <c r="F43" s="78">
        <v>19175</v>
      </c>
      <c r="G43" s="79">
        <f>F43*401</f>
        <v>7689175</v>
      </c>
      <c r="H43" s="3"/>
      <c r="I43" s="8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33" customFormat="1" ht="33" customHeight="1">
      <c r="A44" s="11"/>
      <c r="B44" s="73" t="s">
        <v>90</v>
      </c>
      <c r="C44" s="74"/>
      <c r="D44" s="76" t="s">
        <v>105</v>
      </c>
      <c r="E44" s="77" t="s">
        <v>89</v>
      </c>
      <c r="F44" s="78">
        <v>17760</v>
      </c>
      <c r="G44" s="79">
        <f>F44*200</f>
        <v>3552000</v>
      </c>
      <c r="H44" s="3"/>
      <c r="I44" s="8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s="33" customFormat="1" ht="33" customHeight="1">
      <c r="A45" s="11"/>
      <c r="B45" s="73" t="s">
        <v>91</v>
      </c>
      <c r="C45" s="74"/>
      <c r="D45" s="76" t="s">
        <v>92</v>
      </c>
      <c r="E45" s="77" t="s">
        <v>93</v>
      </c>
      <c r="F45" s="78">
        <v>19952</v>
      </c>
      <c r="G45" s="79">
        <f>F45*101</f>
        <v>2015152</v>
      </c>
      <c r="H45" s="3"/>
      <c r="I45" s="8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s="33" customFormat="1" ht="33" customHeight="1">
      <c r="A46" s="11"/>
      <c r="B46" s="73" t="s">
        <v>94</v>
      </c>
      <c r="C46" s="74"/>
      <c r="D46" s="76" t="s">
        <v>92</v>
      </c>
      <c r="E46" s="77" t="s">
        <v>93</v>
      </c>
      <c r="F46" s="78">
        <v>10905</v>
      </c>
      <c r="G46" s="79">
        <f>F46*101</f>
        <v>1101405</v>
      </c>
      <c r="H46" s="3"/>
      <c r="I46" s="8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s="33" customFormat="1" ht="33" customHeight="1">
      <c r="A47" s="11"/>
      <c r="B47" s="73" t="s">
        <v>95</v>
      </c>
      <c r="C47" s="74"/>
      <c r="D47" s="76" t="s">
        <v>96</v>
      </c>
      <c r="E47" s="77" t="s">
        <v>97</v>
      </c>
      <c r="F47" s="78">
        <v>9324</v>
      </c>
      <c r="G47" s="79">
        <f>F47*202</f>
        <v>1883448</v>
      </c>
      <c r="H47" s="3"/>
      <c r="I47" s="8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s="33" customFormat="1" ht="24" customHeight="1">
      <c r="A48" s="84" t="s">
        <v>98</v>
      </c>
      <c r="B48" s="85" t="s">
        <v>99</v>
      </c>
      <c r="C48" s="49"/>
      <c r="D48" s="49"/>
      <c r="E48" s="49"/>
      <c r="F48" s="50"/>
      <c r="G48" s="79"/>
      <c r="H48" s="3"/>
      <c r="I48" s="8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33" customFormat="1" ht="33" customHeight="1">
      <c r="A49" s="11"/>
      <c r="B49" s="75" t="s">
        <v>100</v>
      </c>
      <c r="C49" s="72"/>
      <c r="D49" s="76"/>
      <c r="E49" s="77"/>
      <c r="F49" s="78"/>
      <c r="G49" s="79"/>
      <c r="H49" s="3"/>
      <c r="I49" s="8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s="33" customFormat="1" ht="33" customHeight="1">
      <c r="A50" s="11"/>
      <c r="B50" s="75" t="s">
        <v>87</v>
      </c>
      <c r="C50" s="50"/>
      <c r="D50" s="76"/>
      <c r="E50" s="77"/>
      <c r="F50" s="78"/>
      <c r="G50" s="79"/>
      <c r="H50" s="3"/>
      <c r="I50" s="8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s="33" customFormat="1" ht="33" customHeight="1">
      <c r="A51" s="11"/>
      <c r="B51" s="73" t="s">
        <v>101</v>
      </c>
      <c r="C51" s="74"/>
      <c r="D51" s="76" t="s">
        <v>102</v>
      </c>
      <c r="E51" s="77" t="s">
        <v>97</v>
      </c>
      <c r="F51" s="78">
        <v>14430</v>
      </c>
      <c r="G51" s="79">
        <f>F51*101</f>
        <v>1457430</v>
      </c>
      <c r="H51" s="3"/>
      <c r="I51" s="8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s="33" customFormat="1" ht="27.75" customHeight="1">
      <c r="A52" s="15"/>
      <c r="B52" s="73" t="s">
        <v>103</v>
      </c>
      <c r="C52" s="74"/>
      <c r="D52" s="76" t="s">
        <v>102</v>
      </c>
      <c r="E52" s="77" t="s">
        <v>97</v>
      </c>
      <c r="F52" s="78">
        <v>32162</v>
      </c>
      <c r="G52" s="95">
        <f>F52*101</f>
        <v>3248362</v>
      </c>
      <c r="I52" s="96" t="s">
        <v>107</v>
      </c>
      <c r="J52" s="96"/>
    </row>
    <row r="53" spans="1:26" s="33" customFormat="1" ht="15.75" customHeight="1" thickBot="1">
      <c r="A53" s="63" t="s">
        <v>33</v>
      </c>
      <c r="B53" s="93"/>
      <c r="C53" s="93"/>
      <c r="D53" s="93"/>
      <c r="E53" s="93"/>
      <c r="F53" s="94"/>
      <c r="G53" s="18">
        <f>G28</f>
        <v>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s="33" customFormat="1" ht="15.75" customHeight="1">
      <c r="A54" s="15"/>
      <c r="B54" s="91"/>
      <c r="C54" s="92"/>
      <c r="D54" s="20"/>
      <c r="E54" s="16"/>
      <c r="F54" s="16"/>
      <c r="G54" s="17">
        <f>D54*F54</f>
        <v>0</v>
      </c>
    </row>
    <row r="55" spans="1:26" s="33" customFormat="1" ht="15.75" customHeight="1">
      <c r="A55" s="6" t="s">
        <v>34</v>
      </c>
      <c r="B55" s="21"/>
      <c r="C55" s="88" t="s">
        <v>50</v>
      </c>
      <c r="D55" s="89"/>
      <c r="E55" s="89"/>
      <c r="F55" s="89"/>
      <c r="G55" s="90"/>
    </row>
    <row r="56" spans="1:26" ht="15.75" customHeight="1">
      <c r="A56" s="6" t="s">
        <v>35</v>
      </c>
      <c r="B56" s="21"/>
      <c r="C56" s="54" t="s">
        <v>51</v>
      </c>
      <c r="D56" s="44"/>
      <c r="E56" s="44"/>
      <c r="F56" s="44"/>
      <c r="G56" s="55"/>
    </row>
    <row r="57" spans="1:26" ht="15.75" customHeight="1">
      <c r="A57" s="6" t="s">
        <v>36</v>
      </c>
      <c r="B57" s="21"/>
      <c r="C57" s="22"/>
      <c r="G57" s="23"/>
    </row>
    <row r="58" spans="1:26" ht="15.75" customHeight="1">
      <c r="A58" s="6" t="s">
        <v>37</v>
      </c>
      <c r="B58" s="21"/>
      <c r="C58" s="22"/>
      <c r="G58" s="23"/>
    </row>
    <row r="59" spans="1:26" ht="15.75" customHeight="1">
      <c r="A59" s="6" t="s">
        <v>38</v>
      </c>
      <c r="B59" s="21"/>
      <c r="C59" s="22"/>
      <c r="G59" s="23"/>
    </row>
    <row r="60" spans="1:26" ht="15.75" customHeight="1">
      <c r="A60" s="6" t="s">
        <v>39</v>
      </c>
      <c r="B60" s="21"/>
      <c r="C60" s="22"/>
      <c r="G60" s="23"/>
    </row>
    <row r="61" spans="1:26" ht="15.75" customHeight="1">
      <c r="A61" s="6" t="s">
        <v>40</v>
      </c>
      <c r="B61" s="21"/>
      <c r="C61" s="56"/>
      <c r="D61" s="44"/>
      <c r="E61" s="44"/>
      <c r="F61" s="44"/>
      <c r="G61" s="55"/>
    </row>
    <row r="62" spans="1:26" ht="15.75" customHeight="1">
      <c r="A62" s="6" t="s">
        <v>41</v>
      </c>
      <c r="B62" s="21"/>
      <c r="C62" s="54"/>
      <c r="D62" s="44"/>
      <c r="E62" s="44"/>
      <c r="F62" s="44"/>
      <c r="G62" s="55"/>
    </row>
    <row r="63" spans="1:26" ht="15.75" customHeight="1">
      <c r="A63" s="6" t="s">
        <v>42</v>
      </c>
      <c r="B63" s="21"/>
      <c r="C63" s="22"/>
      <c r="G63" s="23"/>
    </row>
    <row r="64" spans="1:26" ht="15.75" customHeight="1">
      <c r="A64" s="6" t="s">
        <v>43</v>
      </c>
      <c r="B64" s="21"/>
      <c r="C64" s="22"/>
      <c r="G64" s="23"/>
    </row>
    <row r="65" spans="1:7" ht="15.75" customHeight="1">
      <c r="A65" s="6" t="s">
        <v>44</v>
      </c>
      <c r="B65" s="21"/>
      <c r="C65" s="22"/>
      <c r="G65" s="23"/>
    </row>
    <row r="66" spans="1:7" ht="15.75" customHeight="1">
      <c r="A66" s="6" t="s">
        <v>45</v>
      </c>
      <c r="B66" s="21"/>
      <c r="C66" s="22"/>
      <c r="G66" s="23"/>
    </row>
    <row r="67" spans="1:7" ht="15.75" customHeight="1">
      <c r="A67" s="24" t="s">
        <v>28</v>
      </c>
      <c r="B67" s="25">
        <f>SUM(B55:B66)</f>
        <v>0</v>
      </c>
      <c r="C67" s="26"/>
      <c r="D67" s="27"/>
      <c r="E67" s="27"/>
      <c r="F67" s="27"/>
      <c r="G67" s="28"/>
    </row>
    <row r="68" spans="1:7" ht="15.75" customHeight="1">
      <c r="G68" s="29"/>
    </row>
    <row r="69" spans="1:7" ht="15.75" customHeight="1">
      <c r="G69" s="29"/>
    </row>
    <row r="70" spans="1:7" ht="15.75" customHeight="1">
      <c r="G70" s="29"/>
    </row>
    <row r="71" spans="1:7" ht="15.75" customHeight="1">
      <c r="G71" s="29"/>
    </row>
    <row r="72" spans="1:7" ht="15.75" customHeight="1">
      <c r="G72" s="29"/>
    </row>
    <row r="73" spans="1:7" ht="15.75" customHeight="1">
      <c r="G73" s="29"/>
    </row>
    <row r="74" spans="1:7" ht="15.75" customHeight="1">
      <c r="G74" s="29"/>
    </row>
    <row r="75" spans="1:7" ht="15.75" customHeight="1">
      <c r="G75" s="29"/>
    </row>
    <row r="76" spans="1:7" ht="15.75" customHeight="1">
      <c r="G76" s="29"/>
    </row>
    <row r="77" spans="1:7" ht="15.75" customHeight="1">
      <c r="G77" s="29"/>
    </row>
    <row r="78" spans="1:7" ht="15.75" customHeight="1">
      <c r="G78" s="29"/>
    </row>
    <row r="79" spans="1:7" ht="15.75" customHeight="1">
      <c r="G79" s="29"/>
    </row>
    <row r="80" spans="1:7" ht="15.75" customHeight="1">
      <c r="G80" s="29"/>
    </row>
    <row r="81" spans="7:7" ht="15.75" customHeight="1">
      <c r="G81" s="29"/>
    </row>
    <row r="82" spans="7:7" ht="15.75" customHeight="1">
      <c r="G82" s="29"/>
    </row>
    <row r="83" spans="7:7" ht="15.75" customHeight="1">
      <c r="G83" s="29"/>
    </row>
    <row r="84" spans="7:7" ht="15.75" customHeight="1">
      <c r="G84" s="29"/>
    </row>
    <row r="85" spans="7:7" ht="15.75" customHeight="1">
      <c r="G85" s="29"/>
    </row>
    <row r="86" spans="7:7" ht="15.75" customHeight="1">
      <c r="G86" s="29"/>
    </row>
    <row r="87" spans="7:7" ht="15.75" customHeight="1">
      <c r="G87" s="29"/>
    </row>
    <row r="88" spans="7:7" ht="15.75" customHeight="1">
      <c r="G88" s="29"/>
    </row>
    <row r="89" spans="7:7" ht="15.75" customHeight="1">
      <c r="G89" s="29"/>
    </row>
    <row r="90" spans="7:7" ht="15.75" customHeight="1">
      <c r="G90" s="29"/>
    </row>
    <row r="91" spans="7:7" ht="15.75" customHeight="1">
      <c r="G91" s="29"/>
    </row>
    <row r="92" spans="7:7" ht="15.75" customHeight="1">
      <c r="G92" s="29"/>
    </row>
    <row r="93" spans="7:7" ht="15.75" customHeight="1">
      <c r="G93" s="29"/>
    </row>
    <row r="94" spans="7:7" ht="15.75" customHeight="1">
      <c r="G94" s="29"/>
    </row>
    <row r="95" spans="7:7" ht="15.75" customHeight="1">
      <c r="G95" s="29"/>
    </row>
    <row r="96" spans="7:7" ht="15.75" customHeight="1">
      <c r="G96" s="29"/>
    </row>
    <row r="97" spans="7:7" ht="15.75" customHeight="1">
      <c r="G97" s="29"/>
    </row>
    <row r="98" spans="7:7" ht="15.75" customHeight="1">
      <c r="G98" s="29"/>
    </row>
    <row r="99" spans="7:7" ht="15.75" customHeight="1">
      <c r="G99" s="29"/>
    </row>
    <row r="100" spans="7:7" ht="15.75" customHeight="1">
      <c r="G100" s="29"/>
    </row>
    <row r="101" spans="7:7" ht="15.75" customHeight="1">
      <c r="G101" s="29"/>
    </row>
    <row r="102" spans="7:7" ht="15.75" customHeight="1">
      <c r="G102" s="29"/>
    </row>
    <row r="103" spans="7:7" ht="15.75" customHeight="1">
      <c r="G103" s="29"/>
    </row>
    <row r="104" spans="7:7" ht="15.75" customHeight="1">
      <c r="G104" s="29"/>
    </row>
    <row r="105" spans="7:7" ht="15.75" customHeight="1">
      <c r="G105" s="29"/>
    </row>
    <row r="106" spans="7:7" ht="15.75" customHeight="1">
      <c r="G106" s="29"/>
    </row>
    <row r="107" spans="7:7" ht="15.75" customHeight="1">
      <c r="G107" s="29"/>
    </row>
    <row r="108" spans="7:7" ht="15.75" customHeight="1">
      <c r="G108" s="29"/>
    </row>
    <row r="109" spans="7:7" ht="15.75" customHeight="1">
      <c r="G109" s="29"/>
    </row>
    <row r="110" spans="7:7" ht="15.75" customHeight="1">
      <c r="G110" s="29"/>
    </row>
    <row r="111" spans="7:7" ht="15.75" customHeight="1">
      <c r="G111" s="29"/>
    </row>
    <row r="112" spans="7:7" ht="15.75" customHeight="1">
      <c r="G112" s="29"/>
    </row>
    <row r="113" spans="7:7" ht="15.75" customHeight="1">
      <c r="G113" s="29"/>
    </row>
    <row r="114" spans="7:7" ht="15.75" customHeight="1">
      <c r="G114" s="29"/>
    </row>
    <row r="115" spans="7:7" ht="15.75" customHeight="1">
      <c r="G115" s="29"/>
    </row>
    <row r="116" spans="7:7" ht="15.75" customHeight="1">
      <c r="G116" s="29"/>
    </row>
    <row r="117" spans="7:7" ht="15.75" customHeight="1">
      <c r="G117" s="29"/>
    </row>
    <row r="118" spans="7:7" ht="15.75" customHeight="1">
      <c r="G118" s="29"/>
    </row>
    <row r="119" spans="7:7" ht="15.75" customHeight="1">
      <c r="G119" s="29"/>
    </row>
    <row r="120" spans="7:7" ht="15.75" customHeight="1">
      <c r="G120" s="29"/>
    </row>
    <row r="121" spans="7:7" ht="15.75" customHeight="1">
      <c r="G121" s="29"/>
    </row>
    <row r="122" spans="7:7" ht="15.75" customHeight="1">
      <c r="G122" s="29"/>
    </row>
    <row r="123" spans="7:7" ht="15.75" customHeight="1">
      <c r="G123" s="29"/>
    </row>
    <row r="124" spans="7:7" ht="15.75" customHeight="1">
      <c r="G124" s="29"/>
    </row>
    <row r="125" spans="7:7" ht="15.75" customHeight="1">
      <c r="G125" s="29"/>
    </row>
    <row r="126" spans="7:7" ht="15.75" customHeight="1">
      <c r="G126" s="29"/>
    </row>
    <row r="127" spans="7:7" ht="15.75" customHeight="1">
      <c r="G127" s="29"/>
    </row>
    <row r="128" spans="7:7" ht="15.75" customHeight="1">
      <c r="G128" s="29"/>
    </row>
    <row r="129" spans="7:7" ht="15.75" customHeight="1">
      <c r="G129" s="29"/>
    </row>
    <row r="130" spans="7:7" ht="15.75" customHeight="1">
      <c r="G130" s="29"/>
    </row>
    <row r="131" spans="7:7" ht="15.75" customHeight="1">
      <c r="G131" s="29"/>
    </row>
    <row r="132" spans="7:7" ht="15.75" customHeight="1">
      <c r="G132" s="29"/>
    </row>
    <row r="133" spans="7:7" ht="15.75" customHeight="1">
      <c r="G133" s="29"/>
    </row>
    <row r="134" spans="7:7" ht="15.75" customHeight="1">
      <c r="G134" s="29"/>
    </row>
    <row r="135" spans="7:7" ht="15.75" customHeight="1">
      <c r="G135" s="29"/>
    </row>
    <row r="136" spans="7:7" ht="15.75" customHeight="1">
      <c r="G136" s="29"/>
    </row>
    <row r="137" spans="7:7" ht="15.75" customHeight="1">
      <c r="G137" s="29"/>
    </row>
    <row r="138" spans="7:7" ht="15.75" customHeight="1">
      <c r="G138" s="29"/>
    </row>
    <row r="139" spans="7:7" ht="15.75" customHeight="1">
      <c r="G139" s="29"/>
    </row>
    <row r="140" spans="7:7" ht="15.75" customHeight="1">
      <c r="G140" s="29"/>
    </row>
    <row r="141" spans="7:7" ht="15.75" customHeight="1">
      <c r="G141" s="29"/>
    </row>
    <row r="142" spans="7:7" ht="15.75" customHeight="1">
      <c r="G142" s="29"/>
    </row>
    <row r="143" spans="7:7" ht="15.75" customHeight="1">
      <c r="G143" s="29"/>
    </row>
    <row r="144" spans="7:7" ht="15.75" customHeight="1">
      <c r="G144" s="29"/>
    </row>
    <row r="145" spans="7:7" ht="15.75" customHeight="1">
      <c r="G145" s="29"/>
    </row>
    <row r="146" spans="7:7" ht="15.75" customHeight="1">
      <c r="G146" s="29"/>
    </row>
    <row r="147" spans="7:7" ht="15.75" customHeight="1">
      <c r="G147" s="29"/>
    </row>
    <row r="148" spans="7:7" ht="15.75" customHeight="1">
      <c r="G148" s="29"/>
    </row>
    <row r="149" spans="7:7" ht="15.75" customHeight="1">
      <c r="G149" s="29"/>
    </row>
    <row r="150" spans="7:7" ht="15.75" customHeight="1">
      <c r="G150" s="29"/>
    </row>
    <row r="151" spans="7:7" ht="15.75" customHeight="1">
      <c r="G151" s="29"/>
    </row>
    <row r="152" spans="7:7" ht="15.75" customHeight="1">
      <c r="G152" s="29"/>
    </row>
    <row r="153" spans="7:7" ht="15.75" customHeight="1">
      <c r="G153" s="29"/>
    </row>
    <row r="154" spans="7:7" ht="15.75" customHeight="1">
      <c r="G154" s="29"/>
    </row>
    <row r="155" spans="7:7" ht="15.75" customHeight="1">
      <c r="G155" s="29"/>
    </row>
    <row r="156" spans="7:7" ht="15.75" customHeight="1">
      <c r="G156" s="29"/>
    </row>
    <row r="157" spans="7:7" ht="15.75" customHeight="1">
      <c r="G157" s="29"/>
    </row>
    <row r="158" spans="7:7" ht="15.75" customHeight="1">
      <c r="G158" s="29"/>
    </row>
    <row r="159" spans="7:7" ht="15.75" customHeight="1">
      <c r="G159" s="29"/>
    </row>
    <row r="160" spans="7:7" ht="15.75" customHeight="1">
      <c r="G160" s="29"/>
    </row>
    <row r="161" spans="7:7" ht="15.75" customHeight="1">
      <c r="G161" s="29"/>
    </row>
    <row r="162" spans="7:7" ht="15.75" customHeight="1">
      <c r="G162" s="29"/>
    </row>
    <row r="163" spans="7:7" ht="15.75" customHeight="1">
      <c r="G163" s="29"/>
    </row>
    <row r="164" spans="7:7" ht="15.75" customHeight="1">
      <c r="G164" s="29"/>
    </row>
    <row r="165" spans="7:7" ht="15.75" customHeight="1">
      <c r="G165" s="29"/>
    </row>
    <row r="166" spans="7:7" ht="15.75" customHeight="1">
      <c r="G166" s="29"/>
    </row>
    <row r="167" spans="7:7" ht="15.75" customHeight="1">
      <c r="G167" s="29"/>
    </row>
    <row r="168" spans="7:7" ht="15.75" customHeight="1">
      <c r="G168" s="29"/>
    </row>
    <row r="169" spans="7:7" ht="15.75" customHeight="1">
      <c r="G169" s="29"/>
    </row>
    <row r="170" spans="7:7" ht="15.75" customHeight="1">
      <c r="G170" s="29"/>
    </row>
    <row r="171" spans="7:7" ht="15.75" customHeight="1">
      <c r="G171" s="29"/>
    </row>
    <row r="172" spans="7:7" ht="15.75" customHeight="1">
      <c r="G172" s="29"/>
    </row>
    <row r="173" spans="7:7" ht="15.75" customHeight="1">
      <c r="G173" s="29"/>
    </row>
    <row r="174" spans="7:7" ht="15.75" customHeight="1">
      <c r="G174" s="29"/>
    </row>
    <row r="175" spans="7:7" ht="15.75" customHeight="1">
      <c r="G175" s="29"/>
    </row>
    <row r="176" spans="7:7" ht="15.75" customHeight="1">
      <c r="G176" s="29"/>
    </row>
    <row r="177" spans="7:7" ht="15.75" customHeight="1">
      <c r="G177" s="29"/>
    </row>
    <row r="178" spans="7:7" ht="15.75" customHeight="1">
      <c r="G178" s="29"/>
    </row>
    <row r="179" spans="7:7" ht="15.75" customHeight="1">
      <c r="G179" s="29"/>
    </row>
    <row r="180" spans="7:7" ht="15.75" customHeight="1">
      <c r="G180" s="29"/>
    </row>
    <row r="181" spans="7:7" ht="15.75" customHeight="1">
      <c r="G181" s="29"/>
    </row>
    <row r="182" spans="7:7" ht="15.75" customHeight="1">
      <c r="G182" s="29"/>
    </row>
    <row r="183" spans="7:7" ht="15.75" customHeight="1">
      <c r="G183" s="29"/>
    </row>
    <row r="184" spans="7:7" ht="15.75" customHeight="1">
      <c r="G184" s="29"/>
    </row>
    <row r="185" spans="7:7" ht="15.75" customHeight="1">
      <c r="G185" s="29"/>
    </row>
    <row r="186" spans="7:7" ht="15.75" customHeight="1">
      <c r="G186" s="29"/>
    </row>
    <row r="187" spans="7:7" ht="15.75" customHeight="1">
      <c r="G187" s="29"/>
    </row>
    <row r="188" spans="7:7" ht="15.75" customHeight="1">
      <c r="G188" s="29"/>
    </row>
    <row r="189" spans="7:7" ht="15.75" customHeight="1">
      <c r="G189" s="29"/>
    </row>
    <row r="190" spans="7:7" ht="15.75" customHeight="1">
      <c r="G190" s="29"/>
    </row>
    <row r="191" spans="7:7" ht="15.75" customHeight="1">
      <c r="G191" s="29"/>
    </row>
    <row r="192" spans="7:7" ht="15.75" customHeight="1">
      <c r="G192" s="29"/>
    </row>
    <row r="193" spans="7:7" ht="15.75" customHeight="1">
      <c r="G193" s="29"/>
    </row>
    <row r="194" spans="7:7" ht="15.75" customHeight="1">
      <c r="G194" s="29"/>
    </row>
    <row r="195" spans="7:7" ht="15.75" customHeight="1">
      <c r="G195" s="29"/>
    </row>
    <row r="196" spans="7:7" ht="15.75" customHeight="1">
      <c r="G196" s="29"/>
    </row>
    <row r="197" spans="7:7" ht="15.75" customHeight="1">
      <c r="G197" s="29"/>
    </row>
    <row r="198" spans="7:7" ht="15.75" customHeight="1">
      <c r="G198" s="29"/>
    </row>
    <row r="199" spans="7:7" ht="15.75" customHeight="1">
      <c r="G199" s="29"/>
    </row>
    <row r="200" spans="7:7" ht="15.75" customHeight="1">
      <c r="G200" s="29"/>
    </row>
    <row r="201" spans="7:7" ht="15.75" customHeight="1">
      <c r="G201" s="29"/>
    </row>
    <row r="202" spans="7:7" ht="15.75" customHeight="1">
      <c r="G202" s="29"/>
    </row>
    <row r="203" spans="7:7" ht="15.75" customHeight="1">
      <c r="G203" s="29"/>
    </row>
    <row r="204" spans="7:7" ht="15.75" customHeight="1">
      <c r="G204" s="29"/>
    </row>
    <row r="205" spans="7:7" ht="15.75" customHeight="1">
      <c r="G205" s="29"/>
    </row>
    <row r="206" spans="7:7" ht="15.75" customHeight="1">
      <c r="G206" s="29"/>
    </row>
    <row r="207" spans="7:7" ht="15.75" customHeight="1">
      <c r="G207" s="29"/>
    </row>
    <row r="208" spans="7:7" ht="15.75" customHeight="1">
      <c r="G208" s="29"/>
    </row>
    <row r="209" spans="7:7" ht="15.75" customHeight="1">
      <c r="G209" s="29"/>
    </row>
    <row r="210" spans="7:7" ht="15.75" customHeight="1">
      <c r="G210" s="29"/>
    </row>
    <row r="211" spans="7:7" ht="15.75" customHeight="1">
      <c r="G211" s="29"/>
    </row>
    <row r="212" spans="7:7" ht="15.75" customHeight="1">
      <c r="G212" s="29"/>
    </row>
    <row r="213" spans="7:7" ht="15.75" customHeight="1">
      <c r="G213" s="29"/>
    </row>
    <row r="214" spans="7:7" ht="15.75" customHeight="1">
      <c r="G214" s="29"/>
    </row>
    <row r="215" spans="7:7" ht="15.75" customHeight="1">
      <c r="G215" s="29"/>
    </row>
    <row r="216" spans="7:7" ht="15.75" customHeight="1">
      <c r="G216" s="29"/>
    </row>
    <row r="217" spans="7:7" ht="15.75" customHeight="1">
      <c r="G217" s="29"/>
    </row>
    <row r="218" spans="7:7" ht="15.75" customHeight="1">
      <c r="G218" s="29"/>
    </row>
    <row r="219" spans="7:7" ht="15.75" customHeight="1">
      <c r="G219" s="29"/>
    </row>
    <row r="220" spans="7:7" ht="15.75" customHeight="1">
      <c r="G220" s="29"/>
    </row>
    <row r="221" spans="7:7" ht="15.75" customHeight="1">
      <c r="G221" s="29"/>
    </row>
    <row r="222" spans="7:7" ht="15.75" customHeight="1">
      <c r="G222" s="29"/>
    </row>
    <row r="223" spans="7:7" ht="15.75" customHeight="1">
      <c r="G223" s="29"/>
    </row>
    <row r="224" spans="7:7" ht="15.75" customHeight="1">
      <c r="G224" s="29"/>
    </row>
    <row r="225" spans="7:7" ht="15.75" customHeight="1">
      <c r="G225" s="29"/>
    </row>
    <row r="226" spans="7:7" ht="15.75" customHeight="1">
      <c r="G226" s="29"/>
    </row>
    <row r="227" spans="7:7" ht="15.75" customHeight="1">
      <c r="G227" s="29"/>
    </row>
    <row r="228" spans="7:7" ht="15.75" customHeight="1">
      <c r="G228" s="29"/>
    </row>
    <row r="229" spans="7:7" ht="15.75" customHeight="1">
      <c r="G229" s="29"/>
    </row>
    <row r="230" spans="7:7" ht="15.75" customHeight="1">
      <c r="G230" s="29"/>
    </row>
    <row r="231" spans="7:7" ht="15.75" customHeight="1">
      <c r="G231" s="29"/>
    </row>
    <row r="232" spans="7:7" ht="15.75" customHeight="1">
      <c r="G232" s="29"/>
    </row>
    <row r="233" spans="7:7" ht="15.75" customHeight="1">
      <c r="G233" s="29"/>
    </row>
    <row r="234" spans="7:7" ht="15.75" customHeight="1">
      <c r="G234" s="29"/>
    </row>
    <row r="235" spans="7:7" ht="15.75" customHeight="1">
      <c r="G235" s="29"/>
    </row>
    <row r="236" spans="7:7" ht="15.75" customHeight="1">
      <c r="G236" s="29"/>
    </row>
    <row r="237" spans="7:7" ht="15.75" customHeight="1">
      <c r="G237" s="29"/>
    </row>
    <row r="238" spans="7:7" ht="15.75" customHeight="1">
      <c r="G238" s="29"/>
    </row>
    <row r="239" spans="7:7" ht="15.75" customHeight="1">
      <c r="G239" s="29"/>
    </row>
    <row r="240" spans="7:7" ht="15.75" customHeight="1">
      <c r="G240" s="29"/>
    </row>
    <row r="241" spans="7:7" ht="15.75" customHeight="1">
      <c r="G241" s="29"/>
    </row>
    <row r="242" spans="7:7" ht="15.75" customHeight="1">
      <c r="G242" s="29"/>
    </row>
    <row r="243" spans="7:7" ht="15.75" customHeight="1">
      <c r="G243" s="29"/>
    </row>
    <row r="244" spans="7:7" ht="15.75" customHeight="1">
      <c r="G244" s="29"/>
    </row>
    <row r="245" spans="7:7" ht="15.75" customHeight="1">
      <c r="G245" s="29"/>
    </row>
    <row r="246" spans="7:7" ht="15.75" customHeight="1">
      <c r="G246" s="29"/>
    </row>
    <row r="247" spans="7:7" ht="15.75" customHeight="1">
      <c r="G247" s="29"/>
    </row>
    <row r="248" spans="7:7" ht="15.75" customHeight="1">
      <c r="G248" s="29"/>
    </row>
    <row r="249" spans="7:7" ht="15.75" customHeight="1">
      <c r="G249" s="29"/>
    </row>
    <row r="250" spans="7:7" ht="15.75" customHeight="1">
      <c r="G250" s="29"/>
    </row>
    <row r="251" spans="7:7" ht="15.75" customHeight="1">
      <c r="G251" s="29"/>
    </row>
    <row r="252" spans="7:7" ht="15.75" customHeight="1">
      <c r="G252" s="29"/>
    </row>
    <row r="253" spans="7:7" ht="15.75" customHeight="1">
      <c r="G253" s="29"/>
    </row>
    <row r="254" spans="7:7" ht="15.75" customHeight="1">
      <c r="G254" s="29"/>
    </row>
    <row r="255" spans="7:7" ht="15.75" customHeight="1">
      <c r="G255" s="29"/>
    </row>
    <row r="256" spans="7:7" ht="15.75" customHeight="1">
      <c r="G256" s="29"/>
    </row>
    <row r="257" spans="7:7" ht="15.75" customHeight="1">
      <c r="G257" s="29"/>
    </row>
    <row r="258" spans="7:7" ht="15.75" customHeight="1">
      <c r="G258" s="29"/>
    </row>
    <row r="259" spans="7:7" ht="15.75" customHeight="1">
      <c r="G259" s="29"/>
    </row>
    <row r="260" spans="7:7" ht="15.75" customHeight="1">
      <c r="G260" s="29"/>
    </row>
    <row r="261" spans="7:7" ht="15.75" customHeight="1">
      <c r="G261" s="29"/>
    </row>
    <row r="262" spans="7:7" ht="15.75" customHeight="1">
      <c r="G262" s="29"/>
    </row>
    <row r="263" spans="7:7" ht="15.75" customHeight="1">
      <c r="G263" s="29"/>
    </row>
    <row r="264" spans="7:7" ht="15.75" customHeight="1">
      <c r="G264" s="29"/>
    </row>
    <row r="265" spans="7:7" ht="15.75" customHeight="1">
      <c r="G265" s="29"/>
    </row>
    <row r="266" spans="7:7" ht="15.75" customHeight="1">
      <c r="G266" s="29"/>
    </row>
    <row r="267" spans="7:7" ht="15.75" customHeight="1">
      <c r="G267" s="29"/>
    </row>
    <row r="268" spans="7:7" ht="15.75" customHeight="1">
      <c r="G268" s="29"/>
    </row>
    <row r="269" spans="7:7" ht="15.75" customHeight="1">
      <c r="G269" s="29"/>
    </row>
    <row r="270" spans="7:7" ht="15.75" customHeight="1">
      <c r="G270" s="29"/>
    </row>
    <row r="271" spans="7:7" ht="15.75" customHeight="1">
      <c r="G271" s="29"/>
    </row>
    <row r="272" spans="7:7" ht="15.75" customHeight="1">
      <c r="G272" s="29"/>
    </row>
    <row r="273" spans="7:7" ht="15.75" customHeight="1">
      <c r="G273" s="29"/>
    </row>
    <row r="274" spans="7:7" ht="15.75" customHeight="1">
      <c r="G274" s="29"/>
    </row>
    <row r="275" spans="7:7" ht="15.75" customHeight="1">
      <c r="G275" s="29"/>
    </row>
    <row r="276" spans="7:7" ht="15.75" customHeight="1">
      <c r="G276" s="29"/>
    </row>
    <row r="277" spans="7:7" ht="15.75" customHeight="1">
      <c r="G277" s="29"/>
    </row>
    <row r="278" spans="7:7" ht="15.75" customHeight="1">
      <c r="G278" s="29"/>
    </row>
    <row r="279" spans="7:7" ht="15.75" customHeight="1">
      <c r="G279" s="29"/>
    </row>
    <row r="280" spans="7:7" ht="15.75" customHeight="1">
      <c r="G280" s="29"/>
    </row>
    <row r="281" spans="7:7" ht="15.75" customHeight="1">
      <c r="G281" s="29"/>
    </row>
    <row r="282" spans="7:7" ht="15.75" customHeight="1">
      <c r="G282" s="29"/>
    </row>
    <row r="283" spans="7:7" ht="15.75" customHeight="1">
      <c r="G283" s="29"/>
    </row>
    <row r="284" spans="7:7" ht="15.75" customHeight="1">
      <c r="G284" s="29"/>
    </row>
    <row r="285" spans="7:7" ht="15.75" customHeight="1">
      <c r="G285" s="29"/>
    </row>
    <row r="286" spans="7:7" ht="15.75" customHeight="1">
      <c r="G286" s="29"/>
    </row>
    <row r="287" spans="7:7" ht="15.75" customHeight="1">
      <c r="G287" s="29"/>
    </row>
    <row r="288" spans="7:7" ht="15.75" customHeight="1">
      <c r="G288" s="29"/>
    </row>
    <row r="289" spans="7:7" ht="15.75" customHeight="1">
      <c r="G289" s="29"/>
    </row>
    <row r="290" spans="7:7" ht="15.75" customHeight="1">
      <c r="G290" s="29"/>
    </row>
    <row r="291" spans="7:7" ht="15.75" customHeight="1">
      <c r="G291" s="29"/>
    </row>
    <row r="292" spans="7:7" ht="15.75" customHeight="1">
      <c r="G292" s="29"/>
    </row>
    <row r="293" spans="7:7" ht="15.75" customHeight="1">
      <c r="G293" s="29"/>
    </row>
    <row r="294" spans="7:7" ht="15.75" customHeight="1">
      <c r="G294" s="29"/>
    </row>
    <row r="295" spans="7:7" ht="15.75" customHeight="1">
      <c r="G295" s="29"/>
    </row>
    <row r="296" spans="7:7" ht="15.75" customHeight="1">
      <c r="G296" s="29"/>
    </row>
    <row r="297" spans="7:7" ht="15.75" customHeight="1">
      <c r="G297" s="29"/>
    </row>
    <row r="298" spans="7:7" ht="15.75" customHeight="1">
      <c r="G298" s="29"/>
    </row>
    <row r="299" spans="7:7" ht="15.75" customHeight="1">
      <c r="G299" s="29"/>
    </row>
    <row r="300" spans="7:7" ht="15.75" customHeight="1">
      <c r="G300" s="29"/>
    </row>
    <row r="301" spans="7:7" ht="15.75" customHeight="1">
      <c r="G301" s="29"/>
    </row>
    <row r="302" spans="7:7" ht="15.75" customHeight="1">
      <c r="G302" s="29"/>
    </row>
    <row r="303" spans="7:7" ht="15.75" customHeight="1">
      <c r="G303" s="29"/>
    </row>
    <row r="304" spans="7:7" ht="15.75" customHeight="1">
      <c r="G304" s="29"/>
    </row>
    <row r="305" spans="7:7" ht="15.75" customHeight="1">
      <c r="G305" s="29"/>
    </row>
    <row r="306" spans="7:7" ht="15.75" customHeight="1">
      <c r="G306" s="29"/>
    </row>
    <row r="307" spans="7:7" ht="15.75" customHeight="1">
      <c r="G307" s="29"/>
    </row>
    <row r="308" spans="7:7" ht="15.75" customHeight="1">
      <c r="G308" s="29"/>
    </row>
    <row r="309" spans="7:7" ht="15.75" customHeight="1">
      <c r="G309" s="29"/>
    </row>
    <row r="310" spans="7:7" ht="15.75" customHeight="1">
      <c r="G310" s="29"/>
    </row>
    <row r="311" spans="7:7" ht="15.75" customHeight="1">
      <c r="G311" s="29"/>
    </row>
    <row r="312" spans="7:7" ht="15.75" customHeight="1">
      <c r="G312" s="29"/>
    </row>
    <row r="313" spans="7:7" ht="15.75" customHeight="1">
      <c r="G313" s="29"/>
    </row>
    <row r="314" spans="7:7" ht="15.75" customHeight="1">
      <c r="G314" s="29"/>
    </row>
    <row r="315" spans="7:7" ht="15.75" customHeight="1">
      <c r="G315" s="29"/>
    </row>
    <row r="316" spans="7:7" ht="15.75" customHeight="1">
      <c r="G316" s="29"/>
    </row>
    <row r="317" spans="7:7" ht="15.75" customHeight="1">
      <c r="G317" s="29"/>
    </row>
    <row r="318" spans="7:7" ht="15.75" customHeight="1">
      <c r="G318" s="29"/>
    </row>
    <row r="319" spans="7:7" ht="15.75" customHeight="1">
      <c r="G319" s="29"/>
    </row>
    <row r="320" spans="7:7" ht="15.75" customHeight="1">
      <c r="G320" s="29"/>
    </row>
    <row r="321" spans="7:7" ht="15.75" customHeight="1">
      <c r="G321" s="29"/>
    </row>
    <row r="322" spans="7:7" ht="15.75" customHeight="1">
      <c r="G322" s="29"/>
    </row>
    <row r="323" spans="7:7" ht="15.75" customHeight="1">
      <c r="G323" s="29"/>
    </row>
    <row r="324" spans="7:7" ht="15.75" customHeight="1">
      <c r="G324" s="29"/>
    </row>
    <row r="325" spans="7:7" ht="15.75" customHeight="1">
      <c r="G325" s="29"/>
    </row>
    <row r="326" spans="7:7" ht="15.75" customHeight="1">
      <c r="G326" s="29"/>
    </row>
    <row r="327" spans="7:7" ht="15.75" customHeight="1">
      <c r="G327" s="29"/>
    </row>
    <row r="328" spans="7:7" ht="15.75" customHeight="1">
      <c r="G328" s="29"/>
    </row>
    <row r="329" spans="7:7" ht="15.75" customHeight="1">
      <c r="G329" s="29"/>
    </row>
    <row r="330" spans="7:7" ht="15.75" customHeight="1">
      <c r="G330" s="29"/>
    </row>
    <row r="331" spans="7:7" ht="15.75" customHeight="1">
      <c r="G331" s="29"/>
    </row>
    <row r="332" spans="7:7" ht="15.75" customHeight="1">
      <c r="G332" s="29"/>
    </row>
    <row r="333" spans="7:7" ht="15.75" customHeight="1">
      <c r="G333" s="29"/>
    </row>
    <row r="334" spans="7:7" ht="15.75" customHeight="1">
      <c r="G334" s="29"/>
    </row>
    <row r="335" spans="7:7" ht="15.75" customHeight="1">
      <c r="G335" s="29"/>
    </row>
    <row r="336" spans="7:7" ht="15.75" customHeight="1">
      <c r="G336" s="29"/>
    </row>
    <row r="337" spans="7:7" ht="15.75" customHeight="1">
      <c r="G337" s="29"/>
    </row>
    <row r="338" spans="7:7" ht="15.75" customHeight="1">
      <c r="G338" s="29"/>
    </row>
    <row r="339" spans="7:7" ht="15.75" customHeight="1">
      <c r="G339" s="29"/>
    </row>
    <row r="340" spans="7:7" ht="15.75" customHeight="1">
      <c r="G340" s="29"/>
    </row>
    <row r="341" spans="7:7" ht="15.75" customHeight="1">
      <c r="G341" s="29"/>
    </row>
    <row r="342" spans="7:7" ht="15.75" customHeight="1">
      <c r="G342" s="29"/>
    </row>
    <row r="343" spans="7:7" ht="15.75" customHeight="1">
      <c r="G343" s="29"/>
    </row>
    <row r="344" spans="7:7" ht="15.75" customHeight="1">
      <c r="G344" s="29"/>
    </row>
    <row r="345" spans="7:7" ht="15.75" customHeight="1">
      <c r="G345" s="29"/>
    </row>
    <row r="346" spans="7:7" ht="15.75" customHeight="1">
      <c r="G346" s="29"/>
    </row>
    <row r="347" spans="7:7" ht="15.75" customHeight="1">
      <c r="G347" s="29"/>
    </row>
    <row r="348" spans="7:7" ht="15.75" customHeight="1">
      <c r="G348" s="29"/>
    </row>
    <row r="349" spans="7:7" ht="15.75" customHeight="1">
      <c r="G349" s="29"/>
    </row>
    <row r="350" spans="7:7" ht="15.75" customHeight="1">
      <c r="G350" s="29"/>
    </row>
    <row r="351" spans="7:7" ht="15.75" customHeight="1">
      <c r="G351" s="29"/>
    </row>
    <row r="352" spans="7:7" ht="15.75" customHeight="1">
      <c r="G352" s="29"/>
    </row>
    <row r="353" spans="7:7" ht="15.75" customHeight="1">
      <c r="G353" s="29"/>
    </row>
    <row r="354" spans="7:7" ht="15.75" customHeight="1">
      <c r="G354" s="29"/>
    </row>
    <row r="355" spans="7:7" ht="15.75" customHeight="1">
      <c r="G355" s="29"/>
    </row>
    <row r="356" spans="7:7" ht="15.75" customHeight="1">
      <c r="G356" s="29"/>
    </row>
    <row r="357" spans="7:7" ht="15.75" customHeight="1">
      <c r="G357" s="29"/>
    </row>
    <row r="358" spans="7:7" ht="15.75" customHeight="1">
      <c r="G358" s="29"/>
    </row>
    <row r="359" spans="7:7" ht="15.75" customHeight="1">
      <c r="G359" s="29"/>
    </row>
    <row r="360" spans="7:7" ht="15.75" customHeight="1">
      <c r="G360" s="29"/>
    </row>
    <row r="361" spans="7:7" ht="15.75" customHeight="1">
      <c r="G361" s="29"/>
    </row>
    <row r="362" spans="7:7" ht="15.75" customHeight="1">
      <c r="G362" s="29"/>
    </row>
    <row r="363" spans="7:7" ht="15.75" customHeight="1">
      <c r="G363" s="29"/>
    </row>
    <row r="364" spans="7:7" ht="15.75" customHeight="1">
      <c r="G364" s="29"/>
    </row>
    <row r="365" spans="7:7" ht="15.75" customHeight="1">
      <c r="G365" s="29"/>
    </row>
    <row r="366" spans="7:7" ht="15.75" customHeight="1">
      <c r="G366" s="29"/>
    </row>
    <row r="367" spans="7:7" ht="15.75" customHeight="1">
      <c r="G367" s="29"/>
    </row>
    <row r="368" spans="7:7" ht="15.75" customHeight="1">
      <c r="G368" s="29"/>
    </row>
    <row r="369" spans="7:7" ht="15.75" customHeight="1">
      <c r="G369" s="29"/>
    </row>
    <row r="370" spans="7:7" ht="15.75" customHeight="1">
      <c r="G370" s="29"/>
    </row>
    <row r="371" spans="7:7" ht="15.75" customHeight="1">
      <c r="G371" s="29"/>
    </row>
    <row r="372" spans="7:7" ht="15.75" customHeight="1">
      <c r="G372" s="29"/>
    </row>
    <row r="373" spans="7:7" ht="15.75" customHeight="1">
      <c r="G373" s="29"/>
    </row>
    <row r="374" spans="7:7" ht="15.75" customHeight="1">
      <c r="G374" s="29"/>
    </row>
    <row r="375" spans="7:7" ht="15.75" customHeight="1">
      <c r="G375" s="29"/>
    </row>
    <row r="376" spans="7:7" ht="15.75" customHeight="1">
      <c r="G376" s="29"/>
    </row>
    <row r="377" spans="7:7" ht="15.75" customHeight="1">
      <c r="G377" s="29"/>
    </row>
    <row r="378" spans="7:7" ht="15.75" customHeight="1">
      <c r="G378" s="29"/>
    </row>
    <row r="379" spans="7:7" ht="15.75" customHeight="1">
      <c r="G379" s="29"/>
    </row>
    <row r="380" spans="7:7" ht="15.75" customHeight="1">
      <c r="G380" s="29"/>
    </row>
    <row r="381" spans="7:7" ht="15.75" customHeight="1">
      <c r="G381" s="29"/>
    </row>
    <row r="382" spans="7:7" ht="15.75" customHeight="1">
      <c r="G382" s="29"/>
    </row>
    <row r="383" spans="7:7" ht="15.75" customHeight="1">
      <c r="G383" s="29"/>
    </row>
    <row r="384" spans="7:7" ht="15.75" customHeight="1">
      <c r="G384" s="29"/>
    </row>
    <row r="385" spans="7:7" ht="15.75" customHeight="1">
      <c r="G385" s="29"/>
    </row>
    <row r="386" spans="7:7" ht="15.75" customHeight="1">
      <c r="G386" s="29"/>
    </row>
    <row r="387" spans="7:7" ht="15.75" customHeight="1">
      <c r="G387" s="29"/>
    </row>
    <row r="388" spans="7:7" ht="15.75" customHeight="1">
      <c r="G388" s="29"/>
    </row>
    <row r="389" spans="7:7" ht="15.75" customHeight="1">
      <c r="G389" s="29"/>
    </row>
    <row r="390" spans="7:7" ht="15.75" customHeight="1">
      <c r="G390" s="29"/>
    </row>
    <row r="391" spans="7:7" ht="15.75" customHeight="1">
      <c r="G391" s="29"/>
    </row>
    <row r="392" spans="7:7" ht="15.75" customHeight="1">
      <c r="G392" s="29"/>
    </row>
    <row r="393" spans="7:7" ht="15.75" customHeight="1">
      <c r="G393" s="29"/>
    </row>
    <row r="394" spans="7:7" ht="15.75" customHeight="1">
      <c r="G394" s="29"/>
    </row>
    <row r="395" spans="7:7" ht="15.75" customHeight="1">
      <c r="G395" s="29"/>
    </row>
    <row r="396" spans="7:7" ht="15.75" customHeight="1">
      <c r="G396" s="29"/>
    </row>
    <row r="397" spans="7:7" ht="15.75" customHeight="1">
      <c r="G397" s="29"/>
    </row>
    <row r="398" spans="7:7" ht="15.75" customHeight="1">
      <c r="G398" s="29"/>
    </row>
    <row r="399" spans="7:7" ht="15.75" customHeight="1">
      <c r="G399" s="29"/>
    </row>
    <row r="400" spans="7:7" ht="15.75" customHeight="1">
      <c r="G400" s="29"/>
    </row>
    <row r="401" spans="7:7" ht="15.75" customHeight="1">
      <c r="G401" s="29"/>
    </row>
    <row r="402" spans="7:7" ht="15.75" customHeight="1">
      <c r="G402" s="29"/>
    </row>
    <row r="403" spans="7:7" ht="15.75" customHeight="1">
      <c r="G403" s="29"/>
    </row>
    <row r="404" spans="7:7" ht="15.75" customHeight="1">
      <c r="G404" s="29"/>
    </row>
    <row r="405" spans="7:7" ht="15.75" customHeight="1">
      <c r="G405" s="29"/>
    </row>
    <row r="406" spans="7:7" ht="15.75" customHeight="1">
      <c r="G406" s="29"/>
    </row>
    <row r="407" spans="7:7" ht="15.75" customHeight="1">
      <c r="G407" s="29"/>
    </row>
    <row r="408" spans="7:7" ht="15.75" customHeight="1">
      <c r="G408" s="29"/>
    </row>
    <row r="409" spans="7:7" ht="15.75" customHeight="1">
      <c r="G409" s="29"/>
    </row>
    <row r="410" spans="7:7" ht="15.75" customHeight="1">
      <c r="G410" s="29"/>
    </row>
    <row r="411" spans="7:7" ht="15.75" customHeight="1">
      <c r="G411" s="29"/>
    </row>
    <row r="412" spans="7:7" ht="15.75" customHeight="1">
      <c r="G412" s="29"/>
    </row>
    <row r="413" spans="7:7" ht="15.75" customHeight="1">
      <c r="G413" s="29"/>
    </row>
    <row r="414" spans="7:7" ht="15.75" customHeight="1">
      <c r="G414" s="29"/>
    </row>
    <row r="415" spans="7:7" ht="15.75" customHeight="1">
      <c r="G415" s="29"/>
    </row>
    <row r="416" spans="7:7" ht="15.75" customHeight="1">
      <c r="G416" s="29"/>
    </row>
    <row r="417" spans="7:7" ht="15.75" customHeight="1">
      <c r="G417" s="29"/>
    </row>
    <row r="418" spans="7:7" ht="15.75" customHeight="1">
      <c r="G418" s="29"/>
    </row>
    <row r="419" spans="7:7" ht="15.75" customHeight="1">
      <c r="G419" s="29"/>
    </row>
    <row r="420" spans="7:7" ht="15.75" customHeight="1">
      <c r="G420" s="29"/>
    </row>
    <row r="421" spans="7:7" ht="15.75" customHeight="1">
      <c r="G421" s="29"/>
    </row>
    <row r="422" spans="7:7" ht="15.75" customHeight="1">
      <c r="G422" s="29"/>
    </row>
    <row r="423" spans="7:7" ht="15.75" customHeight="1">
      <c r="G423" s="29"/>
    </row>
    <row r="424" spans="7:7" ht="15.75" customHeight="1">
      <c r="G424" s="29"/>
    </row>
    <row r="425" spans="7:7" ht="15.75" customHeight="1">
      <c r="G425" s="29"/>
    </row>
    <row r="426" spans="7:7" ht="15.75" customHeight="1">
      <c r="G426" s="29"/>
    </row>
    <row r="427" spans="7:7" ht="15.75" customHeight="1">
      <c r="G427" s="29"/>
    </row>
    <row r="428" spans="7:7" ht="15.75" customHeight="1">
      <c r="G428" s="29"/>
    </row>
    <row r="429" spans="7:7" ht="15.75" customHeight="1">
      <c r="G429" s="29"/>
    </row>
    <row r="430" spans="7:7" ht="15.75" customHeight="1">
      <c r="G430" s="29"/>
    </row>
    <row r="431" spans="7:7" ht="15.75" customHeight="1">
      <c r="G431" s="29"/>
    </row>
    <row r="432" spans="7:7" ht="15.75" customHeight="1">
      <c r="G432" s="29"/>
    </row>
    <row r="433" spans="7:7" ht="15.75" customHeight="1">
      <c r="G433" s="29"/>
    </row>
    <row r="434" spans="7:7" ht="15.75" customHeight="1">
      <c r="G434" s="29"/>
    </row>
    <row r="435" spans="7:7" ht="15.75" customHeight="1">
      <c r="G435" s="29"/>
    </row>
    <row r="436" spans="7:7" ht="15.75" customHeight="1">
      <c r="G436" s="29"/>
    </row>
    <row r="437" spans="7:7" ht="15.75" customHeight="1">
      <c r="G437" s="29"/>
    </row>
    <row r="438" spans="7:7" ht="15.75" customHeight="1">
      <c r="G438" s="29"/>
    </row>
    <row r="439" spans="7:7" ht="15.75" customHeight="1">
      <c r="G439" s="29"/>
    </row>
    <row r="440" spans="7:7" ht="15.75" customHeight="1">
      <c r="G440" s="29"/>
    </row>
    <row r="441" spans="7:7" ht="15.75" customHeight="1">
      <c r="G441" s="29"/>
    </row>
    <row r="442" spans="7:7" ht="15.75" customHeight="1">
      <c r="G442" s="29"/>
    </row>
    <row r="443" spans="7:7" ht="15.75" customHeight="1">
      <c r="G443" s="29"/>
    </row>
    <row r="444" spans="7:7" ht="15.75" customHeight="1">
      <c r="G444" s="29"/>
    </row>
    <row r="445" spans="7:7" ht="15.75" customHeight="1">
      <c r="G445" s="29"/>
    </row>
    <row r="446" spans="7:7" ht="15.75" customHeight="1">
      <c r="G446" s="29"/>
    </row>
    <row r="447" spans="7:7" ht="15.75" customHeight="1">
      <c r="G447" s="29"/>
    </row>
    <row r="448" spans="7:7" ht="15.75" customHeight="1">
      <c r="G448" s="29"/>
    </row>
    <row r="449" spans="7:7" ht="15.75" customHeight="1">
      <c r="G449" s="29"/>
    </row>
    <row r="450" spans="7:7" ht="15.75" customHeight="1">
      <c r="G450" s="29"/>
    </row>
    <row r="451" spans="7:7" ht="15.75" customHeight="1">
      <c r="G451" s="29"/>
    </row>
    <row r="452" spans="7:7" ht="15.75" customHeight="1">
      <c r="G452" s="29"/>
    </row>
    <row r="453" spans="7:7" ht="15.75" customHeight="1">
      <c r="G453" s="29"/>
    </row>
    <row r="454" spans="7:7" ht="15.75" customHeight="1">
      <c r="G454" s="29"/>
    </row>
    <row r="455" spans="7:7" ht="15.75" customHeight="1">
      <c r="G455" s="29"/>
    </row>
    <row r="456" spans="7:7" ht="15.75" customHeight="1">
      <c r="G456" s="29"/>
    </row>
    <row r="457" spans="7:7" ht="15.75" customHeight="1">
      <c r="G457" s="29"/>
    </row>
    <row r="458" spans="7:7" ht="15.75" customHeight="1">
      <c r="G458" s="29"/>
    </row>
    <row r="459" spans="7:7" ht="15.75" customHeight="1">
      <c r="G459" s="29"/>
    </row>
    <row r="460" spans="7:7" ht="15.75" customHeight="1">
      <c r="G460" s="29"/>
    </row>
    <row r="461" spans="7:7" ht="15.75" customHeight="1">
      <c r="G461" s="29"/>
    </row>
    <row r="462" spans="7:7" ht="15.75" customHeight="1">
      <c r="G462" s="29"/>
    </row>
    <row r="463" spans="7:7" ht="15.75" customHeight="1">
      <c r="G463" s="29"/>
    </row>
    <row r="464" spans="7:7" ht="15.75" customHeight="1">
      <c r="G464" s="29"/>
    </row>
    <row r="465" spans="7:7" ht="15.75" customHeight="1">
      <c r="G465" s="29"/>
    </row>
    <row r="466" spans="7:7" ht="15.75" customHeight="1">
      <c r="G466" s="29"/>
    </row>
    <row r="467" spans="7:7" ht="15.75" customHeight="1">
      <c r="G467" s="29"/>
    </row>
    <row r="468" spans="7:7" ht="15.75" customHeight="1">
      <c r="G468" s="29"/>
    </row>
    <row r="469" spans="7:7" ht="15.75" customHeight="1">
      <c r="G469" s="29"/>
    </row>
    <row r="470" spans="7:7" ht="15.75" customHeight="1">
      <c r="G470" s="29"/>
    </row>
    <row r="471" spans="7:7" ht="15.75" customHeight="1">
      <c r="G471" s="29"/>
    </row>
    <row r="472" spans="7:7" ht="15.75" customHeight="1">
      <c r="G472" s="29"/>
    </row>
    <row r="473" spans="7:7" ht="15.75" customHeight="1">
      <c r="G473" s="29"/>
    </row>
    <row r="474" spans="7:7" ht="15.75" customHeight="1">
      <c r="G474" s="29"/>
    </row>
    <row r="475" spans="7:7" ht="15.75" customHeight="1">
      <c r="G475" s="29"/>
    </row>
    <row r="476" spans="7:7" ht="15.75" customHeight="1">
      <c r="G476" s="29"/>
    </row>
    <row r="477" spans="7:7" ht="15.75" customHeight="1">
      <c r="G477" s="29"/>
    </row>
    <row r="478" spans="7:7" ht="15.75" customHeight="1">
      <c r="G478" s="29"/>
    </row>
    <row r="479" spans="7:7" ht="15.75" customHeight="1">
      <c r="G479" s="29"/>
    </row>
    <row r="480" spans="7:7" ht="15.75" customHeight="1">
      <c r="G480" s="29"/>
    </row>
    <row r="481" spans="7:7" ht="15.75" customHeight="1">
      <c r="G481" s="29"/>
    </row>
    <row r="482" spans="7:7" ht="15.75" customHeight="1">
      <c r="G482" s="29"/>
    </row>
    <row r="483" spans="7:7" ht="15.75" customHeight="1">
      <c r="G483" s="29"/>
    </row>
    <row r="484" spans="7:7" ht="15.75" customHeight="1">
      <c r="G484" s="29"/>
    </row>
    <row r="485" spans="7:7" ht="15.75" customHeight="1">
      <c r="G485" s="29"/>
    </row>
    <row r="486" spans="7:7" ht="15.75" customHeight="1">
      <c r="G486" s="29"/>
    </row>
    <row r="487" spans="7:7" ht="15.75" customHeight="1">
      <c r="G487" s="29"/>
    </row>
    <row r="488" spans="7:7" ht="15.75" customHeight="1">
      <c r="G488" s="29"/>
    </row>
    <row r="489" spans="7:7" ht="15.75" customHeight="1">
      <c r="G489" s="29"/>
    </row>
    <row r="490" spans="7:7" ht="15.75" customHeight="1">
      <c r="G490" s="29"/>
    </row>
    <row r="491" spans="7:7" ht="15.75" customHeight="1">
      <c r="G491" s="29"/>
    </row>
    <row r="492" spans="7:7" ht="15.75" customHeight="1">
      <c r="G492" s="29"/>
    </row>
    <row r="493" spans="7:7" ht="15.75" customHeight="1">
      <c r="G493" s="29"/>
    </row>
    <row r="494" spans="7:7" ht="15.75" customHeight="1">
      <c r="G494" s="29"/>
    </row>
    <row r="495" spans="7:7" ht="15.75" customHeight="1">
      <c r="G495" s="29"/>
    </row>
    <row r="496" spans="7:7" ht="15.75" customHeight="1">
      <c r="G496" s="29"/>
    </row>
    <row r="497" spans="7:7" ht="15.75" customHeight="1">
      <c r="G497" s="29"/>
    </row>
    <row r="498" spans="7:7" ht="15.75" customHeight="1">
      <c r="G498" s="29"/>
    </row>
    <row r="499" spans="7:7" ht="15.75" customHeight="1">
      <c r="G499" s="29"/>
    </row>
    <row r="500" spans="7:7" ht="15.75" customHeight="1">
      <c r="G500" s="29"/>
    </row>
    <row r="501" spans="7:7" ht="15.75" customHeight="1">
      <c r="G501" s="29"/>
    </row>
    <row r="502" spans="7:7" ht="15.75" customHeight="1">
      <c r="G502" s="29"/>
    </row>
    <row r="503" spans="7:7" ht="15.75" customHeight="1">
      <c r="G503" s="29"/>
    </row>
    <row r="504" spans="7:7" ht="15.75" customHeight="1">
      <c r="G504" s="29"/>
    </row>
    <row r="505" spans="7:7" ht="15.75" customHeight="1">
      <c r="G505" s="29"/>
    </row>
    <row r="506" spans="7:7" ht="15.75" customHeight="1">
      <c r="G506" s="29"/>
    </row>
    <row r="507" spans="7:7" ht="15.75" customHeight="1">
      <c r="G507" s="29"/>
    </row>
    <row r="508" spans="7:7" ht="15.75" customHeight="1">
      <c r="G508" s="29"/>
    </row>
    <row r="509" spans="7:7" ht="15.75" customHeight="1">
      <c r="G509" s="29"/>
    </row>
    <row r="510" spans="7:7" ht="15.75" customHeight="1">
      <c r="G510" s="29"/>
    </row>
    <row r="511" spans="7:7" ht="15.75" customHeight="1">
      <c r="G511" s="29"/>
    </row>
    <row r="512" spans="7:7" ht="15.75" customHeight="1">
      <c r="G512" s="29"/>
    </row>
    <row r="513" spans="7:7" ht="15.75" customHeight="1">
      <c r="G513" s="29"/>
    </row>
    <row r="514" spans="7:7" ht="15.75" customHeight="1">
      <c r="G514" s="29"/>
    </row>
    <row r="515" spans="7:7" ht="15.75" customHeight="1">
      <c r="G515" s="29"/>
    </row>
    <row r="516" spans="7:7" ht="15.75" customHeight="1">
      <c r="G516" s="29"/>
    </row>
    <row r="517" spans="7:7" ht="15.75" customHeight="1">
      <c r="G517" s="29"/>
    </row>
    <row r="518" spans="7:7" ht="15.75" customHeight="1">
      <c r="G518" s="29"/>
    </row>
    <row r="519" spans="7:7" ht="15.75" customHeight="1">
      <c r="G519" s="29"/>
    </row>
    <row r="520" spans="7:7" ht="15.75" customHeight="1">
      <c r="G520" s="29"/>
    </row>
    <row r="521" spans="7:7" ht="15.75" customHeight="1">
      <c r="G521" s="29"/>
    </row>
    <row r="522" spans="7:7" ht="15.75" customHeight="1">
      <c r="G522" s="29"/>
    </row>
    <row r="523" spans="7:7" ht="15.75" customHeight="1">
      <c r="G523" s="29"/>
    </row>
    <row r="524" spans="7:7" ht="15.75" customHeight="1">
      <c r="G524" s="29"/>
    </row>
    <row r="525" spans="7:7" ht="15.75" customHeight="1">
      <c r="G525" s="29"/>
    </row>
    <row r="526" spans="7:7" ht="15.75" customHeight="1">
      <c r="G526" s="29"/>
    </row>
    <row r="527" spans="7:7" ht="15.75" customHeight="1">
      <c r="G527" s="29"/>
    </row>
    <row r="528" spans="7:7" ht="15.75" customHeight="1">
      <c r="G528" s="29"/>
    </row>
    <row r="529" spans="7:7" ht="15.75" customHeight="1">
      <c r="G529" s="29"/>
    </row>
    <row r="530" spans="7:7" ht="15.75" customHeight="1">
      <c r="G530" s="29"/>
    </row>
    <row r="531" spans="7:7" ht="15.75" customHeight="1">
      <c r="G531" s="29"/>
    </row>
    <row r="532" spans="7:7" ht="15.75" customHeight="1">
      <c r="G532" s="29"/>
    </row>
    <row r="533" spans="7:7" ht="15.75" customHeight="1">
      <c r="G533" s="29"/>
    </row>
    <row r="534" spans="7:7" ht="15.75" customHeight="1">
      <c r="G534" s="29"/>
    </row>
    <row r="535" spans="7:7" ht="15.75" customHeight="1">
      <c r="G535" s="29"/>
    </row>
    <row r="536" spans="7:7" ht="15.75" customHeight="1">
      <c r="G536" s="29"/>
    </row>
    <row r="537" spans="7:7" ht="15.75" customHeight="1">
      <c r="G537" s="29"/>
    </row>
    <row r="538" spans="7:7" ht="15.75" customHeight="1">
      <c r="G538" s="29"/>
    </row>
    <row r="539" spans="7:7" ht="15.75" customHeight="1">
      <c r="G539" s="29"/>
    </row>
    <row r="540" spans="7:7" ht="15.75" customHeight="1">
      <c r="G540" s="29"/>
    </row>
    <row r="541" spans="7:7" ht="15.75" customHeight="1">
      <c r="G541" s="29"/>
    </row>
    <row r="542" spans="7:7" ht="15.75" customHeight="1">
      <c r="G542" s="29"/>
    </row>
    <row r="543" spans="7:7" ht="15.75" customHeight="1">
      <c r="G543" s="29"/>
    </row>
    <row r="544" spans="7:7" ht="15.75" customHeight="1">
      <c r="G544" s="29"/>
    </row>
    <row r="545" spans="7:7" ht="15.75" customHeight="1">
      <c r="G545" s="29"/>
    </row>
    <row r="546" spans="7:7" ht="15.75" customHeight="1">
      <c r="G546" s="29"/>
    </row>
    <row r="547" spans="7:7" ht="15.75" customHeight="1">
      <c r="G547" s="29"/>
    </row>
    <row r="548" spans="7:7" ht="15.75" customHeight="1">
      <c r="G548" s="29"/>
    </row>
    <row r="549" spans="7:7" ht="15.75" customHeight="1">
      <c r="G549" s="29"/>
    </row>
    <row r="550" spans="7:7" ht="15.75" customHeight="1">
      <c r="G550" s="29"/>
    </row>
    <row r="551" spans="7:7" ht="15.75" customHeight="1">
      <c r="G551" s="29"/>
    </row>
    <row r="552" spans="7:7" ht="15.75" customHeight="1">
      <c r="G552" s="29"/>
    </row>
    <row r="553" spans="7:7" ht="15.75" customHeight="1">
      <c r="G553" s="29"/>
    </row>
    <row r="554" spans="7:7" ht="15.75" customHeight="1">
      <c r="G554" s="29"/>
    </row>
    <row r="555" spans="7:7" ht="15.75" customHeight="1">
      <c r="G555" s="29"/>
    </row>
    <row r="556" spans="7:7" ht="15.75" customHeight="1">
      <c r="G556" s="29"/>
    </row>
    <row r="557" spans="7:7" ht="15.75" customHeight="1">
      <c r="G557" s="29"/>
    </row>
    <row r="558" spans="7:7" ht="15.75" customHeight="1">
      <c r="G558" s="29"/>
    </row>
    <row r="559" spans="7:7" ht="15.75" customHeight="1">
      <c r="G559" s="29"/>
    </row>
    <row r="560" spans="7:7" ht="15.75" customHeight="1">
      <c r="G560" s="29"/>
    </row>
    <row r="561" spans="7:7" ht="15.75" customHeight="1">
      <c r="G561" s="29"/>
    </row>
    <row r="562" spans="7:7" ht="15.75" customHeight="1">
      <c r="G562" s="29"/>
    </row>
    <row r="563" spans="7:7" ht="15.75" customHeight="1">
      <c r="G563" s="29"/>
    </row>
    <row r="564" spans="7:7" ht="15.75" customHeight="1">
      <c r="G564" s="29"/>
    </row>
    <row r="565" spans="7:7" ht="15.75" customHeight="1">
      <c r="G565" s="29"/>
    </row>
    <row r="566" spans="7:7" ht="15.75" customHeight="1">
      <c r="G566" s="29"/>
    </row>
    <row r="567" spans="7:7" ht="15.75" customHeight="1">
      <c r="G567" s="29"/>
    </row>
    <row r="568" spans="7:7" ht="15.75" customHeight="1">
      <c r="G568" s="29"/>
    </row>
    <row r="569" spans="7:7" ht="15.75" customHeight="1">
      <c r="G569" s="29"/>
    </row>
    <row r="570" spans="7:7" ht="15.75" customHeight="1">
      <c r="G570" s="29"/>
    </row>
    <row r="571" spans="7:7" ht="15.75" customHeight="1">
      <c r="G571" s="29"/>
    </row>
    <row r="572" spans="7:7" ht="15.75" customHeight="1">
      <c r="G572" s="29"/>
    </row>
    <row r="573" spans="7:7" ht="15.75" customHeight="1">
      <c r="G573" s="29"/>
    </row>
    <row r="574" spans="7:7" ht="15.75" customHeight="1">
      <c r="G574" s="29"/>
    </row>
    <row r="575" spans="7:7" ht="15.75" customHeight="1">
      <c r="G575" s="29"/>
    </row>
    <row r="576" spans="7:7" ht="15.75" customHeight="1">
      <c r="G576" s="29"/>
    </row>
    <row r="577" spans="7:7" ht="15.75" customHeight="1">
      <c r="G577" s="29"/>
    </row>
    <row r="578" spans="7:7" ht="15.75" customHeight="1">
      <c r="G578" s="29"/>
    </row>
    <row r="579" spans="7:7" ht="15.75" customHeight="1">
      <c r="G579" s="29"/>
    </row>
    <row r="580" spans="7:7" ht="15.75" customHeight="1">
      <c r="G580" s="29"/>
    </row>
    <row r="581" spans="7:7" ht="15.75" customHeight="1">
      <c r="G581" s="29"/>
    </row>
    <row r="582" spans="7:7" ht="15.75" customHeight="1">
      <c r="G582" s="29"/>
    </row>
    <row r="583" spans="7:7" ht="15.75" customHeight="1">
      <c r="G583" s="29"/>
    </row>
    <row r="584" spans="7:7" ht="15.75" customHeight="1">
      <c r="G584" s="29"/>
    </row>
    <row r="585" spans="7:7" ht="15.75" customHeight="1">
      <c r="G585" s="29"/>
    </row>
    <row r="586" spans="7:7" ht="15.75" customHeight="1">
      <c r="G586" s="29"/>
    </row>
    <row r="587" spans="7:7" ht="15.75" customHeight="1">
      <c r="G587" s="29"/>
    </row>
    <row r="588" spans="7:7" ht="15.75" customHeight="1">
      <c r="G588" s="29"/>
    </row>
    <row r="589" spans="7:7" ht="15.75" customHeight="1">
      <c r="G589" s="29"/>
    </row>
    <row r="590" spans="7:7" ht="15.75" customHeight="1">
      <c r="G590" s="29"/>
    </row>
    <row r="591" spans="7:7" ht="15.75" customHeight="1">
      <c r="G591" s="29"/>
    </row>
    <row r="592" spans="7:7" ht="15.75" customHeight="1">
      <c r="G592" s="29"/>
    </row>
    <row r="593" spans="7:7" ht="15.75" customHeight="1">
      <c r="G593" s="29"/>
    </row>
    <row r="594" spans="7:7" ht="15.75" customHeight="1">
      <c r="G594" s="29"/>
    </row>
    <row r="595" spans="7:7" ht="15.75" customHeight="1">
      <c r="G595" s="29"/>
    </row>
    <row r="596" spans="7:7" ht="15.75" customHeight="1">
      <c r="G596" s="29"/>
    </row>
    <row r="597" spans="7:7" ht="15.75" customHeight="1">
      <c r="G597" s="29"/>
    </row>
    <row r="598" spans="7:7" ht="15.75" customHeight="1">
      <c r="G598" s="29"/>
    </row>
    <row r="599" spans="7:7" ht="15.75" customHeight="1">
      <c r="G599" s="29"/>
    </row>
    <row r="600" spans="7:7" ht="15.75" customHeight="1">
      <c r="G600" s="29"/>
    </row>
    <row r="601" spans="7:7" ht="15.75" customHeight="1">
      <c r="G601" s="29"/>
    </row>
    <row r="602" spans="7:7" ht="15.75" customHeight="1">
      <c r="G602" s="29"/>
    </row>
    <row r="603" spans="7:7" ht="15.75" customHeight="1">
      <c r="G603" s="29"/>
    </row>
    <row r="604" spans="7:7" ht="15.75" customHeight="1">
      <c r="G604" s="29"/>
    </row>
    <row r="605" spans="7:7" ht="15.75" customHeight="1">
      <c r="G605" s="29"/>
    </row>
    <row r="606" spans="7:7" ht="15.75" customHeight="1">
      <c r="G606" s="29"/>
    </row>
    <row r="607" spans="7:7" ht="15.75" customHeight="1">
      <c r="G607" s="29"/>
    </row>
    <row r="608" spans="7:7" ht="15.75" customHeight="1">
      <c r="G608" s="29"/>
    </row>
    <row r="609" spans="7:7" ht="15.75" customHeight="1">
      <c r="G609" s="29"/>
    </row>
    <row r="610" spans="7:7" ht="15.75" customHeight="1">
      <c r="G610" s="29"/>
    </row>
    <row r="611" spans="7:7" ht="15.75" customHeight="1">
      <c r="G611" s="29"/>
    </row>
    <row r="612" spans="7:7" ht="15.75" customHeight="1">
      <c r="G612" s="29"/>
    </row>
    <row r="613" spans="7:7" ht="15.75" customHeight="1">
      <c r="G613" s="29"/>
    </row>
    <row r="614" spans="7:7" ht="15.75" customHeight="1">
      <c r="G614" s="29"/>
    </row>
    <row r="615" spans="7:7" ht="15.75" customHeight="1">
      <c r="G615" s="29"/>
    </row>
    <row r="616" spans="7:7" ht="15.75" customHeight="1">
      <c r="G616" s="29"/>
    </row>
    <row r="617" spans="7:7" ht="15.75" customHeight="1">
      <c r="G617" s="29"/>
    </row>
    <row r="618" spans="7:7" ht="15.75" customHeight="1">
      <c r="G618" s="29"/>
    </row>
    <row r="619" spans="7:7" ht="15.75" customHeight="1">
      <c r="G619" s="29"/>
    </row>
    <row r="620" spans="7:7" ht="15.75" customHeight="1">
      <c r="G620" s="29"/>
    </row>
    <row r="621" spans="7:7" ht="15.75" customHeight="1">
      <c r="G621" s="29"/>
    </row>
    <row r="622" spans="7:7" ht="15.75" customHeight="1">
      <c r="G622" s="29"/>
    </row>
    <row r="623" spans="7:7" ht="15.75" customHeight="1">
      <c r="G623" s="29"/>
    </row>
    <row r="624" spans="7:7" ht="15.75" customHeight="1">
      <c r="G624" s="29"/>
    </row>
    <row r="625" spans="7:7" ht="15.75" customHeight="1">
      <c r="G625" s="29"/>
    </row>
    <row r="626" spans="7:7" ht="15.75" customHeight="1">
      <c r="G626" s="29"/>
    </row>
    <row r="627" spans="7:7" ht="15.75" customHeight="1">
      <c r="G627" s="29"/>
    </row>
    <row r="628" spans="7:7" ht="15.75" customHeight="1">
      <c r="G628" s="29"/>
    </row>
    <row r="629" spans="7:7" ht="15.75" customHeight="1">
      <c r="G629" s="29"/>
    </row>
    <row r="630" spans="7:7" ht="15.75" customHeight="1">
      <c r="G630" s="29"/>
    </row>
    <row r="631" spans="7:7" ht="15.75" customHeight="1">
      <c r="G631" s="29"/>
    </row>
    <row r="632" spans="7:7" ht="15.75" customHeight="1">
      <c r="G632" s="29"/>
    </row>
    <row r="633" spans="7:7" ht="15.75" customHeight="1">
      <c r="G633" s="29"/>
    </row>
    <row r="634" spans="7:7" ht="15.75" customHeight="1">
      <c r="G634" s="29"/>
    </row>
    <row r="635" spans="7:7" ht="15.75" customHeight="1">
      <c r="G635" s="29"/>
    </row>
    <row r="636" spans="7:7" ht="15.75" customHeight="1">
      <c r="G636" s="29"/>
    </row>
    <row r="637" spans="7:7" ht="15.75" customHeight="1">
      <c r="G637" s="29"/>
    </row>
    <row r="638" spans="7:7" ht="15.75" customHeight="1">
      <c r="G638" s="29"/>
    </row>
    <row r="639" spans="7:7" ht="15.75" customHeight="1">
      <c r="G639" s="29"/>
    </row>
    <row r="640" spans="7:7" ht="15.75" customHeight="1">
      <c r="G640" s="29"/>
    </row>
    <row r="641" spans="7:7" ht="15.75" customHeight="1">
      <c r="G641" s="29"/>
    </row>
    <row r="642" spans="7:7" ht="15.75" customHeight="1">
      <c r="G642" s="29"/>
    </row>
    <row r="643" spans="7:7" ht="15.75" customHeight="1">
      <c r="G643" s="29"/>
    </row>
    <row r="644" spans="7:7" ht="15.75" customHeight="1">
      <c r="G644" s="29"/>
    </row>
    <row r="645" spans="7:7" ht="15.75" customHeight="1">
      <c r="G645" s="29"/>
    </row>
    <row r="646" spans="7:7" ht="15.75" customHeight="1">
      <c r="G646" s="29"/>
    </row>
    <row r="647" spans="7:7" ht="15.75" customHeight="1">
      <c r="G647" s="29"/>
    </row>
    <row r="648" spans="7:7" ht="15.75" customHeight="1">
      <c r="G648" s="29"/>
    </row>
    <row r="649" spans="7:7" ht="15.75" customHeight="1">
      <c r="G649" s="29"/>
    </row>
    <row r="650" spans="7:7" ht="15.75" customHeight="1">
      <c r="G650" s="29"/>
    </row>
    <row r="651" spans="7:7" ht="15.75" customHeight="1">
      <c r="G651" s="29"/>
    </row>
    <row r="652" spans="7:7" ht="15.75" customHeight="1">
      <c r="G652" s="29"/>
    </row>
    <row r="653" spans="7:7" ht="15.75" customHeight="1">
      <c r="G653" s="29"/>
    </row>
    <row r="654" spans="7:7" ht="15.75" customHeight="1">
      <c r="G654" s="29"/>
    </row>
    <row r="655" spans="7:7" ht="15.75" customHeight="1">
      <c r="G655" s="29"/>
    </row>
    <row r="656" spans="7:7" ht="15.75" customHeight="1">
      <c r="G656" s="29"/>
    </row>
    <row r="657" spans="7:7" ht="15.75" customHeight="1">
      <c r="G657" s="29"/>
    </row>
    <row r="658" spans="7:7" ht="15.75" customHeight="1">
      <c r="G658" s="29"/>
    </row>
    <row r="659" spans="7:7" ht="15.75" customHeight="1">
      <c r="G659" s="29"/>
    </row>
    <row r="660" spans="7:7" ht="15.75" customHeight="1">
      <c r="G660" s="29"/>
    </row>
    <row r="661" spans="7:7" ht="15.75" customHeight="1">
      <c r="G661" s="29"/>
    </row>
    <row r="662" spans="7:7" ht="15.75" customHeight="1">
      <c r="G662" s="29"/>
    </row>
    <row r="663" spans="7:7" ht="15.75" customHeight="1">
      <c r="G663" s="29"/>
    </row>
    <row r="664" spans="7:7" ht="15.75" customHeight="1">
      <c r="G664" s="29"/>
    </row>
    <row r="665" spans="7:7" ht="15.75" customHeight="1">
      <c r="G665" s="29"/>
    </row>
    <row r="666" spans="7:7" ht="15.75" customHeight="1">
      <c r="G666" s="29"/>
    </row>
    <row r="667" spans="7:7" ht="15.75" customHeight="1">
      <c r="G667" s="29"/>
    </row>
    <row r="668" spans="7:7" ht="15.75" customHeight="1">
      <c r="G668" s="29"/>
    </row>
    <row r="669" spans="7:7" ht="15.75" customHeight="1">
      <c r="G669" s="29"/>
    </row>
    <row r="670" spans="7:7" ht="15.75" customHeight="1">
      <c r="G670" s="29"/>
    </row>
    <row r="671" spans="7:7" ht="15.75" customHeight="1">
      <c r="G671" s="29"/>
    </row>
    <row r="672" spans="7:7" ht="15.75" customHeight="1">
      <c r="G672" s="29"/>
    </row>
    <row r="673" spans="7:7" ht="15.75" customHeight="1">
      <c r="G673" s="29"/>
    </row>
    <row r="674" spans="7:7" ht="15.75" customHeight="1">
      <c r="G674" s="29"/>
    </row>
    <row r="675" spans="7:7" ht="15.75" customHeight="1">
      <c r="G675" s="29"/>
    </row>
    <row r="676" spans="7:7" ht="15.75" customHeight="1">
      <c r="G676" s="29"/>
    </row>
    <row r="677" spans="7:7" ht="15.75" customHeight="1">
      <c r="G677" s="29"/>
    </row>
    <row r="678" spans="7:7" ht="15.75" customHeight="1">
      <c r="G678" s="29"/>
    </row>
    <row r="679" spans="7:7" ht="15.75" customHeight="1">
      <c r="G679" s="29"/>
    </row>
    <row r="680" spans="7:7" ht="15.75" customHeight="1">
      <c r="G680" s="29"/>
    </row>
    <row r="681" spans="7:7" ht="15.75" customHeight="1">
      <c r="G681" s="29"/>
    </row>
    <row r="682" spans="7:7" ht="15.75" customHeight="1">
      <c r="G682" s="29"/>
    </row>
    <row r="683" spans="7:7" ht="15.75" customHeight="1">
      <c r="G683" s="29"/>
    </row>
    <row r="684" spans="7:7" ht="15.75" customHeight="1">
      <c r="G684" s="29"/>
    </row>
    <row r="685" spans="7:7" ht="15.75" customHeight="1">
      <c r="G685" s="29"/>
    </row>
    <row r="686" spans="7:7" ht="15.75" customHeight="1">
      <c r="G686" s="29"/>
    </row>
    <row r="687" spans="7:7" ht="15.75" customHeight="1">
      <c r="G687" s="29"/>
    </row>
    <row r="688" spans="7:7" ht="15.75" customHeight="1">
      <c r="G688" s="29"/>
    </row>
    <row r="689" spans="7:7" ht="15.75" customHeight="1">
      <c r="G689" s="29"/>
    </row>
    <row r="690" spans="7:7" ht="15.75" customHeight="1">
      <c r="G690" s="29"/>
    </row>
    <row r="691" spans="7:7" ht="15.75" customHeight="1">
      <c r="G691" s="29"/>
    </row>
    <row r="692" spans="7:7" ht="15.75" customHeight="1">
      <c r="G692" s="29"/>
    </row>
    <row r="693" spans="7:7" ht="15.75" customHeight="1">
      <c r="G693" s="29"/>
    </row>
    <row r="694" spans="7:7" ht="15.75" customHeight="1">
      <c r="G694" s="29"/>
    </row>
    <row r="695" spans="7:7" ht="15.75" customHeight="1">
      <c r="G695" s="29"/>
    </row>
    <row r="696" spans="7:7" ht="15.75" customHeight="1">
      <c r="G696" s="29"/>
    </row>
    <row r="697" spans="7:7" ht="15.75" customHeight="1">
      <c r="G697" s="29"/>
    </row>
    <row r="698" spans="7:7" ht="15.75" customHeight="1">
      <c r="G698" s="29"/>
    </row>
    <row r="699" spans="7:7" ht="15.75" customHeight="1">
      <c r="G699" s="29"/>
    </row>
    <row r="700" spans="7:7" ht="15.75" customHeight="1">
      <c r="G700" s="29"/>
    </row>
    <row r="701" spans="7:7" ht="15.75" customHeight="1">
      <c r="G701" s="29"/>
    </row>
    <row r="702" spans="7:7" ht="15.75" customHeight="1">
      <c r="G702" s="29"/>
    </row>
    <row r="703" spans="7:7" ht="15.75" customHeight="1">
      <c r="G703" s="29"/>
    </row>
    <row r="704" spans="7:7" ht="15.75" customHeight="1">
      <c r="G704" s="29"/>
    </row>
    <row r="705" spans="7:7" ht="15.75" customHeight="1">
      <c r="G705" s="29"/>
    </row>
    <row r="706" spans="7:7" ht="15.75" customHeight="1">
      <c r="G706" s="29"/>
    </row>
    <row r="707" spans="7:7" ht="15.75" customHeight="1">
      <c r="G707" s="29"/>
    </row>
    <row r="708" spans="7:7" ht="15.75" customHeight="1">
      <c r="G708" s="29"/>
    </row>
    <row r="709" spans="7:7" ht="15.75" customHeight="1">
      <c r="G709" s="29"/>
    </row>
    <row r="710" spans="7:7" ht="15.75" customHeight="1">
      <c r="G710" s="29"/>
    </row>
    <row r="711" spans="7:7" ht="15.75" customHeight="1">
      <c r="G711" s="29"/>
    </row>
    <row r="712" spans="7:7" ht="15.75" customHeight="1">
      <c r="G712" s="29"/>
    </row>
    <row r="713" spans="7:7" ht="15.75" customHeight="1">
      <c r="G713" s="29"/>
    </row>
    <row r="714" spans="7:7" ht="15.75" customHeight="1">
      <c r="G714" s="29"/>
    </row>
    <row r="715" spans="7:7" ht="15.75" customHeight="1">
      <c r="G715" s="29"/>
    </row>
    <row r="716" spans="7:7" ht="15.75" customHeight="1">
      <c r="G716" s="29"/>
    </row>
    <row r="717" spans="7:7" ht="15.75" customHeight="1">
      <c r="G717" s="29"/>
    </row>
    <row r="718" spans="7:7" ht="15.75" customHeight="1">
      <c r="G718" s="29"/>
    </row>
    <row r="719" spans="7:7" ht="15.75" customHeight="1">
      <c r="G719" s="29"/>
    </row>
    <row r="720" spans="7:7" ht="15.75" customHeight="1">
      <c r="G720" s="29"/>
    </row>
    <row r="721" spans="7:7" ht="15.75" customHeight="1">
      <c r="G721" s="29"/>
    </row>
    <row r="722" spans="7:7" ht="15.75" customHeight="1">
      <c r="G722" s="29"/>
    </row>
    <row r="723" spans="7:7" ht="15.75" customHeight="1">
      <c r="G723" s="29"/>
    </row>
    <row r="724" spans="7:7" ht="15.75" customHeight="1">
      <c r="G724" s="29"/>
    </row>
    <row r="725" spans="7:7" ht="15.75" customHeight="1">
      <c r="G725" s="29"/>
    </row>
    <row r="726" spans="7:7" ht="15.75" customHeight="1">
      <c r="G726" s="29"/>
    </row>
    <row r="727" spans="7:7" ht="15.75" customHeight="1">
      <c r="G727" s="29"/>
    </row>
    <row r="728" spans="7:7" ht="15.75" customHeight="1">
      <c r="G728" s="29"/>
    </row>
    <row r="729" spans="7:7" ht="15.75" customHeight="1">
      <c r="G729" s="29"/>
    </row>
    <row r="730" spans="7:7" ht="15.75" customHeight="1">
      <c r="G730" s="29"/>
    </row>
    <row r="731" spans="7:7" ht="15.75" customHeight="1">
      <c r="G731" s="29"/>
    </row>
    <row r="732" spans="7:7" ht="15.75" customHeight="1">
      <c r="G732" s="29"/>
    </row>
    <row r="733" spans="7:7" ht="15.75" customHeight="1">
      <c r="G733" s="29"/>
    </row>
    <row r="734" spans="7:7" ht="15.75" customHeight="1">
      <c r="G734" s="29"/>
    </row>
    <row r="735" spans="7:7" ht="15.75" customHeight="1">
      <c r="G735" s="29"/>
    </row>
    <row r="736" spans="7:7" ht="15.75" customHeight="1">
      <c r="G736" s="29"/>
    </row>
    <row r="737" spans="7:7" ht="15.75" customHeight="1">
      <c r="G737" s="29"/>
    </row>
    <row r="738" spans="7:7" ht="15.75" customHeight="1">
      <c r="G738" s="29"/>
    </row>
    <row r="739" spans="7:7" ht="15.75" customHeight="1">
      <c r="G739" s="29"/>
    </row>
    <row r="740" spans="7:7" ht="15.75" customHeight="1">
      <c r="G740" s="29"/>
    </row>
    <row r="741" spans="7:7" ht="15.75" customHeight="1">
      <c r="G741" s="29"/>
    </row>
    <row r="742" spans="7:7" ht="15.75" customHeight="1">
      <c r="G742" s="29"/>
    </row>
    <row r="743" spans="7:7" ht="15.75" customHeight="1">
      <c r="G743" s="29"/>
    </row>
    <row r="744" spans="7:7" ht="15.75" customHeight="1">
      <c r="G744" s="29"/>
    </row>
    <row r="745" spans="7:7" ht="15.75" customHeight="1">
      <c r="G745" s="29"/>
    </row>
    <row r="746" spans="7:7" ht="15.75" customHeight="1">
      <c r="G746" s="29"/>
    </row>
    <row r="747" spans="7:7" ht="15.75" customHeight="1">
      <c r="G747" s="29"/>
    </row>
    <row r="748" spans="7:7" ht="15.75" customHeight="1">
      <c r="G748" s="29"/>
    </row>
    <row r="749" spans="7:7" ht="15.75" customHeight="1">
      <c r="G749" s="29"/>
    </row>
    <row r="750" spans="7:7" ht="15.75" customHeight="1">
      <c r="G750" s="29"/>
    </row>
    <row r="751" spans="7:7" ht="15.75" customHeight="1">
      <c r="G751" s="29"/>
    </row>
    <row r="752" spans="7:7" ht="15.75" customHeight="1">
      <c r="G752" s="29"/>
    </row>
    <row r="753" spans="7:7" ht="15.75" customHeight="1">
      <c r="G753" s="29"/>
    </row>
    <row r="754" spans="7:7" ht="15.75" customHeight="1">
      <c r="G754" s="29"/>
    </row>
    <row r="755" spans="7:7" ht="15.75" customHeight="1">
      <c r="G755" s="29"/>
    </row>
    <row r="756" spans="7:7" ht="15.75" customHeight="1">
      <c r="G756" s="29"/>
    </row>
    <row r="757" spans="7:7" ht="15.75" customHeight="1">
      <c r="G757" s="29"/>
    </row>
    <row r="758" spans="7:7" ht="15.75" customHeight="1">
      <c r="G758" s="29"/>
    </row>
    <row r="759" spans="7:7" ht="15.75" customHeight="1">
      <c r="G759" s="29"/>
    </row>
    <row r="760" spans="7:7" ht="15.75" customHeight="1">
      <c r="G760" s="29"/>
    </row>
    <row r="761" spans="7:7" ht="15.75" customHeight="1">
      <c r="G761" s="29"/>
    </row>
    <row r="762" spans="7:7" ht="15.75" customHeight="1">
      <c r="G762" s="29"/>
    </row>
    <row r="763" spans="7:7" ht="15.75" customHeight="1">
      <c r="G763" s="29"/>
    </row>
    <row r="764" spans="7:7" ht="15.75" customHeight="1">
      <c r="G764" s="29"/>
    </row>
    <row r="765" spans="7:7" ht="15.75" customHeight="1">
      <c r="G765" s="29"/>
    </row>
    <row r="766" spans="7:7" ht="15.75" customHeight="1">
      <c r="G766" s="29"/>
    </row>
    <row r="767" spans="7:7" ht="15.75" customHeight="1">
      <c r="G767" s="29"/>
    </row>
    <row r="768" spans="7:7" ht="15.75" customHeight="1">
      <c r="G768" s="29"/>
    </row>
    <row r="769" spans="7:7" ht="15.75" customHeight="1">
      <c r="G769" s="29"/>
    </row>
    <row r="770" spans="7:7" ht="15.75" customHeight="1">
      <c r="G770" s="29"/>
    </row>
    <row r="771" spans="7:7" ht="15.75" customHeight="1">
      <c r="G771" s="29"/>
    </row>
    <row r="772" spans="7:7" ht="15.75" customHeight="1">
      <c r="G772" s="29"/>
    </row>
    <row r="773" spans="7:7" ht="15.75" customHeight="1">
      <c r="G773" s="29"/>
    </row>
    <row r="774" spans="7:7" ht="15.75" customHeight="1">
      <c r="G774" s="29"/>
    </row>
    <row r="775" spans="7:7" ht="15.75" customHeight="1">
      <c r="G775" s="29"/>
    </row>
    <row r="776" spans="7:7" ht="15.75" customHeight="1">
      <c r="G776" s="29"/>
    </row>
    <row r="777" spans="7:7" ht="15.75" customHeight="1">
      <c r="G777" s="29"/>
    </row>
    <row r="778" spans="7:7" ht="15.75" customHeight="1">
      <c r="G778" s="29"/>
    </row>
    <row r="779" spans="7:7" ht="15.75" customHeight="1">
      <c r="G779" s="29"/>
    </row>
    <row r="780" spans="7:7" ht="15.75" customHeight="1">
      <c r="G780" s="29"/>
    </row>
    <row r="781" spans="7:7" ht="15.75" customHeight="1">
      <c r="G781" s="29"/>
    </row>
    <row r="782" spans="7:7" ht="15.75" customHeight="1">
      <c r="G782" s="29"/>
    </row>
    <row r="783" spans="7:7" ht="15.75" customHeight="1">
      <c r="G783" s="29"/>
    </row>
    <row r="784" spans="7:7" ht="15.75" customHeight="1">
      <c r="G784" s="29"/>
    </row>
    <row r="785" spans="7:7" ht="15.75" customHeight="1">
      <c r="G785" s="29"/>
    </row>
    <row r="786" spans="7:7" ht="15.75" customHeight="1">
      <c r="G786" s="29"/>
    </row>
    <row r="787" spans="7:7" ht="15.75" customHeight="1">
      <c r="G787" s="29"/>
    </row>
    <row r="788" spans="7:7" ht="15.75" customHeight="1">
      <c r="G788" s="29"/>
    </row>
    <row r="789" spans="7:7" ht="15.75" customHeight="1">
      <c r="G789" s="29"/>
    </row>
    <row r="790" spans="7:7" ht="15.75" customHeight="1">
      <c r="G790" s="29"/>
    </row>
    <row r="791" spans="7:7" ht="15.75" customHeight="1">
      <c r="G791" s="29"/>
    </row>
    <row r="792" spans="7:7" ht="15.75" customHeight="1">
      <c r="G792" s="29"/>
    </row>
    <row r="793" spans="7:7" ht="15.75" customHeight="1">
      <c r="G793" s="29"/>
    </row>
    <row r="794" spans="7:7" ht="15.75" customHeight="1">
      <c r="G794" s="29"/>
    </row>
    <row r="795" spans="7:7" ht="15.75" customHeight="1">
      <c r="G795" s="29"/>
    </row>
    <row r="796" spans="7:7" ht="15.75" customHeight="1">
      <c r="G796" s="29"/>
    </row>
    <row r="797" spans="7:7" ht="15.75" customHeight="1">
      <c r="G797" s="29"/>
    </row>
    <row r="798" spans="7:7" ht="15.75" customHeight="1">
      <c r="G798" s="29"/>
    </row>
    <row r="799" spans="7:7" ht="15.75" customHeight="1">
      <c r="G799" s="29"/>
    </row>
    <row r="800" spans="7:7" ht="15.75" customHeight="1">
      <c r="G800" s="29"/>
    </row>
    <row r="801" spans="7:7" ht="15.75" customHeight="1">
      <c r="G801" s="29"/>
    </row>
    <row r="802" spans="7:7" ht="15.75" customHeight="1">
      <c r="G802" s="29"/>
    </row>
    <row r="803" spans="7:7" ht="15.75" customHeight="1">
      <c r="G803" s="29"/>
    </row>
    <row r="804" spans="7:7" ht="15.75" customHeight="1">
      <c r="G804" s="29"/>
    </row>
    <row r="805" spans="7:7" ht="15.75" customHeight="1">
      <c r="G805" s="29"/>
    </row>
    <row r="806" spans="7:7" ht="15.75" customHeight="1">
      <c r="G806" s="29"/>
    </row>
    <row r="807" spans="7:7" ht="15.75" customHeight="1">
      <c r="G807" s="29"/>
    </row>
    <row r="808" spans="7:7" ht="15.75" customHeight="1">
      <c r="G808" s="29"/>
    </row>
    <row r="809" spans="7:7" ht="15.75" customHeight="1">
      <c r="G809" s="29"/>
    </row>
    <row r="810" spans="7:7" ht="15.75" customHeight="1">
      <c r="G810" s="29"/>
    </row>
    <row r="811" spans="7:7" ht="15.75" customHeight="1">
      <c r="G811" s="29"/>
    </row>
    <row r="812" spans="7:7" ht="15.75" customHeight="1">
      <c r="G812" s="29"/>
    </row>
    <row r="813" spans="7:7" ht="15.75" customHeight="1">
      <c r="G813" s="29"/>
    </row>
    <row r="814" spans="7:7" ht="15.75" customHeight="1">
      <c r="G814" s="29"/>
    </row>
    <row r="815" spans="7:7" ht="15.75" customHeight="1">
      <c r="G815" s="29"/>
    </row>
    <row r="816" spans="7:7" ht="15.75" customHeight="1">
      <c r="G816" s="29"/>
    </row>
    <row r="817" spans="7:7" ht="15.75" customHeight="1">
      <c r="G817" s="29"/>
    </row>
    <row r="818" spans="7:7" ht="15.75" customHeight="1">
      <c r="G818" s="29"/>
    </row>
    <row r="819" spans="7:7" ht="15.75" customHeight="1">
      <c r="G819" s="29"/>
    </row>
    <row r="820" spans="7:7" ht="15.75" customHeight="1">
      <c r="G820" s="29"/>
    </row>
    <row r="821" spans="7:7" ht="15.75" customHeight="1">
      <c r="G821" s="29"/>
    </row>
    <row r="822" spans="7:7" ht="15.75" customHeight="1">
      <c r="G822" s="29"/>
    </row>
    <row r="823" spans="7:7" ht="15.75" customHeight="1">
      <c r="G823" s="29"/>
    </row>
    <row r="824" spans="7:7" ht="15.75" customHeight="1">
      <c r="G824" s="29"/>
    </row>
    <row r="825" spans="7:7" ht="15.75" customHeight="1">
      <c r="G825" s="29"/>
    </row>
    <row r="826" spans="7:7" ht="15.75" customHeight="1">
      <c r="G826" s="29"/>
    </row>
    <row r="827" spans="7:7" ht="15.75" customHeight="1">
      <c r="G827" s="29"/>
    </row>
    <row r="828" spans="7:7" ht="15.75" customHeight="1">
      <c r="G828" s="29"/>
    </row>
    <row r="829" spans="7:7" ht="15.75" customHeight="1">
      <c r="G829" s="29"/>
    </row>
    <row r="830" spans="7:7" ht="15.75" customHeight="1">
      <c r="G830" s="29"/>
    </row>
    <row r="831" spans="7:7" ht="15.75" customHeight="1">
      <c r="G831" s="29"/>
    </row>
    <row r="832" spans="7:7" ht="15.75" customHeight="1">
      <c r="G832" s="29"/>
    </row>
    <row r="833" spans="7:7" ht="15.75" customHeight="1">
      <c r="G833" s="29"/>
    </row>
    <row r="834" spans="7:7" ht="15.75" customHeight="1">
      <c r="G834" s="29"/>
    </row>
    <row r="835" spans="7:7" ht="15.75" customHeight="1">
      <c r="G835" s="29"/>
    </row>
    <row r="836" spans="7:7" ht="15.75" customHeight="1">
      <c r="G836" s="29"/>
    </row>
    <row r="837" spans="7:7" ht="15.75" customHeight="1">
      <c r="G837" s="29"/>
    </row>
    <row r="838" spans="7:7" ht="15.75" customHeight="1">
      <c r="G838" s="29"/>
    </row>
    <row r="839" spans="7:7" ht="15.75" customHeight="1">
      <c r="G839" s="29"/>
    </row>
    <row r="840" spans="7:7" ht="15.75" customHeight="1">
      <c r="G840" s="29"/>
    </row>
    <row r="841" spans="7:7" ht="15.75" customHeight="1">
      <c r="G841" s="29"/>
    </row>
    <row r="842" spans="7:7" ht="15.75" customHeight="1">
      <c r="G842" s="29"/>
    </row>
    <row r="843" spans="7:7" ht="15.75" customHeight="1">
      <c r="G843" s="29"/>
    </row>
    <row r="844" spans="7:7" ht="15.75" customHeight="1">
      <c r="G844" s="29"/>
    </row>
    <row r="845" spans="7:7" ht="15.75" customHeight="1">
      <c r="G845" s="29"/>
    </row>
    <row r="846" spans="7:7" ht="15.75" customHeight="1">
      <c r="G846" s="29"/>
    </row>
    <row r="847" spans="7:7" ht="15.75" customHeight="1">
      <c r="G847" s="29"/>
    </row>
    <row r="848" spans="7:7" ht="15.75" customHeight="1">
      <c r="G848" s="29"/>
    </row>
    <row r="849" spans="7:7" ht="15.75" customHeight="1">
      <c r="G849" s="29"/>
    </row>
    <row r="850" spans="7:7" ht="15.75" customHeight="1">
      <c r="G850" s="29"/>
    </row>
    <row r="851" spans="7:7" ht="15.75" customHeight="1">
      <c r="G851" s="29"/>
    </row>
    <row r="852" spans="7:7" ht="15.75" customHeight="1">
      <c r="G852" s="29"/>
    </row>
    <row r="853" spans="7:7" ht="15.75" customHeight="1">
      <c r="G853" s="29"/>
    </row>
    <row r="854" spans="7:7" ht="15.75" customHeight="1">
      <c r="G854" s="29"/>
    </row>
    <row r="855" spans="7:7" ht="15.75" customHeight="1">
      <c r="G855" s="29"/>
    </row>
    <row r="856" spans="7:7" ht="15.75" customHeight="1">
      <c r="G856" s="29"/>
    </row>
    <row r="857" spans="7:7" ht="15.75" customHeight="1">
      <c r="G857" s="29"/>
    </row>
    <row r="858" spans="7:7" ht="15.75" customHeight="1">
      <c r="G858" s="29"/>
    </row>
    <row r="859" spans="7:7" ht="15.75" customHeight="1">
      <c r="G859" s="29"/>
    </row>
    <row r="860" spans="7:7" ht="15.75" customHeight="1">
      <c r="G860" s="29"/>
    </row>
    <row r="861" spans="7:7" ht="15.75" customHeight="1">
      <c r="G861" s="29"/>
    </row>
    <row r="862" spans="7:7" ht="15.75" customHeight="1">
      <c r="G862" s="29"/>
    </row>
    <row r="863" spans="7:7" ht="15.75" customHeight="1">
      <c r="G863" s="29"/>
    </row>
    <row r="864" spans="7:7" ht="15.75" customHeight="1">
      <c r="G864" s="29"/>
    </row>
    <row r="865" spans="7:7" ht="15.75" customHeight="1">
      <c r="G865" s="29"/>
    </row>
    <row r="866" spans="7:7" ht="15.75" customHeight="1">
      <c r="G866" s="29"/>
    </row>
    <row r="867" spans="7:7" ht="15.75" customHeight="1">
      <c r="G867" s="29"/>
    </row>
    <row r="868" spans="7:7" ht="15.75" customHeight="1">
      <c r="G868" s="29"/>
    </row>
    <row r="869" spans="7:7" ht="15.75" customHeight="1">
      <c r="G869" s="29"/>
    </row>
    <row r="870" spans="7:7" ht="15.75" customHeight="1">
      <c r="G870" s="29"/>
    </row>
    <row r="871" spans="7:7" ht="15.75" customHeight="1">
      <c r="G871" s="29"/>
    </row>
    <row r="872" spans="7:7" ht="15.75" customHeight="1">
      <c r="G872" s="29"/>
    </row>
    <row r="873" spans="7:7" ht="15.75" customHeight="1">
      <c r="G873" s="29"/>
    </row>
    <row r="874" spans="7:7" ht="15.75" customHeight="1">
      <c r="G874" s="29"/>
    </row>
    <row r="875" spans="7:7" ht="15.75" customHeight="1">
      <c r="G875" s="29"/>
    </row>
    <row r="876" spans="7:7" ht="15.75" customHeight="1">
      <c r="G876" s="29"/>
    </row>
    <row r="877" spans="7:7" ht="15.75" customHeight="1">
      <c r="G877" s="29"/>
    </row>
    <row r="878" spans="7:7" ht="15.75" customHeight="1">
      <c r="G878" s="29"/>
    </row>
    <row r="879" spans="7:7" ht="15.75" customHeight="1">
      <c r="G879" s="29"/>
    </row>
    <row r="880" spans="7:7" ht="15.75" customHeight="1">
      <c r="G880" s="29"/>
    </row>
    <row r="881" spans="7:7" ht="15.75" customHeight="1">
      <c r="G881" s="29"/>
    </row>
    <row r="882" spans="7:7" ht="15.75" customHeight="1">
      <c r="G882" s="29"/>
    </row>
    <row r="883" spans="7:7" ht="15.75" customHeight="1">
      <c r="G883" s="29"/>
    </row>
    <row r="884" spans="7:7" ht="15.75" customHeight="1">
      <c r="G884" s="29"/>
    </row>
    <row r="885" spans="7:7" ht="15.75" customHeight="1">
      <c r="G885" s="29"/>
    </row>
    <row r="886" spans="7:7" ht="15.75" customHeight="1">
      <c r="G886" s="29"/>
    </row>
    <row r="887" spans="7:7" ht="15.75" customHeight="1">
      <c r="G887" s="29"/>
    </row>
    <row r="888" spans="7:7" ht="15.75" customHeight="1">
      <c r="G888" s="29"/>
    </row>
    <row r="889" spans="7:7" ht="15.75" customHeight="1">
      <c r="G889" s="29"/>
    </row>
    <row r="890" spans="7:7" ht="15.75" customHeight="1">
      <c r="G890" s="29"/>
    </row>
    <row r="891" spans="7:7" ht="15.75" customHeight="1">
      <c r="G891" s="29"/>
    </row>
    <row r="892" spans="7:7" ht="15.75" customHeight="1">
      <c r="G892" s="29"/>
    </row>
    <row r="893" spans="7:7" ht="15.75" customHeight="1">
      <c r="G893" s="29"/>
    </row>
    <row r="894" spans="7:7" ht="15.75" customHeight="1">
      <c r="G894" s="29"/>
    </row>
    <row r="895" spans="7:7" ht="15.75" customHeight="1">
      <c r="G895" s="29"/>
    </row>
    <row r="896" spans="7:7" ht="15.75" customHeight="1">
      <c r="G896" s="29"/>
    </row>
    <row r="897" spans="7:7" ht="15.75" customHeight="1">
      <c r="G897" s="29"/>
    </row>
    <row r="898" spans="7:7" ht="15.75" customHeight="1">
      <c r="G898" s="29"/>
    </row>
    <row r="899" spans="7:7" ht="15.75" customHeight="1">
      <c r="G899" s="29"/>
    </row>
    <row r="900" spans="7:7" ht="15.75" customHeight="1">
      <c r="G900" s="29"/>
    </row>
    <row r="901" spans="7:7" ht="15.75" customHeight="1">
      <c r="G901" s="29"/>
    </row>
    <row r="902" spans="7:7" ht="15.75" customHeight="1">
      <c r="G902" s="29"/>
    </row>
    <row r="903" spans="7:7" ht="15.75" customHeight="1">
      <c r="G903" s="29"/>
    </row>
    <row r="904" spans="7:7" ht="15.75" customHeight="1">
      <c r="G904" s="29"/>
    </row>
    <row r="905" spans="7:7" ht="15.75" customHeight="1">
      <c r="G905" s="29"/>
    </row>
    <row r="906" spans="7:7" ht="15.75" customHeight="1">
      <c r="G906" s="29"/>
    </row>
    <row r="907" spans="7:7" ht="15.75" customHeight="1">
      <c r="G907" s="29"/>
    </row>
    <row r="908" spans="7:7" ht="15.75" customHeight="1">
      <c r="G908" s="29"/>
    </row>
    <row r="909" spans="7:7" ht="15.75" customHeight="1">
      <c r="G909" s="29"/>
    </row>
    <row r="910" spans="7:7" ht="15.75" customHeight="1">
      <c r="G910" s="29"/>
    </row>
    <row r="911" spans="7:7" ht="15.75" customHeight="1">
      <c r="G911" s="29"/>
    </row>
    <row r="912" spans="7:7" ht="15.75" customHeight="1">
      <c r="G912" s="29"/>
    </row>
    <row r="913" spans="7:7" ht="15.75" customHeight="1">
      <c r="G913" s="29"/>
    </row>
    <row r="914" spans="7:7" ht="15.75" customHeight="1">
      <c r="G914" s="29"/>
    </row>
    <row r="915" spans="7:7" ht="15.75" customHeight="1">
      <c r="G915" s="29"/>
    </row>
    <row r="916" spans="7:7" ht="15.75" customHeight="1">
      <c r="G916" s="29"/>
    </row>
    <row r="917" spans="7:7" ht="15.75" customHeight="1">
      <c r="G917" s="29"/>
    </row>
    <row r="918" spans="7:7" ht="15.75" customHeight="1">
      <c r="G918" s="29"/>
    </row>
    <row r="919" spans="7:7" ht="15.75" customHeight="1">
      <c r="G919" s="29"/>
    </row>
    <row r="920" spans="7:7" ht="15.75" customHeight="1">
      <c r="G920" s="29"/>
    </row>
    <row r="921" spans="7:7" ht="15.75" customHeight="1">
      <c r="G921" s="29"/>
    </row>
    <row r="922" spans="7:7" ht="15.75" customHeight="1">
      <c r="G922" s="29"/>
    </row>
    <row r="923" spans="7:7" ht="15.75" customHeight="1">
      <c r="G923" s="29"/>
    </row>
    <row r="924" spans="7:7" ht="15.75" customHeight="1">
      <c r="G924" s="29"/>
    </row>
    <row r="925" spans="7:7" ht="15.75" customHeight="1">
      <c r="G925" s="29"/>
    </row>
    <row r="926" spans="7:7" ht="15.75" customHeight="1">
      <c r="G926" s="29"/>
    </row>
    <row r="927" spans="7:7" ht="15.75" customHeight="1">
      <c r="G927" s="29"/>
    </row>
    <row r="928" spans="7:7" ht="15.75" customHeight="1">
      <c r="G928" s="29"/>
    </row>
    <row r="929" spans="7:7" ht="15.75" customHeight="1">
      <c r="G929" s="29"/>
    </row>
    <row r="930" spans="7:7" ht="15.75" customHeight="1">
      <c r="G930" s="29"/>
    </row>
    <row r="931" spans="7:7" ht="15.75" customHeight="1">
      <c r="G931" s="29"/>
    </row>
    <row r="932" spans="7:7" ht="15.75" customHeight="1">
      <c r="G932" s="29"/>
    </row>
    <row r="933" spans="7:7" ht="15.75" customHeight="1">
      <c r="G933" s="29"/>
    </row>
    <row r="934" spans="7:7" ht="15.75" customHeight="1">
      <c r="G934" s="29"/>
    </row>
    <row r="935" spans="7:7" ht="15.75" customHeight="1">
      <c r="G935" s="29"/>
    </row>
    <row r="936" spans="7:7" ht="15.75" customHeight="1">
      <c r="G936" s="29"/>
    </row>
    <row r="937" spans="7:7" ht="15.75" customHeight="1">
      <c r="G937" s="29"/>
    </row>
    <row r="938" spans="7:7" ht="15.75" customHeight="1">
      <c r="G938" s="29"/>
    </row>
    <row r="939" spans="7:7" ht="15.75" customHeight="1">
      <c r="G939" s="29"/>
    </row>
    <row r="940" spans="7:7" ht="15.75" customHeight="1">
      <c r="G940" s="29"/>
    </row>
    <row r="941" spans="7:7" ht="15.75" customHeight="1">
      <c r="G941" s="29"/>
    </row>
    <row r="942" spans="7:7" ht="15.75" customHeight="1">
      <c r="G942" s="29"/>
    </row>
    <row r="943" spans="7:7" ht="15.75" customHeight="1">
      <c r="G943" s="29"/>
    </row>
    <row r="944" spans="7:7" ht="15.75" customHeight="1">
      <c r="G944" s="29"/>
    </row>
    <row r="945" spans="7:7" ht="15.75" customHeight="1">
      <c r="G945" s="29"/>
    </row>
    <row r="946" spans="7:7" ht="15.75" customHeight="1">
      <c r="G946" s="29"/>
    </row>
    <row r="947" spans="7:7" ht="15.75" customHeight="1">
      <c r="G947" s="29"/>
    </row>
    <row r="948" spans="7:7" ht="15.75" customHeight="1">
      <c r="G948" s="29"/>
    </row>
    <row r="949" spans="7:7" ht="15.75" customHeight="1">
      <c r="G949" s="29"/>
    </row>
    <row r="950" spans="7:7" ht="15.75" customHeight="1">
      <c r="G950" s="29"/>
    </row>
    <row r="951" spans="7:7" ht="15.75" customHeight="1">
      <c r="G951" s="29"/>
    </row>
    <row r="952" spans="7:7" ht="15.75" customHeight="1">
      <c r="G952" s="29"/>
    </row>
    <row r="953" spans="7:7" ht="15.75" customHeight="1">
      <c r="G953" s="29"/>
    </row>
    <row r="954" spans="7:7" ht="15.75" customHeight="1">
      <c r="G954" s="29"/>
    </row>
    <row r="955" spans="7:7" ht="15.75" customHeight="1">
      <c r="G955" s="29"/>
    </row>
    <row r="956" spans="7:7" ht="15.75" customHeight="1">
      <c r="G956" s="29"/>
    </row>
    <row r="957" spans="7:7" ht="15.75" customHeight="1">
      <c r="G957" s="29"/>
    </row>
    <row r="958" spans="7:7" ht="15.75" customHeight="1">
      <c r="G958" s="29"/>
    </row>
    <row r="959" spans="7:7" ht="15.75" customHeight="1">
      <c r="G959" s="29"/>
    </row>
    <row r="960" spans="7:7" ht="15.75" customHeight="1">
      <c r="G960" s="29"/>
    </row>
    <row r="961" spans="7:7" ht="15.75" customHeight="1">
      <c r="G961" s="29"/>
    </row>
    <row r="962" spans="7:7" ht="15.75" customHeight="1">
      <c r="G962" s="29"/>
    </row>
    <row r="963" spans="7:7" ht="15.75" customHeight="1">
      <c r="G963" s="29"/>
    </row>
    <row r="964" spans="7:7" ht="15.75" customHeight="1">
      <c r="G964" s="29"/>
    </row>
    <row r="965" spans="7:7" ht="15.75" customHeight="1">
      <c r="G965" s="29"/>
    </row>
    <row r="966" spans="7:7" ht="15.75" customHeight="1">
      <c r="G966" s="29"/>
    </row>
    <row r="967" spans="7:7" ht="15.75" customHeight="1">
      <c r="G967" s="29"/>
    </row>
    <row r="968" spans="7:7" ht="15.75" customHeight="1">
      <c r="G968" s="29"/>
    </row>
    <row r="969" spans="7:7" ht="15.75" customHeight="1">
      <c r="G969" s="29"/>
    </row>
    <row r="970" spans="7:7" ht="15.75" customHeight="1">
      <c r="G970" s="29"/>
    </row>
    <row r="971" spans="7:7" ht="15.75" customHeight="1">
      <c r="G971" s="29"/>
    </row>
    <row r="972" spans="7:7" ht="15.75" customHeight="1">
      <c r="G972" s="29"/>
    </row>
    <row r="973" spans="7:7" ht="15.75" customHeight="1">
      <c r="G973" s="29"/>
    </row>
    <row r="974" spans="7:7" ht="15.75" customHeight="1">
      <c r="G974" s="29"/>
    </row>
    <row r="975" spans="7:7" ht="15.75" customHeight="1">
      <c r="G975" s="29"/>
    </row>
    <row r="976" spans="7:7" ht="15.75" customHeight="1">
      <c r="G976" s="29"/>
    </row>
    <row r="977" spans="7:7" ht="15.75" customHeight="1">
      <c r="G977" s="29"/>
    </row>
    <row r="978" spans="7:7" ht="15.75" customHeight="1">
      <c r="G978" s="29"/>
    </row>
    <row r="979" spans="7:7" ht="15.75" customHeight="1">
      <c r="G979" s="29"/>
    </row>
    <row r="980" spans="7:7" ht="15.75" customHeight="1">
      <c r="G980" s="29"/>
    </row>
    <row r="981" spans="7:7" ht="15.75" customHeight="1">
      <c r="G981" s="29"/>
    </row>
    <row r="982" spans="7:7" ht="15.75" customHeight="1">
      <c r="G982" s="29"/>
    </row>
    <row r="983" spans="7:7" ht="15.75" customHeight="1">
      <c r="G983" s="29"/>
    </row>
    <row r="984" spans="7:7" ht="15.75" customHeight="1">
      <c r="G984" s="29"/>
    </row>
    <row r="985" spans="7:7" ht="15.75" customHeight="1">
      <c r="G985" s="29"/>
    </row>
    <row r="986" spans="7:7" ht="15.75" customHeight="1">
      <c r="G986" s="29"/>
    </row>
    <row r="987" spans="7:7" ht="15.75" customHeight="1">
      <c r="G987" s="29"/>
    </row>
    <row r="988" spans="7:7" ht="15.75" customHeight="1">
      <c r="G988" s="29"/>
    </row>
    <row r="989" spans="7:7" ht="15.75" customHeight="1">
      <c r="G989" s="29"/>
    </row>
    <row r="990" spans="7:7" ht="15.75" customHeight="1">
      <c r="G990" s="29"/>
    </row>
    <row r="991" spans="7:7" ht="15.75" customHeight="1">
      <c r="G991" s="29"/>
    </row>
    <row r="992" spans="7:7" ht="15.75" customHeight="1">
      <c r="G992" s="29"/>
    </row>
    <row r="993" spans="7:7" ht="15.75" customHeight="1">
      <c r="G993" s="29"/>
    </row>
    <row r="994" spans="7:7" ht="15.75" customHeight="1">
      <c r="G994" s="29"/>
    </row>
    <row r="995" spans="7:7" ht="15.75" customHeight="1">
      <c r="G995" s="29"/>
    </row>
    <row r="996" spans="7:7" ht="15.75" customHeight="1">
      <c r="G996" s="29"/>
    </row>
    <row r="997" spans="7:7" ht="15.75" customHeight="1">
      <c r="G997" s="29"/>
    </row>
    <row r="998" spans="7:7" ht="15.75" customHeight="1">
      <c r="G998" s="29"/>
    </row>
    <row r="999" spans="7:7" ht="15.75" customHeight="1">
      <c r="G999" s="29"/>
    </row>
    <row r="1000" spans="7:7" ht="15.75" customHeight="1">
      <c r="G1000" s="29"/>
    </row>
    <row r="1001" spans="7:7" ht="15.75" customHeight="1">
      <c r="G1001" s="29"/>
    </row>
    <row r="1002" spans="7:7" ht="15.75" customHeight="1">
      <c r="G1002" s="29"/>
    </row>
    <row r="1003" spans="7:7" ht="15.75" customHeight="1">
      <c r="G1003" s="29"/>
    </row>
    <row r="1004" spans="7:7" ht="15.75" customHeight="1">
      <c r="G1004" s="29"/>
    </row>
    <row r="1005" spans="7:7" ht="15.75" customHeight="1">
      <c r="G1005" s="29"/>
    </row>
    <row r="1006" spans="7:7" ht="15.75" customHeight="1">
      <c r="G1006" s="29"/>
    </row>
    <row r="1007" spans="7:7" ht="15.75" customHeight="1">
      <c r="G1007" s="29"/>
    </row>
    <row r="1008" spans="7:7" ht="15.75" customHeight="1">
      <c r="G1008" s="29"/>
    </row>
    <row r="1009" spans="7:7" ht="15.75" customHeight="1">
      <c r="G1009" s="29"/>
    </row>
    <row r="1010" spans="7:7" ht="15.75" customHeight="1">
      <c r="G1010" s="29"/>
    </row>
    <row r="1011" spans="7:7" ht="15.75" customHeight="1">
      <c r="G1011" s="29"/>
    </row>
    <row r="1012" spans="7:7" ht="15.75" customHeight="1">
      <c r="G1012" s="29"/>
    </row>
    <row r="1013" spans="7:7" ht="15.75" customHeight="1">
      <c r="G1013" s="29"/>
    </row>
    <row r="1014" spans="7:7" ht="15.75" customHeight="1">
      <c r="G1014" s="29"/>
    </row>
    <row r="1015" spans="7:7" ht="15.75" customHeight="1">
      <c r="G1015" s="29"/>
    </row>
    <row r="1016" spans="7:7" ht="15.75" customHeight="1">
      <c r="G1016" s="29"/>
    </row>
    <row r="1017" spans="7:7" ht="15.75" customHeight="1">
      <c r="G1017" s="29"/>
    </row>
    <row r="1018" spans="7:7" ht="15.75" customHeight="1">
      <c r="G1018" s="29"/>
    </row>
    <row r="1019" spans="7:7" ht="15.75" customHeight="1">
      <c r="G1019" s="29"/>
    </row>
    <row r="1020" spans="7:7" ht="15.75" customHeight="1">
      <c r="G1020" s="29"/>
    </row>
    <row r="1021" spans="7:7" ht="15.75" customHeight="1">
      <c r="G1021" s="29"/>
    </row>
    <row r="1022" spans="7:7" ht="15.75" customHeight="1">
      <c r="G1022" s="29"/>
    </row>
  </sheetData>
  <mergeCells count="59">
    <mergeCell ref="B51:C51"/>
    <mergeCell ref="B48:F48"/>
    <mergeCell ref="B49:C49"/>
    <mergeCell ref="B50:C50"/>
    <mergeCell ref="I52:J52"/>
    <mergeCell ref="B45:C45"/>
    <mergeCell ref="B46:C46"/>
    <mergeCell ref="B47:C47"/>
    <mergeCell ref="B40:F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1:C31"/>
    <mergeCell ref="B32:C32"/>
    <mergeCell ref="B33:C33"/>
    <mergeCell ref="B34:F34"/>
    <mergeCell ref="C56:G56"/>
    <mergeCell ref="C61:G61"/>
    <mergeCell ref="C62:G62"/>
    <mergeCell ref="B23:E23"/>
    <mergeCell ref="F23:G23"/>
    <mergeCell ref="B29:C29"/>
    <mergeCell ref="B52:C52"/>
    <mergeCell ref="A53:F53"/>
    <mergeCell ref="B54:C54"/>
    <mergeCell ref="C55:G55"/>
    <mergeCell ref="A25:A26"/>
    <mergeCell ref="B25:C26"/>
    <mergeCell ref="D25:F25"/>
    <mergeCell ref="B27:F27"/>
    <mergeCell ref="B28:C28"/>
    <mergeCell ref="B30:C30"/>
    <mergeCell ref="B20:E20"/>
    <mergeCell ref="F20:G20"/>
    <mergeCell ref="B21:E21"/>
    <mergeCell ref="F21:G21"/>
    <mergeCell ref="B22:E22"/>
    <mergeCell ref="F22:G22"/>
    <mergeCell ref="B11:G11"/>
    <mergeCell ref="B12:G12"/>
    <mergeCell ref="A18:G18"/>
    <mergeCell ref="F19:G19"/>
    <mergeCell ref="B19:E19"/>
    <mergeCell ref="B6:G6"/>
    <mergeCell ref="B7:G7"/>
    <mergeCell ref="B8:G8"/>
    <mergeCell ref="B9:G9"/>
    <mergeCell ref="B10:G10"/>
    <mergeCell ref="A1:E1"/>
    <mergeCell ref="F1:G1"/>
    <mergeCell ref="A2:G2"/>
    <mergeCell ref="B4:G4"/>
    <mergeCell ref="B5:G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(kode sub kegiatan)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prola</dc:creator>
  <cp:lastModifiedBy>nabila azzahra</cp:lastModifiedBy>
  <dcterms:created xsi:type="dcterms:W3CDTF">2022-02-03T05:54:32Z</dcterms:created>
  <dcterms:modified xsi:type="dcterms:W3CDTF">2026-02-23T08:28:54Z</dcterms:modified>
</cp:coreProperties>
</file>