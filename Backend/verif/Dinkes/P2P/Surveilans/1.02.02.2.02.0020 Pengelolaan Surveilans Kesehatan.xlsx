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02.02.2.02.0020 Pengelolaan S" sheetId="1" r:id="rId4"/>
  </sheets>
  <definedNames/>
  <calcPr/>
  <extLst>
    <ext uri="GoogleSheetsCustomDataVersion2">
      <go:sheetsCustomData xmlns:go="http://customooxmlschemas.google.com/" r:id="rId5" roundtripDataChecksum="LNj48p9eChvw6W6rwOeuVKGVcQXM0cCJMeX9WShSyLE="/>
    </ext>
  </extLst>
</workbook>
</file>

<file path=xl/sharedStrings.xml><?xml version="1.0" encoding="utf-8"?>
<sst xmlns="http://schemas.openxmlformats.org/spreadsheetml/2006/main" count="461" uniqueCount="329">
  <si>
    <t>RENCANA KERJA DAN ANGGARAN
SATUAN KERJA PERANGKAT DAERAH</t>
  </si>
  <si>
    <t>Formulir 
RKA-RINCIAN BELANJA
SKPD</t>
  </si>
  <si>
    <t>Pemerintah Kabupaten Bogor Tahun Anggaran 2027</t>
  </si>
  <si>
    <t>Urusan</t>
  </si>
  <si>
    <t>: 1.02 URUSAN PEMERINTAHAN WAJIB YANG BERKAITAN DENGAN PELAYANAN DASAR</t>
  </si>
  <si>
    <t>Unit Organisasi</t>
  </si>
  <si>
    <t>: 1.02.0.00.0.00.01.0000 DINAS KESEHATAN</t>
  </si>
  <si>
    <t>Sub Unit Organisasi</t>
  </si>
  <si>
    <t>:</t>
  </si>
  <si>
    <t>Program</t>
  </si>
  <si>
    <t>: 1.02.02 PROGRAM PEMENUHAN UPAYA KESEHATAN PERORANGAN DAN UPAYA KESEHATAN MASYARAKAT</t>
  </si>
  <si>
    <t>Kegiatan</t>
  </si>
  <si>
    <t>: 1.02.02.2.02 Penyediaan Layanan Kesehatan untuk UKM dan UKP Rujukan Tingkat Daerah Kabupaten/Kota</t>
  </si>
  <si>
    <t>Sub Kegiatan</t>
  </si>
  <si>
    <t>: 1.02.02.2.02.0020 Pengelolaan Surveilans Kesehatan</t>
  </si>
  <si>
    <t>Sumber Pendanaan</t>
  </si>
  <si>
    <t>Lokasi Kegiatan</t>
  </si>
  <si>
    <t>Waktu Pelaksanaan</t>
  </si>
  <si>
    <t>: Januari s.d. Desember</t>
  </si>
  <si>
    <t>Kelompok Sasaran</t>
  </si>
  <si>
    <t>Jumlah 2026</t>
  </si>
  <si>
    <t xml:space="preserve">: </t>
  </si>
  <si>
    <t>Jumlah 2027</t>
  </si>
  <si>
    <t>: 310.567.000</t>
  </si>
  <si>
    <t>Jumlah 2028</t>
  </si>
  <si>
    <t>Indikator dan Tolok Ukur Kinerja Belanja</t>
  </si>
  <si>
    <t>Indikator</t>
  </si>
  <si>
    <t>Tolak Ukur Kinerja</t>
  </si>
  <si>
    <t>Target Kinerja</t>
  </si>
  <si>
    <t>Capaian Program</t>
  </si>
  <si>
    <t>Masukan</t>
  </si>
  <si>
    <t>Keluaran</t>
  </si>
  <si>
    <t>Hasil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</si>
  <si>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</si>
  <si>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</si>
  <si>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</si>
  <si>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</si>
  <si>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</si>
  <si>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</si>
  <si>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</si>
  <si>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(Rp)</t>
  </si>
  <si>
    <t>5.1.02.01.001.000
24</t>
  </si>
  <si>
    <t>Belanja Alat/Bahan untuk Kegiatan Kantor-Alat Tulis Kantor</t>
  </si>
  <si>
    <r>
      <rPr>
        <rFont val="Arial"/>
        <b/>
        <color theme="1"/>
        <sz val="9.0"/>
      </rPr>
      <t>[ # ] Belanja Alat untuk Kegiatan Kantor-Alat Tulis  Kantor Sumber Dana : PENDAPATAN ASLI DAERAH (PAD)</t>
    </r>
  </si>
  <si>
    <r>
      <rPr>
        <rFont val="Arial"/>
        <b/>
        <color theme="1"/>
        <sz val="9.0"/>
      </rPr>
      <t>[ - ] ATK  Kegiatan Pelaksanaan Pengelolaan Surveilans Kesehatan</t>
    </r>
  </si>
  <si>
    <t>Odner
Spesifikasi : Bahan PVC, ukuran Folio, lebar</t>
  </si>
  <si>
    <t>pcs</t>
  </si>
  <si>
    <t>5.1.02.01.001.000
25</t>
  </si>
  <si>
    <t>Belanja Alat/Bahan untuk Kegiatan Kantor- Kertas dan Cover</t>
  </si>
  <si>
    <r>
      <rPr>
        <rFont val="Arial"/>
        <b/>
        <color theme="1"/>
        <sz val="9.0"/>
      </rPr>
      <t>[ # ] Belanja Alat/Bahan untuk Kegiatan Kantor- Kertas dan Cover Sumber Dana : PENDAPATAN ASLI DAERAH (PAD)</t>
    </r>
  </si>
  <si>
    <r>
      <rPr>
        <rFont val="Arial"/>
        <b/>
        <color theme="1"/>
        <sz val="9.0"/>
      </rPr>
      <t>[ - ] ATK  Kegiatan Pelaksanaan Pengelolaan Surveilans Kesehatan</t>
    </r>
  </si>
  <si>
    <r>
      <rPr>
        <rFont val="Arial MT"/>
        <color theme="1"/>
        <sz val="9.0"/>
      </rPr>
      <t xml:space="preserve">Kertas HVS
</t>
    </r>
    <r>
      <rPr>
        <rFont val="Arial MT"/>
        <color theme="1"/>
        <sz val="9.0"/>
      </rPr>
      <t>Spesifikasi : Ukuran A4 75 gram</t>
    </r>
  </si>
  <si>
    <t>rim</t>
  </si>
  <si>
    <r>
      <rPr>
        <rFont val="Arial MT"/>
        <color theme="1"/>
        <sz val="9.0"/>
      </rPr>
      <t xml:space="preserve">Kertas HVS
</t>
    </r>
    <r>
      <rPr>
        <rFont val="Arial MT"/>
        <color theme="1"/>
        <sz val="9.0"/>
      </rPr>
      <t>Spesifikasi : Ukuran F4 80 gram</t>
    </r>
  </si>
  <si>
    <t>5.1.02.01.001.000
29</t>
  </si>
  <si>
    <r>
      <rPr>
        <rFont val="Arial"/>
        <b/>
        <color theme="1"/>
        <sz val="9.0"/>
      </rPr>
      <t>Belanja Alat/Bahan untuk Kegiatan Kantor-Bahan Komputer</t>
    </r>
  </si>
  <si>
    <r>
      <rPr>
        <rFont val="Arial"/>
        <b/>
        <color theme="1"/>
        <sz val="9.0"/>
      </rPr>
      <t>[ # ] elanja Alat/Bahan untuk Kegiatan Kantor-Bahan Komputer Sumber Dana : PENDAPATAN ASLI DAERAH (PAD)</t>
    </r>
  </si>
  <si>
    <r>
      <rPr>
        <rFont val="Arial"/>
        <b/>
        <color theme="1"/>
        <sz val="9.0"/>
      </rPr>
      <t>[ - ] Tinta/Toner Kegiatan Pelaksanaan Pengelolaan Surveilans Kesehatan</t>
    </r>
  </si>
  <si>
    <t>Tinta Epson 003 Black</t>
  </si>
  <si>
    <t>botol</t>
  </si>
  <si>
    <t>Tinta Epson 003 Warna</t>
  </si>
  <si>
    <t>Tinta Epson 664 Black</t>
  </si>
  <si>
    <t>Tinta Epson 664 Warna</t>
  </si>
  <si>
    <t>5.1.02.01.001.000
52</t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</si>
  <si>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</si>
  <si>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theme="1"/>
        <sz val="9.0"/>
      </rPr>
      <t xml:space="preserve">[ # ] Belanja Makanan dan Minuman Rapat
</t>
    </r>
    <r>
      <rPr>
        <rFont val="Arial"/>
        <b/>
        <color theme="1"/>
        <sz val="9.0"/>
      </rPr>
      <t>Sumber Dana : PENDAPATAN ASLI DAERAH (PAD)</t>
    </r>
  </si>
  <si>
    <r>
      <rPr>
        <rFont val="Arial"/>
        <b/>
        <color theme="1"/>
        <sz val="9.0"/>
      </rPr>
      <t>[ - ] Pertemuan Petugas Kesehatan Haji dalam  rangka Penyelenggaraan/Persiapan Kesehatan Haji</t>
    </r>
  </si>
  <si>
    <t>[ - ] Pertemuan Petugas Program Surveilans</t>
  </si>
  <si>
    <r>
      <rPr>
        <rFont val="Arial MT"/>
        <color theme="1"/>
        <sz val="9.0"/>
      </rPr>
      <t xml:space="preserve">Makanan dan Minuman Rapat
</t>
    </r>
    <r>
      <rPr>
        <rFont val="Arial MT"/>
        <color theme="1"/>
        <sz val="9.0"/>
      </rPr>
      <t>Spesifikasi : Belanja konsumsi kegiatan rapat atau sejenisnya (m...</t>
    </r>
  </si>
  <si>
    <t>107 x 2</t>
  </si>
  <si>
    <t>orang kali</t>
  </si>
  <si>
    <r>
      <rPr>
        <rFont val="Arial MT"/>
        <color theme="1"/>
        <sz val="9.0"/>
      </rPr>
      <t xml:space="preserve">Makanan dan Minuman Rapat
</t>
    </r>
    <r>
      <rPr>
        <rFont val="Arial MT"/>
        <color theme="1"/>
        <sz val="9.0"/>
      </rPr>
      <t>Spesifikasi : Belanja konsumsi kegiatan rapat atau sejenisnya (s...</t>
    </r>
  </si>
  <si>
    <t xml:space="preserve">Pertemuan Petugas Kesehatan Haji dalam rangka Evaluasi Penyelenggaraan haji dan Persiapan penyelenggaraan haji </t>
  </si>
  <si>
    <t>Makanan dan Minuman Rapat
Spesifikasi : Belanja konsumsi kegiatan rapat atau sejenisnya (makan)</t>
  </si>
  <si>
    <t>100 orang x 2</t>
  </si>
  <si>
    <t>orang/kali</t>
  </si>
  <si>
    <t>Makanan dan Minuman Rapat
Spesifikasi : Belanja konsumsi kegiatan rapat atau sejenisnya (snack)</t>
  </si>
  <si>
    <r>
      <rPr>
        <rFont val="Arial"/>
        <b/>
        <color theme="1"/>
        <sz val="9.0"/>
      </rPr>
      <t>[ - ] Pertemuan Petugas Kontak Person  Rumah Sakit</t>
    </r>
  </si>
  <si>
    <r>
      <rPr>
        <rFont val="Arial MT"/>
        <color theme="1"/>
        <sz val="9.0"/>
      </rPr>
      <t xml:space="preserve">Makanan dan Minuman Rapat
</t>
    </r>
    <r>
      <rPr>
        <rFont val="Arial MT"/>
        <color theme="1"/>
        <sz val="9.0"/>
      </rPr>
      <t>Spesifikasi : Belanja konsumsi kegiatan rapat atau sejenisnya (m...</t>
    </r>
  </si>
  <si>
    <r>
      <rPr>
        <rFont val="Arial MT"/>
        <color theme="1"/>
        <sz val="9.0"/>
      </rPr>
      <t xml:space="preserve">Makanan dan Minuman Rapat
</t>
    </r>
    <r>
      <rPr>
        <rFont val="Arial MT"/>
        <color theme="1"/>
        <sz val="9.0"/>
      </rPr>
      <t>Spesifikasi : Belanja konsumsi kegiatan rapat atau sejenisnya (s...</t>
    </r>
  </si>
  <si>
    <r>
      <rPr>
        <rFont val="Arial"/>
        <b/>
        <color theme="1"/>
        <sz val="9.0"/>
      </rPr>
      <t>[ - ] Pertemuan Petugas Program Imunisasi dan Pengelola Farmasi Dalam Rangka Pengelolalaan Rantai Dingin Vaksin</t>
    </r>
  </si>
  <si>
    <r>
      <rPr>
        <rFont val="Arial MT"/>
        <color theme="1"/>
        <sz val="9.0"/>
      </rPr>
      <t xml:space="preserve">Makanan dan Minuman Rapat
</t>
    </r>
    <r>
      <rPr>
        <rFont val="Arial MT"/>
        <color theme="1"/>
        <sz val="9.0"/>
      </rPr>
      <t>Spesifikasi : Belanja konsumsi kegiatan rapat atau sejenisnya (m...</t>
    </r>
  </si>
  <si>
    <r>
      <rPr>
        <rFont val="Arial MT"/>
        <color theme="1"/>
        <sz val="9.0"/>
      </rPr>
      <t xml:space="preserve">Makanan dan Minuman Rapat
</t>
    </r>
    <r>
      <rPr>
        <rFont val="Arial MT"/>
        <color theme="1"/>
        <sz val="9.0"/>
      </rPr>
      <t>Spesifikasi : Belanja konsumsi kegiatan rapat atau sejenisnya (s...</t>
    </r>
  </si>
  <si>
    <t>5.1.02.02.001.000
26</t>
  </si>
  <si>
    <r>
      <rPr>
        <rFont val="Arial"/>
        <b/>
        <color theme="1"/>
        <sz val="9.0"/>
      </rPr>
      <t>Belanja Jasa Tenaga Administrasi</t>
    </r>
  </si>
  <si>
    <r>
      <rPr>
        <rFont val="Arial"/>
        <b/>
        <color theme="1"/>
        <sz val="9.0"/>
      </rPr>
      <t xml:space="preserve">[ # ] Belanja Jasa Tenaga Administrasi
</t>
    </r>
    <r>
      <rPr>
        <rFont val="Arial"/>
        <b/>
        <color theme="1"/>
        <sz val="9.0"/>
      </rPr>
      <t>Sumber Dana : PENDAPATAN ASLI DAERAH (PAD)</t>
    </r>
  </si>
  <si>
    <r>
      <rPr>
        <rFont val="Arial"/>
        <b/>
        <color theme="1"/>
        <sz val="9.0"/>
      </rPr>
      <t>[ - ] Tenaga Rekruitmen untuk Tenaga Teknis pendukung pelaksana kegiatan Tim Surveilan dan Imunisasi</t>
    </r>
  </si>
  <si>
    <t>Jasa Tenaga Rekruitmen
Spesifikasi : Tenaga Teknis pendukung pelaksana kegiatan - Pendidikan D3</t>
  </si>
  <si>
    <t>1x12</t>
  </si>
  <si>
    <t>orang</t>
  </si>
  <si>
    <t>5.1.02.02.001.00086</t>
  </si>
  <si>
    <t>Belanja jasa Pegawai Pemerintah dengan Perjanjian Kerja (PPPK) Paruh Waktu pada jabatan tenaga teknis</t>
  </si>
  <si>
    <r>
      <rPr>
        <rFont val="Arial"/>
        <b/>
        <color theme="1"/>
        <sz val="9.0"/>
      </rPr>
      <t>[ # ] Belanja jasa Pegawai Pemerintah dengan Perjanjian Kerja (PPPK) Paruh Waktu pada jabatan tenaga teknis Sumber Dana : PENDAPATAN ASLI DAERAH (PAD)</t>
    </r>
  </si>
  <si>
    <r>
      <rPr>
        <rFont val="Arial"/>
        <b/>
        <color theme="1"/>
        <sz val="9.0"/>
      </rPr>
      <t>[ - ] Belanja jasa Pegawai Pemerintah dengan Perjanjian Kerja (PPPK) Paruh Waktu pada jabatan tenaga teknis</t>
    </r>
  </si>
  <si>
    <r>
      <rPr>
        <rFont val="Arial MT"/>
        <color theme="1"/>
        <sz val="9.0"/>
      </rPr>
      <t xml:space="preserve">Pegawai Pemerintah dengan Perjanjian Kerja (PPPK) Paruh Waktu pada Jabatan Tenaga Teknis
</t>
    </r>
    <r>
      <rPr>
        <rFont val="Arial MT"/>
        <color theme="1"/>
        <sz val="9.0"/>
      </rPr>
      <t>Spesifikasi : Pendidikan S1</t>
    </r>
  </si>
  <si>
    <r>
      <rPr>
        <rFont val="Arial MT"/>
        <color theme="1"/>
        <sz val="9.0"/>
      </rPr>
      <t xml:space="preserve">Pegawai Pemerintah dengan Perjanjian Kerja (PPPK) Paruh Waktu pada Jabatan Tenaga Teknis
</t>
    </r>
    <r>
      <rPr>
        <rFont val="Arial MT"/>
        <color theme="1"/>
        <sz val="9.0"/>
      </rPr>
      <t>Spesifikasi : Pendidikan SMA</t>
    </r>
  </si>
  <si>
    <r>
      <rPr>
        <rFont val="Arial"/>
        <b/>
        <color theme="1"/>
        <sz val="9.0"/>
      </rPr>
      <t xml:space="preserve">5.1.02.02.002.000
</t>
    </r>
    <r>
      <rPr>
        <rFont val="Arial"/>
        <b/>
        <color theme="1"/>
        <sz val="9.0"/>
      </rPr>
      <t>05</t>
    </r>
  </si>
  <si>
    <r>
      <rPr>
        <rFont val="Arial"/>
        <b/>
        <color theme="1"/>
        <sz val="9.0"/>
      </rPr>
      <t>Belanja Iuran Jaminan Kesehatan bagi Non ASN</t>
    </r>
  </si>
  <si>
    <r>
      <rPr>
        <rFont val="Arial"/>
        <b/>
        <color theme="1"/>
        <sz val="9.0"/>
      </rPr>
      <t xml:space="preserve">[ # ] Iuran Jaminan Kesehatan bagi Non ASN
</t>
    </r>
    <r>
      <rPr>
        <rFont val="Arial"/>
        <b/>
        <color theme="1"/>
        <sz val="9.0"/>
      </rPr>
      <t>Sumber Dana : PENDAPATAN ASLI DAERAH (PAD)</t>
    </r>
  </si>
  <si>
    <r>
      <rPr>
        <rFont val="Arial"/>
        <b/>
        <color theme="1"/>
        <sz val="9.0"/>
      </rPr>
      <t>[ - ] Iuran  Jaminan Kesehatan bagi Non ASN  Tim Kerja Surveilans dan Imunisasi</t>
    </r>
  </si>
  <si>
    <r>
      <rPr>
        <rFont val="Arial MT"/>
        <color theme="1"/>
        <sz val="9.0"/>
      </rPr>
      <t xml:space="preserve">Iuran Jaminan Kesehatan bagi Non ASN Spesifikasi : Iuran Jaminan Kesehatan bagi
</t>
    </r>
    <r>
      <rPr>
        <rFont val="Arial MT"/>
        <color theme="1"/>
        <sz val="9.0"/>
      </rPr>
      <t>Non ASN</t>
    </r>
  </si>
  <si>
    <t>orang/bulan</t>
  </si>
  <si>
    <r>
      <rPr>
        <rFont val="Arial"/>
        <b/>
        <color theme="1"/>
        <sz val="9.0"/>
      </rPr>
      <t xml:space="preserve">5.1.02.02.002.000
</t>
    </r>
    <r>
      <rPr>
        <rFont val="Arial"/>
        <b/>
        <color theme="1"/>
        <sz val="9.0"/>
      </rPr>
      <t>06</t>
    </r>
  </si>
  <si>
    <r>
      <rPr>
        <rFont val="Arial"/>
        <b/>
        <color theme="1"/>
        <sz val="9.0"/>
      </rPr>
      <t>Belanja Iuran Jaminan Kecelakaan Kerja bagi Non ASN</t>
    </r>
  </si>
  <si>
    <r>
      <rPr>
        <rFont val="Arial"/>
        <b/>
        <color theme="1"/>
        <sz val="9.0"/>
      </rPr>
      <t>[ # ] Belanja Iuran Jaminan Kecelakaan Kerja bagi Non ASN Sumber Dana : PENDAPATAN ASLI DAERAH (PAD)</t>
    </r>
  </si>
  <si>
    <r>
      <rPr>
        <rFont val="Arial"/>
        <b/>
        <color theme="1"/>
        <sz val="9.0"/>
      </rPr>
      <t>[ - ] Iuran Jaminan Kecelakaan Kerja bagi Non ASN</t>
    </r>
  </si>
  <si>
    <r>
      <rPr>
        <rFont val="Arial MT"/>
        <color theme="1"/>
        <sz val="9.0"/>
      </rPr>
      <t xml:space="preserve">Iuran Jaminan Kecelakaan Kerja Non ASN Spesifikasi : Iuran Jaminan Kecelakaan Kerja
</t>
    </r>
    <r>
      <rPr>
        <rFont val="Arial MT"/>
        <color theme="1"/>
        <sz val="9.0"/>
      </rPr>
      <t>Non ASN</t>
    </r>
  </si>
  <si>
    <r>
      <rPr>
        <rFont val="Arial"/>
        <b/>
        <color theme="1"/>
        <sz val="9.0"/>
      </rPr>
      <t xml:space="preserve">5.1.02.02.002.000
</t>
    </r>
    <r>
      <rPr>
        <rFont val="Arial"/>
        <b/>
        <color theme="1"/>
        <sz val="9.0"/>
      </rPr>
      <t>07</t>
    </r>
  </si>
  <si>
    <r>
      <rPr>
        <rFont val="Arial"/>
        <b/>
        <color theme="1"/>
        <sz val="9.0"/>
      </rPr>
      <t>Belanja Iuran Jaminan Kematian bagi Non ASN</t>
    </r>
  </si>
  <si>
    <r>
      <rPr>
        <rFont val="Arial"/>
        <b/>
        <color theme="1"/>
        <sz val="9.0"/>
      </rPr>
      <t>[ # ] Belanja Iuran Jaminan Kematian bagi Non ASN Sumber Dana : PENDAPATAN ASLI DAERAH (PAD)</t>
    </r>
  </si>
  <si>
    <r>
      <rPr>
        <rFont val="Arial"/>
        <b/>
        <color theme="1"/>
        <sz val="9.0"/>
      </rPr>
      <t>[ - ]  Iuran Jaminan Kematian bagi Non ASN</t>
    </r>
  </si>
  <si>
    <r>
      <rPr>
        <rFont val="Arial MT"/>
        <color theme="1"/>
        <sz val="9.0"/>
      </rPr>
      <t xml:space="preserve">Iuran Jaminan Kematian Non ASN
</t>
    </r>
    <r>
      <rPr>
        <rFont val="Arial MT"/>
        <color theme="1"/>
        <sz val="9.0"/>
      </rPr>
      <t xml:space="preserve">Spesifikasi : Iuran Jaminan Kematian Non
</t>
    </r>
    <r>
      <rPr>
        <rFont val="Arial MT"/>
        <color theme="1"/>
        <sz val="9.0"/>
      </rPr>
      <t>ASN</t>
    </r>
  </si>
  <si>
    <r>
      <rPr>
        <rFont val="Arial"/>
        <b/>
        <color theme="1"/>
        <sz val="9.0"/>
      </rPr>
      <t xml:space="preserve">5.1.02.02.002.000
</t>
    </r>
    <r>
      <rPr>
        <rFont val="Arial"/>
        <b/>
        <color theme="1"/>
        <sz val="9.0"/>
      </rPr>
      <t>17</t>
    </r>
  </si>
  <si>
    <r>
      <rPr>
        <rFont val="Arial"/>
        <b/>
        <color theme="1"/>
        <sz val="9.0"/>
      </rPr>
      <t>Belanja Iuran Jaminan Kesehatan bagi PPPK Paruh Waktu pada Jabatan Tenaga Teknis</t>
    </r>
  </si>
  <si>
    <r>
      <rPr>
        <rFont val="Arial"/>
        <b/>
        <color theme="1"/>
        <sz val="9.0"/>
      </rPr>
      <t>[ # ] Belanja Iuran Jaminan Kesehatan bagi PPPK Paruh Waktu pada Jabatan Tenaga Teknis Sumber Dana : PENDAPATAN ASLI DAERAH (PAD)</t>
    </r>
  </si>
  <si>
    <r>
      <rPr>
        <rFont val="Arial"/>
        <b/>
        <color theme="1"/>
        <sz val="9.0"/>
      </rPr>
      <t>[ - ] Belanja Iuran Jaminan Kesehatan bagi PPPK Paruh Waktu pada Jabatan Tenaga Teknis</t>
    </r>
  </si>
  <si>
    <r>
      <rPr>
        <rFont val="Arial MT"/>
        <color theme="1"/>
        <sz val="9.0"/>
      </rPr>
      <t xml:space="preserve">Iuran Jaminan Kesehatan bagi PPPK Paruh Waktu
</t>
    </r>
    <r>
      <rPr>
        <rFont val="Arial MT"/>
        <color theme="1"/>
        <sz val="9.0"/>
      </rPr>
      <t>Spesifikasi : Iuran Jaminan Kesehatan bagi PPPK Paruh Waktu</t>
    </r>
  </si>
  <si>
    <t>2x12</t>
  </si>
  <si>
    <t>orang /bulan</t>
  </si>
  <si>
    <r>
      <rPr>
        <rFont val="Arial"/>
        <b/>
        <color theme="1"/>
        <sz val="9.0"/>
      </rPr>
      <t xml:space="preserve">5.1.02.02.002.000
</t>
    </r>
    <r>
      <rPr>
        <rFont val="Arial"/>
        <b/>
        <color theme="1"/>
        <sz val="9.0"/>
      </rPr>
      <t>25</t>
    </r>
  </si>
  <si>
    <r>
      <rPr>
        <rFont val="Arial"/>
        <b/>
        <color theme="1"/>
        <sz val="9.0"/>
      </rPr>
      <t>Belanja Iuran Jaminan Kecelakaan Kerja bagi PPPK Paruh Waktu pada Jabatan Tenaga Teknis</t>
    </r>
  </si>
  <si>
    <r>
      <rPr>
        <rFont val="Arial"/>
        <b/>
        <color theme="1"/>
        <sz val="9.0"/>
      </rPr>
      <t>[ # ] Belanja Iuran Jaminan Kecelakaan Kerja bagi PPPK Paruh Waktu pada Jabatan Tenaga Teknis Sumber Dana : PENDAPATAN ASLI DAERAH (PAD)</t>
    </r>
  </si>
  <si>
    <r>
      <rPr>
        <rFont val="Arial"/>
        <b/>
        <color theme="1"/>
        <sz val="9.0"/>
      </rPr>
      <t>[ - ] Belanja Iuran Jaminan Kecelakaan Kerja bagi PPPK Paruh Waktu pada Jabatan Tenaga Teknis</t>
    </r>
  </si>
  <si>
    <r>
      <rPr>
        <rFont val="Arial MT"/>
        <color theme="1"/>
        <sz val="9.0"/>
      </rPr>
      <t xml:space="preserve">Iuran Jaminan Kecelakaan bagi PPPK Paruh Waktu
</t>
    </r>
    <r>
      <rPr>
        <rFont val="Arial MT"/>
        <color theme="1"/>
        <sz val="9.0"/>
      </rPr>
      <t>Spesifikasi : Iuran Jaminan Kecelakaan bagi PPPK Paruh Waktu</t>
    </r>
  </si>
  <si>
    <r>
      <rPr>
        <rFont val="Arial"/>
        <b/>
        <color theme="1"/>
        <sz val="9.0"/>
      </rPr>
      <t xml:space="preserve">5.1.02.02.002.000
</t>
    </r>
    <r>
      <rPr>
        <rFont val="Arial"/>
        <b/>
        <color theme="1"/>
        <sz val="9.0"/>
      </rPr>
      <t>33</t>
    </r>
  </si>
  <si>
    <r>
      <rPr>
        <rFont val="Arial"/>
        <b/>
        <color theme="1"/>
        <sz val="9.0"/>
      </rPr>
      <t>Belanja Iuran Jaminan Kematian bagi PPPK Paruh Waktu pada Jabatan Tenaga Teknis</t>
    </r>
  </si>
  <si>
    <r>
      <rPr>
        <rFont val="Arial"/>
        <b/>
        <color theme="1"/>
        <sz val="9.0"/>
      </rPr>
      <t>[ # ] Belanja Iuran Jaminan Kematian bagi PPPK Paruh Waktu pada Jabatan Tenaga Teknis Sumber Dana : PENDAPATAN ASLI DAERAH (PAD)</t>
    </r>
  </si>
  <si>
    <r>
      <rPr>
        <rFont val="Arial"/>
        <b/>
        <color theme="1"/>
        <sz val="9.0"/>
      </rPr>
      <t>[ - ] Belanja Iuran Jaminan Kematian bagi PPPK Paruh Waktu pada Jabatan Tenaga Teknis</t>
    </r>
  </si>
  <si>
    <r>
      <rPr>
        <rFont val="Arial MT"/>
        <color theme="1"/>
        <sz val="9.0"/>
      </rPr>
      <t xml:space="preserve">Iuran Jaminan Kematian bagi PPPK Paruh Waktu
</t>
    </r>
    <r>
      <rPr>
        <rFont val="Arial MT"/>
        <color theme="1"/>
        <sz val="9.0"/>
      </rPr>
      <t>Spesifikasi : Iuran Jaminan Kematian bagi PPPK Paruh Waktu</t>
    </r>
  </si>
  <si>
    <r>
      <rPr>
        <rFont val="Arial"/>
        <b/>
        <color theme="1"/>
        <sz val="9.0"/>
      </rPr>
      <t xml:space="preserve">5.1.02.04.001.000
</t>
    </r>
    <r>
      <rPr>
        <rFont val="Arial"/>
        <b/>
        <color theme="1"/>
        <sz val="9.0"/>
      </rPr>
      <t>01</t>
    </r>
  </si>
  <si>
    <t>Belanja Perjalanan Dinas Biasa</t>
  </si>
  <si>
    <t xml:space="preserve">Pendampingan Kloter Jemaah Haji Ke Embarkasi (Keberangkatan) dan Debarkasi (Kepulangan) Jawa
Barat </t>
  </si>
  <si>
    <t>Biaya Transportasi Perjalanan Dinas Dalam Negeri Spesifikasi : dari Kabupaten Bogor ke Kota Bekasi (one way)</t>
  </si>
  <si>
    <t>20 kali</t>
  </si>
  <si>
    <t>Uang Harian Perjalanan Dinas Dalam Negeri
Spesifikasi : ke Jawa Barat (luar kota)</t>
  </si>
  <si>
    <t>4 orang x 20 kali</t>
  </si>
  <si>
    <t>Pengambilan Sarana program imunisasi/vaksin rutin/BIAS/Haji</t>
  </si>
  <si>
    <t>Biaya Transportasi Perjalanan Dinas Dalam Negeri Spesifikasi : dari Kabupaten Bogor ke Kota Bandung (one way) </t>
  </si>
  <si>
    <t>32 kali</t>
  </si>
  <si>
    <t>Uang Harian Perjalanan Dinas Dalam Negeri Spesifikasi : ke Jawa Barat (luar kota)</t>
  </si>
  <si>
    <t>2 orang x 32 kali</t>
  </si>
  <si>
    <t>5.1.02.04.001.000
03</t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</si>
  <si>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</si>
  <si>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theme="1"/>
        <sz val="9.0"/>
      </rPr>
      <t xml:space="preserve">[ # ] Perjalanan Dinas
</t>
    </r>
    <r>
      <rPr>
        <rFont val="Arial"/>
        <b/>
        <color theme="1"/>
        <sz val="9.0"/>
      </rPr>
      <t>Sumber Dana : PENDAPATAN ASLI DAERAH (PAD)</t>
    </r>
  </si>
  <si>
    <r>
      <rPr>
        <rFont val="Arial"/>
        <b/>
        <color theme="1"/>
        <sz val="9.0"/>
      </rPr>
      <t>[ - ] Investigasi Kejadian Luar Biasa (KLB) Kermak dan PD3I</t>
    </r>
  </si>
  <si>
    <r>
      <rPr>
        <rFont val="Arial MT"/>
        <color theme="1"/>
        <sz val="9.0"/>
      </rPr>
      <t xml:space="preserve">Uang Harian Perjalanan Dinas Dalam Daerah Spesifikasi : Perjalanan Dinas Dalam Daerah
</t>
    </r>
    <r>
      <rPr>
        <rFont val="Arial MT"/>
        <color theme="1"/>
        <sz val="9.0"/>
      </rPr>
      <t>Lebih dari 8 jam</t>
    </r>
  </si>
  <si>
    <t>3 x 27</t>
  </si>
  <si>
    <t>Orang kali</t>
  </si>
  <si>
    <r>
      <rPr>
        <rFont val="Arial MT"/>
        <color theme="1"/>
        <sz val="9.0"/>
      </rPr>
      <t>170.000,00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</si>
  <si>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Tenjo</t>
    </r>
  </si>
  <si>
    <t>kali</t>
  </si>
  <si>
    <r>
      <rPr>
        <rFont val="Arial MT"/>
        <color theme="1"/>
        <sz val="9.0"/>
      </rPr>
      <t>320.000,00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</si>
  <si>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Parungpanjang</t>
    </r>
  </si>
  <si>
    <r>
      <rPr>
        <rFont val="Arial MT"/>
        <color theme="1"/>
        <sz val="9.0"/>
      </rPr>
      <t>205.000,00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</si>
  <si>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Leuwiliang</t>
    </r>
  </si>
  <si>
    <r>
      <rPr>
        <rFont val="Arial MT"/>
        <color theme="1"/>
        <sz val="9.0"/>
      </rPr>
      <t>210.000,00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</si>
  <si>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Parung</t>
    </r>
  </si>
  <si>
    <r>
      <rPr>
        <rFont val="Arial MT"/>
        <color theme="1"/>
        <sz val="9.0"/>
      </rPr>
      <t>130.000,00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</si>
  <si>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Ciampea</t>
    </r>
  </si>
  <si>
    <r>
      <rPr>
        <rFont val="Arial MT"/>
        <color theme="1"/>
        <sz val="9.0"/>
      </rPr>
      <t>145.000,00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</si>
  <si>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Jonggol</t>
    </r>
  </si>
  <si>
    <r>
      <rPr>
        <rFont val="Arial MT"/>
        <color theme="1"/>
        <sz val="9.0"/>
      </rPr>
      <t>165.000,00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</si>
  <si>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Ciawi</t>
    </r>
  </si>
  <si>
    <r>
      <rPr>
        <rFont val="Arial MT"/>
        <color theme="1"/>
        <sz val="9.0"/>
      </rPr>
      <t>180.000,00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</si>
  <si>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Gunungputri</t>
    </r>
  </si>
  <si>
    <r>
      <rPr>
        <rFont val="Arial MT"/>
        <color theme="1"/>
        <sz val="9.0"/>
      </rPr>
      <t>135.000,00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</si>
  <si>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Sukamakmur</t>
    </r>
  </si>
  <si>
    <r>
      <rPr>
        <rFont val="Arial MT"/>
        <color theme="1"/>
        <sz val="9.0"/>
      </rPr>
      <t>175.000,00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</si>
  <si>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Cileungsi</t>
    </r>
  </si>
  <si>
    <r>
      <rPr>
        <rFont val="Arial MT"/>
        <color theme="1"/>
        <sz val="9.0"/>
      </rPr>
      <t>140.000,00</t>
    </r>
  </si>
  <si>
    <r>
      <rPr>
        <rFont val="Arial"/>
        <b/>
        <color theme="1"/>
        <sz val="9.0"/>
      </rPr>
      <t>[ - ] Penyelidikan Epidemiologi Penyakit Menular/PD3I/Keracunan Makanan</t>
    </r>
  </si>
  <si>
    <r>
      <rPr>
        <rFont val="Arial MT"/>
        <color theme="1"/>
        <sz val="9.0"/>
      </rPr>
      <t xml:space="preserve">Uang Harian Perjalanan Dinas Dalam Daerah Spesifikasi : Perjalanan Dinas Dalam Daerah
</t>
    </r>
    <r>
      <rPr>
        <rFont val="Arial MT"/>
        <color theme="1"/>
        <sz val="9.0"/>
      </rPr>
      <t>Lebih dari 8 jam</t>
    </r>
  </si>
  <si>
    <t>2 x 27</t>
  </si>
  <si>
    <r>
      <rPr>
        <rFont val="Arial MT"/>
        <color theme="1"/>
        <sz val="9.0"/>
      </rPr>
      <t>170.000,00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</si>
  <si>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Parungpanjang</t>
    </r>
  </si>
  <si>
    <r>
      <rPr>
        <rFont val="Arial MT"/>
        <color theme="1"/>
        <sz val="9.0"/>
      </rPr>
      <t>205.000,00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</si>
  <si>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Leuwiliang</t>
    </r>
  </si>
  <si>
    <r>
      <rPr>
        <rFont val="Arial MT"/>
        <color theme="1"/>
        <sz val="9.0"/>
      </rPr>
      <t>210.000,00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</si>
  <si>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Parung</t>
    </r>
  </si>
  <si>
    <r>
      <rPr>
        <rFont val="Arial MT"/>
        <color theme="1"/>
        <sz val="9.0"/>
      </rPr>
      <t>130.000,00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</si>
  <si>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Bojonggede</t>
    </r>
  </si>
  <si>
    <r>
      <rPr>
        <rFont val="Arial MT"/>
        <color theme="1"/>
        <sz val="9.0"/>
      </rPr>
      <t>90.000,00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</si>
  <si>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Gunungputri</t>
    </r>
  </si>
  <si>
    <r>
      <rPr>
        <rFont val="Arial MT"/>
        <color theme="1"/>
        <sz val="9.0"/>
      </rPr>
      <t>135.000,00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</si>
  <si>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Jonggol</t>
    </r>
  </si>
  <si>
    <r>
      <rPr>
        <rFont val="Arial MT"/>
        <color theme="1"/>
        <sz val="9.0"/>
      </rPr>
      <t>165.000,00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</si>
  <si>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Ciampea</t>
    </r>
  </si>
  <si>
    <r>
      <rPr>
        <rFont val="Arial MT"/>
        <color theme="1"/>
        <sz val="9.0"/>
      </rPr>
      <t>145.000,00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</si>
  <si>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Cileungsi</t>
    </r>
  </si>
  <si>
    <r>
      <rPr>
        <rFont val="Arial MT"/>
        <color theme="1"/>
        <sz val="9.0"/>
      </rPr>
      <t>140.000,00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</si>
  <si>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Citeureup</t>
    </r>
  </si>
  <si>
    <r>
      <rPr>
        <rFont val="Arial MT"/>
        <color theme="1"/>
        <sz val="9.0"/>
      </rPr>
      <t>95.000,00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</si>
  <si>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Sukaraja</t>
    </r>
  </si>
  <si>
    <r>
      <rPr>
        <rFont val="Arial MT"/>
        <color theme="1"/>
        <sz val="9.0"/>
      </rPr>
      <t>120.000,00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</si>
  <si>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Ciomas</t>
    </r>
  </si>
  <si>
    <r>
      <rPr>
        <rFont val="Arial MT"/>
        <color theme="1"/>
        <sz val="9.0"/>
      </rPr>
      <t>125.000,00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</si>
  <si>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Ciawi</t>
    </r>
  </si>
  <si>
    <r>
      <rPr>
        <rFont val="Arial MT"/>
        <color theme="1"/>
        <sz val="9.0"/>
      </rPr>
      <t>180.000,00</t>
    </r>
  </si>
  <si>
    <r>
      <rPr>
        <rFont val="Arial"/>
        <b/>
        <color theme="1"/>
        <sz val="9.0"/>
      </rPr>
      <t>[ - ] Surveilans Aktif Rumah Sakit (SARS)</t>
    </r>
  </si>
  <si>
    <r>
      <rPr>
        <rFont val="Arial MT"/>
        <color theme="1"/>
        <sz val="9.0"/>
      </rPr>
      <t xml:space="preserve">Uang Harian Perjalanan Dinas Dalam Daerah Spesifikasi : Perjalanan Dinas Dalam Daerah
</t>
    </r>
    <r>
      <rPr>
        <rFont val="Arial MT"/>
        <color theme="1"/>
        <sz val="9.0"/>
      </rPr>
      <t>Lebih dari 8 jam</t>
    </r>
  </si>
  <si>
    <t>3 x 16</t>
  </si>
  <si>
    <r>
      <rPr>
        <rFont val="Arial MT"/>
        <color theme="1"/>
        <sz val="9.0"/>
      </rPr>
      <t>170.000,00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</si>
  <si>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Ciawi</t>
    </r>
  </si>
  <si>
    <r>
      <rPr>
        <rFont val="Arial MT"/>
        <color theme="1"/>
        <sz val="9.0"/>
      </rPr>
      <t>180.000,00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</si>
  <si>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Kemang</t>
    </r>
  </si>
  <si>
    <r>
      <rPr>
        <rFont val="Arial MT"/>
        <color theme="1"/>
        <sz val="9.0"/>
      </rPr>
      <t>115.000,00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</si>
  <si>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Leuwiliang</t>
    </r>
  </si>
  <si>
    <r>
      <rPr>
        <rFont val="Arial MT"/>
        <color theme="1"/>
        <sz val="9.0"/>
      </rPr>
      <t>210.000,00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</si>
  <si>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Cileungsi</t>
    </r>
  </si>
  <si>
    <r>
      <rPr>
        <rFont val="Arial MT"/>
        <color theme="1"/>
        <sz val="9.0"/>
      </rPr>
      <t>140.000,00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</si>
  <si>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Dramaga</t>
    </r>
  </si>
  <si>
    <r>
      <rPr>
        <rFont val="Arial MT"/>
        <color theme="1"/>
        <sz val="9.0"/>
      </rPr>
      <t>140.000,00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</si>
  <si>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Jonggol</t>
    </r>
  </si>
  <si>
    <r>
      <rPr>
        <rFont val="Arial MT"/>
        <color theme="1"/>
        <sz val="9.0"/>
      </rPr>
      <t>165.000,00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</si>
  <si>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Cisarua</t>
    </r>
  </si>
  <si>
    <r>
      <rPr>
        <rFont val="Arial MT"/>
        <color theme="1"/>
        <sz val="9.0"/>
      </rPr>
      <t>185.000,00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</si>
  <si>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Bojonggede</t>
    </r>
  </si>
  <si>
    <r>
      <rPr>
        <rFont val="Arial MT"/>
        <color theme="1"/>
        <sz val="9.0"/>
      </rPr>
      <t>90.000,00</t>
    </r>
  </si>
  <si>
    <t xml:space="preserve">Pemantauan Pemeriksaan dan Pembinaan Kesehatan Haji </t>
  </si>
  <si>
    <t>Uang harian</t>
  </si>
  <si>
    <t>2 orang x 20</t>
  </si>
  <si>
    <t>Biaya transport perjalanan dinas antar kecamatan untuk Mobil
&lt;2000cc
Spesifikasi : dari Kecamatan Cibinong ke Kecamatan Nanggung</t>
  </si>
  <si>
    <t>1 kali</t>
  </si>
  <si>
    <t>orang/hari</t>
  </si>
  <si>
    <t>Biaya transport perjalanan dinas antar kecamatan untuk Mobil
&lt;2000cc
Spesifikasi : dari Kecamatan Cibinong ke Kecamatan Tenjo</t>
  </si>
  <si>
    <t>Biaya transport perjalanan dinas antar kecamatan untuk Mobil
&lt;2000cc
Spesifikasi : dari Kecamatan Cibinong ke Kecamatan Jasinga</t>
  </si>
  <si>
    <t>Biaya transport perjalanan dinas antar kecamatan untuk Mobil
&lt;2000cc
Spesifikasi : dari Kecamatan Cibinong ke Kecamatan Cigudeg</t>
  </si>
  <si>
    <t>Biaya transport perjalanan dinas antar kecamatan untuk Mobil
&lt;2000cc
Spesifikasi : dari Kecamatan Cibinong ke Kecamatan sukajaya</t>
  </si>
  <si>
    <t>Biaya transport perjalanan dinas antar kecamatan untuk Mobil
&lt;2000cc
Spesifikasi : dari Kecamatan Cibinong ke Kecamatancariu</t>
  </si>
  <si>
    <t>Biaya transport perjalanan dinas antar kecamatan untuk Mobil
&lt;2000cc
Spesifikasi : dari Kecamatan Cibinong ke Kecamatan jonggol</t>
  </si>
  <si>
    <t>Biaya transport perjalanan dinas antar kecamatan untuk Mobil
&lt;2000cc
Spesifikasi : dari Kecamatan Cibinong ke KecamatanSukamakmur</t>
  </si>
  <si>
    <t>Biaya transport perjalanan dinas antar kecamatan untuk Mobil
&lt;2000cc
Spesifikasi : dari Kecamatan Cibinong ke KecamatanParung</t>
  </si>
  <si>
    <t>Biaya transport perjalanan dinas antar kecamatan untuk Mobil
&lt;2000cc
Spesifikasi : dari Kecamatan Cibinong ke KecamatanCisaru</t>
  </si>
  <si>
    <t>Biaya transport perjalanan dinas antar kecamatan untuk Mobil
&lt;2000cc
Spesifikasi : dari Kecamatan Cibinong ke Kecamatan Megamendung</t>
  </si>
  <si>
    <t>Biaya transport perjalanan dinas antar kecamatan untuk Mobil
&lt;2000cc
Spesifikasi : dari Kecamatan Cibinong ke Kecamatan Ciawi</t>
  </si>
  <si>
    <t>Biaya transport perjalanan dinas antar kecamatan untuk Mobil
&lt;2000cc
Spesifikasi : dari Kecamatan Cibinong ke Kecamatan Gunung Putri</t>
  </si>
  <si>
    <t>Biaya transport perjalanan dinas antar kecamatan untuk Mobil
&lt;2000cc
Spesifikasi : dari Kecamatan Cibinong ke Kecamatanbojonggede</t>
  </si>
  <si>
    <t>Biaya transport perjalanan dinas antar kecamatan untuk Mobil
&lt;2000cc
Spesifikasi : dari Kecamatan Cibinong ke Kecamatan leuwisadeng</t>
  </si>
  <si>
    <t>Biaya transport perjalanan dinas antar kecamatan untuk Mobil
&lt;2000cc
Spesifikasi : dari Kecamatan Cibinong ke Kecamatanparung panjang</t>
  </si>
  <si>
    <t>Biaya transport perjalanan dinas antar kecamatan untuk Mobil
&lt;2000cc
Spesifikasi : dari Kecamatan Cibinong ke Kecamatan Tamansari</t>
  </si>
  <si>
    <t>Biaya transport perjalanan dinas antar kecamatan untuk Mobil
&lt;2000cc
Spesifikasi : dari Kecamatan Cibinong ke Kecamatan Pamijahan</t>
  </si>
  <si>
    <t>Biaya transport perjalanan dinas antar kecamatan untuk Mobil
&lt;2000cc
Spesifikasi : dari Kecamatan Cibinong ke Kecamatan Tenjolaya</t>
  </si>
  <si>
    <t>Biaya transport perjalanan dinas antar kecamatan untuk Mobil
&lt;2000cc
Spesifikasi : dari Kecamatan Cibinong ke Kecamatan Tanjungsari</t>
  </si>
  <si>
    <r>
      <rPr>
        <rFont val="Arial"/>
        <b/>
        <color theme="1"/>
        <sz val="9.0"/>
      </rPr>
      <t>[ - ] Pemantauan Pelaksanaan BIAS di Wilayah Puskesmas Kabupaten Bogor</t>
    </r>
  </si>
  <si>
    <r>
      <rPr>
        <rFont val="Arial MT"/>
        <color theme="1"/>
        <sz val="9.0"/>
      </rPr>
      <t xml:space="preserve">Uang Harian Perjalanan Dinas Dalam Daerah Spesifikasi : Perjalanan Dinas Dalam Daerah
</t>
    </r>
    <r>
      <rPr>
        <rFont val="Arial MT"/>
        <color theme="1"/>
        <sz val="9.0"/>
      </rPr>
      <t>Lebih dari 8 jam</t>
    </r>
  </si>
  <si>
    <t>2 x 20</t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</si>
  <si>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Sukajaya</t>
    </r>
  </si>
  <si>
    <r>
      <rPr>
        <rFont val="Arial MT"/>
        <color theme="1"/>
        <sz val="9.0"/>
      </rPr>
      <t>255.000,00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</si>
  <si>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Ciawi</t>
    </r>
  </si>
  <si>
    <r>
      <rPr>
        <rFont val="Arial MT"/>
        <color theme="1"/>
        <sz val="9.0"/>
      </rPr>
      <t>180.000,00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</si>
  <si>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Cisarua</t>
    </r>
  </si>
  <si>
    <r>
      <rPr>
        <rFont val="Arial MT"/>
        <color theme="1"/>
        <sz val="9.0"/>
      </rPr>
      <t>185.000,00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</si>
  <si>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Klapanunggal</t>
    </r>
  </si>
  <si>
    <r>
      <rPr>
        <rFont val="Arial MT"/>
        <color theme="1"/>
        <sz val="9.0"/>
      </rPr>
      <t>120.000,00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</si>
  <si>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Cijeruk</t>
    </r>
  </si>
  <si>
    <r>
      <rPr>
        <rFont val="Arial MT"/>
        <color theme="1"/>
        <sz val="9.0"/>
      </rPr>
      <t>160.000,00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</si>
  <si>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Cileungsi</t>
    </r>
  </si>
  <si>
    <r>
      <rPr>
        <rFont val="Arial MT"/>
        <color theme="1"/>
        <sz val="9.0"/>
      </rPr>
      <t>140.000,00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</si>
  <si>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Tanjungsari</t>
    </r>
  </si>
  <si>
    <r>
      <rPr>
        <rFont val="Arial MT"/>
        <color theme="1"/>
        <sz val="9.0"/>
      </rPr>
      <t>220.000,00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</si>
  <si>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Ciseeng</t>
    </r>
  </si>
  <si>
    <r>
      <rPr>
        <rFont val="Arial MT"/>
        <color theme="1"/>
        <sz val="9.0"/>
      </rPr>
      <t>140.000,00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</si>
  <si>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Rancabungur</t>
    </r>
  </si>
  <si>
    <r>
      <rPr>
        <rFont val="Arial MT"/>
        <color theme="1"/>
        <sz val="9.0"/>
      </rPr>
      <t>125.000,00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</si>
  <si>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Tamansari</t>
    </r>
  </si>
  <si>
    <r>
      <rPr>
        <rFont val="Arial MT"/>
        <color theme="1"/>
        <sz val="9.0"/>
      </rPr>
      <t>165.000,00</t>
    </r>
  </si>
  <si>
    <r>
      <rPr>
        <rFont val="Arial"/>
        <b/>
        <color theme="1"/>
        <sz val="9.0"/>
      </rPr>
      <t>[ - ] Supervisi Suportif program imunisasi di Puskesmas</t>
    </r>
  </si>
  <si>
    <r>
      <rPr>
        <rFont val="Arial MT"/>
        <color theme="1"/>
        <sz val="9.0"/>
      </rPr>
      <t xml:space="preserve">Uang Harian Perjalanan Dinas Dalam Daerah Spesifikasi : Perjalanan Dinas Dalam Daerah
</t>
    </r>
    <r>
      <rPr>
        <rFont val="Arial MT"/>
        <color theme="1"/>
        <sz val="9.0"/>
      </rPr>
      <t>Lebih dari 8 jam</t>
    </r>
  </si>
  <si>
    <t>2 x 18</t>
  </si>
  <si>
    <r>
      <rPr>
        <rFont val="Arial MT"/>
        <color theme="1"/>
        <sz val="9.0"/>
      </rPr>
      <t>170.000,00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</si>
  <si>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Ciampea</t>
    </r>
  </si>
  <si>
    <r>
      <rPr>
        <rFont val="Arial MT"/>
        <color theme="1"/>
        <sz val="9.0"/>
      </rPr>
      <t>145.000,00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</si>
  <si>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Pamijahan</t>
    </r>
  </si>
  <si>
    <r>
      <rPr>
        <rFont val="Arial MT"/>
        <color theme="1"/>
        <sz val="9.0"/>
      </rPr>
      <t>210.000,00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</si>
  <si>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Jasinga</t>
    </r>
  </si>
  <si>
    <r>
      <rPr>
        <rFont val="Arial MT"/>
        <color theme="1"/>
        <sz val="9.0"/>
      </rPr>
      <t>245.000,00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</si>
  <si>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Nanggung</t>
    </r>
  </si>
  <si>
    <r>
      <rPr>
        <rFont val="Arial MT"/>
        <color theme="1"/>
        <sz val="9.0"/>
      </rPr>
      <t>255.000,00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</si>
  <si>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Cileungsi</t>
    </r>
  </si>
  <si>
    <r>
      <rPr>
        <rFont val="Arial MT"/>
        <color theme="1"/>
        <sz val="9.0"/>
      </rPr>
      <t>140.000,00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</si>
  <si>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Cariu</t>
    </r>
  </si>
  <si>
    <r>
      <rPr>
        <rFont val="Arial MT"/>
        <color theme="1"/>
        <sz val="9.0"/>
      </rPr>
      <t>200.000,00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</si>
  <si>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Ciseeng</t>
    </r>
  </si>
  <si>
    <r>
      <rPr>
        <rFont val="Arial MT"/>
        <color theme="1"/>
        <sz val="9.0"/>
      </rPr>
      <t>140.000,00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</si>
  <si>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Rancabungur</t>
    </r>
  </si>
  <si>
    <r>
      <rPr>
        <rFont val="Arial MT"/>
        <color theme="1"/>
        <sz val="9.0"/>
      </rPr>
      <t>125.000,00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</si>
  <si>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Tamansari</t>
    </r>
  </si>
  <si>
    <r>
      <rPr>
        <rFont val="Arial MT"/>
        <color theme="1"/>
        <sz val="9.0"/>
      </rPr>
      <t>165.000,00</t>
    </r>
  </si>
  <si>
    <r>
      <rPr>
        <rFont val="Arial"/>
        <b/>
        <color theme="1"/>
        <sz val="9.0"/>
      </rPr>
      <t>[ - ] Survey Cepat Komunitas (SCK) Program Imunisasi pada Puskesmas Prioritas di Wilayah Kabupaten Bogor</t>
    </r>
  </si>
  <si>
    <r>
      <rPr>
        <rFont val="Arial MT"/>
        <color theme="1"/>
        <sz val="9.0"/>
      </rPr>
      <t xml:space="preserve">Uang Harian Perjalanan Dinas Dalam Daerah Spesifikasi : Perjalanan Dinas Dalam Daerah
</t>
    </r>
    <r>
      <rPr>
        <rFont val="Arial MT"/>
        <color theme="1"/>
        <sz val="9.0"/>
      </rPr>
      <t>Lebih dari 8 jam</t>
    </r>
  </si>
  <si>
    <t>2 x 22</t>
  </si>
  <si>
    <r>
      <rPr>
        <rFont val="Arial MT"/>
        <color theme="1"/>
        <sz val="9.0"/>
      </rPr>
      <t>170.000,00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</si>
  <si>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Sukajaya</t>
    </r>
  </si>
  <si>
    <r>
      <rPr>
        <rFont val="Arial MT"/>
        <color theme="1"/>
        <sz val="9.0"/>
      </rPr>
      <t>255.000,00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</si>
  <si>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Ciawi</t>
    </r>
  </si>
  <si>
    <r>
      <rPr>
        <rFont val="Arial MT"/>
        <color theme="1"/>
        <sz val="9.0"/>
      </rPr>
      <t>180.000,00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</si>
  <si>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Cisarua</t>
    </r>
  </si>
  <si>
    <r>
      <rPr>
        <rFont val="Arial MT"/>
        <color theme="1"/>
        <sz val="9.0"/>
      </rPr>
      <t>185.000,00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</si>
  <si>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Klapanunggal</t>
    </r>
  </si>
  <si>
    <r>
      <rPr>
        <rFont val="Arial MT"/>
        <color theme="1"/>
        <sz val="9.0"/>
      </rPr>
      <t>120.000,00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</si>
  <si>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Cijeruk</t>
    </r>
  </si>
  <si>
    <r>
      <rPr>
        <rFont val="Arial MT"/>
        <color theme="1"/>
        <sz val="9.0"/>
      </rPr>
      <t>160.000,00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</si>
  <si>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Cileungsi</t>
    </r>
  </si>
  <si>
    <r>
      <rPr>
        <rFont val="Arial MT"/>
        <color theme="1"/>
        <sz val="9.0"/>
      </rPr>
      <t>140.000,00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</si>
  <si>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Tanjungsari</t>
    </r>
  </si>
  <si>
    <r>
      <rPr>
        <rFont val="Arial MT"/>
        <color theme="1"/>
        <sz val="9.0"/>
      </rPr>
      <t>220.000,00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</si>
  <si>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Ciseeng</t>
    </r>
  </si>
  <si>
    <r>
      <rPr>
        <rFont val="Arial MT"/>
        <color theme="1"/>
        <sz val="9.0"/>
      </rPr>
      <t>140.000,00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</si>
  <si>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Rancabungur</t>
    </r>
  </si>
  <si>
    <r>
      <rPr>
        <rFont val="Arial MT"/>
        <color theme="1"/>
        <sz val="9.0"/>
      </rPr>
      <t>125.000,00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</si>
  <si>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Tamansari</t>
    </r>
  </si>
  <si>
    <r>
      <rPr>
        <rFont val="Arial MT"/>
        <color theme="1"/>
        <sz val="9.0"/>
      </rPr>
      <t>165.000,00</t>
    </r>
  </si>
  <si>
    <r>
      <rPr>
        <rFont val="Arial MT"/>
        <color theme="1"/>
        <sz val="9.0"/>
      </rPr>
      <t xml:space="preserve">Biaya transport perjalanan dinas antar kecamatan untuk Mobil &lt;2000cc
</t>
    </r>
    <r>
      <rPr>
        <rFont val="Arial MT"/>
        <color theme="1"/>
        <sz val="9.0"/>
      </rPr>
      <t>Spesifikasi : dari Kecamatan Cibinong ke Kecamatan Parungpanjang</t>
    </r>
  </si>
  <si>
    <r>
      <rPr>
        <rFont val="Arial MT"/>
        <color theme="1"/>
        <sz val="9.0"/>
      </rPr>
      <t>205.000,00</t>
    </r>
  </si>
  <si>
    <t>Jumlah Anggaran Sub Kegiatan</t>
  </si>
  <si>
    <t>Januari</t>
  </si>
  <si>
    <t>Kabupaten Bogor,                                2026</t>
  </si>
  <si>
    <t>Februari</t>
  </si>
  <si>
    <t>Kepala ...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</si>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</sst>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.00_-;\-* #,##0.00_-;_-* &quot;-&quot;??_-;_-@"/>
    <numFmt numFmtId="165" formatCode="_(* #,##0_);_(* \(#,##0\);_(* &quot;-&quot;??_);_(@_)"/>
    <numFmt numFmtId="166" formatCode="_(* #,##0_);_(* \(#,##0\);_(* &quot;-&quot;_);_(@_)"/>
    <numFmt numFmtId="167" formatCode="_-* #,##0_-;\-* #,##0_-;_-* &quot;-&quot;_-;_-@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b/>
      <sz val="11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9.0"/>
      <color rgb="FF000000"/>
      <name val="Arial"/>
    </font>
    <font>
      <b/>
      <sz val="12.0"/>
      <color theme="1"/>
      <name val="Calibri"/>
    </font>
    <font>
      <sz val="10.0"/>
      <color rgb="FF000000"/>
      <name val="Helvetica Neue"/>
    </font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9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1" numFmtId="0" xfId="0" applyFont="1"/>
    <xf borderId="0" fillId="0" fontId="4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9" fillId="0" fontId="3" numFmtId="0" xfId="0" applyBorder="1" applyFont="1"/>
    <xf borderId="10" fillId="0" fontId="3" numFmtId="0" xfId="0" applyAlignment="1" applyBorder="1" applyFont="1">
      <alignment horizontal="left"/>
    </xf>
    <xf borderId="10" fillId="0" fontId="3" numFmtId="165" xfId="0" applyAlignment="1" applyBorder="1" applyFont="1" applyNumberFormat="1">
      <alignment horizontal="left"/>
    </xf>
    <xf borderId="10" fillId="0" fontId="3" numFmtId="0" xfId="0" applyAlignment="1" applyBorder="1" applyFont="1">
      <alignment horizontal="right"/>
    </xf>
    <xf borderId="14" fillId="0" fontId="3" numFmtId="0" xfId="0" applyBorder="1" applyFont="1"/>
    <xf borderId="15" fillId="0" fontId="3" numFmtId="0" xfId="0" applyAlignment="1" applyBorder="1" applyFont="1">
      <alignment horizontal="left"/>
    </xf>
    <xf borderId="16" fillId="0" fontId="2" numFmtId="0" xfId="0" applyBorder="1" applyFont="1"/>
    <xf borderId="15" fillId="0" fontId="3" numFmtId="9" xfId="0" applyAlignment="1" applyBorder="1" applyFont="1" applyNumberFormat="1">
      <alignment horizontal="right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2" numFmtId="0" xfId="0" applyBorder="1" applyFont="1"/>
    <xf borderId="4" fillId="0" fontId="1" numFmtId="0" xfId="0" applyAlignment="1" applyBorder="1" applyFont="1">
      <alignment horizontal="center" vertical="center"/>
    </xf>
    <xf borderId="20" fillId="0" fontId="1" numFmtId="165" xfId="0" applyAlignment="1" applyBorder="1" applyFont="1" applyNumberForma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1" numFmtId="0" xfId="0" applyAlignment="1" applyBorder="1" applyFont="1">
      <alignment horizontal="center" vertical="center"/>
    </xf>
    <xf borderId="25" fillId="0" fontId="1" numFmtId="165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vertical="top"/>
    </xf>
    <xf borderId="10" fillId="0" fontId="1" numFmtId="0" xfId="0" applyAlignment="1" applyBorder="1" applyFont="1">
      <alignment horizontal="left" vertical="center"/>
    </xf>
    <xf borderId="10" fillId="0" fontId="5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horizontal="left" vertical="center"/>
    </xf>
    <xf borderId="11" fillId="0" fontId="3" numFmtId="0" xfId="0" applyBorder="1" applyFont="1"/>
    <xf borderId="12" fillId="0" fontId="3" numFmtId="0" xfId="0" applyBorder="1" applyFont="1"/>
    <xf borderId="10" fillId="0" fontId="5" numFmtId="0" xfId="0" applyAlignment="1" applyBorder="1" applyFont="1">
      <alignment readingOrder="0" shrinkToFit="0" vertical="top" wrapText="1"/>
    </xf>
    <xf borderId="10" fillId="0" fontId="3" numFmtId="0" xfId="0" applyAlignment="1" applyBorder="1" applyFont="1">
      <alignment vertical="top"/>
    </xf>
    <xf borderId="10" fillId="0" fontId="6" numFmtId="0" xfId="0" applyAlignment="1" applyBorder="1" applyFont="1">
      <alignment vertical="top"/>
    </xf>
    <xf borderId="10" fillId="0" fontId="3" numFmtId="0" xfId="0" applyAlignment="1" applyBorder="1" applyFont="1">
      <alignment shrinkToFit="0" vertical="top" wrapText="1"/>
    </xf>
    <xf borderId="10" fillId="0" fontId="5" numFmtId="0" xfId="0" applyAlignment="1" applyBorder="1" applyFont="1">
      <alignment vertical="top"/>
    </xf>
    <xf borderId="10" fillId="0" fontId="7" numFmtId="0" xfId="0" applyAlignment="1" applyBorder="1" applyFont="1">
      <alignment horizontal="left" shrinkToFit="0" vertical="top" wrapText="1"/>
    </xf>
    <xf borderId="24" fillId="0" fontId="7" numFmtId="0" xfId="0" applyAlignment="1" applyBorder="1" applyFont="1">
      <alignment vertical="top"/>
    </xf>
    <xf borderId="24" fillId="0" fontId="7" numFmtId="166" xfId="0" applyAlignment="1" applyBorder="1" applyFont="1" applyNumberFormat="1">
      <alignment vertical="top"/>
    </xf>
    <xf borderId="25" fillId="0" fontId="8" numFmtId="165" xfId="0" applyAlignment="1" applyBorder="1" applyFont="1" applyNumberFormat="1">
      <alignment vertical="top"/>
    </xf>
    <xf borderId="10" fillId="0" fontId="9" numFmtId="0" xfId="0" applyAlignment="1" applyBorder="1" applyFont="1">
      <alignment horizontal="left" shrinkToFit="0" vertical="top" wrapText="1"/>
    </xf>
    <xf borderId="24" fillId="0" fontId="9" numFmtId="0" xfId="0" applyAlignment="1" applyBorder="1" applyFont="1">
      <alignment horizontal="center" vertical="top"/>
    </xf>
    <xf borderId="24" fillId="0" fontId="9" numFmtId="0" xfId="0" applyAlignment="1" applyBorder="1" applyFont="1">
      <alignment vertical="top"/>
    </xf>
    <xf borderId="24" fillId="0" fontId="9" numFmtId="166" xfId="0" applyAlignment="1" applyBorder="1" applyFont="1" applyNumberFormat="1">
      <alignment vertical="top"/>
    </xf>
    <xf borderId="25" fillId="0" fontId="7" numFmtId="165" xfId="0" applyAlignment="1" applyBorder="1" applyFont="1" applyNumberFormat="1">
      <alignment vertical="top"/>
    </xf>
    <xf borderId="10" fillId="0" fontId="10" numFmtId="1" xfId="0" applyAlignment="1" applyBorder="1" applyFont="1" applyNumberFormat="1">
      <alignment shrinkToFit="1" vertical="center" wrapText="0"/>
    </xf>
    <xf borderId="10" fillId="0" fontId="5" numFmtId="0" xfId="0" applyAlignment="1" applyBorder="1" applyFont="1">
      <alignment horizontal="left" shrinkToFit="0" vertical="top" wrapText="1"/>
    </xf>
    <xf borderId="10" fillId="0" fontId="6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shrinkToFit="0" vertical="top" wrapText="1"/>
    </xf>
    <xf borderId="10" fillId="0" fontId="5" numFmtId="0" xfId="0" applyAlignment="1" applyBorder="1" applyFont="1">
      <alignment horizontal="left" vertical="top"/>
    </xf>
    <xf borderId="10" fillId="0" fontId="3" numFmtId="0" xfId="0" applyAlignment="1" applyBorder="1" applyFont="1">
      <alignment horizontal="left" shrinkToFit="0" vertical="top" wrapText="1"/>
    </xf>
    <xf borderId="10" fillId="0" fontId="3" numFmtId="0" xfId="0" applyAlignment="1" applyBorder="1" applyFont="1">
      <alignment horizontal="left" shrinkToFit="0" vertical="center" wrapText="1"/>
    </xf>
    <xf borderId="10" fillId="0" fontId="11" numFmtId="0" xfId="0" applyAlignment="1" applyBorder="1" applyFont="1">
      <alignment shrinkToFit="0" vertical="top" wrapText="1"/>
    </xf>
    <xf borderId="10" fillId="0" fontId="1" numFmtId="0" xfId="0" applyAlignment="1" applyBorder="1" applyFont="1">
      <alignment horizontal="left" shrinkToFit="0" vertical="top" wrapText="1"/>
    </xf>
    <xf borderId="24" fillId="0" fontId="1" numFmtId="0" xfId="0" applyAlignment="1" applyBorder="1" applyFont="1">
      <alignment horizontal="center" vertical="top"/>
    </xf>
    <xf borderId="24" fillId="0" fontId="1" numFmtId="0" xfId="0" applyAlignment="1" applyBorder="1" applyFont="1">
      <alignment vertical="top"/>
    </xf>
    <xf borderId="24" fillId="0" fontId="1" numFmtId="167" xfId="0" applyAlignment="1" applyBorder="1" applyFont="1" applyNumberFormat="1">
      <alignment vertical="top"/>
    </xf>
    <xf borderId="25" fillId="0" fontId="1" numFmtId="165" xfId="0" applyAlignment="1" applyBorder="1" applyFont="1" applyNumberFormat="1">
      <alignment vertical="top"/>
    </xf>
    <xf borderId="26" fillId="0" fontId="12" numFmtId="0" xfId="0" applyAlignment="1" applyBorder="1" applyFont="1">
      <alignment horizontal="left" shrinkToFit="0" vertical="center" wrapText="1"/>
    </xf>
    <xf borderId="27" fillId="0" fontId="2" numFmtId="0" xfId="0" applyBorder="1" applyFont="1"/>
    <xf borderId="22" fillId="0" fontId="12" numFmtId="0" xfId="0" applyAlignment="1" applyBorder="1" applyFont="1">
      <alignment horizontal="left" shrinkToFit="0" wrapText="1"/>
    </xf>
    <xf borderId="10" fillId="0" fontId="1" numFmtId="0" xfId="0" applyAlignment="1" applyBorder="1" applyFont="1">
      <alignment horizontal="left" shrinkToFit="0" vertical="center" wrapText="1"/>
    </xf>
    <xf borderId="26" fillId="0" fontId="12" numFmtId="0" xfId="0" applyAlignment="1" applyBorder="1" applyFont="1">
      <alignment horizontal="left" shrinkToFit="0" wrapText="1"/>
    </xf>
    <xf borderId="28" fillId="0" fontId="12" numFmtId="0" xfId="0" applyAlignment="1" applyBorder="1" applyFont="1">
      <alignment horizontal="left" shrinkToFit="0" vertical="center" wrapText="1"/>
    </xf>
    <xf borderId="29" fillId="0" fontId="2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10" fillId="0" fontId="10" numFmtId="1" xfId="0" applyAlignment="1" applyBorder="1" applyFont="1" applyNumberFormat="1">
      <alignment horizontal="center" shrinkToFit="1" vertical="center" wrapText="0"/>
    </xf>
    <xf borderId="11" fillId="0" fontId="3" numFmtId="0" xfId="0" applyAlignment="1" applyBorder="1" applyFont="1">
      <alignment horizontal="center"/>
    </xf>
    <xf borderId="10" fillId="0" fontId="6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horizontal="left" vertical="top"/>
    </xf>
    <xf borderId="24" fillId="0" fontId="7" numFmtId="0" xfId="0" applyAlignment="1" applyBorder="1" applyFont="1">
      <alignment horizontal="center" vertical="top"/>
    </xf>
    <xf borderId="10" fillId="0" fontId="10" numFmtId="1" xfId="0" applyAlignment="1" applyBorder="1" applyFont="1" applyNumberFormat="1">
      <alignment horizontal="left" shrinkToFit="1" vertical="center" wrapText="0"/>
    </xf>
    <xf borderId="9" fillId="0" fontId="3" numFmtId="0" xfId="0" applyAlignment="1" applyBorder="1" applyFont="1">
      <alignment vertical="top"/>
    </xf>
    <xf borderId="30" fillId="0" fontId="3" numFmtId="0" xfId="0" applyAlignment="1" applyBorder="1" applyFont="1">
      <alignment vertical="top"/>
    </xf>
    <xf borderId="31" fillId="0" fontId="3" numFmtId="0" xfId="0" applyAlignment="1" applyBorder="1" applyFont="1">
      <alignment shrinkToFit="0" vertical="top" wrapText="1"/>
    </xf>
    <xf borderId="31" fillId="0" fontId="10" numFmtId="1" xfId="0" applyAlignment="1" applyBorder="1" applyFont="1" applyNumberFormat="1">
      <alignment shrinkToFit="1" vertical="center" wrapText="0"/>
    </xf>
    <xf borderId="31" fillId="0" fontId="3" numFmtId="0" xfId="0" applyBorder="1" applyFont="1"/>
    <xf borderId="31" fillId="0" fontId="6" numFmtId="0" xfId="0" applyAlignment="1" applyBorder="1" applyFont="1">
      <alignment shrinkToFit="0" vertical="center" wrapText="1"/>
    </xf>
    <xf borderId="32" fillId="0" fontId="3" numFmtId="165" xfId="0" applyAlignment="1" applyBorder="1" applyFont="1" applyNumberFormat="1">
      <alignment vertical="top"/>
    </xf>
    <xf borderId="6" fillId="0" fontId="1" numFmtId="0" xfId="0" applyAlignment="1" applyBorder="1" applyFont="1">
      <alignment horizontal="right" vertical="top"/>
    </xf>
    <xf borderId="33" fillId="0" fontId="1" numFmtId="165" xfId="0" applyAlignment="1" applyBorder="1" applyFont="1" applyNumberFormat="1">
      <alignment horizontal="right" vertical="top"/>
    </xf>
    <xf borderId="0" fillId="0" fontId="3" numFmtId="0" xfId="0" applyAlignment="1" applyFont="1">
      <alignment horizontal="right"/>
    </xf>
    <xf borderId="0" fillId="0" fontId="3" numFmtId="3" xfId="0" applyAlignment="1" applyFont="1" applyNumberFormat="1">
      <alignment horizontal="right"/>
    </xf>
    <xf borderId="24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vertical="top"/>
    </xf>
    <xf borderId="25" fillId="0" fontId="3" numFmtId="165" xfId="0" applyAlignment="1" applyBorder="1" applyFont="1" applyNumberFormat="1">
      <alignment vertical="top"/>
    </xf>
    <xf borderId="25" fillId="0" fontId="3" numFmtId="165" xfId="0" applyBorder="1" applyFont="1" applyNumberFormat="1"/>
    <xf borderId="34" fillId="0" fontId="3" numFmtId="0" xfId="0" applyAlignment="1" applyBorder="1" applyFont="1">
      <alignment horizontal="center"/>
    </xf>
    <xf borderId="35" fillId="0" fontId="2" numFmtId="0" xfId="0" applyBorder="1" applyFont="1"/>
    <xf borderId="34" fillId="0" fontId="3" numFmtId="0" xfId="0" applyBorder="1" applyFont="1"/>
    <xf borderId="35" fillId="0" fontId="3" numFmtId="165" xfId="0" applyBorder="1" applyFont="1" applyNumberFormat="1"/>
    <xf borderId="34" fillId="0" fontId="1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33" fillId="0" fontId="3" numFmtId="165" xfId="0" applyBorder="1" applyFont="1" applyNumberFormat="1"/>
    <xf borderId="36" fillId="0" fontId="3" numFmtId="0" xfId="0" applyBorder="1" applyFont="1"/>
    <xf borderId="37" fillId="0" fontId="3" numFmtId="0" xfId="0" applyBorder="1" applyFont="1"/>
    <xf borderId="38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8.86"/>
    <col customWidth="1" min="3" max="3" width="33.57"/>
    <col customWidth="1" min="4" max="4" width="10.0"/>
    <col customWidth="1" min="5" max="5" width="9.43"/>
    <col customWidth="1" min="6" max="6" width="13.14"/>
    <col customWidth="1" min="7" max="7" width="14.57"/>
    <col customWidth="1" min="8" max="8" width="8.71"/>
    <col customWidth="1" min="9" max="9" width="13.71"/>
    <col customWidth="1" min="10" max="26" width="8.71"/>
  </cols>
  <sheetData>
    <row r="1" ht="44.25" customHeight="1">
      <c r="A1" s="1" t="s">
        <v>0</v>
      </c>
      <c r="B1" s="2"/>
      <c r="C1" s="2"/>
      <c r="D1" s="2"/>
      <c r="E1" s="3"/>
      <c r="F1" s="4" t="s">
        <v>1</v>
      </c>
      <c r="G1" s="5"/>
    </row>
    <row r="2">
      <c r="A2" s="6" t="s">
        <v>2</v>
      </c>
      <c r="B2" s="7"/>
      <c r="C2" s="7"/>
      <c r="D2" s="7"/>
      <c r="E2" s="7"/>
      <c r="F2" s="7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/>
      <c r="B3" s="10"/>
      <c r="C3" s="10"/>
      <c r="D3" s="10"/>
      <c r="E3" s="10"/>
      <c r="F3" s="10"/>
      <c r="G3" s="10"/>
    </row>
    <row r="4" ht="14.25" customHeight="1">
      <c r="A4" s="11" t="s">
        <v>3</v>
      </c>
      <c r="B4" s="11" t="s">
        <v>4</v>
      </c>
    </row>
    <row r="5" ht="14.25" customHeight="1">
      <c r="A5" s="11" t="s">
        <v>5</v>
      </c>
      <c r="B5" s="11" t="s">
        <v>6</v>
      </c>
    </row>
    <row r="6" ht="14.25" customHeight="1">
      <c r="A6" s="11" t="s">
        <v>7</v>
      </c>
      <c r="B6" s="11" t="s">
        <v>8</v>
      </c>
    </row>
    <row r="7" ht="14.25" customHeight="1">
      <c r="A7" s="11" t="s">
        <v>9</v>
      </c>
      <c r="B7" s="11" t="s">
        <v>10</v>
      </c>
    </row>
    <row r="8" ht="14.25" customHeight="1">
      <c r="A8" s="11" t="s">
        <v>11</v>
      </c>
      <c r="B8" s="11" t="s">
        <v>12</v>
      </c>
    </row>
    <row r="9" ht="14.25" customHeight="1">
      <c r="A9" s="11" t="s">
        <v>13</v>
      </c>
      <c r="B9" s="12" t="s">
        <v>14</v>
      </c>
    </row>
    <row r="10" ht="14.25" customHeight="1">
      <c r="A10" s="11" t="s">
        <v>15</v>
      </c>
      <c r="B10" s="11" t="s">
        <v>8</v>
      </c>
    </row>
    <row r="11" ht="14.25" customHeight="1">
      <c r="A11" s="11" t="s">
        <v>16</v>
      </c>
      <c r="B11" s="11" t="s">
        <v>8</v>
      </c>
    </row>
    <row r="12" ht="14.25" customHeight="1">
      <c r="A12" s="11" t="s">
        <v>17</v>
      </c>
      <c r="B12" s="11" t="s">
        <v>18</v>
      </c>
    </row>
    <row r="13" ht="14.25" customHeight="1">
      <c r="A13" s="11" t="s">
        <v>19</v>
      </c>
      <c r="B13" s="11" t="s">
        <v>8</v>
      </c>
    </row>
    <row r="14" ht="14.25" customHeight="1">
      <c r="A14" s="13" t="s">
        <v>20</v>
      </c>
      <c r="B14" s="11" t="s">
        <v>21</v>
      </c>
    </row>
    <row r="15" ht="14.25" customHeight="1">
      <c r="A15" s="13" t="s">
        <v>22</v>
      </c>
      <c r="B15" s="14" t="s">
        <v>23</v>
      </c>
      <c r="C15" s="15"/>
    </row>
    <row r="16" ht="14.25" customHeight="1">
      <c r="A16" s="13" t="s">
        <v>24</v>
      </c>
      <c r="B16" s="13" t="s">
        <v>8</v>
      </c>
      <c r="C16" s="14"/>
      <c r="D16" s="14"/>
    </row>
    <row r="17">
      <c r="C17" s="16"/>
      <c r="D17" s="16"/>
      <c r="E17" s="16"/>
      <c r="F17" s="16"/>
      <c r="G17" s="16"/>
    </row>
    <row r="18">
      <c r="A18" s="17" t="s">
        <v>25</v>
      </c>
      <c r="B18" s="2"/>
      <c r="C18" s="2"/>
      <c r="D18" s="2"/>
      <c r="E18" s="2"/>
      <c r="F18" s="2"/>
      <c r="G18" s="5"/>
    </row>
    <row r="19" ht="14.25" customHeight="1">
      <c r="A19" s="18" t="s">
        <v>26</v>
      </c>
      <c r="B19" s="19" t="s">
        <v>27</v>
      </c>
      <c r="C19" s="20"/>
      <c r="D19" s="20"/>
      <c r="E19" s="21"/>
      <c r="F19" s="19" t="s">
        <v>28</v>
      </c>
      <c r="G19" s="22"/>
    </row>
    <row r="20">
      <c r="A20" s="23" t="s">
        <v>29</v>
      </c>
      <c r="B20" s="24"/>
      <c r="C20" s="20"/>
      <c r="D20" s="20"/>
      <c r="E20" s="21"/>
      <c r="F20" s="24"/>
      <c r="G20" s="22"/>
    </row>
    <row r="21" ht="14.25" customHeight="1">
      <c r="A21" s="23" t="s">
        <v>30</v>
      </c>
      <c r="B21" s="24"/>
      <c r="C21" s="20"/>
      <c r="D21" s="20"/>
      <c r="E21" s="21"/>
      <c r="F21" s="25"/>
      <c r="G21" s="22"/>
    </row>
    <row r="22" ht="15.75" customHeight="1">
      <c r="A22" s="23" t="s">
        <v>31</v>
      </c>
      <c r="B22" s="24"/>
      <c r="C22" s="20"/>
      <c r="D22" s="20"/>
      <c r="E22" s="21"/>
      <c r="F22" s="26"/>
      <c r="G22" s="22"/>
    </row>
    <row r="23" ht="15.75" customHeight="1">
      <c r="A23" s="27" t="s">
        <v>32</v>
      </c>
      <c r="B23" s="28"/>
      <c r="C23" s="7"/>
      <c r="D23" s="7"/>
      <c r="E23" s="29"/>
      <c r="F23" s="30"/>
      <c r="G23" s="8"/>
    </row>
    <row r="24" ht="6.0" customHeight="1">
      <c r="B24" s="16"/>
      <c r="C24" s="16"/>
      <c r="D24" s="16"/>
      <c r="E24" s="16"/>
      <c r="F24" s="16"/>
      <c r="G24" s="16"/>
    </row>
    <row r="25" ht="14.25" customHeight="1">
      <c r="A25" s="31" t="s">
        <v>33</v>
      </c>
      <c r="B25" s="32" t="s">
        <v>34</v>
      </c>
      <c r="C25" s="33"/>
      <c r="D25" s="34" t="s">
        <v>35</v>
      </c>
      <c r="E25" s="2"/>
      <c r="F25" s="3"/>
      <c r="G25" s="35" t="s">
        <v>36</v>
      </c>
    </row>
    <row r="26" ht="15.75" customHeight="1">
      <c r="A26" s="36"/>
      <c r="B26" s="37"/>
      <c r="C26" s="38"/>
      <c r="D26" s="39" t="s">
        <v>37</v>
      </c>
      <c r="E26" s="39" t="s">
        <v>38</v>
      </c>
      <c r="F26" s="39" t="s">
        <v>39</v>
      </c>
      <c r="G26" s="40" t="s">
        <v>40</v>
      </c>
    </row>
    <row r="27" ht="15.75" customHeight="1">
      <c r="A27" s="41"/>
      <c r="B27" s="42"/>
      <c r="C27" s="20"/>
      <c r="D27" s="20"/>
      <c r="E27" s="20"/>
      <c r="F27" s="21"/>
      <c r="G27" s="40"/>
    </row>
    <row r="28" ht="15.75" customHeight="1">
      <c r="A28" s="41" t="s">
        <v>41</v>
      </c>
      <c r="B28" s="43" t="s">
        <v>42</v>
      </c>
      <c r="C28" s="20"/>
      <c r="D28" s="20"/>
      <c r="E28" s="20"/>
      <c r="F28" s="21"/>
      <c r="G28" s="40"/>
    </row>
    <row r="29" ht="24.75" customHeight="1">
      <c r="A29" s="41"/>
      <c r="B29" s="43" t="s">
        <v>43</v>
      </c>
      <c r="C29" s="20"/>
      <c r="D29" s="20"/>
      <c r="E29" s="20"/>
      <c r="F29" s="21"/>
      <c r="G29" s="40"/>
    </row>
    <row r="30" ht="15.75" customHeight="1">
      <c r="A30" s="41"/>
      <c r="B30" s="43" t="s">
        <v>44</v>
      </c>
      <c r="C30" s="20"/>
      <c r="D30" s="20"/>
      <c r="E30" s="20"/>
      <c r="F30" s="21"/>
      <c r="G30" s="40"/>
    </row>
    <row r="31" ht="26.25" customHeight="1">
      <c r="A31" s="41"/>
      <c r="B31" s="44" t="s">
        <v>45</v>
      </c>
      <c r="C31" s="45"/>
      <c r="D31" s="45">
        <v>30.0</v>
      </c>
      <c r="E31" s="45" t="s">
        <v>46</v>
      </c>
      <c r="F31" s="46">
        <v>65816.53</v>
      </c>
      <c r="G31" s="40">
        <f>D31*F31</f>
        <v>1974495.9</v>
      </c>
    </row>
    <row r="32" ht="15.75" customHeight="1">
      <c r="A32" s="41" t="s">
        <v>47</v>
      </c>
      <c r="B32" s="47" t="s">
        <v>48</v>
      </c>
      <c r="C32" s="20"/>
      <c r="D32" s="20"/>
      <c r="E32" s="20"/>
      <c r="F32" s="21"/>
      <c r="G32" s="40"/>
    </row>
    <row r="33" ht="23.25" customHeight="1">
      <c r="A33" s="41"/>
      <c r="B33" s="43" t="s">
        <v>49</v>
      </c>
      <c r="C33" s="20"/>
      <c r="D33" s="20"/>
      <c r="E33" s="20"/>
      <c r="F33" s="21"/>
      <c r="G33" s="40"/>
    </row>
    <row r="34" ht="15.75" customHeight="1">
      <c r="A34" s="41"/>
      <c r="B34" s="43" t="s">
        <v>50</v>
      </c>
      <c r="C34" s="20"/>
      <c r="D34" s="20"/>
      <c r="E34" s="20"/>
      <c r="F34" s="21"/>
      <c r="G34" s="40"/>
    </row>
    <row r="35" ht="15.75" customHeight="1">
      <c r="A35" s="41"/>
      <c r="B35" s="48" t="s">
        <v>51</v>
      </c>
      <c r="C35" s="45"/>
      <c r="D35" s="45">
        <v>80.0</v>
      </c>
      <c r="E35" s="45" t="s">
        <v>52</v>
      </c>
      <c r="F35" s="46">
        <v>65000.0</v>
      </c>
      <c r="G35" s="40">
        <f t="shared" ref="G35:G36" si="1">D35*F35</f>
        <v>5200000</v>
      </c>
    </row>
    <row r="36" ht="15.75" customHeight="1">
      <c r="A36" s="41"/>
      <c r="B36" s="48" t="s">
        <v>53</v>
      </c>
      <c r="C36" s="45"/>
      <c r="D36" s="45">
        <v>80.0</v>
      </c>
      <c r="E36" s="45" t="s">
        <v>52</v>
      </c>
      <c r="F36" s="46">
        <v>95000.0</v>
      </c>
      <c r="G36" s="40">
        <f t="shared" si="1"/>
        <v>7600000</v>
      </c>
    </row>
    <row r="37" ht="15.75" customHeight="1">
      <c r="A37" s="41" t="s">
        <v>54</v>
      </c>
      <c r="B37" s="43" t="s">
        <v>55</v>
      </c>
      <c r="C37" s="20"/>
      <c r="D37" s="20"/>
      <c r="E37" s="20"/>
      <c r="F37" s="21"/>
      <c r="G37" s="40"/>
    </row>
    <row r="38" ht="22.5" customHeight="1">
      <c r="A38" s="41"/>
      <c r="B38" s="43" t="s">
        <v>56</v>
      </c>
      <c r="C38" s="20"/>
      <c r="D38" s="20"/>
      <c r="E38" s="20"/>
      <c r="F38" s="21"/>
      <c r="G38" s="40"/>
    </row>
    <row r="39" ht="15.75" customHeight="1">
      <c r="A39" s="41"/>
      <c r="B39" s="43" t="s">
        <v>57</v>
      </c>
      <c r="C39" s="20"/>
      <c r="D39" s="20"/>
      <c r="E39" s="20"/>
      <c r="F39" s="21"/>
      <c r="G39" s="40"/>
    </row>
    <row r="40" ht="15.75" customHeight="1">
      <c r="A40" s="41"/>
      <c r="B40" s="49" t="s">
        <v>58</v>
      </c>
      <c r="C40" s="45"/>
      <c r="D40" s="45">
        <v>30.0</v>
      </c>
      <c r="E40" s="45" t="s">
        <v>59</v>
      </c>
      <c r="F40" s="46">
        <v>165000.0</v>
      </c>
      <c r="G40" s="40">
        <f t="shared" ref="G40:G43" si="2">D40*F40</f>
        <v>4950000</v>
      </c>
    </row>
    <row r="41" ht="15.75" customHeight="1">
      <c r="A41" s="41"/>
      <c r="B41" s="48" t="s">
        <v>60</v>
      </c>
      <c r="C41" s="45"/>
      <c r="D41" s="45">
        <v>20.0</v>
      </c>
      <c r="E41" s="45" t="s">
        <v>59</v>
      </c>
      <c r="F41" s="46">
        <v>165000.0</v>
      </c>
      <c r="G41" s="40">
        <f t="shared" si="2"/>
        <v>3300000</v>
      </c>
    </row>
    <row r="42" ht="15.75" customHeight="1">
      <c r="A42" s="41"/>
      <c r="B42" s="48" t="s">
        <v>61</v>
      </c>
      <c r="C42" s="45"/>
      <c r="D42" s="45">
        <v>33.0</v>
      </c>
      <c r="E42" s="45" t="s">
        <v>59</v>
      </c>
      <c r="F42" s="46">
        <v>165000.0</v>
      </c>
      <c r="G42" s="40">
        <f t="shared" si="2"/>
        <v>5445000</v>
      </c>
    </row>
    <row r="43" ht="15.75" customHeight="1">
      <c r="A43" s="41"/>
      <c r="B43" s="48" t="s">
        <v>62</v>
      </c>
      <c r="C43" s="45"/>
      <c r="D43" s="45">
        <v>20.0</v>
      </c>
      <c r="E43" s="45" t="s">
        <v>59</v>
      </c>
      <c r="F43" s="46">
        <v>165000.0</v>
      </c>
      <c r="G43" s="40">
        <f t="shared" si="2"/>
        <v>3300000</v>
      </c>
    </row>
    <row r="44" ht="15.75" customHeight="1">
      <c r="A44" s="41"/>
      <c r="B44" s="48"/>
      <c r="C44" s="45"/>
      <c r="D44" s="45"/>
      <c r="E44" s="45"/>
      <c r="F44" s="46"/>
      <c r="G44" s="40"/>
    </row>
    <row r="45" ht="15.75" customHeight="1">
      <c r="A45" s="41"/>
      <c r="B45" s="48"/>
      <c r="C45" s="45"/>
      <c r="D45" s="45"/>
      <c r="E45" s="45"/>
      <c r="F45" s="46"/>
      <c r="G45" s="40"/>
    </row>
    <row r="46" ht="15.75" customHeight="1">
      <c r="A46" s="41" t="s">
        <v>63</v>
      </c>
      <c r="B46" s="43" t="s">
        <v>64</v>
      </c>
      <c r="C46" s="20"/>
      <c r="D46" s="20"/>
      <c r="E46" s="20"/>
      <c r="F46" s="21"/>
      <c r="G46" s="40"/>
    </row>
    <row r="47" ht="24.0" customHeight="1">
      <c r="A47" s="41"/>
      <c r="B47" s="50" t="s">
        <v>65</v>
      </c>
      <c r="C47" s="20"/>
      <c r="D47" s="20"/>
      <c r="E47" s="20"/>
      <c r="F47" s="21"/>
      <c r="G47" s="40"/>
    </row>
    <row r="48" ht="15.75" customHeight="1">
      <c r="A48" s="41"/>
      <c r="B48" s="43" t="s">
        <v>66</v>
      </c>
      <c r="C48" s="20"/>
      <c r="D48" s="20"/>
      <c r="E48" s="20"/>
      <c r="F48" s="21"/>
      <c r="G48" s="40"/>
    </row>
    <row r="49" ht="15.75" customHeight="1">
      <c r="A49" s="41"/>
      <c r="B49" s="51" t="s">
        <v>67</v>
      </c>
      <c r="C49" s="45"/>
      <c r="D49" s="45"/>
      <c r="E49" s="45"/>
      <c r="F49" s="46"/>
      <c r="G49" s="40"/>
    </row>
    <row r="50" ht="29.25" customHeight="1">
      <c r="A50" s="41"/>
      <c r="B50" s="50" t="s">
        <v>68</v>
      </c>
      <c r="C50" s="20"/>
      <c r="D50" s="45" t="s">
        <v>69</v>
      </c>
      <c r="E50" s="45" t="s">
        <v>70</v>
      </c>
      <c r="F50" s="46">
        <v>33000.0</v>
      </c>
      <c r="G50" s="40">
        <f t="shared" ref="G50:G51" si="3">H50*F50</f>
        <v>7062000</v>
      </c>
      <c r="H50" s="13">
        <f t="shared" ref="H50:H51" si="4">107*2</f>
        <v>214</v>
      </c>
    </row>
    <row r="51" ht="30.0" customHeight="1">
      <c r="A51" s="41"/>
      <c r="B51" s="50" t="s">
        <v>71</v>
      </c>
      <c r="C51" s="20"/>
      <c r="D51" s="45" t="s">
        <v>69</v>
      </c>
      <c r="E51" s="45" t="s">
        <v>70</v>
      </c>
      <c r="F51" s="46">
        <v>16500.0</v>
      </c>
      <c r="G51" s="40">
        <f t="shared" si="3"/>
        <v>3531000</v>
      </c>
      <c r="H51" s="13">
        <f t="shared" si="4"/>
        <v>214</v>
      </c>
    </row>
    <row r="52" ht="30.0" customHeight="1">
      <c r="A52" s="41"/>
      <c r="B52" s="52" t="s">
        <v>72</v>
      </c>
      <c r="C52" s="21"/>
      <c r="D52" s="53"/>
      <c r="E52" s="53"/>
      <c r="F52" s="54"/>
      <c r="G52" s="55"/>
    </row>
    <row r="53" ht="30.0" customHeight="1">
      <c r="A53" s="41"/>
      <c r="B53" s="56" t="s">
        <v>73</v>
      </c>
      <c r="C53" s="21"/>
      <c r="D53" s="57" t="s">
        <v>74</v>
      </c>
      <c r="E53" s="58" t="s">
        <v>75</v>
      </c>
      <c r="F53" s="59">
        <v>33000.0</v>
      </c>
      <c r="G53" s="60">
        <f>SUM(100*2*33000)</f>
        <v>6600000</v>
      </c>
    </row>
    <row r="54" ht="30.0" customHeight="1">
      <c r="A54" s="41"/>
      <c r="B54" s="56" t="s">
        <v>76</v>
      </c>
      <c r="C54" s="21"/>
      <c r="D54" s="57" t="s">
        <v>74</v>
      </c>
      <c r="E54" s="58" t="s">
        <v>75</v>
      </c>
      <c r="F54" s="59">
        <v>16500.0</v>
      </c>
      <c r="G54" s="60">
        <f>SUM(100*2*16500)</f>
        <v>3300000</v>
      </c>
    </row>
    <row r="55" ht="30.0" customHeight="1">
      <c r="A55" s="41"/>
      <c r="B55" s="43" t="s">
        <v>77</v>
      </c>
      <c r="C55" s="20"/>
      <c r="D55" s="20"/>
      <c r="E55" s="20"/>
      <c r="F55" s="21"/>
      <c r="G55" s="40"/>
    </row>
    <row r="56" ht="34.5" customHeight="1">
      <c r="A56" s="41"/>
      <c r="B56" s="50" t="s">
        <v>78</v>
      </c>
      <c r="C56" s="20"/>
      <c r="D56" s="61">
        <v>67.0</v>
      </c>
      <c r="E56" s="45" t="s">
        <v>75</v>
      </c>
      <c r="F56" s="46">
        <v>33000.0</v>
      </c>
      <c r="G56" s="40">
        <f t="shared" ref="G56:G57" si="5">D56*F56</f>
        <v>2211000</v>
      </c>
    </row>
    <row r="57" ht="34.5" customHeight="1">
      <c r="A57" s="41"/>
      <c r="B57" s="50" t="s">
        <v>79</v>
      </c>
      <c r="C57" s="20"/>
      <c r="D57" s="61">
        <v>67.0</v>
      </c>
      <c r="E57" s="45" t="s">
        <v>75</v>
      </c>
      <c r="F57" s="46">
        <v>16500.0</v>
      </c>
      <c r="G57" s="40">
        <f t="shared" si="5"/>
        <v>1105500</v>
      </c>
    </row>
    <row r="58" ht="30.0" customHeight="1">
      <c r="A58" s="41"/>
      <c r="B58" s="62" t="s">
        <v>80</v>
      </c>
      <c r="C58" s="20"/>
      <c r="D58" s="20"/>
      <c r="E58" s="20"/>
      <c r="F58" s="21"/>
      <c r="G58" s="40"/>
    </row>
    <row r="59" ht="30.0" customHeight="1">
      <c r="A59" s="41"/>
      <c r="B59" s="50" t="s">
        <v>81</v>
      </c>
      <c r="C59" s="20"/>
      <c r="D59" s="45">
        <v>218.0</v>
      </c>
      <c r="E59" s="45" t="s">
        <v>75</v>
      </c>
      <c r="F59" s="46">
        <v>33000.0</v>
      </c>
      <c r="G59" s="40">
        <f t="shared" ref="G59:G60" si="6">D59*F59</f>
        <v>7194000</v>
      </c>
    </row>
    <row r="60" ht="30.0" customHeight="1">
      <c r="A60" s="41"/>
      <c r="B60" s="50" t="s">
        <v>82</v>
      </c>
      <c r="C60" s="20"/>
      <c r="D60" s="45">
        <v>218.0</v>
      </c>
      <c r="E60" s="45" t="s">
        <v>75</v>
      </c>
      <c r="F60" s="46">
        <v>16500.0</v>
      </c>
      <c r="G60" s="40">
        <f t="shared" si="6"/>
        <v>3597000</v>
      </c>
    </row>
    <row r="61" ht="30.0" customHeight="1">
      <c r="A61" s="41" t="s">
        <v>83</v>
      </c>
      <c r="B61" s="43" t="s">
        <v>84</v>
      </c>
      <c r="C61" s="20"/>
      <c r="D61" s="20"/>
      <c r="E61" s="20"/>
      <c r="F61" s="21"/>
      <c r="G61" s="40"/>
    </row>
    <row r="62" ht="30.0" customHeight="1">
      <c r="A62" s="41"/>
      <c r="B62" s="50" t="s">
        <v>85</v>
      </c>
      <c r="C62" s="20"/>
      <c r="D62" s="20"/>
      <c r="E62" s="20"/>
      <c r="F62" s="21"/>
      <c r="G62" s="40"/>
    </row>
    <row r="63" ht="30.0" customHeight="1">
      <c r="A63" s="41"/>
      <c r="B63" s="43" t="s">
        <v>86</v>
      </c>
      <c r="C63" s="20"/>
      <c r="D63" s="20"/>
      <c r="E63" s="20"/>
      <c r="F63" s="21"/>
      <c r="G63" s="40"/>
    </row>
    <row r="64" ht="42.75" customHeight="1">
      <c r="A64" s="41"/>
      <c r="B64" s="63" t="s">
        <v>87</v>
      </c>
      <c r="C64" s="20"/>
      <c r="D64" s="64" t="s">
        <v>88</v>
      </c>
      <c r="E64" s="64" t="s">
        <v>89</v>
      </c>
      <c r="F64" s="65">
        <v>2200000.0</v>
      </c>
      <c r="G64" s="40">
        <f>12*2200000</f>
        <v>26400000</v>
      </c>
    </row>
    <row r="65" ht="30.0" customHeight="1">
      <c r="A65" s="66" t="s">
        <v>90</v>
      </c>
      <c r="B65" s="62" t="s">
        <v>91</v>
      </c>
      <c r="C65" s="20"/>
      <c r="D65" s="20"/>
      <c r="E65" s="20"/>
      <c r="F65" s="21"/>
      <c r="G65" s="40"/>
    </row>
    <row r="66" ht="30.0" customHeight="1">
      <c r="A66" s="41"/>
      <c r="B66" s="62" t="s">
        <v>92</v>
      </c>
      <c r="C66" s="20"/>
      <c r="D66" s="20"/>
      <c r="E66" s="20"/>
      <c r="F66" s="21"/>
      <c r="G66" s="40"/>
    </row>
    <row r="67" ht="30.0" customHeight="1">
      <c r="A67" s="41"/>
      <c r="B67" s="62" t="s">
        <v>93</v>
      </c>
      <c r="C67" s="20"/>
      <c r="D67" s="20"/>
      <c r="E67" s="20"/>
      <c r="F67" s="21"/>
      <c r="G67" s="40"/>
    </row>
    <row r="68" ht="36.0" customHeight="1">
      <c r="A68" s="41"/>
      <c r="B68" s="50" t="s">
        <v>94</v>
      </c>
      <c r="C68" s="20"/>
      <c r="D68" s="64" t="s">
        <v>88</v>
      </c>
      <c r="E68" s="64" t="s">
        <v>89</v>
      </c>
      <c r="F68" s="46">
        <v>2500000.0</v>
      </c>
      <c r="G68" s="40">
        <f t="shared" ref="G68:G69" si="7">12*F68</f>
        <v>30000000</v>
      </c>
    </row>
    <row r="69" ht="36.0" customHeight="1">
      <c r="A69" s="41"/>
      <c r="B69" s="50" t="s">
        <v>95</v>
      </c>
      <c r="C69" s="20"/>
      <c r="D69" s="64" t="s">
        <v>88</v>
      </c>
      <c r="E69" s="64" t="s">
        <v>89</v>
      </c>
      <c r="F69" s="46">
        <v>1900000.0</v>
      </c>
      <c r="G69" s="40">
        <f t="shared" si="7"/>
        <v>22800000</v>
      </c>
    </row>
    <row r="70" ht="30.0" customHeight="1">
      <c r="A70" s="67" t="s">
        <v>96</v>
      </c>
      <c r="B70" s="62" t="s">
        <v>97</v>
      </c>
      <c r="C70" s="20"/>
      <c r="D70" s="20"/>
      <c r="E70" s="20"/>
      <c r="F70" s="21"/>
      <c r="G70" s="40"/>
    </row>
    <row r="71" ht="30.0" customHeight="1">
      <c r="A71" s="41"/>
      <c r="B71" s="67" t="s">
        <v>98</v>
      </c>
      <c r="C71" s="20"/>
      <c r="D71" s="20"/>
      <c r="E71" s="20"/>
      <c r="F71" s="21"/>
      <c r="G71" s="40"/>
    </row>
    <row r="72" ht="30.0" customHeight="1">
      <c r="A72" s="41"/>
      <c r="B72" s="62" t="s">
        <v>99</v>
      </c>
      <c r="C72" s="20"/>
      <c r="D72" s="20"/>
      <c r="E72" s="20"/>
      <c r="F72" s="21"/>
      <c r="G72" s="40"/>
    </row>
    <row r="73" ht="34.5" customHeight="1">
      <c r="A73" s="41"/>
      <c r="B73" s="50" t="s">
        <v>100</v>
      </c>
      <c r="C73" s="20"/>
      <c r="D73" s="64" t="s">
        <v>88</v>
      </c>
      <c r="E73" s="64" t="s">
        <v>101</v>
      </c>
      <c r="F73" s="46">
        <v>195089.0</v>
      </c>
      <c r="G73" s="40">
        <f>F73*12</f>
        <v>2341068</v>
      </c>
    </row>
    <row r="74" ht="30.0" customHeight="1">
      <c r="A74" s="67" t="s">
        <v>102</v>
      </c>
      <c r="B74" s="62" t="s">
        <v>103</v>
      </c>
      <c r="C74" s="20"/>
      <c r="D74" s="20"/>
      <c r="E74" s="20"/>
      <c r="F74" s="21"/>
      <c r="G74" s="40"/>
    </row>
    <row r="75" ht="30.0" customHeight="1">
      <c r="A75" s="41"/>
      <c r="B75" s="62" t="s">
        <v>104</v>
      </c>
      <c r="C75" s="20"/>
      <c r="D75" s="20"/>
      <c r="E75" s="20"/>
      <c r="F75" s="21"/>
      <c r="G75" s="40"/>
    </row>
    <row r="76" ht="30.0" customHeight="1">
      <c r="A76" s="41"/>
      <c r="B76" s="62" t="s">
        <v>105</v>
      </c>
      <c r="C76" s="20"/>
      <c r="D76" s="20"/>
      <c r="E76" s="20"/>
      <c r="F76" s="21"/>
      <c r="G76" s="40"/>
    </row>
    <row r="77" ht="36.75" customHeight="1">
      <c r="A77" s="41"/>
      <c r="B77" s="50" t="s">
        <v>106</v>
      </c>
      <c r="C77" s="20"/>
      <c r="D77" s="64" t="s">
        <v>88</v>
      </c>
      <c r="E77" s="64" t="s">
        <v>101</v>
      </c>
      <c r="F77" s="46">
        <v>4800.0</v>
      </c>
      <c r="G77" s="40">
        <f>12*F77</f>
        <v>57600</v>
      </c>
    </row>
    <row r="78" ht="30.0" customHeight="1">
      <c r="A78" s="67" t="s">
        <v>107</v>
      </c>
      <c r="B78" s="62" t="s">
        <v>108</v>
      </c>
      <c r="C78" s="20"/>
      <c r="D78" s="20"/>
      <c r="E78" s="20"/>
      <c r="F78" s="21"/>
      <c r="G78" s="40"/>
    </row>
    <row r="79" ht="30.0" customHeight="1">
      <c r="A79" s="41"/>
      <c r="B79" s="62" t="s">
        <v>109</v>
      </c>
      <c r="C79" s="20"/>
      <c r="D79" s="20"/>
      <c r="E79" s="20"/>
      <c r="F79" s="21"/>
      <c r="G79" s="40"/>
    </row>
    <row r="80" ht="30.0" customHeight="1">
      <c r="A80" s="41"/>
      <c r="B80" s="62" t="s">
        <v>110</v>
      </c>
      <c r="C80" s="20"/>
      <c r="D80" s="20"/>
      <c r="E80" s="20"/>
      <c r="F80" s="21"/>
      <c r="G80" s="40"/>
    </row>
    <row r="81" ht="30.0" customHeight="1">
      <c r="A81" s="41"/>
      <c r="B81" s="50" t="s">
        <v>111</v>
      </c>
      <c r="C81" s="20"/>
      <c r="D81" s="64" t="s">
        <v>88</v>
      </c>
      <c r="E81" s="64" t="s">
        <v>101</v>
      </c>
      <c r="F81" s="46">
        <v>6000.0</v>
      </c>
      <c r="G81" s="40">
        <f>12*F81</f>
        <v>72000</v>
      </c>
    </row>
    <row r="82" ht="30.0" customHeight="1">
      <c r="A82" s="67" t="s">
        <v>112</v>
      </c>
      <c r="B82" s="62" t="s">
        <v>113</v>
      </c>
      <c r="C82" s="20"/>
      <c r="D82" s="20"/>
      <c r="E82" s="20"/>
      <c r="F82" s="21"/>
      <c r="G82" s="40"/>
    </row>
    <row r="83" ht="30.0" customHeight="1">
      <c r="A83" s="68"/>
      <c r="B83" s="62" t="s">
        <v>114</v>
      </c>
      <c r="C83" s="20"/>
      <c r="D83" s="20"/>
      <c r="E83" s="20"/>
      <c r="F83" s="21"/>
      <c r="G83" s="40"/>
    </row>
    <row r="84" ht="30.0" customHeight="1">
      <c r="A84" s="68"/>
      <c r="B84" s="62" t="s">
        <v>115</v>
      </c>
      <c r="C84" s="20"/>
      <c r="D84" s="20"/>
      <c r="E84" s="20"/>
      <c r="F84" s="21"/>
      <c r="G84" s="40"/>
    </row>
    <row r="85" ht="30.0" customHeight="1">
      <c r="A85" s="67"/>
      <c r="B85" s="50" t="s">
        <v>116</v>
      </c>
      <c r="C85" s="20"/>
      <c r="D85" s="45" t="s">
        <v>117</v>
      </c>
      <c r="E85" s="45" t="s">
        <v>118</v>
      </c>
      <c r="F85" s="46">
        <v>195089.0</v>
      </c>
      <c r="G85" s="40">
        <f>24*F85</f>
        <v>4682136</v>
      </c>
    </row>
    <row r="86" ht="30.0" customHeight="1">
      <c r="A86" s="67" t="s">
        <v>119</v>
      </c>
      <c r="B86" s="62" t="s">
        <v>120</v>
      </c>
      <c r="C86" s="20"/>
      <c r="D86" s="20"/>
      <c r="E86" s="20"/>
      <c r="F86" s="21"/>
      <c r="G86" s="40"/>
    </row>
    <row r="87" ht="30.0" customHeight="1">
      <c r="A87" s="68"/>
      <c r="B87" s="62" t="s">
        <v>121</v>
      </c>
      <c r="C87" s="20"/>
      <c r="D87" s="20"/>
      <c r="E87" s="20"/>
      <c r="F87" s="21"/>
      <c r="G87" s="40"/>
    </row>
    <row r="88" ht="30.0" customHeight="1">
      <c r="A88" s="68"/>
      <c r="B88" s="62" t="s">
        <v>122</v>
      </c>
      <c r="C88" s="20"/>
      <c r="D88" s="20"/>
      <c r="E88" s="20"/>
      <c r="F88" s="21"/>
      <c r="G88" s="40"/>
    </row>
    <row r="89" ht="30.0" customHeight="1">
      <c r="A89" s="67"/>
      <c r="B89" s="50" t="s">
        <v>123</v>
      </c>
      <c r="C89" s="20"/>
      <c r="D89" s="45" t="s">
        <v>117</v>
      </c>
      <c r="E89" s="45" t="s">
        <v>118</v>
      </c>
      <c r="F89" s="46">
        <v>4800.0</v>
      </c>
      <c r="G89" s="40">
        <f>F89*24</f>
        <v>115200</v>
      </c>
    </row>
    <row r="90" ht="30.0" customHeight="1">
      <c r="A90" s="67" t="s">
        <v>124</v>
      </c>
      <c r="B90" s="62" t="s">
        <v>125</v>
      </c>
      <c r="C90" s="20"/>
      <c r="D90" s="20"/>
      <c r="E90" s="20"/>
      <c r="F90" s="21"/>
      <c r="G90" s="40"/>
    </row>
    <row r="91" ht="30.0" customHeight="1">
      <c r="A91" s="68"/>
      <c r="B91" s="62" t="s">
        <v>126</v>
      </c>
      <c r="C91" s="20"/>
      <c r="D91" s="20"/>
      <c r="E91" s="20"/>
      <c r="F91" s="21"/>
      <c r="G91" s="40"/>
    </row>
    <row r="92" ht="30.0" customHeight="1">
      <c r="A92" s="68"/>
      <c r="B92" s="62" t="s">
        <v>127</v>
      </c>
      <c r="C92" s="20"/>
      <c r="D92" s="20"/>
      <c r="E92" s="20"/>
      <c r="F92" s="21"/>
      <c r="G92" s="40"/>
    </row>
    <row r="93" ht="30.0" customHeight="1">
      <c r="A93" s="67"/>
      <c r="B93" s="50" t="s">
        <v>128</v>
      </c>
      <c r="C93" s="20"/>
      <c r="D93" s="45" t="s">
        <v>117</v>
      </c>
      <c r="E93" s="45" t="s">
        <v>118</v>
      </c>
      <c r="F93" s="46">
        <v>6000.0</v>
      </c>
      <c r="G93" s="40">
        <f>24*F93</f>
        <v>144000</v>
      </c>
    </row>
    <row r="94" ht="30.0" customHeight="1">
      <c r="A94" s="67" t="s">
        <v>129</v>
      </c>
      <c r="B94" s="69" t="s">
        <v>130</v>
      </c>
      <c r="C94" s="20"/>
      <c r="D94" s="20"/>
      <c r="E94" s="20"/>
      <c r="F94" s="21"/>
      <c r="G94" s="40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0.0" customHeight="1">
      <c r="A95" s="41"/>
      <c r="B95" s="70" t="s">
        <v>131</v>
      </c>
      <c r="C95" s="21"/>
      <c r="D95" s="71"/>
      <c r="E95" s="72"/>
      <c r="F95" s="73"/>
      <c r="G95" s="74"/>
    </row>
    <row r="96" ht="30.0" customHeight="1">
      <c r="A96" s="41"/>
      <c r="B96" s="75" t="s">
        <v>132</v>
      </c>
      <c r="C96" s="76"/>
      <c r="D96" s="71" t="s">
        <v>133</v>
      </c>
      <c r="E96" s="72"/>
      <c r="F96" s="73">
        <v>300000.0</v>
      </c>
      <c r="G96" s="74">
        <v>6000000.0</v>
      </c>
    </row>
    <row r="97" ht="30.0" customHeight="1">
      <c r="A97" s="41"/>
      <c r="B97" s="77" t="s">
        <v>134</v>
      </c>
      <c r="C97" s="38"/>
      <c r="D97" s="71" t="s">
        <v>135</v>
      </c>
      <c r="E97" s="72"/>
      <c r="F97" s="73">
        <v>430000.0</v>
      </c>
      <c r="G97" s="74">
        <v>3.44E7</v>
      </c>
    </row>
    <row r="98" ht="30.0" customHeight="1">
      <c r="A98" s="41"/>
      <c r="B98" s="78" t="s">
        <v>136</v>
      </c>
      <c r="C98" s="21"/>
      <c r="D98" s="71"/>
      <c r="E98" s="72"/>
      <c r="F98" s="73"/>
      <c r="G98" s="74"/>
    </row>
    <row r="99" ht="30.0" customHeight="1">
      <c r="A99" s="41"/>
      <c r="B99" s="79" t="s">
        <v>137</v>
      </c>
      <c r="C99" s="76"/>
      <c r="D99" s="71" t="s">
        <v>138</v>
      </c>
      <c r="E99" s="72"/>
      <c r="F99" s="73">
        <v>185000.0</v>
      </c>
      <c r="G99" s="74">
        <f>F99*32</f>
        <v>5920000</v>
      </c>
    </row>
    <row r="100" ht="30.0" customHeight="1">
      <c r="A100" s="41"/>
      <c r="B100" s="80" t="s">
        <v>139</v>
      </c>
      <c r="C100" s="81"/>
      <c r="D100" s="71" t="s">
        <v>140</v>
      </c>
      <c r="E100" s="72"/>
      <c r="F100" s="73">
        <v>430000.0</v>
      </c>
      <c r="G100" s="74">
        <f>F100*64</f>
        <v>27520000</v>
      </c>
    </row>
    <row r="101" ht="15.75" customHeight="1">
      <c r="A101" s="41" t="s">
        <v>141</v>
      </c>
      <c r="B101" s="62" t="s">
        <v>142</v>
      </c>
      <c r="C101" s="20"/>
      <c r="D101" s="20"/>
      <c r="E101" s="20"/>
      <c r="F101" s="21"/>
      <c r="G101" s="40"/>
    </row>
    <row r="102" ht="27.75" customHeight="1">
      <c r="A102" s="41"/>
      <c r="B102" s="67" t="s">
        <v>143</v>
      </c>
      <c r="C102" s="20"/>
      <c r="D102" s="20"/>
      <c r="E102" s="20"/>
      <c r="F102" s="21"/>
      <c r="G102" s="40"/>
    </row>
    <row r="103" ht="15.75" customHeight="1">
      <c r="A103" s="41"/>
      <c r="B103" s="62" t="s">
        <v>144</v>
      </c>
      <c r="C103" s="20"/>
      <c r="D103" s="20"/>
      <c r="E103" s="20"/>
      <c r="F103" s="21"/>
      <c r="G103" s="40"/>
    </row>
    <row r="104" ht="45.0" customHeight="1">
      <c r="A104" s="41"/>
      <c r="B104" s="67" t="s">
        <v>145</v>
      </c>
      <c r="C104" s="21"/>
      <c r="D104" s="82" t="s">
        <v>146</v>
      </c>
      <c r="E104" s="45" t="s">
        <v>147</v>
      </c>
      <c r="F104" s="83" t="s">
        <v>148</v>
      </c>
      <c r="G104" s="40" t="str">
        <f>H104*F104</f>
        <v>#VALUE!</v>
      </c>
      <c r="H104" s="13">
        <f>3*27</f>
        <v>81</v>
      </c>
    </row>
    <row r="105" ht="45.0" customHeight="1">
      <c r="A105" s="41"/>
      <c r="B105" s="67" t="s">
        <v>149</v>
      </c>
      <c r="C105" s="21"/>
      <c r="D105" s="84">
        <v>2.0</v>
      </c>
      <c r="E105" s="45" t="s">
        <v>150</v>
      </c>
      <c r="F105" s="83" t="s">
        <v>151</v>
      </c>
      <c r="G105" s="40" t="str">
        <f t="shared" ref="G105:G114" si="8">D105*F105</f>
        <v>#VALUE!</v>
      </c>
    </row>
    <row r="106" ht="45.0" customHeight="1">
      <c r="A106" s="41"/>
      <c r="B106" s="67" t="s">
        <v>152</v>
      </c>
      <c r="C106" s="21"/>
      <c r="D106" s="84">
        <v>3.0</v>
      </c>
      <c r="E106" s="45" t="s">
        <v>150</v>
      </c>
      <c r="F106" s="83" t="s">
        <v>153</v>
      </c>
      <c r="G106" s="40" t="str">
        <f t="shared" si="8"/>
        <v>#VALUE!</v>
      </c>
    </row>
    <row r="107" ht="45.0" customHeight="1">
      <c r="A107" s="41"/>
      <c r="B107" s="67" t="s">
        <v>154</v>
      </c>
      <c r="C107" s="21"/>
      <c r="D107" s="84">
        <v>2.0</v>
      </c>
      <c r="E107" s="45" t="s">
        <v>150</v>
      </c>
      <c r="F107" s="83" t="s">
        <v>155</v>
      </c>
      <c r="G107" s="40" t="str">
        <f t="shared" si="8"/>
        <v>#VALUE!</v>
      </c>
    </row>
    <row r="108" ht="45.0" customHeight="1">
      <c r="A108" s="41"/>
      <c r="B108" s="67" t="s">
        <v>156</v>
      </c>
      <c r="C108" s="21"/>
      <c r="D108" s="84">
        <v>2.0</v>
      </c>
      <c r="E108" s="45" t="s">
        <v>150</v>
      </c>
      <c r="F108" s="83" t="s">
        <v>157</v>
      </c>
      <c r="G108" s="40" t="str">
        <f t="shared" si="8"/>
        <v>#VALUE!</v>
      </c>
    </row>
    <row r="109" ht="45.0" customHeight="1">
      <c r="A109" s="41"/>
      <c r="B109" s="67" t="s">
        <v>158</v>
      </c>
      <c r="C109" s="21"/>
      <c r="D109" s="84">
        <v>4.0</v>
      </c>
      <c r="E109" s="45" t="s">
        <v>150</v>
      </c>
      <c r="F109" s="83" t="s">
        <v>159</v>
      </c>
      <c r="G109" s="40" t="str">
        <f t="shared" si="8"/>
        <v>#VALUE!</v>
      </c>
    </row>
    <row r="110" ht="45.0" customHeight="1">
      <c r="A110" s="41"/>
      <c r="B110" s="67" t="s">
        <v>160</v>
      </c>
      <c r="C110" s="21"/>
      <c r="D110" s="84">
        <v>4.0</v>
      </c>
      <c r="E110" s="45" t="s">
        <v>150</v>
      </c>
      <c r="F110" s="83" t="s">
        <v>161</v>
      </c>
      <c r="G110" s="40" t="str">
        <f t="shared" si="8"/>
        <v>#VALUE!</v>
      </c>
    </row>
    <row r="111" ht="45.0" customHeight="1">
      <c r="A111" s="41"/>
      <c r="B111" s="67" t="s">
        <v>162</v>
      </c>
      <c r="C111" s="21"/>
      <c r="D111" s="84">
        <v>2.0</v>
      </c>
      <c r="E111" s="45" t="s">
        <v>150</v>
      </c>
      <c r="F111" s="83" t="s">
        <v>163</v>
      </c>
      <c r="G111" s="40" t="str">
        <f t="shared" si="8"/>
        <v>#VALUE!</v>
      </c>
    </row>
    <row r="112" ht="45.0" customHeight="1">
      <c r="A112" s="41"/>
      <c r="B112" s="67" t="s">
        <v>164</v>
      </c>
      <c r="C112" s="20"/>
      <c r="D112" s="85">
        <v>3.0</v>
      </c>
      <c r="E112" s="45" t="s">
        <v>150</v>
      </c>
      <c r="F112" s="83" t="s">
        <v>165</v>
      </c>
      <c r="G112" s="40" t="str">
        <f t="shared" si="8"/>
        <v>#VALUE!</v>
      </c>
    </row>
    <row r="113" ht="45.0" customHeight="1">
      <c r="A113" s="41"/>
      <c r="B113" s="67" t="s">
        <v>166</v>
      </c>
      <c r="C113" s="20"/>
      <c r="D113" s="85">
        <v>2.0</v>
      </c>
      <c r="E113" s="45" t="s">
        <v>150</v>
      </c>
      <c r="F113" s="83" t="s">
        <v>167</v>
      </c>
      <c r="G113" s="40" t="str">
        <f t="shared" si="8"/>
        <v>#VALUE!</v>
      </c>
    </row>
    <row r="114" ht="45.0" customHeight="1">
      <c r="A114" s="41"/>
      <c r="B114" s="67" t="s">
        <v>168</v>
      </c>
      <c r="C114" s="20"/>
      <c r="D114" s="85">
        <v>3.0</v>
      </c>
      <c r="E114" s="45" t="s">
        <v>150</v>
      </c>
      <c r="F114" s="83" t="s">
        <v>169</v>
      </c>
      <c r="G114" s="40" t="str">
        <f t="shared" si="8"/>
        <v>#VALUE!</v>
      </c>
    </row>
    <row r="115" ht="15.75" customHeight="1">
      <c r="A115" s="41"/>
      <c r="B115" s="43" t="s">
        <v>170</v>
      </c>
      <c r="C115" s="20"/>
      <c r="D115" s="20"/>
      <c r="E115" s="20"/>
      <c r="F115" s="21"/>
      <c r="G115" s="40"/>
    </row>
    <row r="116" ht="45.0" customHeight="1">
      <c r="A116" s="41"/>
      <c r="B116" s="50" t="s">
        <v>171</v>
      </c>
      <c r="C116" s="21"/>
      <c r="D116" s="86" t="s">
        <v>172</v>
      </c>
      <c r="E116" s="45" t="s">
        <v>70</v>
      </c>
      <c r="F116" s="86" t="s">
        <v>173</v>
      </c>
      <c r="G116" s="40" t="str">
        <f>H116*F116</f>
        <v>#VALUE!</v>
      </c>
      <c r="H116" s="13">
        <f>27*2</f>
        <v>54</v>
      </c>
    </row>
    <row r="117" ht="45.0" customHeight="1">
      <c r="A117" s="41"/>
      <c r="B117" s="50" t="s">
        <v>174</v>
      </c>
      <c r="C117" s="21"/>
      <c r="D117" s="61">
        <v>3.0</v>
      </c>
      <c r="E117" s="45" t="s">
        <v>150</v>
      </c>
      <c r="F117" s="86" t="s">
        <v>175</v>
      </c>
      <c r="G117" s="40" t="str">
        <f t="shared" ref="G117:G128" si="9">D117*F117</f>
        <v>#VALUE!</v>
      </c>
    </row>
    <row r="118" ht="45.0" customHeight="1">
      <c r="A118" s="41"/>
      <c r="B118" s="50" t="s">
        <v>176</v>
      </c>
      <c r="C118" s="21"/>
      <c r="D118" s="61">
        <v>2.0</v>
      </c>
      <c r="E118" s="45" t="s">
        <v>150</v>
      </c>
      <c r="F118" s="86" t="s">
        <v>177</v>
      </c>
      <c r="G118" s="40" t="str">
        <f t="shared" si="9"/>
        <v>#VALUE!</v>
      </c>
    </row>
    <row r="119" ht="45.0" customHeight="1">
      <c r="A119" s="41"/>
      <c r="B119" s="50" t="s">
        <v>178</v>
      </c>
      <c r="C119" s="21"/>
      <c r="D119" s="61">
        <v>2.0</v>
      </c>
      <c r="E119" s="45" t="s">
        <v>150</v>
      </c>
      <c r="F119" s="86" t="s">
        <v>179</v>
      </c>
      <c r="G119" s="40" t="str">
        <f t="shared" si="9"/>
        <v>#VALUE!</v>
      </c>
    </row>
    <row r="120" ht="45.0" customHeight="1">
      <c r="A120" s="41"/>
      <c r="B120" s="50" t="s">
        <v>180</v>
      </c>
      <c r="C120" s="21"/>
      <c r="D120" s="61">
        <v>1.0</v>
      </c>
      <c r="E120" s="45" t="s">
        <v>150</v>
      </c>
      <c r="F120" s="86" t="s">
        <v>181</v>
      </c>
      <c r="G120" s="40" t="str">
        <f t="shared" si="9"/>
        <v>#VALUE!</v>
      </c>
    </row>
    <row r="121" ht="45.0" customHeight="1">
      <c r="A121" s="41"/>
      <c r="B121" s="50" t="s">
        <v>182</v>
      </c>
      <c r="C121" s="21"/>
      <c r="D121" s="61">
        <v>3.0</v>
      </c>
      <c r="E121" s="45" t="s">
        <v>150</v>
      </c>
      <c r="F121" s="86" t="s">
        <v>183</v>
      </c>
      <c r="G121" s="40" t="str">
        <f t="shared" si="9"/>
        <v>#VALUE!</v>
      </c>
    </row>
    <row r="122" ht="45.0" customHeight="1">
      <c r="A122" s="41"/>
      <c r="B122" s="50" t="s">
        <v>184</v>
      </c>
      <c r="C122" s="21"/>
      <c r="D122" s="61">
        <v>3.0</v>
      </c>
      <c r="E122" s="45" t="s">
        <v>150</v>
      </c>
      <c r="F122" s="86" t="s">
        <v>185</v>
      </c>
      <c r="G122" s="40" t="str">
        <f t="shared" si="9"/>
        <v>#VALUE!</v>
      </c>
    </row>
    <row r="123" ht="45.0" customHeight="1">
      <c r="A123" s="41"/>
      <c r="B123" s="50" t="s">
        <v>186</v>
      </c>
      <c r="C123" s="21"/>
      <c r="D123" s="61">
        <v>2.0</v>
      </c>
      <c r="E123" s="45" t="s">
        <v>150</v>
      </c>
      <c r="F123" s="86" t="s">
        <v>187</v>
      </c>
      <c r="G123" s="40" t="str">
        <f t="shared" si="9"/>
        <v>#VALUE!</v>
      </c>
    </row>
    <row r="124" ht="45.0" customHeight="1">
      <c r="A124" s="41"/>
      <c r="B124" s="50" t="s">
        <v>188</v>
      </c>
      <c r="C124" s="21"/>
      <c r="D124" s="61">
        <v>3.0</v>
      </c>
      <c r="E124" s="45" t="s">
        <v>150</v>
      </c>
      <c r="F124" s="86" t="s">
        <v>189</v>
      </c>
      <c r="G124" s="40" t="str">
        <f t="shared" si="9"/>
        <v>#VALUE!</v>
      </c>
    </row>
    <row r="125" ht="45.0" customHeight="1">
      <c r="A125" s="41"/>
      <c r="B125" s="50" t="s">
        <v>190</v>
      </c>
      <c r="C125" s="21"/>
      <c r="D125" s="61">
        <v>2.0</v>
      </c>
      <c r="E125" s="45" t="s">
        <v>150</v>
      </c>
      <c r="F125" s="86" t="s">
        <v>191</v>
      </c>
      <c r="G125" s="40" t="str">
        <f t="shared" si="9"/>
        <v>#VALUE!</v>
      </c>
    </row>
    <row r="126" ht="45.0" customHeight="1">
      <c r="A126" s="41"/>
      <c r="B126" s="50" t="s">
        <v>192</v>
      </c>
      <c r="C126" s="21"/>
      <c r="D126" s="61">
        <v>2.0</v>
      </c>
      <c r="E126" s="45" t="s">
        <v>150</v>
      </c>
      <c r="F126" s="86" t="s">
        <v>193</v>
      </c>
      <c r="G126" s="40" t="str">
        <f t="shared" si="9"/>
        <v>#VALUE!</v>
      </c>
    </row>
    <row r="127" ht="45.0" customHeight="1">
      <c r="A127" s="41"/>
      <c r="B127" s="50" t="s">
        <v>194</v>
      </c>
      <c r="C127" s="21"/>
      <c r="D127" s="61">
        <v>2.0</v>
      </c>
      <c r="E127" s="45" t="s">
        <v>150</v>
      </c>
      <c r="F127" s="86" t="s">
        <v>195</v>
      </c>
      <c r="G127" s="40" t="str">
        <f t="shared" si="9"/>
        <v>#VALUE!</v>
      </c>
    </row>
    <row r="128" ht="45.0" customHeight="1">
      <c r="A128" s="41"/>
      <c r="B128" s="50" t="s">
        <v>196</v>
      </c>
      <c r="C128" s="21"/>
      <c r="D128" s="61">
        <v>2.0</v>
      </c>
      <c r="E128" s="45" t="s">
        <v>150</v>
      </c>
      <c r="F128" s="86" t="s">
        <v>197</v>
      </c>
      <c r="G128" s="40" t="str">
        <f t="shared" si="9"/>
        <v>#VALUE!</v>
      </c>
    </row>
    <row r="129" ht="20.25" customHeight="1">
      <c r="A129" s="41"/>
      <c r="B129" s="43" t="s">
        <v>198</v>
      </c>
      <c r="C129" s="20"/>
      <c r="D129" s="45"/>
      <c r="E129" s="45"/>
      <c r="F129" s="46"/>
      <c r="G129" s="40"/>
    </row>
    <row r="130" ht="45.0" customHeight="1">
      <c r="A130" s="41"/>
      <c r="B130" s="50" t="s">
        <v>199</v>
      </c>
      <c r="C130" s="20"/>
      <c r="D130" s="86" t="s">
        <v>200</v>
      </c>
      <c r="E130" s="45" t="s">
        <v>70</v>
      </c>
      <c r="F130" s="86" t="s">
        <v>201</v>
      </c>
      <c r="G130" s="40" t="str">
        <f>H130*F130</f>
        <v>#VALUE!</v>
      </c>
      <c r="H130" s="13">
        <f>16*3</f>
        <v>48</v>
      </c>
    </row>
    <row r="131" ht="45.0" customHeight="1">
      <c r="A131" s="41"/>
      <c r="B131" s="50" t="s">
        <v>202</v>
      </c>
      <c r="C131" s="20"/>
      <c r="D131" s="61">
        <v>2.0</v>
      </c>
      <c r="E131" s="45" t="s">
        <v>150</v>
      </c>
      <c r="F131" s="86" t="s">
        <v>203</v>
      </c>
      <c r="G131" s="40" t="str">
        <f t="shared" ref="G131:G138" si="10">D131*F131</f>
        <v>#VALUE!</v>
      </c>
    </row>
    <row r="132" ht="45.0" customHeight="1">
      <c r="A132" s="41"/>
      <c r="B132" s="50" t="s">
        <v>204</v>
      </c>
      <c r="C132" s="20"/>
      <c r="D132" s="61">
        <v>2.0</v>
      </c>
      <c r="E132" s="45" t="s">
        <v>150</v>
      </c>
      <c r="F132" s="86" t="s">
        <v>205</v>
      </c>
      <c r="G132" s="40" t="str">
        <f t="shared" si="10"/>
        <v>#VALUE!</v>
      </c>
    </row>
    <row r="133" ht="45.0" customHeight="1">
      <c r="A133" s="41"/>
      <c r="B133" s="50" t="s">
        <v>206</v>
      </c>
      <c r="C133" s="20"/>
      <c r="D133" s="61">
        <v>2.0</v>
      </c>
      <c r="E133" s="45" t="s">
        <v>150</v>
      </c>
      <c r="F133" s="86" t="s">
        <v>207</v>
      </c>
      <c r="G133" s="40" t="str">
        <f t="shared" si="10"/>
        <v>#VALUE!</v>
      </c>
    </row>
    <row r="134" ht="45.0" customHeight="1">
      <c r="A134" s="41"/>
      <c r="B134" s="50" t="s">
        <v>208</v>
      </c>
      <c r="C134" s="20"/>
      <c r="D134" s="61">
        <v>4.0</v>
      </c>
      <c r="E134" s="45" t="s">
        <v>150</v>
      </c>
      <c r="F134" s="86" t="s">
        <v>209</v>
      </c>
      <c r="G134" s="40" t="str">
        <f t="shared" si="10"/>
        <v>#VALUE!</v>
      </c>
    </row>
    <row r="135" ht="45.0" customHeight="1">
      <c r="A135" s="41"/>
      <c r="B135" s="50" t="s">
        <v>210</v>
      </c>
      <c r="C135" s="20"/>
      <c r="D135" s="61">
        <v>2.0</v>
      </c>
      <c r="E135" s="45" t="s">
        <v>150</v>
      </c>
      <c r="F135" s="86" t="s">
        <v>211</v>
      </c>
      <c r="G135" s="40" t="str">
        <f t="shared" si="10"/>
        <v>#VALUE!</v>
      </c>
    </row>
    <row r="136" ht="45.0" customHeight="1">
      <c r="A136" s="41"/>
      <c r="B136" s="50" t="s">
        <v>212</v>
      </c>
      <c r="C136" s="20"/>
      <c r="D136" s="61">
        <v>1.0</v>
      </c>
      <c r="E136" s="45" t="s">
        <v>150</v>
      </c>
      <c r="F136" s="86" t="s">
        <v>213</v>
      </c>
      <c r="G136" s="40" t="str">
        <f t="shared" si="10"/>
        <v>#VALUE!</v>
      </c>
    </row>
    <row r="137" ht="45.0" customHeight="1">
      <c r="A137" s="41"/>
      <c r="B137" s="50" t="s">
        <v>214</v>
      </c>
      <c r="C137" s="20"/>
      <c r="D137" s="61">
        <v>1.0</v>
      </c>
      <c r="E137" s="45" t="s">
        <v>150</v>
      </c>
      <c r="F137" s="86" t="s">
        <v>215</v>
      </c>
      <c r="G137" s="40" t="str">
        <f t="shared" si="10"/>
        <v>#VALUE!</v>
      </c>
    </row>
    <row r="138" ht="45.0" customHeight="1">
      <c r="A138" s="41"/>
      <c r="B138" s="50" t="s">
        <v>216</v>
      </c>
      <c r="C138" s="20"/>
      <c r="D138" s="61">
        <v>2.0</v>
      </c>
      <c r="E138" s="45" t="s">
        <v>150</v>
      </c>
      <c r="F138" s="86" t="s">
        <v>217</v>
      </c>
      <c r="G138" s="40" t="str">
        <f t="shared" si="10"/>
        <v>#VALUE!</v>
      </c>
    </row>
    <row r="139" ht="45.0" customHeight="1">
      <c r="A139" s="41"/>
      <c r="B139" s="50"/>
      <c r="C139" s="64"/>
      <c r="D139" s="61"/>
      <c r="E139" s="45"/>
      <c r="F139" s="86"/>
      <c r="G139" s="40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41"/>
      <c r="B140" s="87" t="s">
        <v>218</v>
      </c>
      <c r="C140" s="21"/>
      <c r="D140" s="88"/>
      <c r="E140" s="53"/>
      <c r="F140" s="54"/>
      <c r="G140" s="60"/>
    </row>
    <row r="141" ht="15.75" customHeight="1">
      <c r="A141" s="41"/>
      <c r="B141" s="56" t="s">
        <v>219</v>
      </c>
      <c r="C141" s="46"/>
      <c r="D141" s="57" t="s">
        <v>220</v>
      </c>
      <c r="E141" s="58"/>
      <c r="F141" s="59">
        <v>170000.0</v>
      </c>
      <c r="G141" s="60">
        <f>2*20*170000</f>
        <v>6800000</v>
      </c>
    </row>
    <row r="142" ht="45.0" customHeight="1">
      <c r="A142" s="41"/>
      <c r="B142" s="56" t="s">
        <v>221</v>
      </c>
      <c r="C142" s="21"/>
      <c r="D142" s="57" t="s">
        <v>222</v>
      </c>
      <c r="E142" s="58" t="s">
        <v>223</v>
      </c>
      <c r="F142" s="59">
        <v>255000.0</v>
      </c>
      <c r="G142" s="60">
        <f t="shared" ref="G142:G161" si="11">F142</f>
        <v>255000</v>
      </c>
    </row>
    <row r="143" ht="45.0" customHeight="1">
      <c r="A143" s="41"/>
      <c r="B143" s="56" t="s">
        <v>224</v>
      </c>
      <c r="C143" s="21"/>
      <c r="D143" s="57" t="s">
        <v>222</v>
      </c>
      <c r="E143" s="58" t="s">
        <v>223</v>
      </c>
      <c r="F143" s="59">
        <v>320000.0</v>
      </c>
      <c r="G143" s="60">
        <f t="shared" si="11"/>
        <v>320000</v>
      </c>
    </row>
    <row r="144" ht="45.0" customHeight="1">
      <c r="A144" s="41"/>
      <c r="B144" s="56" t="s">
        <v>225</v>
      </c>
      <c r="C144" s="21"/>
      <c r="D144" s="57" t="s">
        <v>222</v>
      </c>
      <c r="E144" s="58" t="s">
        <v>223</v>
      </c>
      <c r="F144" s="59">
        <v>245000.0</v>
      </c>
      <c r="G144" s="60">
        <f t="shared" si="11"/>
        <v>245000</v>
      </c>
    </row>
    <row r="145" ht="45.0" customHeight="1">
      <c r="A145" s="41"/>
      <c r="B145" s="56" t="s">
        <v>226</v>
      </c>
      <c r="C145" s="21"/>
      <c r="D145" s="57" t="s">
        <v>222</v>
      </c>
      <c r="E145" s="58" t="s">
        <v>223</v>
      </c>
      <c r="F145" s="59">
        <v>210000.0</v>
      </c>
      <c r="G145" s="60">
        <f t="shared" si="11"/>
        <v>210000</v>
      </c>
    </row>
    <row r="146" ht="45.0" customHeight="1">
      <c r="A146" s="41"/>
      <c r="B146" s="56" t="s">
        <v>227</v>
      </c>
      <c r="C146" s="21"/>
      <c r="D146" s="57" t="s">
        <v>222</v>
      </c>
      <c r="E146" s="58" t="s">
        <v>223</v>
      </c>
      <c r="F146" s="59">
        <v>255000.0</v>
      </c>
      <c r="G146" s="60">
        <f t="shared" si="11"/>
        <v>255000</v>
      </c>
    </row>
    <row r="147" ht="45.0" customHeight="1">
      <c r="A147" s="41"/>
      <c r="B147" s="56" t="s">
        <v>228</v>
      </c>
      <c r="C147" s="21"/>
      <c r="D147" s="57" t="s">
        <v>222</v>
      </c>
      <c r="E147" s="58" t="s">
        <v>223</v>
      </c>
      <c r="F147" s="59">
        <v>200000.0</v>
      </c>
      <c r="G147" s="60">
        <f t="shared" si="11"/>
        <v>200000</v>
      </c>
    </row>
    <row r="148" ht="45.0" customHeight="1">
      <c r="A148" s="41"/>
      <c r="B148" s="56" t="s">
        <v>229</v>
      </c>
      <c r="C148" s="21"/>
      <c r="D148" s="57" t="s">
        <v>222</v>
      </c>
      <c r="E148" s="58" t="s">
        <v>223</v>
      </c>
      <c r="F148" s="59">
        <v>165000.0</v>
      </c>
      <c r="G148" s="60">
        <f t="shared" si="11"/>
        <v>165000</v>
      </c>
    </row>
    <row r="149" ht="45.0" customHeight="1">
      <c r="A149" s="41"/>
      <c r="B149" s="56" t="s">
        <v>230</v>
      </c>
      <c r="C149" s="21"/>
      <c r="D149" s="57" t="s">
        <v>222</v>
      </c>
      <c r="E149" s="58" t="s">
        <v>223</v>
      </c>
      <c r="F149" s="59">
        <v>175000.0</v>
      </c>
      <c r="G149" s="60">
        <f t="shared" si="11"/>
        <v>175000</v>
      </c>
    </row>
    <row r="150" ht="45.0" customHeight="1">
      <c r="A150" s="41"/>
      <c r="B150" s="56" t="s">
        <v>231</v>
      </c>
      <c r="C150" s="21"/>
      <c r="D150" s="57" t="s">
        <v>222</v>
      </c>
      <c r="E150" s="58" t="s">
        <v>223</v>
      </c>
      <c r="F150" s="59">
        <v>130000.0</v>
      </c>
      <c r="G150" s="60">
        <f t="shared" si="11"/>
        <v>130000</v>
      </c>
    </row>
    <row r="151" ht="45.0" customHeight="1">
      <c r="A151" s="41"/>
      <c r="B151" s="56" t="s">
        <v>232</v>
      </c>
      <c r="C151" s="21"/>
      <c r="D151" s="57" t="s">
        <v>222</v>
      </c>
      <c r="E151" s="58" t="s">
        <v>223</v>
      </c>
      <c r="F151" s="59">
        <v>185000.0</v>
      </c>
      <c r="G151" s="60">
        <f t="shared" si="11"/>
        <v>185000</v>
      </c>
    </row>
    <row r="152" ht="45.0" customHeight="1">
      <c r="A152" s="41"/>
      <c r="B152" s="56" t="s">
        <v>233</v>
      </c>
      <c r="C152" s="21"/>
      <c r="D152" s="57" t="s">
        <v>222</v>
      </c>
      <c r="E152" s="58" t="s">
        <v>223</v>
      </c>
      <c r="F152" s="59">
        <v>160000.0</v>
      </c>
      <c r="G152" s="60">
        <f t="shared" si="11"/>
        <v>160000</v>
      </c>
    </row>
    <row r="153" ht="45.0" customHeight="1">
      <c r="A153" s="41"/>
      <c r="B153" s="56" t="s">
        <v>234</v>
      </c>
      <c r="C153" s="21"/>
      <c r="D153" s="57" t="s">
        <v>222</v>
      </c>
      <c r="E153" s="58" t="s">
        <v>223</v>
      </c>
      <c r="F153" s="59">
        <v>180000.0</v>
      </c>
      <c r="G153" s="60">
        <f t="shared" si="11"/>
        <v>180000</v>
      </c>
    </row>
    <row r="154" ht="45.0" customHeight="1">
      <c r="A154" s="41"/>
      <c r="B154" s="56" t="s">
        <v>235</v>
      </c>
      <c r="C154" s="21"/>
      <c r="D154" s="57" t="s">
        <v>222</v>
      </c>
      <c r="E154" s="58" t="s">
        <v>223</v>
      </c>
      <c r="F154" s="59">
        <v>135000.0</v>
      </c>
      <c r="G154" s="60">
        <f t="shared" si="11"/>
        <v>135000</v>
      </c>
    </row>
    <row r="155" ht="45.0" customHeight="1">
      <c r="A155" s="41"/>
      <c r="B155" s="56" t="s">
        <v>236</v>
      </c>
      <c r="C155" s="21"/>
      <c r="D155" s="57" t="s">
        <v>222</v>
      </c>
      <c r="E155" s="58" t="s">
        <v>223</v>
      </c>
      <c r="F155" s="59">
        <v>90000.0</v>
      </c>
      <c r="G155" s="60">
        <f t="shared" si="11"/>
        <v>90000</v>
      </c>
    </row>
    <row r="156" ht="45.0" customHeight="1">
      <c r="A156" s="41"/>
      <c r="B156" s="56" t="s">
        <v>237</v>
      </c>
      <c r="C156" s="21"/>
      <c r="D156" s="57" t="s">
        <v>222</v>
      </c>
      <c r="E156" s="58" t="s">
        <v>223</v>
      </c>
      <c r="F156" s="59">
        <v>220000.0</v>
      </c>
      <c r="G156" s="60">
        <f t="shared" si="11"/>
        <v>220000</v>
      </c>
    </row>
    <row r="157" ht="45.0" customHeight="1">
      <c r="A157" s="41"/>
      <c r="B157" s="56" t="s">
        <v>238</v>
      </c>
      <c r="C157" s="21"/>
      <c r="D157" s="57" t="s">
        <v>222</v>
      </c>
      <c r="E157" s="58" t="s">
        <v>223</v>
      </c>
      <c r="F157" s="59">
        <v>205000.0</v>
      </c>
      <c r="G157" s="60">
        <f t="shared" si="11"/>
        <v>205000</v>
      </c>
    </row>
    <row r="158" ht="45.0" customHeight="1">
      <c r="A158" s="41"/>
      <c r="B158" s="56" t="s">
        <v>239</v>
      </c>
      <c r="C158" s="21"/>
      <c r="D158" s="57" t="s">
        <v>222</v>
      </c>
      <c r="E158" s="58" t="s">
        <v>223</v>
      </c>
      <c r="F158" s="59">
        <v>165000.0</v>
      </c>
      <c r="G158" s="60">
        <f t="shared" si="11"/>
        <v>165000</v>
      </c>
    </row>
    <row r="159" ht="45.0" customHeight="1">
      <c r="A159" s="41"/>
      <c r="B159" s="56" t="s">
        <v>240</v>
      </c>
      <c r="C159" s="21"/>
      <c r="D159" s="57" t="s">
        <v>222</v>
      </c>
      <c r="E159" s="58" t="s">
        <v>223</v>
      </c>
      <c r="F159" s="59">
        <v>210000.0</v>
      </c>
      <c r="G159" s="60">
        <f t="shared" si="11"/>
        <v>210000</v>
      </c>
    </row>
    <row r="160" ht="45.0" customHeight="1">
      <c r="A160" s="41"/>
      <c r="B160" s="56" t="s">
        <v>241</v>
      </c>
      <c r="C160" s="21"/>
      <c r="D160" s="57" t="s">
        <v>222</v>
      </c>
      <c r="E160" s="58" t="s">
        <v>223</v>
      </c>
      <c r="F160" s="59">
        <v>165000.0</v>
      </c>
      <c r="G160" s="60">
        <f t="shared" si="11"/>
        <v>165000</v>
      </c>
    </row>
    <row r="161" ht="45.0" customHeight="1">
      <c r="A161" s="41"/>
      <c r="B161" s="56" t="s">
        <v>242</v>
      </c>
      <c r="C161" s="21"/>
      <c r="D161" s="57" t="s">
        <v>222</v>
      </c>
      <c r="E161" s="58" t="s">
        <v>223</v>
      </c>
      <c r="F161" s="59">
        <v>220000.0</v>
      </c>
      <c r="G161" s="60">
        <f t="shared" si="11"/>
        <v>220000</v>
      </c>
    </row>
    <row r="162" ht="15.75" customHeight="1">
      <c r="A162" s="41"/>
      <c r="B162" s="62" t="s">
        <v>243</v>
      </c>
      <c r="C162" s="20"/>
      <c r="D162" s="20"/>
      <c r="E162" s="20"/>
      <c r="F162" s="21"/>
      <c r="G162" s="40"/>
    </row>
    <row r="163" ht="36.0" customHeight="1">
      <c r="A163" s="41"/>
      <c r="B163" s="50" t="s">
        <v>244</v>
      </c>
      <c r="C163" s="20"/>
      <c r="D163" s="45" t="s">
        <v>245</v>
      </c>
      <c r="E163" s="45" t="s">
        <v>223</v>
      </c>
      <c r="F163" s="46">
        <v>170000.0</v>
      </c>
      <c r="G163" s="40">
        <f>40*F163</f>
        <v>6800000</v>
      </c>
    </row>
    <row r="164" ht="36.0" customHeight="1">
      <c r="A164" s="41"/>
      <c r="B164" s="67" t="s">
        <v>246</v>
      </c>
      <c r="C164" s="21"/>
      <c r="D164" s="89">
        <v>2.0</v>
      </c>
      <c r="E164" s="45" t="s">
        <v>150</v>
      </c>
      <c r="F164" s="83" t="s">
        <v>247</v>
      </c>
      <c r="G164" s="40" t="str">
        <f t="shared" ref="G164:G173" si="12">D164*F164</f>
        <v>#VALUE!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6.0" customHeight="1">
      <c r="A165" s="41"/>
      <c r="B165" s="67" t="s">
        <v>248</v>
      </c>
      <c r="C165" s="21"/>
      <c r="D165" s="89">
        <v>2.0</v>
      </c>
      <c r="E165" s="45" t="s">
        <v>150</v>
      </c>
      <c r="F165" s="83" t="s">
        <v>249</v>
      </c>
      <c r="G165" s="40" t="str">
        <f t="shared" si="12"/>
        <v>#VALUE!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6.0" customHeight="1">
      <c r="A166" s="41"/>
      <c r="B166" s="67" t="s">
        <v>250</v>
      </c>
      <c r="C166" s="21"/>
      <c r="D166" s="89">
        <v>2.0</v>
      </c>
      <c r="E166" s="45" t="s">
        <v>150</v>
      </c>
      <c r="F166" s="83" t="s">
        <v>251</v>
      </c>
      <c r="G166" s="40" t="str">
        <f t="shared" si="12"/>
        <v>#VALUE!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6.0" customHeight="1">
      <c r="A167" s="41"/>
      <c r="B167" s="67" t="s">
        <v>252</v>
      </c>
      <c r="C167" s="21"/>
      <c r="D167" s="89">
        <v>2.0</v>
      </c>
      <c r="E167" s="45" t="s">
        <v>150</v>
      </c>
      <c r="F167" s="83" t="s">
        <v>253</v>
      </c>
      <c r="G167" s="40" t="str">
        <f t="shared" si="12"/>
        <v>#VALUE!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6.0" customHeight="1">
      <c r="A168" s="41"/>
      <c r="B168" s="67" t="s">
        <v>254</v>
      </c>
      <c r="C168" s="21"/>
      <c r="D168" s="89">
        <v>2.0</v>
      </c>
      <c r="E168" s="45" t="s">
        <v>150</v>
      </c>
      <c r="F168" s="83" t="s">
        <v>255</v>
      </c>
      <c r="G168" s="40" t="str">
        <f t="shared" si="12"/>
        <v>#VALUE!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6.0" customHeight="1">
      <c r="A169" s="41"/>
      <c r="B169" s="67" t="s">
        <v>256</v>
      </c>
      <c r="C169" s="21"/>
      <c r="D169" s="89">
        <v>2.0</v>
      </c>
      <c r="E169" s="45" t="s">
        <v>150</v>
      </c>
      <c r="F169" s="83" t="s">
        <v>257</v>
      </c>
      <c r="G169" s="40" t="str">
        <f t="shared" si="12"/>
        <v>#VALUE!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6.0" customHeight="1">
      <c r="A170" s="41"/>
      <c r="B170" s="67" t="s">
        <v>258</v>
      </c>
      <c r="C170" s="21"/>
      <c r="D170" s="89">
        <v>2.0</v>
      </c>
      <c r="E170" s="45" t="s">
        <v>150</v>
      </c>
      <c r="F170" s="83" t="s">
        <v>259</v>
      </c>
      <c r="G170" s="40" t="str">
        <f t="shared" si="12"/>
        <v>#VALUE!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6.0" customHeight="1">
      <c r="A171" s="41"/>
      <c r="B171" s="67" t="s">
        <v>260</v>
      </c>
      <c r="C171" s="21"/>
      <c r="D171" s="89">
        <v>2.0</v>
      </c>
      <c r="E171" s="45" t="s">
        <v>150</v>
      </c>
      <c r="F171" s="83" t="s">
        <v>261</v>
      </c>
      <c r="G171" s="40" t="str">
        <f t="shared" si="12"/>
        <v>#VALUE!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6.0" customHeight="1">
      <c r="A172" s="41"/>
      <c r="B172" s="67" t="s">
        <v>262</v>
      </c>
      <c r="C172" s="21"/>
      <c r="D172" s="89">
        <v>2.0</v>
      </c>
      <c r="E172" s="45" t="s">
        <v>150</v>
      </c>
      <c r="F172" s="83" t="s">
        <v>263</v>
      </c>
      <c r="G172" s="40" t="str">
        <f t="shared" si="12"/>
        <v>#VALUE!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6.0" customHeight="1">
      <c r="A173" s="41"/>
      <c r="B173" s="67" t="s">
        <v>264</v>
      </c>
      <c r="C173" s="21"/>
      <c r="D173" s="89">
        <v>2.0</v>
      </c>
      <c r="E173" s="45" t="s">
        <v>150</v>
      </c>
      <c r="F173" s="83" t="s">
        <v>265</v>
      </c>
      <c r="G173" s="40" t="str">
        <f t="shared" si="12"/>
        <v>#VALUE!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41"/>
      <c r="B174" s="62" t="s">
        <v>266</v>
      </c>
      <c r="C174" s="20"/>
      <c r="D174" s="20"/>
      <c r="E174" s="20"/>
      <c r="F174" s="21"/>
      <c r="G174" s="40"/>
    </row>
    <row r="175" ht="34.5" customHeight="1">
      <c r="A175" s="41"/>
      <c r="B175" s="50" t="s">
        <v>267</v>
      </c>
      <c r="C175" s="21"/>
      <c r="D175" s="83" t="s">
        <v>268</v>
      </c>
      <c r="E175" s="45" t="s">
        <v>223</v>
      </c>
      <c r="F175" s="83" t="s">
        <v>269</v>
      </c>
      <c r="G175" s="40" t="str">
        <f>F175*36</f>
        <v>#VALUE!</v>
      </c>
    </row>
    <row r="176" ht="34.5" customHeight="1">
      <c r="A176" s="41"/>
      <c r="B176" s="50" t="s">
        <v>270</v>
      </c>
      <c r="C176" s="21"/>
      <c r="D176" s="89">
        <v>2.0</v>
      </c>
      <c r="E176" s="45" t="s">
        <v>150</v>
      </c>
      <c r="F176" s="83" t="s">
        <v>271</v>
      </c>
      <c r="G176" s="40" t="str">
        <f t="shared" ref="G176:G184" si="13">D176*F176</f>
        <v>#VALUE!</v>
      </c>
    </row>
    <row r="177" ht="34.5" customHeight="1">
      <c r="A177" s="41"/>
      <c r="B177" s="50" t="s">
        <v>272</v>
      </c>
      <c r="C177" s="21"/>
      <c r="D177" s="89">
        <v>2.0</v>
      </c>
      <c r="E177" s="45" t="s">
        <v>150</v>
      </c>
      <c r="F177" s="83" t="s">
        <v>273</v>
      </c>
      <c r="G177" s="40" t="str">
        <f t="shared" si="13"/>
        <v>#VALUE!</v>
      </c>
    </row>
    <row r="178" ht="34.5" customHeight="1">
      <c r="A178" s="41"/>
      <c r="B178" s="50" t="s">
        <v>274</v>
      </c>
      <c r="C178" s="21"/>
      <c r="D178" s="89">
        <v>2.0</v>
      </c>
      <c r="E178" s="45" t="s">
        <v>150</v>
      </c>
      <c r="F178" s="83" t="s">
        <v>275</v>
      </c>
      <c r="G178" s="40" t="str">
        <f t="shared" si="13"/>
        <v>#VALUE!</v>
      </c>
    </row>
    <row r="179" ht="34.5" customHeight="1">
      <c r="A179" s="41"/>
      <c r="B179" s="50" t="s">
        <v>276</v>
      </c>
      <c r="C179" s="21"/>
      <c r="D179" s="89">
        <v>2.0</v>
      </c>
      <c r="E179" s="45" t="s">
        <v>150</v>
      </c>
      <c r="F179" s="83" t="s">
        <v>277</v>
      </c>
      <c r="G179" s="40" t="str">
        <f t="shared" si="13"/>
        <v>#VALUE!</v>
      </c>
    </row>
    <row r="180" ht="34.5" customHeight="1">
      <c r="A180" s="41"/>
      <c r="B180" s="50" t="s">
        <v>278</v>
      </c>
      <c r="C180" s="21"/>
      <c r="D180" s="89">
        <v>2.0</v>
      </c>
      <c r="E180" s="45" t="s">
        <v>150</v>
      </c>
      <c r="F180" s="83" t="s">
        <v>279</v>
      </c>
      <c r="G180" s="40" t="str">
        <f t="shared" si="13"/>
        <v>#VALUE!</v>
      </c>
    </row>
    <row r="181" ht="34.5" customHeight="1">
      <c r="A181" s="41"/>
      <c r="B181" s="50" t="s">
        <v>280</v>
      </c>
      <c r="C181" s="21"/>
      <c r="D181" s="89">
        <v>2.0</v>
      </c>
      <c r="E181" s="45" t="s">
        <v>150</v>
      </c>
      <c r="F181" s="83" t="s">
        <v>281</v>
      </c>
      <c r="G181" s="40" t="str">
        <f t="shared" si="13"/>
        <v>#VALUE!</v>
      </c>
    </row>
    <row r="182" ht="34.5" customHeight="1">
      <c r="A182" s="41"/>
      <c r="B182" s="50" t="s">
        <v>282</v>
      </c>
      <c r="C182" s="21"/>
      <c r="D182" s="89">
        <v>2.0</v>
      </c>
      <c r="E182" s="45" t="s">
        <v>150</v>
      </c>
      <c r="F182" s="83" t="s">
        <v>283</v>
      </c>
      <c r="G182" s="40" t="str">
        <f t="shared" si="13"/>
        <v>#VALUE!</v>
      </c>
    </row>
    <row r="183" ht="34.5" customHeight="1">
      <c r="A183" s="41"/>
      <c r="B183" s="50" t="s">
        <v>284</v>
      </c>
      <c r="C183" s="21"/>
      <c r="D183" s="89">
        <v>2.0</v>
      </c>
      <c r="E183" s="45" t="s">
        <v>150</v>
      </c>
      <c r="F183" s="83" t="s">
        <v>285</v>
      </c>
      <c r="G183" s="40" t="str">
        <f t="shared" si="13"/>
        <v>#VALUE!</v>
      </c>
    </row>
    <row r="184" ht="34.5" customHeight="1">
      <c r="A184" s="41"/>
      <c r="B184" s="50" t="s">
        <v>286</v>
      </c>
      <c r="C184" s="21"/>
      <c r="D184" s="89">
        <v>2.0</v>
      </c>
      <c r="E184" s="45" t="s">
        <v>150</v>
      </c>
      <c r="F184" s="83" t="s">
        <v>287</v>
      </c>
      <c r="G184" s="40" t="str">
        <f t="shared" si="13"/>
        <v>#VALUE!</v>
      </c>
    </row>
    <row r="185" ht="15.75" customHeight="1">
      <c r="A185" s="41"/>
      <c r="B185" s="62" t="s">
        <v>288</v>
      </c>
      <c r="C185" s="20"/>
      <c r="D185" s="20"/>
      <c r="E185" s="20"/>
      <c r="F185" s="21"/>
      <c r="G185" s="40"/>
    </row>
    <row r="186" ht="34.5" customHeight="1">
      <c r="A186" s="41"/>
      <c r="B186" s="67" t="s">
        <v>289</v>
      </c>
      <c r="C186" s="21"/>
      <c r="D186" s="83" t="s">
        <v>290</v>
      </c>
      <c r="E186" s="45" t="s">
        <v>75</v>
      </c>
      <c r="F186" s="83" t="s">
        <v>291</v>
      </c>
      <c r="G186" s="40" t="str">
        <f>44*F186</f>
        <v>#VALUE!</v>
      </c>
    </row>
    <row r="187" ht="34.5" customHeight="1">
      <c r="A187" s="41"/>
      <c r="B187" s="67" t="s">
        <v>292</v>
      </c>
      <c r="C187" s="21"/>
      <c r="D187" s="89">
        <v>2.0</v>
      </c>
      <c r="E187" s="45" t="s">
        <v>150</v>
      </c>
      <c r="F187" s="83" t="s">
        <v>293</v>
      </c>
      <c r="G187" s="40" t="str">
        <f t="shared" ref="G187:G197" si="14">D187*F187</f>
        <v>#VALUE!</v>
      </c>
    </row>
    <row r="188" ht="34.5" customHeight="1">
      <c r="A188" s="41"/>
      <c r="B188" s="67" t="s">
        <v>294</v>
      </c>
      <c r="C188" s="21"/>
      <c r="D188" s="89">
        <v>2.0</v>
      </c>
      <c r="E188" s="45" t="s">
        <v>150</v>
      </c>
      <c r="F188" s="83" t="s">
        <v>295</v>
      </c>
      <c r="G188" s="40" t="str">
        <f t="shared" si="14"/>
        <v>#VALUE!</v>
      </c>
    </row>
    <row r="189" ht="34.5" customHeight="1">
      <c r="A189" s="41"/>
      <c r="B189" s="67" t="s">
        <v>296</v>
      </c>
      <c r="C189" s="21"/>
      <c r="D189" s="89">
        <v>2.0</v>
      </c>
      <c r="E189" s="45" t="s">
        <v>150</v>
      </c>
      <c r="F189" s="83" t="s">
        <v>297</v>
      </c>
      <c r="G189" s="40" t="str">
        <f t="shared" si="14"/>
        <v>#VALUE!</v>
      </c>
    </row>
    <row r="190" ht="34.5" customHeight="1">
      <c r="A190" s="41"/>
      <c r="B190" s="67" t="s">
        <v>298</v>
      </c>
      <c r="C190" s="21"/>
      <c r="D190" s="89">
        <v>2.0</v>
      </c>
      <c r="E190" s="45" t="s">
        <v>150</v>
      </c>
      <c r="F190" s="83" t="s">
        <v>299</v>
      </c>
      <c r="G190" s="40" t="str">
        <f t="shared" si="14"/>
        <v>#VALUE!</v>
      </c>
    </row>
    <row r="191" ht="34.5" customHeight="1">
      <c r="A191" s="41"/>
      <c r="B191" s="67" t="s">
        <v>300</v>
      </c>
      <c r="C191" s="21"/>
      <c r="D191" s="89">
        <v>2.0</v>
      </c>
      <c r="E191" s="45" t="s">
        <v>150</v>
      </c>
      <c r="F191" s="83" t="s">
        <v>301</v>
      </c>
      <c r="G191" s="40" t="str">
        <f t="shared" si="14"/>
        <v>#VALUE!</v>
      </c>
    </row>
    <row r="192" ht="34.5" customHeight="1">
      <c r="A192" s="41"/>
      <c r="B192" s="67" t="s">
        <v>302</v>
      </c>
      <c r="C192" s="21"/>
      <c r="D192" s="89">
        <v>2.0</v>
      </c>
      <c r="E192" s="45" t="s">
        <v>150</v>
      </c>
      <c r="F192" s="83" t="s">
        <v>303</v>
      </c>
      <c r="G192" s="40" t="str">
        <f t="shared" si="14"/>
        <v>#VALUE!</v>
      </c>
    </row>
    <row r="193" ht="34.5" customHeight="1">
      <c r="A193" s="41"/>
      <c r="B193" s="67" t="s">
        <v>304</v>
      </c>
      <c r="C193" s="21"/>
      <c r="D193" s="89">
        <v>2.0</v>
      </c>
      <c r="E193" s="45" t="s">
        <v>150</v>
      </c>
      <c r="F193" s="83" t="s">
        <v>305</v>
      </c>
      <c r="G193" s="40" t="str">
        <f t="shared" si="14"/>
        <v>#VALUE!</v>
      </c>
    </row>
    <row r="194" ht="34.5" customHeight="1">
      <c r="A194" s="41"/>
      <c r="B194" s="67" t="s">
        <v>306</v>
      </c>
      <c r="C194" s="21"/>
      <c r="D194" s="89">
        <v>2.0</v>
      </c>
      <c r="E194" s="45" t="s">
        <v>150</v>
      </c>
      <c r="F194" s="83" t="s">
        <v>307</v>
      </c>
      <c r="G194" s="40" t="str">
        <f t="shared" si="14"/>
        <v>#VALUE!</v>
      </c>
    </row>
    <row r="195" ht="34.5" customHeight="1">
      <c r="A195" s="41"/>
      <c r="B195" s="67" t="s">
        <v>308</v>
      </c>
      <c r="C195" s="21"/>
      <c r="D195" s="89">
        <v>2.0</v>
      </c>
      <c r="E195" s="45" t="s">
        <v>150</v>
      </c>
      <c r="F195" s="83" t="s">
        <v>309</v>
      </c>
      <c r="G195" s="40" t="str">
        <f t="shared" si="14"/>
        <v>#VALUE!</v>
      </c>
    </row>
    <row r="196" ht="34.5" customHeight="1">
      <c r="A196" s="41"/>
      <c r="B196" s="67" t="s">
        <v>310</v>
      </c>
      <c r="C196" s="21"/>
      <c r="D196" s="89">
        <v>2.0</v>
      </c>
      <c r="E196" s="45" t="s">
        <v>150</v>
      </c>
      <c r="F196" s="83" t="s">
        <v>311</v>
      </c>
      <c r="G196" s="40" t="str">
        <f t="shared" si="14"/>
        <v>#VALUE!</v>
      </c>
    </row>
    <row r="197" ht="27.75" customHeight="1">
      <c r="A197" s="90"/>
      <c r="B197" s="50" t="s">
        <v>312</v>
      </c>
      <c r="C197" s="21"/>
      <c r="D197" s="61">
        <v>2.0</v>
      </c>
      <c r="E197" s="45" t="s">
        <v>150</v>
      </c>
      <c r="F197" s="86" t="s">
        <v>313</v>
      </c>
      <c r="G197" s="40" t="str">
        <f t="shared" si="14"/>
        <v>#VALUE!</v>
      </c>
    </row>
    <row r="198" ht="27.75" customHeight="1">
      <c r="A198" s="91"/>
      <c r="B198" s="92"/>
      <c r="C198" s="92"/>
      <c r="D198" s="93"/>
      <c r="E198" s="94"/>
      <c r="F198" s="95"/>
      <c r="G198" s="96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97" t="s">
        <v>314</v>
      </c>
      <c r="B199" s="7"/>
      <c r="C199" s="7"/>
      <c r="D199" s="7"/>
      <c r="E199" s="7"/>
      <c r="F199" s="29"/>
      <c r="G199" s="98" t="str">
        <f>SUM(G31:G198)</f>
        <v>#VALUE!</v>
      </c>
      <c r="H199" s="99"/>
      <c r="I199" s="100">
        <v>3.10567E8</v>
      </c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15.75" customHeight="1">
      <c r="A200" s="90"/>
      <c r="B200" s="67"/>
      <c r="C200" s="21"/>
      <c r="D200" s="101"/>
      <c r="E200" s="102"/>
      <c r="F200" s="102"/>
      <c r="G200" s="103">
        <f>D200*F200</f>
        <v>0</v>
      </c>
      <c r="I200" s="15" t="str">
        <f>I199-G199</f>
        <v>#VALUE!</v>
      </c>
    </row>
    <row r="201" ht="15.75" customHeight="1">
      <c r="A201" s="23" t="s">
        <v>315</v>
      </c>
      <c r="B201" s="104"/>
      <c r="C201" s="105" t="s">
        <v>316</v>
      </c>
      <c r="G201" s="106"/>
    </row>
    <row r="202" ht="15.75" customHeight="1">
      <c r="A202" s="23" t="s">
        <v>317</v>
      </c>
      <c r="B202" s="104"/>
      <c r="C202" s="105" t="s">
        <v>318</v>
      </c>
      <c r="G202" s="106"/>
    </row>
    <row r="203" ht="15.75" customHeight="1">
      <c r="A203" s="23" t="s">
        <v>319</v>
      </c>
      <c r="B203" s="104"/>
      <c r="C203" s="107"/>
      <c r="G203" s="108"/>
    </row>
    <row r="204" ht="15.75" customHeight="1">
      <c r="A204" s="23" t="s">
        <v>320</v>
      </c>
      <c r="B204" s="104"/>
      <c r="C204" s="107"/>
      <c r="G204" s="108"/>
    </row>
    <row r="205" ht="15.75" customHeight="1">
      <c r="A205" s="23" t="s">
        <v>321</v>
      </c>
      <c r="B205" s="104"/>
      <c r="C205" s="107"/>
      <c r="G205" s="108"/>
    </row>
    <row r="206" ht="15.75" customHeight="1">
      <c r="A206" s="23" t="s">
        <v>322</v>
      </c>
      <c r="B206" s="104"/>
      <c r="C206" s="107"/>
      <c r="G206" s="108"/>
    </row>
    <row r="207" ht="15.75" customHeight="1">
      <c r="A207" s="23" t="s">
        <v>323</v>
      </c>
      <c r="B207" s="104"/>
      <c r="C207" s="109"/>
      <c r="G207" s="106"/>
    </row>
    <row r="208" ht="15.75" customHeight="1">
      <c r="A208" s="23" t="s">
        <v>324</v>
      </c>
      <c r="B208" s="104"/>
      <c r="C208" s="105"/>
      <c r="G208" s="106"/>
    </row>
    <row r="209" ht="15.75" customHeight="1">
      <c r="A209" s="23" t="s">
        <v>325</v>
      </c>
      <c r="B209" s="104"/>
      <c r="C209" s="107"/>
      <c r="G209" s="108"/>
    </row>
    <row r="210" ht="15.75" customHeight="1">
      <c r="A210" s="23" t="s">
        <v>326</v>
      </c>
      <c r="B210" s="104"/>
      <c r="C210" s="107"/>
      <c r="G210" s="108"/>
    </row>
    <row r="211" ht="15.75" customHeight="1">
      <c r="A211" s="23" t="s">
        <v>327</v>
      </c>
      <c r="B211" s="104"/>
      <c r="C211" s="107"/>
      <c r="G211" s="108"/>
    </row>
    <row r="212" ht="15.75" customHeight="1">
      <c r="A212" s="23" t="s">
        <v>328</v>
      </c>
      <c r="B212" s="104"/>
      <c r="C212" s="107"/>
      <c r="G212" s="108"/>
    </row>
    <row r="213" ht="15.75" customHeight="1">
      <c r="A213" s="110" t="s">
        <v>36</v>
      </c>
      <c r="B213" s="111">
        <f>SUM(B201:B212)</f>
        <v>0</v>
      </c>
      <c r="C213" s="112"/>
      <c r="D213" s="113"/>
      <c r="E213" s="113"/>
      <c r="F213" s="113"/>
      <c r="G213" s="114"/>
    </row>
    <row r="214" ht="15.75" customHeight="1">
      <c r="G214" s="15"/>
    </row>
    <row r="215" ht="15.75" customHeight="1">
      <c r="G215" s="15"/>
    </row>
    <row r="216" ht="15.75" customHeight="1">
      <c r="G216" s="15"/>
    </row>
    <row r="217" ht="15.75" customHeight="1">
      <c r="G217" s="15"/>
    </row>
    <row r="218" ht="15.75" customHeight="1">
      <c r="G218" s="15"/>
    </row>
    <row r="219" ht="15.75" customHeight="1">
      <c r="G219" s="15"/>
    </row>
    <row r="220" ht="15.75" customHeight="1">
      <c r="G220" s="15"/>
    </row>
    <row r="221" ht="15.75" customHeight="1">
      <c r="G221" s="15"/>
    </row>
    <row r="222" ht="15.75" customHeight="1">
      <c r="G222" s="15"/>
    </row>
    <row r="223" ht="15.75" customHeight="1">
      <c r="G223" s="15"/>
    </row>
    <row r="224" ht="15.75" customHeight="1">
      <c r="G224" s="15"/>
    </row>
    <row r="225" ht="15.75" customHeight="1">
      <c r="G225" s="15"/>
    </row>
    <row r="226" ht="15.75" customHeight="1">
      <c r="G226" s="15"/>
    </row>
    <row r="227" ht="15.75" customHeight="1">
      <c r="G227" s="15"/>
    </row>
    <row r="228" ht="15.75" customHeight="1">
      <c r="G228" s="15"/>
    </row>
    <row r="229" ht="15.75" customHeight="1">
      <c r="G229" s="15"/>
    </row>
    <row r="230" ht="15.75" customHeight="1">
      <c r="G230" s="15"/>
    </row>
    <row r="231" ht="15.75" customHeight="1">
      <c r="G231" s="15"/>
    </row>
    <row r="232" ht="15.75" customHeight="1">
      <c r="G232" s="15"/>
    </row>
    <row r="233" ht="15.75" customHeight="1">
      <c r="G233" s="15"/>
    </row>
    <row r="234" ht="15.75" customHeight="1">
      <c r="G234" s="15"/>
    </row>
    <row r="235" ht="15.75" customHeight="1">
      <c r="G235" s="15"/>
    </row>
    <row r="236" ht="15.75" customHeight="1">
      <c r="G236" s="15"/>
    </row>
    <row r="237" ht="15.75" customHeight="1">
      <c r="G237" s="15"/>
    </row>
    <row r="238" ht="15.75" customHeight="1">
      <c r="G238" s="15"/>
    </row>
    <row r="239" ht="15.75" customHeight="1">
      <c r="G239" s="15"/>
    </row>
    <row r="240" ht="15.75" customHeight="1">
      <c r="G240" s="15"/>
    </row>
    <row r="241" ht="15.75" customHeight="1">
      <c r="G241" s="15"/>
    </row>
    <row r="242" ht="15.75" customHeight="1">
      <c r="G242" s="15"/>
    </row>
    <row r="243" ht="15.75" customHeight="1">
      <c r="G243" s="15"/>
    </row>
    <row r="244" ht="15.75" customHeight="1">
      <c r="G244" s="15"/>
    </row>
    <row r="245" ht="15.75" customHeight="1">
      <c r="G245" s="15"/>
    </row>
    <row r="246" ht="15.75" customHeight="1">
      <c r="G246" s="15"/>
    </row>
    <row r="247" ht="15.75" customHeight="1">
      <c r="G247" s="15"/>
    </row>
    <row r="248" ht="15.75" customHeight="1">
      <c r="G248" s="15"/>
    </row>
    <row r="249" ht="15.75" customHeight="1">
      <c r="G249" s="15"/>
    </row>
    <row r="250" ht="15.75" customHeight="1">
      <c r="G250" s="15"/>
    </row>
    <row r="251" ht="15.75" customHeight="1">
      <c r="G251" s="15"/>
    </row>
    <row r="252" ht="15.75" customHeight="1">
      <c r="G252" s="15"/>
    </row>
    <row r="253" ht="15.75" customHeight="1">
      <c r="G253" s="15"/>
    </row>
    <row r="254" ht="15.75" customHeight="1">
      <c r="G254" s="15"/>
    </row>
    <row r="255" ht="15.75" customHeight="1">
      <c r="G255" s="15"/>
    </row>
    <row r="256" ht="15.75" customHeight="1">
      <c r="G256" s="15"/>
    </row>
    <row r="257" ht="15.75" customHeight="1">
      <c r="G257" s="15"/>
    </row>
    <row r="258" ht="15.75" customHeight="1">
      <c r="G258" s="15"/>
    </row>
    <row r="259" ht="15.75" customHeight="1">
      <c r="G259" s="15"/>
    </row>
    <row r="260" ht="15.75" customHeight="1">
      <c r="G260" s="15"/>
    </row>
    <row r="261" ht="15.75" customHeight="1">
      <c r="G261" s="15"/>
    </row>
    <row r="262" ht="15.75" customHeight="1">
      <c r="G262" s="15"/>
    </row>
    <row r="263" ht="15.75" customHeight="1">
      <c r="G263" s="15"/>
    </row>
    <row r="264" ht="15.75" customHeight="1">
      <c r="G264" s="15"/>
    </row>
    <row r="265" ht="15.75" customHeight="1">
      <c r="G265" s="15"/>
    </row>
    <row r="266" ht="15.75" customHeight="1">
      <c r="G266" s="15"/>
    </row>
    <row r="267" ht="15.75" customHeight="1">
      <c r="G267" s="15"/>
    </row>
    <row r="268" ht="15.75" customHeight="1">
      <c r="G268" s="15"/>
    </row>
    <row r="269" ht="15.75" customHeight="1">
      <c r="G269" s="15"/>
    </row>
    <row r="270" ht="15.75" customHeight="1">
      <c r="G270" s="15"/>
    </row>
    <row r="271" ht="15.75" customHeight="1">
      <c r="G271" s="15"/>
    </row>
    <row r="272" ht="15.75" customHeight="1">
      <c r="G272" s="15"/>
    </row>
    <row r="273" ht="15.75" customHeight="1">
      <c r="G273" s="15"/>
    </row>
    <row r="274" ht="15.75" customHeight="1">
      <c r="G274" s="15"/>
    </row>
    <row r="275" ht="15.75" customHeight="1">
      <c r="G275" s="15"/>
    </row>
    <row r="276" ht="15.75" customHeight="1">
      <c r="G276" s="15"/>
    </row>
    <row r="277" ht="15.75" customHeight="1">
      <c r="G277" s="15"/>
    </row>
    <row r="278" ht="15.75" customHeight="1">
      <c r="G278" s="15"/>
    </row>
    <row r="279" ht="15.75" customHeight="1">
      <c r="G279" s="15"/>
    </row>
    <row r="280" ht="15.75" customHeight="1">
      <c r="G280" s="15"/>
    </row>
    <row r="281" ht="15.75" customHeight="1">
      <c r="G281" s="15"/>
    </row>
    <row r="282" ht="15.75" customHeight="1">
      <c r="G282" s="15"/>
    </row>
    <row r="283" ht="15.75" customHeight="1">
      <c r="G283" s="15"/>
    </row>
    <row r="284" ht="15.75" customHeight="1">
      <c r="G284" s="15"/>
    </row>
    <row r="285" ht="15.75" customHeight="1">
      <c r="G285" s="15"/>
    </row>
    <row r="286" ht="15.75" customHeight="1">
      <c r="G286" s="15"/>
    </row>
    <row r="287" ht="15.75" customHeight="1">
      <c r="G287" s="15"/>
    </row>
    <row r="288" ht="15.75" customHeight="1">
      <c r="G288" s="15"/>
    </row>
    <row r="289" ht="15.75" customHeight="1">
      <c r="G289" s="15"/>
    </row>
    <row r="290" ht="15.75" customHeight="1">
      <c r="G290" s="15"/>
    </row>
    <row r="291" ht="15.75" customHeight="1">
      <c r="G291" s="15"/>
    </row>
    <row r="292" ht="15.75" customHeight="1">
      <c r="G292" s="15"/>
    </row>
    <row r="293" ht="15.75" customHeight="1">
      <c r="G293" s="15"/>
    </row>
    <row r="294" ht="15.75" customHeight="1">
      <c r="G294" s="15"/>
    </row>
    <row r="295" ht="15.75" customHeight="1">
      <c r="G295" s="15"/>
    </row>
    <row r="296" ht="15.75" customHeight="1">
      <c r="G296" s="15"/>
    </row>
    <row r="297" ht="15.75" customHeight="1">
      <c r="G297" s="15"/>
    </row>
    <row r="298" ht="15.75" customHeight="1">
      <c r="G298" s="15"/>
    </row>
    <row r="299" ht="15.75" customHeight="1">
      <c r="G299" s="15"/>
    </row>
    <row r="300" ht="15.75" customHeight="1">
      <c r="G300" s="15"/>
    </row>
    <row r="301" ht="15.75" customHeight="1">
      <c r="G301" s="15"/>
    </row>
    <row r="302" ht="15.75" customHeight="1">
      <c r="G302" s="15"/>
    </row>
    <row r="303" ht="15.75" customHeight="1">
      <c r="G303" s="15"/>
    </row>
    <row r="304" ht="15.75" customHeight="1">
      <c r="G304" s="15"/>
    </row>
    <row r="305" ht="15.75" customHeight="1">
      <c r="G305" s="15"/>
    </row>
    <row r="306" ht="15.75" customHeight="1">
      <c r="G306" s="15"/>
    </row>
    <row r="307" ht="15.75" customHeight="1">
      <c r="G307" s="15"/>
    </row>
    <row r="308" ht="15.75" customHeight="1">
      <c r="G308" s="15"/>
    </row>
    <row r="309" ht="15.75" customHeight="1">
      <c r="G309" s="15"/>
    </row>
    <row r="310" ht="15.75" customHeight="1">
      <c r="G310" s="15"/>
    </row>
    <row r="311" ht="15.75" customHeight="1">
      <c r="G311" s="15"/>
    </row>
    <row r="312" ht="15.75" customHeight="1">
      <c r="G312" s="15"/>
    </row>
    <row r="313" ht="15.75" customHeight="1">
      <c r="G313" s="15"/>
    </row>
    <row r="314" ht="15.75" customHeight="1">
      <c r="G314" s="15"/>
    </row>
    <row r="315" ht="15.75" customHeight="1">
      <c r="G315" s="15"/>
    </row>
    <row r="316" ht="15.75" customHeight="1">
      <c r="G316" s="15"/>
    </row>
    <row r="317" ht="15.75" customHeight="1">
      <c r="G317" s="15"/>
    </row>
    <row r="318" ht="15.75" customHeight="1">
      <c r="G318" s="15"/>
    </row>
    <row r="319" ht="15.75" customHeight="1">
      <c r="G319" s="15"/>
    </row>
    <row r="320" ht="15.75" customHeight="1">
      <c r="G320" s="15"/>
    </row>
    <row r="321" ht="15.75" customHeight="1">
      <c r="G321" s="15"/>
    </row>
    <row r="322" ht="15.75" customHeight="1">
      <c r="G322" s="15"/>
    </row>
    <row r="323" ht="15.75" customHeight="1">
      <c r="G323" s="15"/>
    </row>
    <row r="324" ht="15.75" customHeight="1">
      <c r="G324" s="15"/>
    </row>
    <row r="325" ht="15.75" customHeight="1">
      <c r="G325" s="15"/>
    </row>
    <row r="326" ht="15.75" customHeight="1">
      <c r="G326" s="15"/>
    </row>
    <row r="327" ht="15.75" customHeight="1">
      <c r="G327" s="15"/>
    </row>
    <row r="328" ht="15.75" customHeight="1">
      <c r="G328" s="15"/>
    </row>
    <row r="329" ht="15.75" customHeight="1">
      <c r="G329" s="15"/>
    </row>
    <row r="330" ht="15.75" customHeight="1">
      <c r="G330" s="15"/>
    </row>
    <row r="331" ht="15.75" customHeight="1">
      <c r="G331" s="15"/>
    </row>
    <row r="332" ht="15.75" customHeight="1">
      <c r="G332" s="15"/>
    </row>
    <row r="333" ht="15.75" customHeight="1">
      <c r="G333" s="15"/>
    </row>
    <row r="334" ht="15.75" customHeight="1">
      <c r="G334" s="15"/>
    </row>
    <row r="335" ht="15.75" customHeight="1">
      <c r="G335" s="15"/>
    </row>
    <row r="336" ht="15.75" customHeight="1">
      <c r="G336" s="15"/>
    </row>
    <row r="337" ht="15.75" customHeight="1">
      <c r="G337" s="15"/>
    </row>
    <row r="338" ht="15.75" customHeight="1">
      <c r="G338" s="15"/>
    </row>
    <row r="339" ht="15.75" customHeight="1">
      <c r="G339" s="15"/>
    </row>
    <row r="340" ht="15.75" customHeight="1">
      <c r="G340" s="15"/>
    </row>
    <row r="341" ht="15.75" customHeight="1">
      <c r="G341" s="15"/>
    </row>
    <row r="342" ht="15.75" customHeight="1">
      <c r="G342" s="15"/>
    </row>
    <row r="343" ht="15.75" customHeight="1">
      <c r="G343" s="15"/>
    </row>
    <row r="344" ht="15.75" customHeight="1">
      <c r="G344" s="15"/>
    </row>
    <row r="345" ht="15.75" customHeight="1">
      <c r="G345" s="15"/>
    </row>
    <row r="346" ht="15.75" customHeight="1">
      <c r="G346" s="15"/>
    </row>
    <row r="347" ht="15.75" customHeight="1">
      <c r="G347" s="15"/>
    </row>
    <row r="348" ht="15.75" customHeight="1">
      <c r="G348" s="15"/>
    </row>
    <row r="349" ht="15.75" customHeight="1">
      <c r="G349" s="15"/>
    </row>
    <row r="350" ht="15.75" customHeight="1">
      <c r="G350" s="15"/>
    </row>
    <row r="351" ht="15.75" customHeight="1">
      <c r="G351" s="15"/>
    </row>
    <row r="352" ht="15.75" customHeight="1">
      <c r="G352" s="15"/>
    </row>
    <row r="353" ht="15.75" customHeight="1">
      <c r="G353" s="15"/>
    </row>
    <row r="354" ht="15.75" customHeight="1">
      <c r="G354" s="15"/>
    </row>
    <row r="355" ht="15.75" customHeight="1">
      <c r="G355" s="15"/>
    </row>
    <row r="356" ht="15.75" customHeight="1">
      <c r="G356" s="15"/>
    </row>
    <row r="357" ht="15.75" customHeight="1">
      <c r="G357" s="15"/>
    </row>
    <row r="358" ht="15.75" customHeight="1">
      <c r="G358" s="15"/>
    </row>
    <row r="359" ht="15.75" customHeight="1">
      <c r="G359" s="15"/>
    </row>
    <row r="360" ht="15.75" customHeight="1">
      <c r="G360" s="15"/>
    </row>
    <row r="361" ht="15.75" customHeight="1">
      <c r="G361" s="15"/>
    </row>
    <row r="362" ht="15.75" customHeight="1">
      <c r="G362" s="15"/>
    </row>
    <row r="363" ht="15.75" customHeight="1">
      <c r="G363" s="15"/>
    </row>
    <row r="364" ht="15.75" customHeight="1">
      <c r="G364" s="15"/>
    </row>
    <row r="365" ht="15.75" customHeight="1">
      <c r="G365" s="15"/>
    </row>
    <row r="366" ht="15.75" customHeight="1">
      <c r="G366" s="15"/>
    </row>
    <row r="367" ht="15.75" customHeight="1">
      <c r="G367" s="15"/>
    </row>
    <row r="368" ht="15.75" customHeight="1">
      <c r="G368" s="15"/>
    </row>
    <row r="369" ht="15.75" customHeight="1">
      <c r="G369" s="15"/>
    </row>
    <row r="370" ht="15.75" customHeight="1">
      <c r="G370" s="15"/>
    </row>
    <row r="371" ht="15.75" customHeight="1">
      <c r="G371" s="15"/>
    </row>
    <row r="372" ht="15.75" customHeight="1">
      <c r="G372" s="15"/>
    </row>
    <row r="373" ht="15.75" customHeight="1">
      <c r="G373" s="15"/>
    </row>
    <row r="374" ht="15.75" customHeight="1">
      <c r="G374" s="15"/>
    </row>
    <row r="375" ht="15.75" customHeight="1">
      <c r="G375" s="15"/>
    </row>
    <row r="376" ht="15.75" customHeight="1">
      <c r="G376" s="15"/>
    </row>
    <row r="377" ht="15.75" customHeight="1">
      <c r="G377" s="15"/>
    </row>
    <row r="378" ht="15.75" customHeight="1">
      <c r="G378" s="15"/>
    </row>
    <row r="379" ht="15.75" customHeight="1">
      <c r="G379" s="15"/>
    </row>
    <row r="380" ht="15.75" customHeight="1">
      <c r="G380" s="15"/>
    </row>
    <row r="381" ht="15.75" customHeight="1">
      <c r="G381" s="15"/>
    </row>
    <row r="382" ht="15.75" customHeight="1">
      <c r="G382" s="15"/>
    </row>
    <row r="383" ht="15.75" customHeight="1">
      <c r="G383" s="15"/>
    </row>
    <row r="384" ht="15.75" customHeight="1">
      <c r="G384" s="15"/>
    </row>
    <row r="385" ht="15.75" customHeight="1">
      <c r="G385" s="15"/>
    </row>
    <row r="386" ht="15.75" customHeight="1">
      <c r="G386" s="15"/>
    </row>
    <row r="387" ht="15.75" customHeight="1">
      <c r="G387" s="15"/>
    </row>
    <row r="388" ht="15.75" customHeight="1">
      <c r="G388" s="15"/>
    </row>
    <row r="389" ht="15.75" customHeight="1">
      <c r="G389" s="15"/>
    </row>
    <row r="390" ht="15.75" customHeight="1">
      <c r="G390" s="15"/>
    </row>
    <row r="391" ht="15.75" customHeight="1">
      <c r="G391" s="15"/>
    </row>
    <row r="392" ht="15.75" customHeight="1">
      <c r="G392" s="15"/>
    </row>
    <row r="393" ht="15.75" customHeight="1">
      <c r="G393" s="15"/>
    </row>
    <row r="394" ht="15.75" customHeight="1">
      <c r="G394" s="15"/>
    </row>
    <row r="395" ht="15.75" customHeight="1">
      <c r="G395" s="15"/>
    </row>
    <row r="396" ht="15.75" customHeight="1">
      <c r="G396" s="15"/>
    </row>
    <row r="397" ht="15.75" customHeight="1">
      <c r="G397" s="15"/>
    </row>
    <row r="398" ht="15.75" customHeight="1">
      <c r="G398" s="15"/>
    </row>
    <row r="399" ht="15.75" customHeight="1">
      <c r="G399" s="15"/>
    </row>
    <row r="400" ht="15.75" customHeight="1">
      <c r="G400" s="15"/>
    </row>
    <row r="401" ht="15.75" customHeight="1">
      <c r="G401" s="15"/>
    </row>
    <row r="402" ht="15.75" customHeight="1">
      <c r="G402" s="15"/>
    </row>
    <row r="403" ht="15.75" customHeight="1">
      <c r="G403" s="15"/>
    </row>
    <row r="404" ht="15.75" customHeight="1">
      <c r="G404" s="15"/>
    </row>
    <row r="405" ht="15.75" customHeight="1">
      <c r="G405" s="15"/>
    </row>
    <row r="406" ht="15.75" customHeight="1">
      <c r="G406" s="15"/>
    </row>
    <row r="407" ht="15.75" customHeight="1">
      <c r="G407" s="15"/>
    </row>
    <row r="408" ht="15.75" customHeight="1">
      <c r="G408" s="15"/>
    </row>
    <row r="409" ht="15.75" customHeight="1">
      <c r="G409" s="15"/>
    </row>
    <row r="410" ht="15.75" customHeight="1">
      <c r="G410" s="15"/>
    </row>
    <row r="411" ht="15.75" customHeight="1">
      <c r="G411" s="15"/>
    </row>
    <row r="412" ht="15.75" customHeight="1">
      <c r="G412" s="15"/>
    </row>
    <row r="413" ht="15.75" customHeight="1">
      <c r="G413" s="15"/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1">
    <mergeCell ref="A1:E1"/>
    <mergeCell ref="F1:G1"/>
    <mergeCell ref="A2:G2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A18:G18"/>
    <mergeCell ref="F19:G19"/>
    <mergeCell ref="B19:E19"/>
    <mergeCell ref="B20:E20"/>
    <mergeCell ref="F20:G20"/>
    <mergeCell ref="B21:E21"/>
    <mergeCell ref="F21:G21"/>
    <mergeCell ref="B22:E22"/>
    <mergeCell ref="F22:G22"/>
    <mergeCell ref="B23:E23"/>
    <mergeCell ref="F23:G23"/>
    <mergeCell ref="A25:A26"/>
    <mergeCell ref="B25:C26"/>
    <mergeCell ref="D25:F25"/>
    <mergeCell ref="B27:F27"/>
    <mergeCell ref="B28:F28"/>
    <mergeCell ref="B29:F29"/>
    <mergeCell ref="B30:F30"/>
    <mergeCell ref="B32:F32"/>
    <mergeCell ref="B33:F33"/>
    <mergeCell ref="B34:F34"/>
    <mergeCell ref="B37:F37"/>
    <mergeCell ref="B38:F38"/>
    <mergeCell ref="B39:F39"/>
    <mergeCell ref="B46:F46"/>
    <mergeCell ref="B47:F47"/>
    <mergeCell ref="B48:F48"/>
    <mergeCell ref="B50:C50"/>
    <mergeCell ref="B51:C51"/>
    <mergeCell ref="B52:C52"/>
    <mergeCell ref="B53:C53"/>
    <mergeCell ref="B54:C54"/>
    <mergeCell ref="B55:F55"/>
    <mergeCell ref="B56:C56"/>
    <mergeCell ref="B57:C57"/>
    <mergeCell ref="B58:F58"/>
    <mergeCell ref="B59:C59"/>
    <mergeCell ref="B102:F102"/>
    <mergeCell ref="B103:F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F115"/>
    <mergeCell ref="B60:C60"/>
    <mergeCell ref="B61:F61"/>
    <mergeCell ref="B62:F62"/>
    <mergeCell ref="B63:F63"/>
    <mergeCell ref="B64:C64"/>
    <mergeCell ref="B65:F65"/>
    <mergeCell ref="B66:F66"/>
    <mergeCell ref="B67:F67"/>
    <mergeCell ref="B68:C68"/>
    <mergeCell ref="B69:C69"/>
    <mergeCell ref="B70:F70"/>
    <mergeCell ref="B71:F71"/>
    <mergeCell ref="B72:F72"/>
    <mergeCell ref="B73:C73"/>
    <mergeCell ref="B74:F74"/>
    <mergeCell ref="B75:F75"/>
    <mergeCell ref="B76:F76"/>
    <mergeCell ref="B77:C77"/>
    <mergeCell ref="B78:F78"/>
    <mergeCell ref="B79:F79"/>
    <mergeCell ref="B80:F80"/>
    <mergeCell ref="B81:C81"/>
    <mergeCell ref="B82:F82"/>
    <mergeCell ref="B83:F83"/>
    <mergeCell ref="B84:F84"/>
    <mergeCell ref="B85:C85"/>
    <mergeCell ref="B86:F86"/>
    <mergeCell ref="B87:F87"/>
    <mergeCell ref="B88:F88"/>
    <mergeCell ref="B89:C89"/>
    <mergeCell ref="B90:F90"/>
    <mergeCell ref="B91:F91"/>
    <mergeCell ref="B92:F92"/>
    <mergeCell ref="B93:C93"/>
    <mergeCell ref="B94:F94"/>
    <mergeCell ref="B95:C95"/>
    <mergeCell ref="B96:C96"/>
    <mergeCell ref="B97:C97"/>
    <mergeCell ref="B98:C98"/>
    <mergeCell ref="B99:C99"/>
    <mergeCell ref="B100:C100"/>
    <mergeCell ref="B101:F101"/>
    <mergeCell ref="B116:C116"/>
    <mergeCell ref="B117:C117"/>
    <mergeCell ref="B118:C118"/>
    <mergeCell ref="B119:C119"/>
    <mergeCell ref="B120:C120"/>
    <mergeCell ref="B121:C121"/>
    <mergeCell ref="B122:C12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F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C207:G207"/>
    <mergeCell ref="C208:G208"/>
    <mergeCell ref="B195:C195"/>
    <mergeCell ref="B196:C196"/>
    <mergeCell ref="B197:C197"/>
    <mergeCell ref="A199:F199"/>
    <mergeCell ref="B200:C200"/>
    <mergeCell ref="C201:G201"/>
    <mergeCell ref="C202:G20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40:C140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F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4:F17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2022-02-03T05:54:32Z</dcterms:created>
  <dc:creator>prola</dc:creator>
</cp:coreProperties>
</file>