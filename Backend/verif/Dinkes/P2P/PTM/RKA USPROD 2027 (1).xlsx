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2026\ANGGARAN 2027\"/>
    </mc:Choice>
  </mc:AlternateContent>
  <xr:revisionPtr revIDLastSave="0" documentId="13_ncr:1_{BA34B5EF-6FD2-4007-91BF-D6E56E43D9E9}" xr6:coauthVersionLast="47" xr6:coauthVersionMax="47" xr10:uidLastSave="{00000000-0000-0000-0000-000000000000}"/>
  <bookViews>
    <workbookView xWindow="-120" yWindow="-120" windowWidth="21840" windowHeight="13140" xr2:uid="{E54776F9-DB08-A14F-AF0A-EA187422B724}"/>
  </bookViews>
  <sheets>
    <sheet name="13Feb" sheetId="1" r:id="rId1"/>
  </sheets>
  <definedNames>
    <definedName name="_xlnm.Print_Titles" localSheetId="0">'13Feb'!$20:$21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98" i="1"/>
  <c r="H97" i="1" s="1"/>
  <c r="H96" i="1" s="1"/>
  <c r="H64" i="1"/>
  <c r="H67" i="1"/>
  <c r="H52" i="1"/>
  <c r="H51" i="1"/>
  <c r="H50" i="1" s="1"/>
  <c r="H42" i="1"/>
  <c r="H66" i="1"/>
  <c r="H40" i="1"/>
  <c r="H49" i="1"/>
  <c r="H48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79" i="1"/>
  <c r="H95" i="1"/>
  <c r="H47" i="1" l="1"/>
  <c r="H78" i="1"/>
  <c r="H77" i="1" s="1"/>
  <c r="H76" i="1" l="1"/>
  <c r="H55" i="1" l="1"/>
  <c r="H24" i="1"/>
  <c r="H57" i="1"/>
  <c r="H56" i="1" s="1"/>
  <c r="H25" i="1"/>
  <c r="H26" i="1"/>
  <c r="H34" i="1"/>
  <c r="H33" i="1"/>
  <c r="H32" i="1" s="1"/>
  <c r="H31" i="1" s="1"/>
  <c r="H38" i="1" l="1"/>
  <c r="H37" i="1" s="1"/>
  <c r="H46" i="1"/>
  <c r="H45" i="1"/>
  <c r="H62" i="1"/>
  <c r="H61" i="1" s="1"/>
  <c r="H65" i="1"/>
  <c r="H63" i="1" s="1"/>
  <c r="H30" i="1"/>
  <c r="H29" i="1"/>
  <c r="H70" i="1"/>
  <c r="H71" i="1"/>
  <c r="H72" i="1"/>
  <c r="H73" i="1"/>
  <c r="H74" i="1"/>
  <c r="H75" i="1"/>
  <c r="H69" i="1"/>
  <c r="H36" i="1" l="1"/>
  <c r="H54" i="1"/>
  <c r="H53" i="1" s="1"/>
  <c r="H44" i="1"/>
  <c r="H43" i="1" s="1"/>
  <c r="H60" i="1"/>
  <c r="H59" i="1" s="1"/>
  <c r="H68" i="1"/>
  <c r="H28" i="1"/>
  <c r="H58" i="1" l="1"/>
  <c r="H22" i="1" l="1"/>
  <c r="I22" i="1" s="1"/>
  <c r="J22" i="1" s="1"/>
  <c r="I23" i="1" l="1"/>
  <c r="D27" i="1" s="1"/>
</calcChain>
</file>

<file path=xl/sharedStrings.xml><?xml version="1.0" encoding="utf-8"?>
<sst xmlns="http://schemas.openxmlformats.org/spreadsheetml/2006/main" count="205" uniqueCount="139">
  <si>
    <t>Unit Organisasi</t>
  </si>
  <si>
    <t>: Dinas Kesehatan</t>
  </si>
  <si>
    <t>Sub Unit Organisasi</t>
  </si>
  <si>
    <t>: Bidang Pencegahan dan Pengendalian Penyakit</t>
  </si>
  <si>
    <t>Program</t>
  </si>
  <si>
    <t>: Pemenuhan Upaya Kesehatan Perorangan dan Upaya Kesehatan Masyarakat</t>
  </si>
  <si>
    <t>Kegiatan</t>
  </si>
  <si>
    <t>: Penyediaan Layanan Kesehatan untuk UKM dan UKP rujukan tingkat Kabupaten/Kota</t>
  </si>
  <si>
    <t>Sub Kegiatan</t>
  </si>
  <si>
    <t>Sumber Pendanaan</t>
  </si>
  <si>
    <t>Lokasi Kegiatan</t>
  </si>
  <si>
    <t>: Kab. Bogor</t>
  </si>
  <si>
    <t>Waktu Pelaksanaan</t>
  </si>
  <si>
    <t>Indikator &amp; Tolok Ukur Kinerja Belanja</t>
  </si>
  <si>
    <t>Indikator</t>
  </si>
  <si>
    <t>Tolak Ukur Kinerja</t>
  </si>
  <si>
    <t>Capaian Program</t>
  </si>
  <si>
    <t>Masukan</t>
  </si>
  <si>
    <t>Dana yang dibutuhkan</t>
  </si>
  <si>
    <t>Keluaran</t>
  </si>
  <si>
    <t>Hasil</t>
  </si>
  <si>
    <t>Terpenuhinya  Layanan Kesehatan untuk UKM dan UKP rujukan tingkat Kabupaten/Kota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</si>
  <si>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</si>
  <si>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</si>
  <si>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</si>
  <si>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</si>
  <si>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</si>
  <si>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</si>
  <si>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</si>
  <si>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</si>
  <si>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</si>
  <si>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Grand Total</t>
  </si>
  <si>
    <t xml:space="preserve">
5.1.02.01.01.0052 </t>
  </si>
  <si>
    <t>box</t>
  </si>
  <si>
    <t xml:space="preserve">Snack  </t>
  </si>
  <si>
    <t>5.1.02.01.01.0026</t>
  </si>
  <si>
    <t>5.1.02.02.01.0003</t>
  </si>
  <si>
    <t>orang/kali</t>
  </si>
  <si>
    <t>Belanja Makanan dan Minuman Rapat</t>
  </si>
  <si>
    <t>RINCIAN BELANJA SUB KEGIATAN 
SATUAN KERJA PERANGKAT DAERAH</t>
  </si>
  <si>
    <t>: Pengelolaan Pelayanan Kesehatan pada Usia Produktif</t>
  </si>
  <si>
    <t>Jumlah 2026</t>
  </si>
  <si>
    <t>Persentase Layanan Standar Pelayanan Minimal (SPM) Bidang Kesehatan</t>
  </si>
  <si>
    <t>Jumlah Penduduk Usia Produktif yang Mendapatkan Pelayanan Kesehatan Sesuai Standar</t>
  </si>
  <si>
    <t>5.1.02..01.01.0024</t>
  </si>
  <si>
    <t>Belanja Alat/Bahan untuk Kegiatan Kantor-ATK</t>
  </si>
  <si>
    <t>5.1.02.01.01.0025</t>
  </si>
  <si>
    <t>Belanja Alat/Bahan untuk Kegiatan Kantor-Kertas Cover</t>
  </si>
  <si>
    <t>Belanja Alat/Bahan untuk Kegiatan Kantor-Bahan Cetak</t>
  </si>
  <si>
    <t>Kertas HVS (Spesifikasi ukuran F4 80gram)</t>
  </si>
  <si>
    <t>Kertas HVS (Spesifikasi ukuran A4 80gram)</t>
  </si>
  <si>
    <t>Belanja Jasa</t>
  </si>
  <si>
    <t>Belanja Jasa Kantor</t>
  </si>
  <si>
    <t>5.1.02.02</t>
  </si>
  <si>
    <t>5.1.02.02.01</t>
  </si>
  <si>
    <t>Belanja Honorarium Narasumber atau Pembahas, Moderator, Pembawa Acara, dan Panitia</t>
  </si>
  <si>
    <t xml:space="preserve">Belanja Honorarium Narasumber </t>
  </si>
  <si>
    <t>5.1.02.02.01.0026</t>
  </si>
  <si>
    <t>Belanja Jasa Tenaga Administrasi</t>
  </si>
  <si>
    <t>Jasa Tenaga Rekruitment</t>
  </si>
  <si>
    <t>5.1.02.02.02.0005</t>
  </si>
  <si>
    <t>Belanja Iuran Jaminan Kesehatan bagi Non ASN</t>
  </si>
  <si>
    <t>Iuran Jaminan Kesehatan bagi Non ASN</t>
  </si>
  <si>
    <t>Belanja Iuran Jaminan Kecelakaan kerja bagi Non ASN</t>
  </si>
  <si>
    <t>5.1.02.02.02.0006</t>
  </si>
  <si>
    <t>Iuran Jaminan Kecelakaan Kerja bagi Non ASN</t>
  </si>
  <si>
    <t>5.1.02.02.02.0007</t>
  </si>
  <si>
    <t>Iuran Jaminan Kematian  bagi Non ASN</t>
  </si>
  <si>
    <t>Belanja Iuran Jaminan Kematian bagi Non ASN</t>
  </si>
  <si>
    <t>Buah</t>
  </si>
  <si>
    <t>Lusin</t>
  </si>
  <si>
    <t>Ballpoint motif batik</t>
  </si>
  <si>
    <t>Rim</t>
  </si>
  <si>
    <t>Spanduk ( Bahan Fleksi Cina)</t>
  </si>
  <si>
    <t>orang/bulan</t>
  </si>
  <si>
    <t>1 orang 12 bulan</t>
  </si>
  <si>
    <t xml:space="preserve">
5.1.02.01.01.0058 </t>
  </si>
  <si>
    <t xml:space="preserve">Belanja Makanan dan Minuman Aktivitas Lapangan
</t>
  </si>
  <si>
    <t>Makan</t>
  </si>
  <si>
    <t xml:space="preserve"> </t>
  </si>
  <si>
    <t>Honorarium Narasumber/Pembahas (Pejabat Esselon III ke bawah/yang disetarakan)</t>
  </si>
  <si>
    <t>1 orang 3 jam</t>
  </si>
  <si>
    <t>orang/jam</t>
  </si>
  <si>
    <t>orang/kegiatan</t>
  </si>
  <si>
    <t>Belanja Jasa Kegiatan Pembinaan Jasmani (Instruktur Senam) Tingkat Lokal</t>
  </si>
  <si>
    <t>Senam Kebugaran Jasmani bagi Pegawai Dinas Kesehatan</t>
  </si>
  <si>
    <t>Staples No 10</t>
  </si>
  <si>
    <t>Pack</t>
  </si>
  <si>
    <t>'Isi Staples No 10, isi 20 dus</t>
  </si>
  <si>
    <t>Materai</t>
  </si>
  <si>
    <t>Pemerintah Kabupaten Bogor Tahun Anggaran 2027</t>
  </si>
  <si>
    <t>: Januari s.d Desember 2027</t>
  </si>
  <si>
    <t>: APBD</t>
  </si>
  <si>
    <t>:  Rp. 132.548.000</t>
  </si>
  <si>
    <t>Pertemuan Peningkatan Kapasitas Dalam Tata Laksana HPV DNA bagi Petugas di Puskesmas</t>
  </si>
  <si>
    <t>Skrining HPV DNA</t>
  </si>
  <si>
    <t>1 orgx 24 kali</t>
  </si>
  <si>
    <t>meter</t>
  </si>
  <si>
    <t>5.1.02.01.001.0031</t>
  </si>
  <si>
    <t>Belanja Alat/Bahan untuk Kegiatan Kantor-Alat Listrik</t>
  </si>
  <si>
    <t>Belanja Batu Baterai AA1,5 volt</t>
  </si>
  <si>
    <t>Baterai, AA daya 1,5 volt</t>
  </si>
  <si>
    <t>pack</t>
  </si>
  <si>
    <t>5.1.02..01.01.0027</t>
  </si>
  <si>
    <t>Belanja Alat/Bahan untuk Kegiatan Kantor-Benda Pos</t>
  </si>
  <si>
    <t>11%</t>
  </si>
  <si>
    <t>25 box x 24 kali</t>
  </si>
  <si>
    <t xml:space="preserve">21 box x 101 kali </t>
  </si>
  <si>
    <t>5.1.02.04.01.0003</t>
  </si>
  <si>
    <t>Belanja Perjalanan Dinas Dalam Kota</t>
  </si>
  <si>
    <t xml:space="preserve">Belanja Perjalanan Dinas </t>
  </si>
  <si>
    <t>Transport perjalanan dinas antar kecamatan untuk mobil &lt;2000cc dari Cibinong ke Leuwisadeng</t>
  </si>
  <si>
    <t>1orang x 1 kali</t>
  </si>
  <si>
    <t>orang/hari</t>
  </si>
  <si>
    <t>Transport perjalanan dinas antar kecamatan untuk mobil &lt;2000cc dari Cibinong ke Leuwiliang</t>
  </si>
  <si>
    <t>Transport perjalanan dinas antar kecamatan untuk mobil &lt;2000cc dari Cibinong ke Ciampea</t>
  </si>
  <si>
    <t>Transport perjalanan dinas antar kecamatan untuk mobil &lt;2000cc dari Cibinong ke Kemang</t>
  </si>
  <si>
    <t>Transport perjalanan dinas antar kecamatan untuk mobil &lt;2000cc dari Cibinong ke Babakan Madang</t>
  </si>
  <si>
    <t>Uang Harian Perjalanan Dinas Dalam Daerah</t>
  </si>
  <si>
    <t>Transport perjalanan dinas antar kecamatan untuk mobil &lt;2000cc dari Cibinong ke Ciomas</t>
  </si>
  <si>
    <t>Transport perjalanan dinas antar kecamatan untuk mobil &lt;2000cc dari Cibinong ke Ciawi</t>
  </si>
  <si>
    <t>Pembinaan Teknis Kegiatan Program PTM Prioritas</t>
  </si>
  <si>
    <t>Transport perjalanan dinas antar kecamatan untuk mobil &lt;2000cc dari Cibinong ke Cijeruk</t>
  </si>
  <si>
    <t>Transport perjalanan dinas antar kecamatan untuk mobil &lt;2000cc dari Cibinong ke Cigombong</t>
  </si>
  <si>
    <t>Transport perjalanan dinas antar kecamatan untuk mobil &lt;2000cc dari Cibinong ke Dramaga</t>
  </si>
  <si>
    <t>Transport perjalanan dinas antar kecamatan untuk mobil &lt;2000cc dari Cibinong ke Parung</t>
  </si>
  <si>
    <t>Transport perjalanan dinas antar kecamatan untuk mobil &lt;2000cc dari Cibinong ke Ciseeng</t>
  </si>
  <si>
    <t>Transport perjalanan dinas antar kecamatan untuk mobil &lt;2000cc dari Cibinong ke Gunung Sindur</t>
  </si>
  <si>
    <t>Transport perjalanan dinas antar kecamatan untuk mobil &lt;2000cc dari Cibinong ke Citeureup</t>
  </si>
  <si>
    <t>Transport perjalanan dinas antar kecamatan untuk mobil &lt;2000cc dari Cibinong ke Sukaraja</t>
  </si>
  <si>
    <t>Transport perjalanan dinas antar kecamatan untuk mobil &lt;2000cc dari Cibinong ke Caringin</t>
  </si>
  <si>
    <t>2orang x 16 kali</t>
  </si>
  <si>
    <t>Pertemuan Peningkatan Kapasitas Dalam Tata Laksana Skrining Kesehatan Gigi Mulut  bagi Petugas di Puskesmas</t>
  </si>
  <si>
    <t xml:space="preserve">Peningkatan Kapasitas SPM Pelayanan Usia Produktif </t>
  </si>
  <si>
    <t>Belanja Bahan-Bahan Lainnya</t>
  </si>
  <si>
    <t>Deteksi Dini Penyakit Diabetes Melitus</t>
  </si>
  <si>
    <t>Strip Test Gula Darah</t>
  </si>
  <si>
    <t>Box</t>
  </si>
  <si>
    <t>5.1.02.01.001.00012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</si>
</sst>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(* #,##0.000000000_);_(* \(#,##0.000000000\);_(* &quot;-&quot;_);_(@_)"/>
    <numFmt numFmtId="167" formatCode="_(* #,##0.000000000_);_(* \(#,##0.000000000\);_(* &quot;-&quot;?????????_);_(@_)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</cellStyleXfs>
  <cellXfs count="13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1" fontId="3" fillId="2" borderId="0" xfId="2" applyFont="1" applyFill="1" applyAlignment="1">
      <alignment vertical="center"/>
    </xf>
    <xf numFmtId="41" fontId="3" fillId="2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167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165" fontId="7" fillId="2" borderId="6" xfId="1" applyNumberFormat="1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2" borderId="13" xfId="0" quotePrefix="1" applyFont="1" applyFill="1" applyBorder="1" applyAlignment="1">
      <alignment horizontal="left" vertical="center"/>
    </xf>
    <xf numFmtId="0" fontId="8" fillId="2" borderId="1" xfId="4" applyFont="1" applyFill="1" applyBorder="1" applyAlignment="1">
      <alignment vertical="center"/>
    </xf>
    <xf numFmtId="0" fontId="8" fillId="2" borderId="1" xfId="4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8" fillId="2" borderId="1" xfId="4" quotePrefix="1" applyFont="1" applyFill="1" applyBorder="1" applyAlignment="1">
      <alignment vertical="center" wrapText="1"/>
    </xf>
    <xf numFmtId="0" fontId="10" fillId="2" borderId="1" xfId="4" applyFont="1" applyFill="1" applyBorder="1" applyAlignment="1">
      <alignment horizontal="left" vertical="center"/>
    </xf>
    <xf numFmtId="0" fontId="8" fillId="2" borderId="15" xfId="0" quotePrefix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8" fillId="2" borderId="1" xfId="4" quotePrefix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vertical="center" wrapText="1"/>
    </xf>
    <xf numFmtId="3" fontId="8" fillId="2" borderId="1" xfId="2" applyNumberFormat="1" applyFont="1" applyFill="1" applyBorder="1" applyAlignment="1">
      <alignment vertical="center"/>
    </xf>
    <xf numFmtId="3" fontId="8" fillId="2" borderId="1" xfId="4" quotePrefix="1" applyNumberFormat="1" applyFont="1" applyFill="1" applyBorder="1" applyAlignment="1">
      <alignment vertical="center" wrapText="1"/>
    </xf>
    <xf numFmtId="3" fontId="7" fillId="2" borderId="1" xfId="0" applyNumberFormat="1" applyFont="1" applyFill="1" applyBorder="1" applyAlignment="1">
      <alignment vertical="center" wrapText="1"/>
    </xf>
    <xf numFmtId="3" fontId="7" fillId="3" borderId="1" xfId="0" applyNumberFormat="1" applyFont="1" applyFill="1" applyBorder="1" applyAlignment="1">
      <alignment vertical="center" wrapText="1"/>
    </xf>
    <xf numFmtId="0" fontId="7" fillId="3" borderId="1" xfId="4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2" applyNumberFormat="1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  <xf numFmtId="0" fontId="9" fillId="3" borderId="1" xfId="0" quotePrefix="1" applyFont="1" applyFill="1" applyBorder="1" applyAlignment="1">
      <alignment vertical="center"/>
    </xf>
    <xf numFmtId="0" fontId="7" fillId="3" borderId="1" xfId="4" applyFont="1" applyFill="1" applyBorder="1" applyAlignment="1">
      <alignment vertical="center"/>
    </xf>
    <xf numFmtId="41" fontId="7" fillId="3" borderId="1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vertical="center"/>
    </xf>
    <xf numFmtId="0" fontId="8" fillId="2" borderId="13" xfId="0" quotePrefix="1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5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left" vertical="center" wrapText="1"/>
    </xf>
    <xf numFmtId="0" fontId="5" fillId="2" borderId="15" xfId="0" quotePrefix="1" applyFont="1" applyFill="1" applyBorder="1" applyAlignment="1">
      <alignment horizontal="left" vertical="center" wrapText="1"/>
    </xf>
    <xf numFmtId="0" fontId="7" fillId="2" borderId="1" xfId="4" applyFont="1" applyFill="1" applyBorder="1" applyAlignment="1">
      <alignment horizontal="left" vertical="center"/>
    </xf>
    <xf numFmtId="0" fontId="7" fillId="3" borderId="13" xfId="4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165" fontId="5" fillId="3" borderId="17" xfId="1" applyNumberFormat="1" applyFont="1" applyFill="1" applyBorder="1" applyAlignment="1">
      <alignment vertical="center"/>
    </xf>
    <xf numFmtId="3" fontId="8" fillId="3" borderId="15" xfId="0" applyNumberFormat="1" applyFont="1" applyFill="1" applyBorder="1" applyAlignment="1">
      <alignment vertical="center" wrapText="1"/>
    </xf>
    <xf numFmtId="165" fontId="9" fillId="3" borderId="1" xfId="0" applyNumberFormat="1" applyFont="1" applyFill="1" applyBorder="1" applyAlignment="1">
      <alignment vertical="center"/>
    </xf>
    <xf numFmtId="0" fontId="7" fillId="2" borderId="13" xfId="4" applyFont="1" applyFill="1" applyBorder="1" applyAlignment="1">
      <alignment horizontal="left" vertical="center"/>
    </xf>
    <xf numFmtId="41" fontId="8" fillId="2" borderId="1" xfId="2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3" fontId="8" fillId="3" borderId="1" xfId="2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 wrapText="1"/>
    </xf>
    <xf numFmtId="3" fontId="8" fillId="2" borderId="1" xfId="0" quotePrefix="1" applyNumberFormat="1" applyFont="1" applyFill="1" applyBorder="1" applyAlignment="1">
      <alignment horizontal="right" vertical="center" wrapText="1"/>
    </xf>
    <xf numFmtId="2" fontId="3" fillId="2" borderId="0" xfId="0" applyNumberFormat="1" applyFont="1" applyFill="1" applyAlignment="1">
      <alignment vertical="center"/>
    </xf>
    <xf numFmtId="0" fontId="8" fillId="3" borderId="1" xfId="0" quotePrefix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7" fillId="3" borderId="13" xfId="0" quotePrefix="1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8" fillId="2" borderId="13" xfId="0" quotePrefix="1" applyFont="1" applyFill="1" applyBorder="1" applyAlignment="1">
      <alignment horizontal="left" vertical="center" wrapText="1"/>
    </xf>
    <xf numFmtId="0" fontId="8" fillId="2" borderId="15" xfId="0" quotePrefix="1" applyFont="1" applyFill="1" applyBorder="1" applyAlignment="1">
      <alignment horizontal="left" vertical="center" wrapText="1"/>
    </xf>
    <xf numFmtId="0" fontId="9" fillId="3" borderId="13" xfId="0" quotePrefix="1" applyFont="1" applyFill="1" applyBorder="1" applyAlignment="1">
      <alignment horizontal="left" vertical="center" wrapText="1"/>
    </xf>
    <xf numFmtId="0" fontId="9" fillId="3" borderId="15" xfId="0" quotePrefix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left" vertical="center" wrapText="1"/>
    </xf>
    <xf numFmtId="0" fontId="5" fillId="2" borderId="13" xfId="0" quotePrefix="1" applyFont="1" applyFill="1" applyBorder="1" applyAlignment="1">
      <alignment horizontal="left" vertical="center" wrapText="1"/>
    </xf>
    <xf numFmtId="0" fontId="5" fillId="2" borderId="15" xfId="0" quotePrefix="1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4" quotePrefix="1" applyFont="1" applyFill="1" applyBorder="1" applyAlignment="1">
      <alignment horizontal="left" vertical="center" wrapText="1"/>
    </xf>
    <xf numFmtId="0" fontId="8" fillId="2" borderId="1" xfId="4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left" vertical="center" wrapText="1"/>
    </xf>
    <xf numFmtId="43" fontId="3" fillId="2" borderId="0" xfId="0" applyNumberFormat="1" applyFont="1" applyFill="1" applyAlignment="1">
      <alignment vertical="center"/>
    </xf>
    <xf numFmtId="0" fontId="5" fillId="3" borderId="18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" fontId="3" fillId="2" borderId="0" xfId="0" applyNumberFormat="1" applyFont="1" applyFill="1" applyAlignment="1">
      <alignment vertical="center"/>
    </xf>
    <xf numFmtId="0" fontId="7" fillId="3" borderId="1" xfId="4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2" borderId="15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</cellXfs>
  <cellStyles count="5">
    <cellStyle name="Comma" xfId="1" builtinId="3"/>
    <cellStyle name="Comma [0]" xfId="2" builtinId="6"/>
    <cellStyle name="Comma [0] 12 2" xfId="3" xr:uid="{944477B4-6B3C-FC4B-A923-9A6D5DC7C540}"/>
    <cellStyle name="Normal" xfId="0" builtinId="0"/>
    <cellStyle name="Normal 2" xfId="4" xr:uid="{20DA18AF-FCB4-2942-B7F3-CAADAA5C7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8BD-D813-684E-9F66-8BD96C0B1F65}">
  <dimension ref="A1:J99"/>
  <sheetViews>
    <sheetView tabSelected="1" topLeftCell="A89" zoomScaleNormal="100" workbookViewId="0">
      <selection activeCell="H24" sqref="H24"/>
    </sheetView>
  </sheetViews>
  <sheetFormatPr defaultColWidth="8.625" defaultRowHeight="11.25" x14ac:dyDescent="0.25"/>
  <cols>
    <col min="1" max="1" width="22.375" style="1" customWidth="1"/>
    <col min="2" max="2" width="8.625" style="1"/>
    <col min="3" max="3" width="38.625" style="1" customWidth="1"/>
    <col min="4" max="4" width="20.375" style="2" customWidth="1"/>
    <col min="5" max="5" width="11.75" style="1" customWidth="1"/>
    <col min="6" max="6" width="10.125" style="1" bestFit="1" customWidth="1"/>
    <col min="7" max="7" width="5.625" style="1" customWidth="1"/>
    <col min="8" max="8" width="13.625" style="1" customWidth="1"/>
    <col min="9" max="9" width="16.625" style="1" customWidth="1"/>
    <col min="10" max="10" width="11.25" style="1" customWidth="1"/>
    <col min="11" max="16384" width="8.625" style="1"/>
  </cols>
  <sheetData>
    <row r="1" spans="1:8" ht="30" hidden="1" customHeight="1" x14ac:dyDescent="0.25">
      <c r="A1" s="93" t="s">
        <v>39</v>
      </c>
      <c r="B1" s="94"/>
      <c r="C1" s="94"/>
      <c r="D1" s="94"/>
      <c r="E1" s="94"/>
      <c r="F1" s="94"/>
      <c r="G1" s="94"/>
      <c r="H1" s="94"/>
    </row>
    <row r="2" spans="1:8" ht="26.1" customHeight="1" x14ac:dyDescent="0.25">
      <c r="A2" s="95" t="s">
        <v>90</v>
      </c>
      <c r="B2" s="96"/>
      <c r="C2" s="96"/>
      <c r="D2" s="96"/>
      <c r="E2" s="96"/>
      <c r="F2" s="96"/>
      <c r="G2" s="96"/>
      <c r="H2" s="97"/>
    </row>
    <row r="3" spans="1:8" ht="18.95" customHeight="1" x14ac:dyDescent="0.25">
      <c r="A3" s="8" t="s">
        <v>0</v>
      </c>
      <c r="B3" s="81" t="s">
        <v>1</v>
      </c>
      <c r="C3" s="82"/>
      <c r="D3" s="82"/>
      <c r="E3" s="82"/>
      <c r="F3" s="83"/>
      <c r="G3" s="9"/>
      <c r="H3" s="9"/>
    </row>
    <row r="4" spans="1:8" ht="18.95" customHeight="1" x14ac:dyDescent="0.25">
      <c r="A4" s="8" t="s">
        <v>2</v>
      </c>
      <c r="B4" s="81" t="s">
        <v>3</v>
      </c>
      <c r="C4" s="82"/>
      <c r="D4" s="82"/>
      <c r="E4" s="82"/>
      <c r="F4" s="83"/>
      <c r="G4" s="9"/>
      <c r="H4" s="9"/>
    </row>
    <row r="5" spans="1:8" ht="18.95" customHeight="1" x14ac:dyDescent="0.25">
      <c r="A5" s="8" t="s">
        <v>4</v>
      </c>
      <c r="B5" s="81" t="s">
        <v>5</v>
      </c>
      <c r="C5" s="82"/>
      <c r="D5" s="82"/>
      <c r="E5" s="82"/>
      <c r="F5" s="83"/>
      <c r="G5" s="9"/>
      <c r="H5" s="9"/>
    </row>
    <row r="6" spans="1:8" ht="18.95" customHeight="1" x14ac:dyDescent="0.25">
      <c r="A6" s="8" t="s">
        <v>6</v>
      </c>
      <c r="B6" s="81" t="s">
        <v>7</v>
      </c>
      <c r="C6" s="82"/>
      <c r="D6" s="82"/>
      <c r="E6" s="82"/>
      <c r="F6" s="83"/>
      <c r="G6" s="9"/>
      <c r="H6" s="9"/>
    </row>
    <row r="7" spans="1:8" ht="18.95" customHeight="1" x14ac:dyDescent="0.25">
      <c r="A7" s="8" t="s">
        <v>8</v>
      </c>
      <c r="B7" s="81" t="s">
        <v>40</v>
      </c>
      <c r="C7" s="82"/>
      <c r="D7" s="82"/>
      <c r="E7" s="82"/>
      <c r="F7" s="83"/>
      <c r="G7" s="9"/>
      <c r="H7" s="9"/>
    </row>
    <row r="8" spans="1:8" ht="18.95" customHeight="1" x14ac:dyDescent="0.25">
      <c r="A8" s="8" t="s">
        <v>9</v>
      </c>
      <c r="B8" s="81" t="s">
        <v>92</v>
      </c>
      <c r="C8" s="82"/>
      <c r="D8" s="82"/>
      <c r="E8" s="82"/>
      <c r="F8" s="83"/>
      <c r="G8" s="9"/>
      <c r="H8" s="9"/>
    </row>
    <row r="9" spans="1:8" ht="18.95" customHeight="1" x14ac:dyDescent="0.25">
      <c r="A9" s="8" t="s">
        <v>10</v>
      </c>
      <c r="B9" s="81" t="s">
        <v>11</v>
      </c>
      <c r="C9" s="82"/>
      <c r="D9" s="82"/>
      <c r="E9" s="82"/>
      <c r="F9" s="83"/>
      <c r="G9" s="9"/>
      <c r="H9" s="9"/>
    </row>
    <row r="10" spans="1:8" ht="18.95" customHeight="1" x14ac:dyDescent="0.25">
      <c r="A10" s="8" t="s">
        <v>12</v>
      </c>
      <c r="B10" s="81" t="s">
        <v>91</v>
      </c>
      <c r="C10" s="82"/>
      <c r="D10" s="82"/>
      <c r="E10" s="82"/>
      <c r="F10" s="83"/>
      <c r="G10" s="9"/>
      <c r="H10" s="9"/>
    </row>
    <row r="11" spans="1:8" ht="18.95" customHeight="1" x14ac:dyDescent="0.25">
      <c r="A11" s="8" t="s">
        <v>41</v>
      </c>
      <c r="B11" s="81" t="s">
        <v>93</v>
      </c>
      <c r="C11" s="82"/>
      <c r="D11" s="82"/>
      <c r="E11" s="82"/>
      <c r="F11" s="83"/>
      <c r="G11" s="9"/>
      <c r="H11" s="9"/>
    </row>
    <row r="12" spans="1:8" ht="12.75" x14ac:dyDescent="0.25">
      <c r="A12" s="9"/>
      <c r="B12" s="9"/>
      <c r="C12" s="9"/>
      <c r="D12" s="10"/>
      <c r="E12" s="9"/>
      <c r="F12" s="9"/>
      <c r="G12" s="9"/>
      <c r="H12" s="9"/>
    </row>
    <row r="13" spans="1:8" ht="13.5" thickBot="1" x14ac:dyDescent="0.3">
      <c r="A13" s="88" t="s">
        <v>13</v>
      </c>
      <c r="B13" s="89"/>
      <c r="C13" s="89"/>
      <c r="D13" s="89"/>
      <c r="E13" s="89"/>
      <c r="F13" s="89"/>
      <c r="G13" s="89"/>
      <c r="H13" s="90"/>
    </row>
    <row r="14" spans="1:8" ht="31.5" customHeight="1" thickTop="1" thickBot="1" x14ac:dyDescent="0.3">
      <c r="A14" s="91" t="s">
        <v>14</v>
      </c>
      <c r="B14" s="92"/>
      <c r="C14" s="113" t="s">
        <v>15</v>
      </c>
      <c r="D14" s="114"/>
      <c r="E14" s="114"/>
      <c r="F14" s="114"/>
      <c r="G14" s="115"/>
      <c r="H14" s="13"/>
    </row>
    <row r="15" spans="1:8" ht="14.25" thickTop="1" thickBot="1" x14ac:dyDescent="0.3">
      <c r="A15" s="84" t="s">
        <v>16</v>
      </c>
      <c r="B15" s="85"/>
      <c r="C15" s="86" t="s">
        <v>42</v>
      </c>
      <c r="D15" s="87"/>
      <c r="E15" s="87"/>
      <c r="F15" s="87"/>
      <c r="G15" s="85"/>
      <c r="H15" s="11"/>
    </row>
    <row r="16" spans="1:8" ht="14.25" thickTop="1" thickBot="1" x14ac:dyDescent="0.3">
      <c r="A16" s="84" t="s">
        <v>17</v>
      </c>
      <c r="B16" s="85"/>
      <c r="C16" s="86" t="s">
        <v>18</v>
      </c>
      <c r="D16" s="87"/>
      <c r="E16" s="87"/>
      <c r="F16" s="87"/>
      <c r="G16" s="85"/>
      <c r="H16" s="11"/>
    </row>
    <row r="17" spans="1:10" ht="27" customHeight="1" thickTop="1" thickBot="1" x14ac:dyDescent="0.3">
      <c r="A17" s="84" t="s">
        <v>19</v>
      </c>
      <c r="B17" s="85"/>
      <c r="C17" s="86" t="s">
        <v>43</v>
      </c>
      <c r="D17" s="87"/>
      <c r="E17" s="87"/>
      <c r="F17" s="87"/>
      <c r="G17" s="85"/>
      <c r="H17" s="12"/>
    </row>
    <row r="18" spans="1:10" ht="18" customHeight="1" thickTop="1" thickBot="1" x14ac:dyDescent="0.3">
      <c r="A18" s="84" t="s">
        <v>20</v>
      </c>
      <c r="B18" s="85"/>
      <c r="C18" s="86" t="s">
        <v>21</v>
      </c>
      <c r="D18" s="87"/>
      <c r="E18" s="87"/>
      <c r="F18" s="87"/>
      <c r="G18" s="85"/>
      <c r="H18" s="11"/>
    </row>
    <row r="19" spans="1:10" ht="13.5" thickTop="1" x14ac:dyDescent="0.25">
      <c r="A19" s="105" t="s">
        <v>22</v>
      </c>
      <c r="B19" s="106"/>
      <c r="C19" s="106"/>
      <c r="D19" s="106"/>
      <c r="E19" s="106"/>
      <c r="F19" s="106"/>
      <c r="G19" s="106"/>
      <c r="H19" s="107"/>
    </row>
    <row r="20" spans="1:10" ht="12.75" x14ac:dyDescent="0.25">
      <c r="A20" s="74" t="s">
        <v>23</v>
      </c>
      <c r="B20" s="74" t="s">
        <v>24</v>
      </c>
      <c r="C20" s="74"/>
      <c r="D20" s="75" t="s">
        <v>25</v>
      </c>
      <c r="E20" s="75"/>
      <c r="F20" s="75"/>
      <c r="G20" s="75"/>
      <c r="H20" s="74" t="s">
        <v>26</v>
      </c>
    </row>
    <row r="21" spans="1:10" ht="15.95" customHeight="1" x14ac:dyDescent="0.25">
      <c r="A21" s="74"/>
      <c r="B21" s="74"/>
      <c r="C21" s="74"/>
      <c r="D21" s="14" t="s">
        <v>27</v>
      </c>
      <c r="E21" s="16" t="s">
        <v>28</v>
      </c>
      <c r="F21" s="16" t="s">
        <v>29</v>
      </c>
      <c r="G21" s="17" t="s">
        <v>30</v>
      </c>
      <c r="H21" s="74"/>
      <c r="I21" s="3"/>
      <c r="J21" s="44"/>
    </row>
    <row r="22" spans="1:10" ht="35.1" customHeight="1" x14ac:dyDescent="0.25">
      <c r="A22" s="75" t="s">
        <v>31</v>
      </c>
      <c r="B22" s="75"/>
      <c r="C22" s="75"/>
      <c r="D22" s="75"/>
      <c r="E22" s="75"/>
      <c r="F22" s="75"/>
      <c r="G22" s="75"/>
      <c r="H22" s="18">
        <f>H23+H28+H31+H34+H36+H43+H53+H58+H68+H76+H96</f>
        <v>132548000</v>
      </c>
      <c r="I22" s="4">
        <f>132548000-H22</f>
        <v>0</v>
      </c>
      <c r="J22" s="7">
        <f>I22/F98</f>
        <v>0</v>
      </c>
    </row>
    <row r="23" spans="1:10" ht="35.1" customHeight="1" x14ac:dyDescent="0.25">
      <c r="A23" s="42" t="s">
        <v>44</v>
      </c>
      <c r="B23" s="76" t="s">
        <v>45</v>
      </c>
      <c r="C23" s="76"/>
      <c r="D23" s="102"/>
      <c r="E23" s="103"/>
      <c r="F23" s="103"/>
      <c r="G23" s="104"/>
      <c r="H23" s="43">
        <f>SUM(H24:H27)</f>
        <v>423107</v>
      </c>
      <c r="I23" s="121">
        <f>132548000-H22</f>
        <v>0</v>
      </c>
      <c r="J23" s="7"/>
    </row>
    <row r="24" spans="1:10" ht="15" customHeight="1" x14ac:dyDescent="0.25">
      <c r="A24" s="19"/>
      <c r="B24" s="116" t="s">
        <v>71</v>
      </c>
      <c r="C24" s="116"/>
      <c r="D24" s="10">
        <v>2</v>
      </c>
      <c r="E24" s="9" t="s">
        <v>70</v>
      </c>
      <c r="F24" s="31">
        <v>58550</v>
      </c>
      <c r="G24" s="30"/>
      <c r="H24" s="30">
        <f>D24*F24</f>
        <v>117100</v>
      </c>
      <c r="I24" s="4"/>
    </row>
    <row r="25" spans="1:10" ht="15" customHeight="1" x14ac:dyDescent="0.25">
      <c r="A25" s="19"/>
      <c r="B25" s="99" t="s">
        <v>86</v>
      </c>
      <c r="C25" s="100"/>
      <c r="D25" s="10">
        <v>3</v>
      </c>
      <c r="E25" s="9" t="s">
        <v>69</v>
      </c>
      <c r="F25" s="31">
        <v>36350</v>
      </c>
      <c r="G25" s="30"/>
      <c r="H25" s="30">
        <f t="shared" ref="H25:H26" si="0">D25*F25</f>
        <v>109050</v>
      </c>
      <c r="I25" s="4"/>
      <c r="J25" s="117"/>
    </row>
    <row r="26" spans="1:10" ht="15" customHeight="1" x14ac:dyDescent="0.25">
      <c r="A26" s="19"/>
      <c r="B26" s="99" t="s">
        <v>88</v>
      </c>
      <c r="C26" s="100"/>
      <c r="D26" s="10">
        <v>1</v>
      </c>
      <c r="E26" s="9" t="s">
        <v>87</v>
      </c>
      <c r="F26" s="31">
        <v>163750</v>
      </c>
      <c r="G26" s="30"/>
      <c r="H26" s="30">
        <f t="shared" si="0"/>
        <v>163750</v>
      </c>
      <c r="I26" s="4"/>
    </row>
    <row r="27" spans="1:10" ht="15" customHeight="1" x14ac:dyDescent="0.25">
      <c r="A27" s="19"/>
      <c r="B27" s="49"/>
      <c r="C27" s="50"/>
      <c r="D27" s="10">
        <f>I23/F26</f>
        <v>0</v>
      </c>
      <c r="E27" s="9"/>
      <c r="F27" s="31">
        <v>163750</v>
      </c>
      <c r="G27" s="30"/>
      <c r="H27" s="30">
        <v>33207</v>
      </c>
      <c r="I27" s="4"/>
    </row>
    <row r="28" spans="1:10" ht="35.1" customHeight="1" x14ac:dyDescent="0.25">
      <c r="A28" s="35" t="s">
        <v>46</v>
      </c>
      <c r="B28" s="41" t="s">
        <v>47</v>
      </c>
      <c r="C28" s="41"/>
      <c r="D28" s="38"/>
      <c r="E28" s="40"/>
      <c r="F28" s="39"/>
      <c r="G28" s="34"/>
      <c r="H28" s="34">
        <f>H29+H30</f>
        <v>704325</v>
      </c>
    </row>
    <row r="29" spans="1:10" ht="15" customHeight="1" x14ac:dyDescent="0.25">
      <c r="A29" s="22"/>
      <c r="B29" s="101" t="s">
        <v>49</v>
      </c>
      <c r="C29" s="101"/>
      <c r="D29" s="28">
        <v>3</v>
      </c>
      <c r="E29" s="15" t="s">
        <v>72</v>
      </c>
      <c r="F29" s="31">
        <v>87875</v>
      </c>
      <c r="G29" s="30"/>
      <c r="H29" s="30">
        <f>D29*F29</f>
        <v>263625</v>
      </c>
      <c r="I29" s="5"/>
    </row>
    <row r="30" spans="1:10" ht="15" customHeight="1" x14ac:dyDescent="0.25">
      <c r="A30" s="22"/>
      <c r="B30" s="101" t="s">
        <v>50</v>
      </c>
      <c r="C30" s="101"/>
      <c r="D30" s="10">
        <v>6</v>
      </c>
      <c r="E30" s="15" t="s">
        <v>72</v>
      </c>
      <c r="F30" s="31">
        <v>73450</v>
      </c>
      <c r="G30" s="30"/>
      <c r="H30" s="30">
        <f>D30*F30</f>
        <v>440700</v>
      </c>
      <c r="I30" s="6"/>
    </row>
    <row r="31" spans="1:10" ht="32.25" customHeight="1" x14ac:dyDescent="0.25">
      <c r="A31" s="52" t="s">
        <v>98</v>
      </c>
      <c r="B31" s="53" t="s">
        <v>99</v>
      </c>
      <c r="C31" s="54"/>
      <c r="D31" s="55"/>
      <c r="E31" s="118"/>
      <c r="F31" s="56"/>
      <c r="G31" s="57"/>
      <c r="H31" s="58">
        <f>H32</f>
        <v>427400</v>
      </c>
      <c r="I31" s="6"/>
    </row>
    <row r="32" spans="1:10" ht="15" customHeight="1" x14ac:dyDescent="0.25">
      <c r="A32" s="59"/>
      <c r="B32" s="79" t="s">
        <v>100</v>
      </c>
      <c r="C32" s="80"/>
      <c r="D32" s="10"/>
      <c r="E32" s="9"/>
      <c r="F32" s="9"/>
      <c r="G32" s="9"/>
      <c r="H32" s="60">
        <f>H33</f>
        <v>427400</v>
      </c>
      <c r="I32" s="6"/>
    </row>
    <row r="33" spans="1:9" ht="15" customHeight="1" x14ac:dyDescent="0.25">
      <c r="A33" s="59"/>
      <c r="B33" s="79" t="s">
        <v>101</v>
      </c>
      <c r="C33" s="80"/>
      <c r="D33" s="10">
        <v>8</v>
      </c>
      <c r="E33" s="9" t="s">
        <v>102</v>
      </c>
      <c r="F33" s="31">
        <v>53425</v>
      </c>
      <c r="G33" s="9"/>
      <c r="H33" s="60">
        <f>D33*F33</f>
        <v>427400</v>
      </c>
      <c r="I33" s="6"/>
    </row>
    <row r="34" spans="1:9" ht="32.25" customHeight="1" x14ac:dyDescent="0.25">
      <c r="A34" s="35" t="s">
        <v>103</v>
      </c>
      <c r="B34" s="72" t="s">
        <v>104</v>
      </c>
      <c r="C34" s="73"/>
      <c r="D34" s="61"/>
      <c r="E34" s="119"/>
      <c r="F34" s="62"/>
      <c r="G34" s="63"/>
      <c r="H34" s="34">
        <f>H35</f>
        <v>555000</v>
      </c>
      <c r="I34" s="6"/>
    </row>
    <row r="35" spans="1:9" ht="18.75" customHeight="1" x14ac:dyDescent="0.25">
      <c r="A35" s="19"/>
      <c r="B35" s="99" t="s">
        <v>89</v>
      </c>
      <c r="C35" s="100"/>
      <c r="D35" s="10">
        <v>50</v>
      </c>
      <c r="E35" s="9" t="s">
        <v>69</v>
      </c>
      <c r="F35" s="31">
        <v>10000</v>
      </c>
      <c r="G35" s="64" t="s">
        <v>105</v>
      </c>
      <c r="H35" s="30">
        <v>555000</v>
      </c>
      <c r="I35" s="65"/>
    </row>
    <row r="36" spans="1:9" ht="35.1" customHeight="1" x14ac:dyDescent="0.25">
      <c r="A36" s="35" t="s">
        <v>35</v>
      </c>
      <c r="B36" s="40" t="s">
        <v>48</v>
      </c>
      <c r="C36" s="40"/>
      <c r="D36" s="38"/>
      <c r="E36" s="40"/>
      <c r="F36" s="39"/>
      <c r="G36" s="34"/>
      <c r="H36" s="34">
        <f>H37</f>
        <v>846000</v>
      </c>
      <c r="I36" s="6"/>
    </row>
    <row r="37" spans="1:9" ht="36.75" customHeight="1" x14ac:dyDescent="0.25">
      <c r="A37" s="22"/>
      <c r="B37" s="70" t="s">
        <v>94</v>
      </c>
      <c r="C37" s="71"/>
      <c r="D37" s="10"/>
      <c r="E37" s="15"/>
      <c r="F37" s="31"/>
      <c r="G37" s="30"/>
      <c r="H37" s="30">
        <f>H38+H40+H42</f>
        <v>846000</v>
      </c>
      <c r="I37" s="6"/>
    </row>
    <row r="38" spans="1:9" ht="19.5" customHeight="1" x14ac:dyDescent="0.25">
      <c r="A38" s="22"/>
      <c r="B38" s="20" t="s">
        <v>73</v>
      </c>
      <c r="C38" s="47"/>
      <c r="D38" s="10">
        <v>6</v>
      </c>
      <c r="E38" s="15" t="s">
        <v>97</v>
      </c>
      <c r="F38" s="31">
        <v>47000</v>
      </c>
      <c r="G38" s="30"/>
      <c r="H38" s="30">
        <f>D38*F38</f>
        <v>282000</v>
      </c>
      <c r="I38" s="6"/>
    </row>
    <row r="39" spans="1:9" ht="38.25" customHeight="1" x14ac:dyDescent="0.25">
      <c r="A39" s="22"/>
      <c r="B39" s="70" t="s">
        <v>132</v>
      </c>
      <c r="C39" s="71"/>
      <c r="D39" s="10"/>
      <c r="E39" s="15"/>
      <c r="F39" s="31"/>
      <c r="G39" s="30"/>
      <c r="H39" s="30"/>
      <c r="I39" s="6"/>
    </row>
    <row r="40" spans="1:9" ht="19.5" customHeight="1" x14ac:dyDescent="0.25">
      <c r="A40" s="22"/>
      <c r="B40" s="20" t="s">
        <v>73</v>
      </c>
      <c r="C40" s="47"/>
      <c r="D40" s="10">
        <v>6</v>
      </c>
      <c r="E40" s="15" t="s">
        <v>97</v>
      </c>
      <c r="F40" s="31">
        <v>47000</v>
      </c>
      <c r="G40" s="30"/>
      <c r="H40" s="30">
        <f>D40*F40</f>
        <v>282000</v>
      </c>
      <c r="I40" s="6"/>
    </row>
    <row r="41" spans="1:9" ht="19.5" customHeight="1" x14ac:dyDescent="0.25">
      <c r="A41" s="22"/>
      <c r="B41" s="20" t="s">
        <v>133</v>
      </c>
      <c r="C41" s="47"/>
      <c r="D41" s="10"/>
      <c r="E41" s="15"/>
      <c r="F41" s="31"/>
      <c r="G41" s="30"/>
      <c r="H41" s="30"/>
      <c r="I41" s="6"/>
    </row>
    <row r="42" spans="1:9" ht="19.5" customHeight="1" x14ac:dyDescent="0.25">
      <c r="A42" s="22"/>
      <c r="B42" s="20" t="s">
        <v>73</v>
      </c>
      <c r="C42" s="47"/>
      <c r="D42" s="10">
        <v>6</v>
      </c>
      <c r="E42" s="15" t="s">
        <v>97</v>
      </c>
      <c r="F42" s="31">
        <v>47000</v>
      </c>
      <c r="G42" s="30"/>
      <c r="H42" s="30">
        <f>D42*F42</f>
        <v>282000</v>
      </c>
      <c r="I42" s="6"/>
    </row>
    <row r="43" spans="1:9" ht="36" customHeight="1" x14ac:dyDescent="0.25">
      <c r="A43" s="35" t="s">
        <v>32</v>
      </c>
      <c r="B43" s="68" t="s">
        <v>38</v>
      </c>
      <c r="C43" s="69"/>
      <c r="D43" s="61"/>
      <c r="E43" s="66"/>
      <c r="F43" s="62"/>
      <c r="G43" s="63"/>
      <c r="H43" s="34">
        <f>H44+H47+H50</f>
        <v>16335000</v>
      </c>
    </row>
    <row r="44" spans="1:9" ht="36" customHeight="1" x14ac:dyDescent="0.25">
      <c r="A44" s="51"/>
      <c r="B44" s="70" t="s">
        <v>94</v>
      </c>
      <c r="C44" s="71"/>
      <c r="D44" s="10"/>
      <c r="E44" s="15"/>
      <c r="F44" s="31"/>
      <c r="G44" s="30"/>
      <c r="H44" s="33">
        <f>H45+H46</f>
        <v>5445000</v>
      </c>
    </row>
    <row r="45" spans="1:9" ht="20.100000000000001" customHeight="1" x14ac:dyDescent="0.25">
      <c r="A45" s="22"/>
      <c r="B45" s="45" t="s">
        <v>78</v>
      </c>
      <c r="C45" s="46"/>
      <c r="D45" s="10">
        <v>110</v>
      </c>
      <c r="E45" s="15" t="s">
        <v>33</v>
      </c>
      <c r="F45" s="31">
        <v>33000</v>
      </c>
      <c r="G45" s="30"/>
      <c r="H45" s="30">
        <f>D45*F45</f>
        <v>3630000</v>
      </c>
    </row>
    <row r="46" spans="1:9" ht="20.100000000000001" customHeight="1" x14ac:dyDescent="0.25">
      <c r="A46" s="22"/>
      <c r="B46" s="45" t="s">
        <v>34</v>
      </c>
      <c r="C46" s="46"/>
      <c r="D46" s="10">
        <v>110</v>
      </c>
      <c r="E46" s="15" t="s">
        <v>33</v>
      </c>
      <c r="F46" s="31">
        <v>16500</v>
      </c>
      <c r="G46" s="30"/>
      <c r="H46" s="30">
        <f>D46*F46</f>
        <v>1815000</v>
      </c>
    </row>
    <row r="47" spans="1:9" ht="36.75" customHeight="1" x14ac:dyDescent="0.25">
      <c r="A47" s="22"/>
      <c r="B47" s="70" t="s">
        <v>132</v>
      </c>
      <c r="C47" s="71"/>
      <c r="D47" s="10"/>
      <c r="E47" s="15"/>
      <c r="F47" s="31"/>
      <c r="G47" s="30"/>
      <c r="H47" s="33">
        <f>H48+H49</f>
        <v>5445000</v>
      </c>
    </row>
    <row r="48" spans="1:9" ht="20.100000000000001" customHeight="1" x14ac:dyDescent="0.25">
      <c r="A48" s="22"/>
      <c r="B48" s="45" t="s">
        <v>78</v>
      </c>
      <c r="C48" s="46"/>
      <c r="D48" s="10">
        <v>110</v>
      </c>
      <c r="E48" s="15" t="s">
        <v>33</v>
      </c>
      <c r="F48" s="31">
        <v>33000</v>
      </c>
      <c r="G48" s="30"/>
      <c r="H48" s="30">
        <f>D48*F48</f>
        <v>3630000</v>
      </c>
    </row>
    <row r="49" spans="1:9" ht="20.100000000000001" customHeight="1" x14ac:dyDescent="0.25">
      <c r="A49" s="22"/>
      <c r="B49" s="45" t="s">
        <v>34</v>
      </c>
      <c r="C49" s="46"/>
      <c r="D49" s="10">
        <v>110</v>
      </c>
      <c r="E49" s="15" t="s">
        <v>33</v>
      </c>
      <c r="F49" s="31">
        <v>16500</v>
      </c>
      <c r="G49" s="30"/>
      <c r="H49" s="30">
        <f>D49*F49</f>
        <v>1815000</v>
      </c>
    </row>
    <row r="50" spans="1:9" ht="20.100000000000001" customHeight="1" x14ac:dyDescent="0.25">
      <c r="A50" s="22"/>
      <c r="B50" s="70" t="s">
        <v>133</v>
      </c>
      <c r="C50" s="71"/>
      <c r="D50" s="10"/>
      <c r="E50" s="15"/>
      <c r="F50" s="31"/>
      <c r="G50" s="30"/>
      <c r="H50" s="33">
        <f>H51+H52</f>
        <v>5445000</v>
      </c>
    </row>
    <row r="51" spans="1:9" ht="20.100000000000001" customHeight="1" x14ac:dyDescent="0.25">
      <c r="A51" s="22"/>
      <c r="B51" s="45" t="s">
        <v>78</v>
      </c>
      <c r="C51" s="46"/>
      <c r="D51" s="10">
        <v>110</v>
      </c>
      <c r="E51" s="15" t="s">
        <v>33</v>
      </c>
      <c r="F51" s="31">
        <v>33000</v>
      </c>
      <c r="G51" s="30"/>
      <c r="H51" s="30">
        <f>D51*F51</f>
        <v>3630000</v>
      </c>
    </row>
    <row r="52" spans="1:9" ht="20.100000000000001" customHeight="1" x14ac:dyDescent="0.25">
      <c r="A52" s="22"/>
      <c r="B52" s="45" t="s">
        <v>34</v>
      </c>
      <c r="C52" s="46"/>
      <c r="D52" s="10">
        <v>110</v>
      </c>
      <c r="E52" s="15" t="s">
        <v>33</v>
      </c>
      <c r="F52" s="31">
        <v>16500</v>
      </c>
      <c r="G52" s="30"/>
      <c r="H52" s="30">
        <f>D52*F52</f>
        <v>1815000</v>
      </c>
    </row>
    <row r="53" spans="1:9" ht="35.1" customHeight="1" x14ac:dyDescent="0.25">
      <c r="A53" s="35" t="s">
        <v>76</v>
      </c>
      <c r="B53" s="112" t="s">
        <v>77</v>
      </c>
      <c r="C53" s="112"/>
      <c r="D53" s="38"/>
      <c r="E53" s="40"/>
      <c r="F53" s="39"/>
      <c r="G53" s="34"/>
      <c r="H53" s="34">
        <f>H54+H56</f>
        <v>44896500</v>
      </c>
    </row>
    <row r="54" spans="1:9" ht="19.5" customHeight="1" x14ac:dyDescent="0.25">
      <c r="A54" s="22"/>
      <c r="B54" s="20" t="s">
        <v>95</v>
      </c>
      <c r="C54" s="27"/>
      <c r="D54" s="10"/>
      <c r="E54" s="15"/>
      <c r="F54" s="31"/>
      <c r="G54" s="30"/>
      <c r="H54" s="30">
        <f>H55</f>
        <v>34996500</v>
      </c>
    </row>
    <row r="55" spans="1:9" ht="21.75" customHeight="1" x14ac:dyDescent="0.25">
      <c r="A55" s="22"/>
      <c r="B55" s="20" t="s">
        <v>34</v>
      </c>
      <c r="C55" s="27"/>
      <c r="D55" s="10" t="s">
        <v>107</v>
      </c>
      <c r="E55" s="15" t="s">
        <v>37</v>
      </c>
      <c r="F55" s="31">
        <v>16500</v>
      </c>
      <c r="G55" s="30"/>
      <c r="H55" s="30">
        <f>F55*101*21</f>
        <v>34996500</v>
      </c>
    </row>
    <row r="56" spans="1:9" ht="21.75" customHeight="1" x14ac:dyDescent="0.25">
      <c r="A56" s="22"/>
      <c r="B56" s="20" t="s">
        <v>85</v>
      </c>
      <c r="C56" s="27"/>
      <c r="D56" s="10"/>
      <c r="E56" s="15"/>
      <c r="F56" s="31"/>
      <c r="G56" s="30"/>
      <c r="H56" s="30">
        <f>H57</f>
        <v>9900000</v>
      </c>
    </row>
    <row r="57" spans="1:9" ht="21.75" customHeight="1" x14ac:dyDescent="0.25">
      <c r="A57" s="22"/>
      <c r="B57" s="20" t="s">
        <v>34</v>
      </c>
      <c r="C57" s="27"/>
      <c r="D57" s="10" t="s">
        <v>106</v>
      </c>
      <c r="E57" s="15" t="s">
        <v>37</v>
      </c>
      <c r="F57" s="31">
        <v>16500</v>
      </c>
      <c r="G57" s="30"/>
      <c r="H57" s="30">
        <f>25*24*16500</f>
        <v>9900000</v>
      </c>
    </row>
    <row r="58" spans="1:9" ht="35.1" customHeight="1" x14ac:dyDescent="0.25">
      <c r="A58" s="35" t="s">
        <v>53</v>
      </c>
      <c r="B58" s="40" t="s">
        <v>51</v>
      </c>
      <c r="C58" s="40"/>
      <c r="D58" s="38"/>
      <c r="E58" s="40"/>
      <c r="F58" s="39"/>
      <c r="G58" s="34"/>
      <c r="H58" s="34">
        <f>H59</f>
        <v>16500000</v>
      </c>
    </row>
    <row r="59" spans="1:9" ht="35.1" customHeight="1" x14ac:dyDescent="0.25">
      <c r="A59" s="22" t="s">
        <v>54</v>
      </c>
      <c r="B59" s="15" t="s">
        <v>52</v>
      </c>
      <c r="C59" s="15"/>
      <c r="D59" s="10"/>
      <c r="E59" s="15"/>
      <c r="F59" s="31"/>
      <c r="G59" s="30"/>
      <c r="H59" s="30">
        <f>H60</f>
        <v>16500000</v>
      </c>
    </row>
    <row r="60" spans="1:9" ht="35.1" customHeight="1" x14ac:dyDescent="0.25">
      <c r="A60" s="67" t="s">
        <v>36</v>
      </c>
      <c r="B60" s="75" t="s">
        <v>55</v>
      </c>
      <c r="C60" s="75"/>
      <c r="D60" s="10"/>
      <c r="E60" s="15"/>
      <c r="F60" s="31"/>
      <c r="G60" s="30"/>
      <c r="H60" s="30">
        <f>H61+H63</f>
        <v>16500000</v>
      </c>
      <c r="I60" s="1" t="s">
        <v>79</v>
      </c>
    </row>
    <row r="61" spans="1:9" ht="35.1" customHeight="1" x14ac:dyDescent="0.25">
      <c r="A61" s="24"/>
      <c r="B61" s="77" t="s">
        <v>85</v>
      </c>
      <c r="C61" s="78"/>
      <c r="D61" s="10"/>
      <c r="E61" s="15"/>
      <c r="F61" s="31"/>
      <c r="G61" s="30"/>
      <c r="H61" s="33">
        <f>H62</f>
        <v>8400000</v>
      </c>
    </row>
    <row r="62" spans="1:9" ht="35.1" customHeight="1" x14ac:dyDescent="0.25">
      <c r="A62" s="25"/>
      <c r="B62" s="110" t="s">
        <v>84</v>
      </c>
      <c r="C62" s="110"/>
      <c r="D62" s="29" t="s">
        <v>96</v>
      </c>
      <c r="E62" s="25" t="s">
        <v>83</v>
      </c>
      <c r="F62" s="32">
        <v>350000</v>
      </c>
      <c r="G62" s="32"/>
      <c r="H62" s="30">
        <f>24*350000</f>
        <v>8400000</v>
      </c>
    </row>
    <row r="63" spans="1:9" ht="35.1" customHeight="1" x14ac:dyDescent="0.25">
      <c r="A63" s="23"/>
      <c r="B63" s="75" t="s">
        <v>56</v>
      </c>
      <c r="C63" s="75"/>
      <c r="D63" s="10"/>
      <c r="E63" s="9"/>
      <c r="F63" s="31"/>
      <c r="G63" s="30"/>
      <c r="H63" s="33">
        <f>H64</f>
        <v>8100000</v>
      </c>
    </row>
    <row r="64" spans="1:9" ht="35.1" customHeight="1" x14ac:dyDescent="0.25">
      <c r="A64" s="23"/>
      <c r="B64" s="77" t="s">
        <v>80</v>
      </c>
      <c r="C64" s="78"/>
      <c r="D64" s="10"/>
      <c r="E64" s="9"/>
      <c r="F64" s="31"/>
      <c r="G64" s="30"/>
      <c r="H64" s="30">
        <f>H65+H66+H67</f>
        <v>8100000</v>
      </c>
    </row>
    <row r="65" spans="1:8" ht="48" customHeight="1" x14ac:dyDescent="0.25">
      <c r="A65" s="23"/>
      <c r="B65" s="70" t="s">
        <v>94</v>
      </c>
      <c r="C65" s="71"/>
      <c r="D65" s="10" t="s">
        <v>81</v>
      </c>
      <c r="E65" s="9" t="s">
        <v>82</v>
      </c>
      <c r="F65" s="31">
        <v>900000</v>
      </c>
      <c r="G65" s="30"/>
      <c r="H65" s="30">
        <f t="shared" ref="H65" si="1">3*F65</f>
        <v>2700000</v>
      </c>
    </row>
    <row r="66" spans="1:8" ht="48" customHeight="1" x14ac:dyDescent="0.25">
      <c r="A66" s="23"/>
      <c r="B66" s="70" t="s">
        <v>132</v>
      </c>
      <c r="C66" s="71"/>
      <c r="D66" s="10" t="s">
        <v>81</v>
      </c>
      <c r="E66" s="9" t="s">
        <v>82</v>
      </c>
      <c r="F66" s="31">
        <v>900000</v>
      </c>
      <c r="G66" s="30"/>
      <c r="H66" s="30">
        <f t="shared" ref="H66" si="2">3*F66</f>
        <v>2700000</v>
      </c>
    </row>
    <row r="67" spans="1:8" ht="48" customHeight="1" x14ac:dyDescent="0.25">
      <c r="A67" s="23"/>
      <c r="B67" s="70" t="s">
        <v>133</v>
      </c>
      <c r="C67" s="71"/>
      <c r="D67" s="10" t="s">
        <v>81</v>
      </c>
      <c r="E67" s="9" t="s">
        <v>82</v>
      </c>
      <c r="F67" s="31">
        <v>900000</v>
      </c>
      <c r="G67" s="30"/>
      <c r="H67" s="30">
        <f t="shared" ref="H67" si="3">3*F67</f>
        <v>2700000</v>
      </c>
    </row>
    <row r="68" spans="1:8" ht="35.1" customHeight="1" x14ac:dyDescent="0.25">
      <c r="A68" s="35" t="s">
        <v>57</v>
      </c>
      <c r="B68" s="98" t="s">
        <v>58</v>
      </c>
      <c r="C68" s="98"/>
      <c r="D68" s="36"/>
      <c r="E68" s="120"/>
      <c r="F68" s="37"/>
      <c r="G68" s="34"/>
      <c r="H68" s="34">
        <f>H69+H71+H73+H75</f>
        <v>32470668</v>
      </c>
    </row>
    <row r="69" spans="1:8" ht="24.95" customHeight="1" x14ac:dyDescent="0.25">
      <c r="A69" s="24"/>
      <c r="B69" s="109" t="s">
        <v>59</v>
      </c>
      <c r="C69" s="109"/>
      <c r="D69" s="10" t="s">
        <v>75</v>
      </c>
      <c r="E69" s="15" t="s">
        <v>74</v>
      </c>
      <c r="F69" s="31">
        <v>2500000</v>
      </c>
      <c r="G69" s="30"/>
      <c r="H69" s="30">
        <f>12*F69</f>
        <v>30000000</v>
      </c>
    </row>
    <row r="70" spans="1:8" ht="24.95" customHeight="1" x14ac:dyDescent="0.25">
      <c r="A70" s="22" t="s">
        <v>60</v>
      </c>
      <c r="B70" s="108" t="s">
        <v>61</v>
      </c>
      <c r="C70" s="108"/>
      <c r="D70" s="10"/>
      <c r="E70" s="15"/>
      <c r="F70" s="31"/>
      <c r="G70" s="30"/>
      <c r="H70" s="30">
        <f t="shared" ref="H70:H75" si="4">12*F70</f>
        <v>0</v>
      </c>
    </row>
    <row r="71" spans="1:8" ht="24.95" customHeight="1" x14ac:dyDescent="0.25">
      <c r="A71" s="21"/>
      <c r="B71" s="111" t="s">
        <v>62</v>
      </c>
      <c r="C71" s="111"/>
      <c r="D71" s="10" t="s">
        <v>75</v>
      </c>
      <c r="E71" s="15" t="s">
        <v>74</v>
      </c>
      <c r="F71" s="31">
        <v>195089</v>
      </c>
      <c r="G71" s="30"/>
      <c r="H71" s="30">
        <f t="shared" si="4"/>
        <v>2341068</v>
      </c>
    </row>
    <row r="72" spans="1:8" ht="24.95" customHeight="1" x14ac:dyDescent="0.25">
      <c r="A72" s="23" t="s">
        <v>64</v>
      </c>
      <c r="B72" s="108" t="s">
        <v>63</v>
      </c>
      <c r="C72" s="109"/>
      <c r="D72" s="10"/>
      <c r="E72" s="9"/>
      <c r="F72" s="31"/>
      <c r="G72" s="30"/>
      <c r="H72" s="30">
        <f t="shared" si="4"/>
        <v>0</v>
      </c>
    </row>
    <row r="73" spans="1:8" ht="24.95" customHeight="1" x14ac:dyDescent="0.25">
      <c r="A73" s="22"/>
      <c r="B73" s="111" t="s">
        <v>65</v>
      </c>
      <c r="C73" s="111"/>
      <c r="D73" s="10" t="s">
        <v>75</v>
      </c>
      <c r="E73" s="15" t="s">
        <v>74</v>
      </c>
      <c r="F73" s="31">
        <v>4800</v>
      </c>
      <c r="G73" s="30"/>
      <c r="H73" s="30">
        <f t="shared" si="4"/>
        <v>57600</v>
      </c>
    </row>
    <row r="74" spans="1:8" ht="24.95" customHeight="1" x14ac:dyDescent="0.25">
      <c r="A74" s="23" t="s">
        <v>66</v>
      </c>
      <c r="B74" s="108" t="s">
        <v>68</v>
      </c>
      <c r="C74" s="109"/>
      <c r="D74" s="10"/>
      <c r="E74" s="15"/>
      <c r="F74" s="31"/>
      <c r="G74" s="30"/>
      <c r="H74" s="30">
        <f t="shared" si="4"/>
        <v>0</v>
      </c>
    </row>
    <row r="75" spans="1:8" ht="24.95" customHeight="1" x14ac:dyDescent="0.25">
      <c r="A75" s="26"/>
      <c r="B75" s="108" t="s">
        <v>67</v>
      </c>
      <c r="C75" s="108"/>
      <c r="D75" s="10" t="s">
        <v>75</v>
      </c>
      <c r="E75" s="15" t="s">
        <v>74</v>
      </c>
      <c r="F75" s="31">
        <v>6000</v>
      </c>
      <c r="G75" s="30"/>
      <c r="H75" s="30">
        <f t="shared" si="4"/>
        <v>72000</v>
      </c>
    </row>
    <row r="76" spans="1:8" ht="30" customHeight="1" x14ac:dyDescent="0.25">
      <c r="A76" s="122" t="s">
        <v>108</v>
      </c>
      <c r="B76" s="76" t="s">
        <v>109</v>
      </c>
      <c r="C76" s="76"/>
      <c r="D76" s="38"/>
      <c r="E76" s="120"/>
      <c r="F76" s="39"/>
      <c r="G76" s="34"/>
      <c r="H76" s="34">
        <f>H78+H97+H100+H103+H106+H109+H112+H115</f>
        <v>13630000</v>
      </c>
    </row>
    <row r="77" spans="1:8" ht="30" customHeight="1" x14ac:dyDescent="0.25">
      <c r="A77" s="22"/>
      <c r="B77" s="123" t="s">
        <v>110</v>
      </c>
      <c r="C77" s="123"/>
      <c r="D77" s="10"/>
      <c r="E77" s="15"/>
      <c r="F77" s="31"/>
      <c r="G77" s="30"/>
      <c r="H77" s="30">
        <f>H78</f>
        <v>7870000</v>
      </c>
    </row>
    <row r="78" spans="1:8" ht="30" customHeight="1" x14ac:dyDescent="0.25">
      <c r="A78" s="24"/>
      <c r="B78" s="75" t="s">
        <v>121</v>
      </c>
      <c r="C78" s="75"/>
      <c r="D78" s="10"/>
      <c r="E78" s="15"/>
      <c r="F78" s="31"/>
      <c r="G78" s="30"/>
      <c r="H78" s="30">
        <f>SUM(H79:H95)</f>
        <v>7870000</v>
      </c>
    </row>
    <row r="79" spans="1:8" ht="30" customHeight="1" x14ac:dyDescent="0.25">
      <c r="A79" s="26"/>
      <c r="B79" s="108" t="s">
        <v>122</v>
      </c>
      <c r="C79" s="108"/>
      <c r="D79" s="10" t="s">
        <v>112</v>
      </c>
      <c r="E79" s="15" t="s">
        <v>113</v>
      </c>
      <c r="F79" s="31">
        <v>160000</v>
      </c>
      <c r="G79" s="30"/>
      <c r="H79" s="31">
        <f>F79</f>
        <v>160000</v>
      </c>
    </row>
    <row r="80" spans="1:8" ht="30" customHeight="1" x14ac:dyDescent="0.25">
      <c r="A80" s="124"/>
      <c r="B80" s="108" t="s">
        <v>123</v>
      </c>
      <c r="C80" s="108"/>
      <c r="D80" s="10" t="s">
        <v>112</v>
      </c>
      <c r="E80" s="15" t="s">
        <v>113</v>
      </c>
      <c r="F80" s="30">
        <v>185000</v>
      </c>
      <c r="G80" s="30"/>
      <c r="H80" s="31">
        <f t="shared" ref="H80:H94" si="5">F80</f>
        <v>185000</v>
      </c>
    </row>
    <row r="81" spans="1:8" ht="30" customHeight="1" x14ac:dyDescent="0.25">
      <c r="A81" s="124"/>
      <c r="B81" s="108" t="s">
        <v>120</v>
      </c>
      <c r="C81" s="108"/>
      <c r="D81" s="10" t="s">
        <v>112</v>
      </c>
      <c r="E81" s="15" t="s">
        <v>113</v>
      </c>
      <c r="F81" s="30">
        <v>180000</v>
      </c>
      <c r="G81" s="30"/>
      <c r="H81" s="31">
        <f t="shared" si="5"/>
        <v>180000</v>
      </c>
    </row>
    <row r="82" spans="1:8" ht="30" customHeight="1" x14ac:dyDescent="0.25">
      <c r="A82" s="124"/>
      <c r="B82" s="108" t="s">
        <v>124</v>
      </c>
      <c r="C82" s="108"/>
      <c r="D82" s="10" t="s">
        <v>112</v>
      </c>
      <c r="E82" s="15" t="s">
        <v>113</v>
      </c>
      <c r="F82" s="30">
        <v>140000</v>
      </c>
      <c r="G82" s="30"/>
      <c r="H82" s="31">
        <f t="shared" si="5"/>
        <v>140000</v>
      </c>
    </row>
    <row r="83" spans="1:8" ht="30" customHeight="1" x14ac:dyDescent="0.25">
      <c r="A83" s="124"/>
      <c r="B83" s="108" t="s">
        <v>125</v>
      </c>
      <c r="C83" s="108"/>
      <c r="D83" s="10" t="s">
        <v>112</v>
      </c>
      <c r="E83" s="15" t="s">
        <v>113</v>
      </c>
      <c r="F83" s="30">
        <v>130000</v>
      </c>
      <c r="G83" s="30"/>
      <c r="H83" s="31">
        <f t="shared" si="5"/>
        <v>130000</v>
      </c>
    </row>
    <row r="84" spans="1:8" ht="30" customHeight="1" x14ac:dyDescent="0.25">
      <c r="A84" s="124"/>
      <c r="B84" s="108" t="s">
        <v>126</v>
      </c>
      <c r="C84" s="108"/>
      <c r="D84" s="10" t="s">
        <v>112</v>
      </c>
      <c r="E84" s="15" t="s">
        <v>113</v>
      </c>
      <c r="F84" s="30">
        <v>140000</v>
      </c>
      <c r="G84" s="30"/>
      <c r="H84" s="31">
        <f t="shared" si="5"/>
        <v>140000</v>
      </c>
    </row>
    <row r="85" spans="1:8" ht="30" customHeight="1" x14ac:dyDescent="0.25">
      <c r="A85" s="125"/>
      <c r="B85" s="108" t="s">
        <v>116</v>
      </c>
      <c r="C85" s="108"/>
      <c r="D85" s="10" t="s">
        <v>112</v>
      </c>
      <c r="E85" s="15" t="s">
        <v>113</v>
      </c>
      <c r="F85" s="126">
        <v>115000</v>
      </c>
      <c r="G85" s="127"/>
      <c r="H85" s="31">
        <f t="shared" si="5"/>
        <v>115000</v>
      </c>
    </row>
    <row r="86" spans="1:8" ht="30" customHeight="1" x14ac:dyDescent="0.25">
      <c r="A86" s="125"/>
      <c r="B86" s="70" t="s">
        <v>127</v>
      </c>
      <c r="C86" s="80"/>
      <c r="D86" s="10" t="s">
        <v>112</v>
      </c>
      <c r="E86" s="15" t="s">
        <v>113</v>
      </c>
      <c r="F86" s="126">
        <v>145000</v>
      </c>
      <c r="G86" s="127"/>
      <c r="H86" s="31">
        <f t="shared" si="5"/>
        <v>145000</v>
      </c>
    </row>
    <row r="87" spans="1:8" ht="30" customHeight="1" x14ac:dyDescent="0.25">
      <c r="A87" s="125"/>
      <c r="B87" s="70" t="s">
        <v>117</v>
      </c>
      <c r="C87" s="80"/>
      <c r="D87" s="10" t="s">
        <v>112</v>
      </c>
      <c r="E87" s="15" t="s">
        <v>113</v>
      </c>
      <c r="F87" s="126">
        <v>135000</v>
      </c>
      <c r="G87" s="127"/>
      <c r="H87" s="31">
        <f t="shared" si="5"/>
        <v>135000</v>
      </c>
    </row>
    <row r="88" spans="1:8" ht="30" customHeight="1" x14ac:dyDescent="0.25">
      <c r="A88" s="125"/>
      <c r="B88" s="70" t="s">
        <v>128</v>
      </c>
      <c r="C88" s="80"/>
      <c r="D88" s="10" t="s">
        <v>112</v>
      </c>
      <c r="E88" s="15" t="s">
        <v>113</v>
      </c>
      <c r="F88" s="126">
        <v>95000</v>
      </c>
      <c r="G88" s="127"/>
      <c r="H88" s="31">
        <f t="shared" si="5"/>
        <v>95000</v>
      </c>
    </row>
    <row r="89" spans="1:8" ht="30" customHeight="1" x14ac:dyDescent="0.25">
      <c r="A89" s="125"/>
      <c r="B89" s="70" t="s">
        <v>129</v>
      </c>
      <c r="C89" s="80"/>
      <c r="D89" s="10" t="s">
        <v>112</v>
      </c>
      <c r="E89" s="15" t="s">
        <v>113</v>
      </c>
      <c r="F89" s="126">
        <v>120000</v>
      </c>
      <c r="G89" s="127"/>
      <c r="H89" s="31">
        <f t="shared" si="5"/>
        <v>120000</v>
      </c>
    </row>
    <row r="90" spans="1:8" ht="30" customHeight="1" x14ac:dyDescent="0.25">
      <c r="A90" s="125"/>
      <c r="B90" s="70" t="s">
        <v>130</v>
      </c>
      <c r="C90" s="128"/>
      <c r="D90" s="10" t="s">
        <v>112</v>
      </c>
      <c r="E90" s="15" t="s">
        <v>113</v>
      </c>
      <c r="F90" s="126">
        <v>185000</v>
      </c>
      <c r="G90" s="127"/>
      <c r="H90" s="31">
        <f t="shared" si="5"/>
        <v>185000</v>
      </c>
    </row>
    <row r="91" spans="1:8" ht="30" customHeight="1" x14ac:dyDescent="0.25">
      <c r="A91" s="125"/>
      <c r="B91" s="70" t="s">
        <v>114</v>
      </c>
      <c r="C91" s="128"/>
      <c r="D91" s="10" t="s">
        <v>112</v>
      </c>
      <c r="E91" s="15" t="s">
        <v>113</v>
      </c>
      <c r="F91" s="126">
        <v>210000</v>
      </c>
      <c r="G91" s="127"/>
      <c r="H91" s="31">
        <f t="shared" si="5"/>
        <v>210000</v>
      </c>
    </row>
    <row r="92" spans="1:8" ht="30" customHeight="1" x14ac:dyDescent="0.25">
      <c r="A92" s="125"/>
      <c r="B92" s="70" t="s">
        <v>111</v>
      </c>
      <c r="C92" s="80"/>
      <c r="D92" s="10" t="s">
        <v>112</v>
      </c>
      <c r="E92" s="15" t="s">
        <v>113</v>
      </c>
      <c r="F92" s="126">
        <v>220000</v>
      </c>
      <c r="G92" s="127"/>
      <c r="H92" s="31">
        <f t="shared" si="5"/>
        <v>220000</v>
      </c>
    </row>
    <row r="93" spans="1:8" ht="30" customHeight="1" x14ac:dyDescent="0.25">
      <c r="A93" s="129"/>
      <c r="B93" s="70" t="s">
        <v>115</v>
      </c>
      <c r="C93" s="128"/>
      <c r="D93" s="10" t="s">
        <v>112</v>
      </c>
      <c r="E93" s="15" t="s">
        <v>113</v>
      </c>
      <c r="F93" s="126">
        <v>145000</v>
      </c>
      <c r="G93" s="127"/>
      <c r="H93" s="31">
        <f t="shared" si="5"/>
        <v>145000</v>
      </c>
    </row>
    <row r="94" spans="1:8" ht="30" customHeight="1" x14ac:dyDescent="0.25">
      <c r="A94" s="125"/>
      <c r="B94" s="108" t="s">
        <v>119</v>
      </c>
      <c r="C94" s="109"/>
      <c r="D94" s="10" t="s">
        <v>112</v>
      </c>
      <c r="E94" s="15" t="s">
        <v>113</v>
      </c>
      <c r="F94" s="126">
        <v>125000</v>
      </c>
      <c r="G94" s="127"/>
      <c r="H94" s="31">
        <f t="shared" si="5"/>
        <v>125000</v>
      </c>
    </row>
    <row r="95" spans="1:8" ht="30" customHeight="1" x14ac:dyDescent="0.25">
      <c r="A95" s="125"/>
      <c r="B95" s="130" t="s">
        <v>118</v>
      </c>
      <c r="C95" s="130"/>
      <c r="D95" s="10" t="s">
        <v>131</v>
      </c>
      <c r="E95" s="15" t="s">
        <v>113</v>
      </c>
      <c r="F95" s="126">
        <v>170000</v>
      </c>
      <c r="G95" s="127"/>
      <c r="H95" s="126">
        <f>2*16*170000</f>
        <v>5440000</v>
      </c>
    </row>
    <row r="96" spans="1:8" ht="30" customHeight="1" x14ac:dyDescent="0.25">
      <c r="A96" s="120" t="s">
        <v>138</v>
      </c>
      <c r="B96" s="134" t="s">
        <v>134</v>
      </c>
      <c r="C96" s="135"/>
      <c r="D96" s="136"/>
      <c r="E96" s="137"/>
      <c r="F96" s="137"/>
      <c r="G96" s="137"/>
      <c r="H96" s="120">
        <f>H97</f>
        <v>5760000</v>
      </c>
    </row>
    <row r="97" spans="1:8" ht="23.25" customHeight="1" x14ac:dyDescent="0.25">
      <c r="A97" s="125"/>
      <c r="B97" s="132" t="s">
        <v>135</v>
      </c>
      <c r="C97" s="133"/>
      <c r="D97" s="10"/>
      <c r="E97" s="9"/>
      <c r="F97" s="9"/>
      <c r="G97" s="9"/>
      <c r="H97" s="9">
        <f>H98</f>
        <v>5760000</v>
      </c>
    </row>
    <row r="98" spans="1:8" ht="19.5" customHeight="1" x14ac:dyDescent="0.25">
      <c r="A98" s="125"/>
      <c r="B98" s="132" t="s">
        <v>136</v>
      </c>
      <c r="C98" s="133"/>
      <c r="D98" s="10">
        <v>32</v>
      </c>
      <c r="E98" s="9" t="s">
        <v>137</v>
      </c>
      <c r="F98" s="9">
        <v>180000</v>
      </c>
      <c r="G98" s="9"/>
      <c r="H98" s="9">
        <f>D98*F98</f>
        <v>5760000</v>
      </c>
    </row>
    <row r="99" spans="1:8" x14ac:dyDescent="0.25">
      <c r="A99" s="125"/>
      <c r="B99" s="131"/>
      <c r="C99" s="97"/>
      <c r="D99" s="48"/>
      <c r="E99" s="125"/>
      <c r="F99" s="125"/>
      <c r="G99" s="125"/>
      <c r="H99" s="125"/>
    </row>
  </sheetData>
  <mergeCells count="86">
    <mergeCell ref="B93:C93"/>
    <mergeCell ref="B94:C94"/>
    <mergeCell ref="B99:C99"/>
    <mergeCell ref="B98:C98"/>
    <mergeCell ref="B97:C97"/>
    <mergeCell ref="B96:C96"/>
    <mergeCell ref="B95:C95"/>
    <mergeCell ref="B92:C92"/>
    <mergeCell ref="B91:C91"/>
    <mergeCell ref="B90:C90"/>
    <mergeCell ref="B89:C89"/>
    <mergeCell ref="B88:C88"/>
    <mergeCell ref="B87:C87"/>
    <mergeCell ref="B86:C86"/>
    <mergeCell ref="B85:C85"/>
    <mergeCell ref="B84:C84"/>
    <mergeCell ref="B83:C83"/>
    <mergeCell ref="B82:C82"/>
    <mergeCell ref="B81:C81"/>
    <mergeCell ref="B80:C80"/>
    <mergeCell ref="B79:C79"/>
    <mergeCell ref="B78:C78"/>
    <mergeCell ref="B77:C77"/>
    <mergeCell ref="B76:C76"/>
    <mergeCell ref="C14:G14"/>
    <mergeCell ref="A15:B15"/>
    <mergeCell ref="C15:G15"/>
    <mergeCell ref="B24:C24"/>
    <mergeCell ref="B65:C65"/>
    <mergeCell ref="B47:C47"/>
    <mergeCell ref="B39:C39"/>
    <mergeCell ref="B50:C50"/>
    <mergeCell ref="B74:C74"/>
    <mergeCell ref="B75:C75"/>
    <mergeCell ref="B62:C62"/>
    <mergeCell ref="B71:C71"/>
    <mergeCell ref="B53:C53"/>
    <mergeCell ref="B73:C73"/>
    <mergeCell ref="B69:C69"/>
    <mergeCell ref="B70:C70"/>
    <mergeCell ref="B72:C72"/>
    <mergeCell ref="B66:C66"/>
    <mergeCell ref="B67:C67"/>
    <mergeCell ref="B63:C63"/>
    <mergeCell ref="B68:C68"/>
    <mergeCell ref="B11:F11"/>
    <mergeCell ref="B35:C35"/>
    <mergeCell ref="B64:C64"/>
    <mergeCell ref="B29:C29"/>
    <mergeCell ref="B30:C30"/>
    <mergeCell ref="D23:G23"/>
    <mergeCell ref="B37:C37"/>
    <mergeCell ref="B25:C25"/>
    <mergeCell ref="B26:C26"/>
    <mergeCell ref="A19:H19"/>
    <mergeCell ref="A20:A21"/>
    <mergeCell ref="B20:C21"/>
    <mergeCell ref="D20:G20"/>
    <mergeCell ref="B60:C60"/>
    <mergeCell ref="A1:H1"/>
    <mergeCell ref="A2:H2"/>
    <mergeCell ref="B3:F3"/>
    <mergeCell ref="B4:F4"/>
    <mergeCell ref="B5:F5"/>
    <mergeCell ref="B61:C61"/>
    <mergeCell ref="B32:C32"/>
    <mergeCell ref="B33:C33"/>
    <mergeCell ref="B6:F6"/>
    <mergeCell ref="B7:F7"/>
    <mergeCell ref="B8:F8"/>
    <mergeCell ref="B9:F9"/>
    <mergeCell ref="A18:B18"/>
    <mergeCell ref="C18:G18"/>
    <mergeCell ref="A13:H13"/>
    <mergeCell ref="A14:B14"/>
    <mergeCell ref="B10:F10"/>
    <mergeCell ref="A16:B16"/>
    <mergeCell ref="C16:G16"/>
    <mergeCell ref="A17:B17"/>
    <mergeCell ref="C17:G17"/>
    <mergeCell ref="B43:C43"/>
    <mergeCell ref="B44:C44"/>
    <mergeCell ref="B34:C34"/>
    <mergeCell ref="H20:H21"/>
    <mergeCell ref="A22:G22"/>
    <mergeCell ref="B23:C23"/>
  </mergeCells>
  <phoneticPr fontId="11" type="noConversion"/>
  <printOptions horizontalCentered="1"/>
  <pageMargins left="0.7" right="0.7" top="0.75" bottom="0.75" header="0.3" footer="0.3"/>
  <pageSetup paperSize="10000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13Feb</vt:lpstr>
      <vt:lpstr>'13Feb'!Print_Titles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Dinkes</cp:lastModifiedBy>
  <cp:lastPrinted>2025-06-17T02:20:24Z</cp:lastPrinted>
  <dcterms:created xsi:type="dcterms:W3CDTF">2025-02-10T08:26:38Z</dcterms:created>
  <dcterms:modified xsi:type="dcterms:W3CDTF">2026-02-13T09:55:57Z</dcterms:modified>
</cp:coreProperties>
</file>