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7\DPA\"/>
    </mc:Choice>
  </mc:AlternateContent>
  <xr:revisionPtr revIDLastSave="0" documentId="13_ncr:1_{0FEA1231-9865-4FA0-B2A5-FCD9B15159D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OBAT" sheetId="7" r:id="rId1"/>
  </sheets>
  <definedNames>
    <definedName name="_xlnm._FilterDatabase" localSheetId="0" hidden="1">OBAT!$A$49:$H$282</definedName>
    <definedName name="_xlnm.Print_Area" localSheetId="0">OBAT!$A$1:$H$282</definedName>
    <definedName name="_xlnm.Print_Titles" localSheetId="0">OBAT!$34:$35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1" i="7" l="1"/>
  <c r="H132" i="7"/>
  <c r="H133" i="7"/>
  <c r="H134" i="7"/>
  <c r="H135" i="7"/>
  <c r="H138" i="7"/>
  <c r="H199" i="7"/>
  <c r="H140" i="7"/>
  <c r="H141" i="7"/>
  <c r="H142" i="7"/>
  <c r="H146" i="7"/>
  <c r="H148" i="7"/>
  <c r="H150" i="7"/>
  <c r="H153" i="7"/>
  <c r="H154" i="7"/>
  <c r="H156" i="7"/>
  <c r="H160" i="7"/>
  <c r="H161" i="7"/>
  <c r="H162" i="7"/>
  <c r="H166" i="7"/>
  <c r="H168" i="7"/>
  <c r="H170" i="7"/>
  <c r="H174" i="7"/>
  <c r="H175" i="7"/>
  <c r="H176" i="7"/>
  <c r="H179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200" i="7"/>
  <c r="H201" i="7"/>
  <c r="H203" i="7"/>
  <c r="H204" i="7"/>
  <c r="H208" i="7"/>
  <c r="H207" i="7"/>
  <c r="H209" i="7"/>
  <c r="H212" i="7"/>
  <c r="H213" i="7"/>
  <c r="H217" i="7"/>
  <c r="H218" i="7"/>
  <c r="H221" i="7"/>
  <c r="H224" i="7"/>
  <c r="H225" i="7"/>
  <c r="H226" i="7"/>
  <c r="H227" i="7"/>
  <c r="H228" i="7"/>
  <c r="H230" i="7"/>
  <c r="H231" i="7"/>
  <c r="H234" i="7"/>
  <c r="H235" i="7"/>
  <c r="H237" i="7"/>
  <c r="H233" i="7"/>
  <c r="H205" i="7"/>
  <c r="H239" i="7"/>
  <c r="H240" i="7"/>
  <c r="H118" i="7"/>
  <c r="H119" i="7"/>
  <c r="H120" i="7"/>
  <c r="H121" i="7"/>
  <c r="H122" i="7"/>
  <c r="H123" i="7"/>
  <c r="H124" i="7"/>
  <c r="H125" i="7"/>
  <c r="H126" i="7"/>
  <c r="H101" i="7" l="1"/>
  <c r="H130" i="7"/>
  <c r="H136" i="7"/>
  <c r="H137" i="7"/>
  <c r="H139" i="7"/>
  <c r="H143" i="7"/>
  <c r="H144" i="7"/>
  <c r="H145" i="7"/>
  <c r="H147" i="7"/>
  <c r="H149" i="7"/>
  <c r="H151" i="7"/>
  <c r="H152" i="7"/>
  <c r="H155" i="7"/>
  <c r="H157" i="7"/>
  <c r="H158" i="7"/>
  <c r="H159" i="7"/>
  <c r="H163" i="7"/>
  <c r="H164" i="7"/>
  <c r="H165" i="7"/>
  <c r="H167" i="7"/>
  <c r="H169" i="7"/>
  <c r="H171" i="7"/>
  <c r="H172" i="7"/>
  <c r="H173" i="7"/>
  <c r="H177" i="7"/>
  <c r="H178" i="7"/>
  <c r="H180" i="7"/>
  <c r="H181" i="7"/>
  <c r="H202" i="7"/>
  <c r="H206" i="7"/>
  <c r="H210" i="7"/>
  <c r="H211" i="7"/>
  <c r="H214" i="7"/>
  <c r="H215" i="7"/>
  <c r="H216" i="7"/>
  <c r="H219" i="7"/>
  <c r="H220" i="7"/>
  <c r="H222" i="7"/>
  <c r="H223" i="7"/>
  <c r="H229" i="7"/>
  <c r="H232" i="7"/>
  <c r="H236" i="7"/>
  <c r="H238" i="7"/>
  <c r="H241" i="7"/>
  <c r="H129" i="7" l="1"/>
  <c r="H128" i="7" s="1"/>
  <c r="H127" i="7" s="1"/>
  <c r="H87" i="7"/>
  <c r="H65" i="7"/>
  <c r="H66" i="7" l="1"/>
  <c r="H67" i="7"/>
  <c r="H52" i="7"/>
  <c r="H53" i="7"/>
  <c r="H54" i="7"/>
  <c r="H55" i="7"/>
  <c r="H68" i="7"/>
  <c r="H56" i="7"/>
  <c r="H57" i="7"/>
  <c r="H69" i="7"/>
  <c r="H73" i="7"/>
  <c r="H70" i="7"/>
  <c r="H71" i="7"/>
  <c r="H72" i="7"/>
  <c r="H58" i="7"/>
  <c r="H59" i="7"/>
  <c r="H60" i="7"/>
  <c r="H61" i="7"/>
  <c r="H74" i="7"/>
  <c r="H75" i="7"/>
  <c r="H76" i="7"/>
  <c r="H77" i="7"/>
  <c r="H62" i="7"/>
  <c r="H63" i="7"/>
  <c r="H64" i="7"/>
  <c r="H47" i="7"/>
  <c r="H46" i="7"/>
  <c r="H45" i="7"/>
  <c r="H44" i="7"/>
  <c r="H43" i="7"/>
  <c r="H282" i="7"/>
  <c r="H281" i="7" s="1"/>
  <c r="H279" i="7"/>
  <c r="H278" i="7"/>
  <c r="H277" i="7"/>
  <c r="H276" i="7"/>
  <c r="H275" i="7"/>
  <c r="H274" i="7"/>
  <c r="H273" i="7"/>
  <c r="H270" i="7"/>
  <c r="H269" i="7"/>
  <c r="H264" i="7"/>
  <c r="H263" i="7" s="1"/>
  <c r="H261" i="7"/>
  <c r="H260" i="7"/>
  <c r="H259" i="7" s="1"/>
  <c r="H257" i="7"/>
  <c r="H256" i="7" s="1"/>
  <c r="H253" i="7"/>
  <c r="H252" i="7" s="1"/>
  <c r="H250" i="7"/>
  <c r="H249" i="7"/>
  <c r="H248" i="7"/>
  <c r="H247" i="7"/>
  <c r="H246" i="7"/>
  <c r="H245" i="7" s="1"/>
  <c r="H117" i="7"/>
  <c r="H116" i="7"/>
  <c r="H113" i="7"/>
  <c r="H112" i="7"/>
  <c r="H111" i="7"/>
  <c r="H108" i="7"/>
  <c r="H107" i="7"/>
  <c r="H106" i="7"/>
  <c r="H102" i="7"/>
  <c r="H100" i="7"/>
  <c r="H99" i="7"/>
  <c r="H98" i="7"/>
  <c r="H97" i="7"/>
  <c r="H96" i="7"/>
  <c r="H95" i="7"/>
  <c r="H94" i="7"/>
  <c r="H93" i="7"/>
  <c r="H92" i="7"/>
  <c r="H91" i="7"/>
  <c r="H88" i="7"/>
  <c r="H86" i="7"/>
  <c r="H85" i="7"/>
  <c r="H84" i="7"/>
  <c r="H83" i="7"/>
  <c r="H82" i="7"/>
  <c r="H81" i="7"/>
  <c r="H80" i="7"/>
  <c r="H79" i="7"/>
  <c r="H78" i="7"/>
  <c r="H51" i="7"/>
  <c r="H50" i="7"/>
  <c r="H268" i="7" l="1"/>
  <c r="H272" i="7"/>
  <c r="H115" i="7"/>
  <c r="H110" i="7"/>
  <c r="H42" i="7"/>
  <c r="H41" i="7" s="1"/>
  <c r="H49" i="7"/>
  <c r="H48" i="7" s="1"/>
  <c r="H90" i="7"/>
  <c r="H104" i="7"/>
  <c r="H255" i="7"/>
  <c r="H251" i="7"/>
  <c r="H262" i="7"/>
  <c r="H258" i="7"/>
  <c r="H271" i="7" l="1"/>
  <c r="H109" i="7"/>
  <c r="H114" i="7"/>
  <c r="H280" i="7"/>
  <c r="H103" i="7"/>
  <c r="H244" i="7"/>
  <c r="H243" i="7" s="1"/>
  <c r="H254" i="7"/>
  <c r="H267" i="7"/>
  <c r="H89" i="7"/>
  <c r="H40" i="7" l="1"/>
  <c r="H39" i="7" s="1"/>
  <c r="H242" i="7"/>
  <c r="H266" i="7"/>
  <c r="H265" i="7" s="1"/>
  <c r="H38" i="7" l="1"/>
  <c r="H37" i="7" s="1"/>
  <c r="H36" i="7" s="1"/>
</calcChain>
</file>

<file path=xl/sharedStrings.xml><?xml version="1.0" encoding="utf-8"?>
<sst xmlns="http://schemas.openxmlformats.org/spreadsheetml/2006/main" count="548" uniqueCount="352">
  <si>
    <t>Persentase fasilitas kesehatan daerah yang memenuhi standar sarana prasarana alat (SPA)</t>
  </si>
  <si>
    <t>Rincian Anggaran Belanja Menurut Program, Kegiatan dan Sub Kegiatan</t>
  </si>
  <si>
    <t>Indikator dan Tolak Ukur Kinerja Kegiatan</t>
  </si>
  <si>
    <t>Rincian Anggaran Belanja Kegiatan Satuan Kerja Perangkat Daerah</t>
  </si>
  <si>
    <t>Pcs</t>
  </si>
  <si>
    <t>Dus</t>
  </si>
  <si>
    <t>PPPK Paruh Waktu</t>
  </si>
  <si>
    <t>[ # ] PPPK Paruh Waktu</t>
  </si>
  <si>
    <t>PPPK Paruh Waktu - S1</t>
  </si>
  <si>
    <t>PPPK Paruh Waktu - SMA</t>
  </si>
  <si>
    <t>Jaminan Kesehatan</t>
  </si>
  <si>
    <t>Jaminan Kematian</t>
  </si>
  <si>
    <t>Jaminan Kecelakaan</t>
  </si>
  <si>
    <t>Orang Bulan</t>
  </si>
  <si>
    <t>Belanja Jasa Kalibrasi</t>
  </si>
  <si>
    <t>Kulksa / Cold Chain</t>
  </si>
  <si>
    <t>Thermohygrometer</t>
  </si>
  <si>
    <t>Unit</t>
  </si>
  <si>
    <t>Uang Harian Perjalanan Dinas Dalam Daerah Spesifikasi : Perjalanan Dinas Dalam Daerah Lebih dari 8 jam</t>
  </si>
  <si>
    <t>Belanja Jasa Pengelolaan Limbah</t>
  </si>
  <si>
    <t>Jasa Pengelolaan Limbah B3 Medis, Obat Kadaluwarsa dan Limbah B3 Lainnya</t>
  </si>
  <si>
    <t>kg</t>
  </si>
  <si>
    <t>Orang</t>
  </si>
  <si>
    <t>Botol</t>
  </si>
  <si>
    <t>Buah</t>
  </si>
  <si>
    <t>Fenobarbital 30 mg</t>
  </si>
  <si>
    <t>Hiosin Butilbromida</t>
  </si>
  <si>
    <t>ATS 1500 IU</t>
  </si>
  <si>
    <t>Ergometrin + Kafein</t>
  </si>
  <si>
    <t>Multivitamin Spesifikasi : Dosis 5000 mcg</t>
  </si>
  <si>
    <t>Acyclovir salep</t>
  </si>
  <si>
    <t>Obat batuk Kombinasi</t>
  </si>
  <si>
    <t>Bioplasenton</t>
  </si>
  <si>
    <t>Neurobion</t>
  </si>
  <si>
    <t>Diphenhidramin Injeksi (10 mg/ml)</t>
  </si>
  <si>
    <t>Asam Askorbat 500 mg</t>
  </si>
  <si>
    <t>Cendo Xytrol</t>
  </si>
  <si>
    <t>Box</t>
  </si>
  <si>
    <t>HIPRO Glycohemoglobin (HbA1c) Test Kit</t>
  </si>
  <si>
    <t>M30 Diluent</t>
  </si>
  <si>
    <t>M20 Lyse</t>
  </si>
  <si>
    <t>Probe Cleanser</t>
  </si>
  <si>
    <t>Control BC-3D</t>
  </si>
  <si>
    <t>Syringe Spesifikasi : Ukuran 3 ml</t>
  </si>
  <si>
    <t>Syringe Spesifikasi : Ukuran 5 ml</t>
  </si>
  <si>
    <t>Handsanitiser</t>
  </si>
  <si>
    <t>Boks</t>
  </si>
  <si>
    <t>Infus Set Spesifikasi : Ukuran Dewasa</t>
  </si>
  <si>
    <t>Pembalut Siku</t>
  </si>
  <si>
    <t>pcs</t>
  </si>
  <si>
    <t>Minyak Kayu Putih</t>
  </si>
  <si>
    <t>Pembalut Cepat (No 1,2,3,4) PSC</t>
  </si>
  <si>
    <t>Cervical Collar / Penyangga leher (101+PSC)</t>
  </si>
  <si>
    <t>Duoderm Plester (101+PSC)</t>
  </si>
  <si>
    <t>Plester kecil (Handsaplast) WP</t>
  </si>
  <si>
    <t>Benang Bedah Chromic (2/0, 3/0) isi 23 (101+PSC)</t>
  </si>
  <si>
    <t>Benang Bedah Plain (2/0, 3/0) isi 24 (PSC)</t>
  </si>
  <si>
    <t>Micropore 1/2  inch</t>
  </si>
  <si>
    <t>Povidon Iodin 30ml</t>
  </si>
  <si>
    <t>Hotin DCL</t>
  </si>
  <si>
    <t>Strip Tes Kolesterol</t>
  </si>
  <si>
    <t>Strip Tes Asam Urat</t>
  </si>
  <si>
    <t>Uang Harian Perjalanan Dinas Dalam Negeri Ke Jawa barat
Untuk Pemusnahan</t>
  </si>
  <si>
    <t>Taman Sari (Sirnagalih, Sukaresmi)</t>
  </si>
  <si>
    <t>Cigudeg (Cigudeg, Lebakwangi)</t>
  </si>
  <si>
    <t>Jonggol (Sukanegara, Balekambang)</t>
  </si>
  <si>
    <t>Ciampea (Cihideung Udik, Ciampea Udik)</t>
  </si>
  <si>
    <t>Parung (Gunung Sindur, Suliwer)</t>
  </si>
  <si>
    <t>Ballpoint Spesifikasi : Balliner, ukuran 0.8 mm</t>
  </si>
  <si>
    <t>Ballpoint Spesifikasi : Gel, ukuran 0.5 mm</t>
  </si>
  <si>
    <t>Binder Clip Spesifikasi : No. 280, Warna hitam</t>
  </si>
  <si>
    <t>Map Spesifikasi : 5001 snelhecter, isi 50 pcs</t>
  </si>
  <si>
    <t>Map Spesifikasi : 5002, isi 50 pcs</t>
  </si>
  <si>
    <t>Pensil Spesifikasi : 2B</t>
  </si>
  <si>
    <t>Penghapus Pensil Spesifikasi : Ukuran sedang</t>
  </si>
  <si>
    <t>[ # ] BELANJA BMHP PADA GFK Sumber Dana : PENDAPATAN ASLI DAERAH (PAD)</t>
  </si>
  <si>
    <t>[ # ] BELANJA ATK PADA GFK Sumber Dana : PENDAPATAN ASLI DAERAH (PAD)</t>
  </si>
  <si>
    <t>[ # ] BELANJA BAHAN KOMPUTER PADA GFK Sumber Dana : PENDAPATAN ASLI DAERAH (PAD)</t>
  </si>
  <si>
    <t>[ # ] BELANJA OBAT PADA GFK Sumber Dana : PENDAPATAN ASLI DAERAH (PAD)</t>
  </si>
  <si>
    <t>Upah Kerja bagi Tenaga Profesi dan Tenaga Teknis Non PNS
Spesifikasi : Upah Kerja Tenaga Lainnya</t>
  </si>
  <si>
    <t>[ # ] BELANJA PEMELIHARAAN SIOKE Sumber Dana : PENDAPATAN ASLI DAERAH (PAD)</t>
  </si>
  <si>
    <t>[ # ] BELANJA Jasa Kalibrasi GFK Sumber Dana : PENDAPATAN ASLI DAERAH (PAD)</t>
  </si>
  <si>
    <t>[ # ] BELANJA Jasa  Pengelolaan Limbah Sumber Dana : PENDAPATAN ASLI DAERAH (PAD)</t>
  </si>
  <si>
    <t>Kertas HVS Spesifikasi : Ukuran A4 80 gram</t>
  </si>
  <si>
    <t>Continous Form Spesifikasi : 3 ply, isi 1000 set</t>
  </si>
  <si>
    <t>Continuous Form Spesifikasi : Ukuran 9,5 inchi x 11 inchi, 5 Ply</t>
  </si>
  <si>
    <t>Kertas HVS Spesifikasi : Ukuran F4 80 gram</t>
  </si>
  <si>
    <t>Foto Copy BW Spesifikasi : Volume 1 lembar, ukuran F4</t>
  </si>
  <si>
    <t>Hard Cover Warna Spesifikasi : Ukuran Dengan Ketebalan Sampai Dengan 2 (Dua) Rim</t>
  </si>
  <si>
    <t>Soft Cover Warna Spesifikasi : Ukuran Dengan Ketebalan Sampai Dengan 1 (Satu) Rim</t>
  </si>
  <si>
    <t>Pita Printer Spesifikasi : Epson LQ 310</t>
  </si>
  <si>
    <t>Pita Printer Spesifikasi : Epson FX 890</t>
  </si>
  <si>
    <t>Tinta/Toner Printer Spesifikasi : Brother TN 261, Black</t>
  </si>
  <si>
    <t>Tinta/Toner Printer Spesifikasi : Brother TN 261, Warna</t>
  </si>
  <si>
    <t>Toner Catridge Toner Compatible 85A</t>
  </si>
  <si>
    <t>Uang Harian Perjalanan Dinas Dalam Negeri  
Spesifikasi : ke DKI Jakarta (luar kota)</t>
  </si>
  <si>
    <t>Guedel Spesifikasi : Material PVC</t>
  </si>
  <si>
    <t>Nasal Cannula Spesifikasi : Ukuran anak</t>
  </si>
  <si>
    <t>Pack</t>
  </si>
  <si>
    <t>Betahistin Spesifikasi : Dosis 6 mg</t>
  </si>
  <si>
    <t>Sefadroksil Spesifikasi : Dosis 500 mg</t>
  </si>
  <si>
    <t>Diklofenak Spesifikasi : Dosis 50 mg</t>
  </si>
  <si>
    <t>Biaya Kegiatan Rapat atau Pertemuan di Luar Kantor - paket fulldayUntuk RKO Bulan Desember</t>
  </si>
  <si>
    <t>Antivenom Hematopolyvalent</t>
  </si>
  <si>
    <t>Antivenom Neuropolyvalent</t>
  </si>
  <si>
    <t>RENCANA KERJA DAN ANGGARAN SATUAN KERJA PERANGKAT DAERAH</t>
  </si>
  <si>
    <r>
      <rPr>
        <b/>
        <sz val="11"/>
        <rFont val="Arial"/>
        <family val="2"/>
      </rPr>
      <t>Formulir RKA-BELANJA
SKPD</t>
    </r>
  </si>
  <si>
    <t>Kode Rekening</t>
  </si>
  <si>
    <t>Uraian</t>
  </si>
  <si>
    <t>Rinci Perhitungan</t>
  </si>
  <si>
    <t>Jumlah</t>
  </si>
  <si>
    <t>Koefisien</t>
  </si>
  <si>
    <t>Satuan</t>
  </si>
  <si>
    <t>Harga</t>
  </si>
  <si>
    <t>PPN</t>
  </si>
  <si>
    <t>BELANJA DAERAH</t>
  </si>
  <si>
    <t>BELANJA OPERASI</t>
  </si>
  <si>
    <t>Belanja Barang dan Jasa</t>
  </si>
  <si>
    <t>Belanja Barang</t>
  </si>
  <si>
    <t>Belanja Barang Pakai Habis</t>
  </si>
  <si>
    <t>Belanja Bahan-Bahan Kimia</t>
  </si>
  <si>
    <t>[ # ] BELANJA BAHAN LABORATORIUM PADA GFK Sumber Dana : PENDAPATAN ASLI DAERAH (PAD)</t>
  </si>
  <si>
    <t>Belanja Bahan-Bahan Lainnya</t>
  </si>
  <si>
    <t>Belanja Alat/Bahan untuk Kegiatan Kantor-Alat Tulis Kantor</t>
  </si>
  <si>
    <t>Belanja Alat/Bahan untuk Kegiatan Kantor- Kertas dan Cover</t>
  </si>
  <si>
    <t>Belanja Alat/Bahan untuk Kegiatan Kantor- Bahan Cetak</t>
  </si>
  <si>
    <t>[ # ] Belanja Alat/Bahan untuk Kegiatan Kantor- Bahan Cetak Sumber Dana : PENDAPATAN ASLI DAERAH (PAD)</t>
  </si>
  <si>
    <t>Belanja Alat/Bahan untuk Kegiatan Kantor-Bahan Komputer</t>
  </si>
  <si>
    <t>Belanja Obat-Obatan-Obat</t>
  </si>
  <si>
    <t>Belanja Jasa</t>
  </si>
  <si>
    <t>Belanja Jasa Kantor</t>
  </si>
  <si>
    <t>Belanja Jasa Tenaga Administrasi</t>
  </si>
  <si>
    <t>[ # ] BELANJA TENAGA ADMISTRASI PADA GFK Sumber Dana : PENDAPATAN ASLI DAERAH (PAD)</t>
  </si>
  <si>
    <t>Belanja Jasa Konsultansi Non Konstruksi</t>
  </si>
  <si>
    <t>Belanja Jasa Konsultansi Berorientasi Bidang-Telematika</t>
  </si>
  <si>
    <t>Belanja Perjalanan Dinas</t>
  </si>
  <si>
    <t>Belanja Perjalanan Dinas Dalam Negeri</t>
  </si>
  <si>
    <t>Belanja Perjalanan Dinas Biasa</t>
  </si>
  <si>
    <t>[ # ] Belanja Uang Harian Narasumber Penilaian Ketersediaan Obat Sumber Dana : PENDAPATAN ASLI DAERAH (PAD)</t>
  </si>
  <si>
    <t>Belanja Perjalanan Dinas Dalam Kota</t>
  </si>
  <si>
    <t>[ # ] MONEV PENGELOLAAN SEDIAN FARMASI DAN KETERSEDIAAN OBAT Sumber Dana : PENDAPATAN ASLI DAERAH (PAD)</t>
  </si>
  <si>
    <t>Belanja Perjalanan Dinas Paket Meeting Dalam Kota</t>
  </si>
  <si>
    <t>[ # ] BELANJA PERJALANAN DINAS PAKET MEETING DALAM KOTA Sumber Dana : PENDAPATAN ASLI DAERAH (PAD)</t>
  </si>
  <si>
    <t>: 1,02 URUSAN PEMERINTAHAN BIDANG KESEHATAN</t>
  </si>
  <si>
    <t>: 1,02,0,00,0,00,01,0000 DINAS KESEHATAN</t>
  </si>
  <si>
    <t>: 1,02,02 PROGRAM PEMENUHAN UPAYA KESEHATAN PERORANGAN DAN UPAYA KESEHATAN MASYARAKAT</t>
  </si>
  <si>
    <t>: 1,02,02,2,01 Penyediaan Fasilitas Pelayanan Kesehatan untuk UKM dan UKP Kewenangan Daerah Kabupaten/Kota</t>
  </si>
  <si>
    <t>: 1,02,02,2,01,0023 Pengadaan Obat, Bahan Habis Pakai, Bahan Medis Habis Pakai,, Vaksin, Makanan dan Minuman di Fasilitas Kesehatan</t>
  </si>
  <si>
    <t>: Kab, Bogor, Semua Kecamatan, Semua Kel/Desa</t>
  </si>
  <si>
    <t>: Januari s,d Desember</t>
  </si>
  <si>
    <t>: Fasilitas Pelayanan Kesehatan Kab, Bogor</t>
  </si>
  <si>
    <t>: Rp, 0,00</t>
  </si>
  <si>
    <t>: Rp, 3,406,800,385 + Rp, 2,000,000,000 = Rp, 5,406,800,385</t>
  </si>
  <si>
    <t>: Kab, Bogor, Semua Kecamatan, Semua Kelurahan</t>
  </si>
  <si>
    <t>5,1,02,01</t>
  </si>
  <si>
    <t>5,1,02,01,001</t>
  </si>
  <si>
    <t>5,1,02,01,001,00002</t>
  </si>
  <si>
    <t>5,1,02,01,001,00012</t>
  </si>
  <si>
    <t>5,1,02,01,001,00024</t>
  </si>
  <si>
    <t>5,1,02,01,001,00025</t>
  </si>
  <si>
    <t>5,1,02,01,001,00026</t>
  </si>
  <si>
    <t>5,1,02,01,001,00029</t>
  </si>
  <si>
    <t>5,1,02,01,001,00037</t>
  </si>
  <si>
    <t>5,1,02,02</t>
  </si>
  <si>
    <t>5,1,02,02,001</t>
  </si>
  <si>
    <t>5,1,02,02,001,00085</t>
  </si>
  <si>
    <t>5,1,02,02,001,00026</t>
  </si>
  <si>
    <t>5,1,02,02,009</t>
  </si>
  <si>
    <t>5,1,02,02,009,00003</t>
  </si>
  <si>
    <t>Belanja Jasa Konsultansi Berorientasi Bidang-Telematika
Spesifikasi : Jasa konsultansi berorientasi bidang-telematika, u,,,</t>
  </si>
  <si>
    <t>5,1,02,02,009,00050</t>
  </si>
  <si>
    <t>5,1,02,02,009,000</t>
  </si>
  <si>
    <t>5,1,02,04</t>
  </si>
  <si>
    <t>5,1,02,04,001</t>
  </si>
  <si>
    <t>5,1,02,04,001,00001</t>
  </si>
  <si>
    <t>5,1,02,04,001,00003</t>
  </si>
  <si>
    <t>Gunung Putri (Kranggan, Bj, Nangka)</t>
  </si>
  <si>
    <t>5,1,02,04,001,00004</t>
  </si>
  <si>
    <t>Endotracheal Tube Spesifikasi : With Cuffed</t>
  </si>
  <si>
    <t>Iv Catheter Spesifikasi : Port With Wing</t>
  </si>
  <si>
    <t>Folley Catheter Spesifikasi : Bahan Latex</t>
  </si>
  <si>
    <t>Kapas Alkohol
Spesifikasi : 2 ply, Isi 100 buah</t>
  </si>
  <si>
    <t>Nasal Cannula Spesifikasi : Ukuran Bayi</t>
  </si>
  <si>
    <t>Nasal Cannula
Spesifikasi : Ukuran dewasa</t>
  </si>
  <si>
    <t>Safety Lancet
Spesifikasi : Ukuran 28 G,  isi 100 buah</t>
  </si>
  <si>
    <t>Suction Catheter Spesifikasi : Ukuran 10 Fr</t>
  </si>
  <si>
    <t>Suction Catheter Spesifikasi : Ukuran 12 Fr</t>
  </si>
  <si>
    <t>Suction Catheter Spesifikasi : Ukuran 6 Fr</t>
  </si>
  <si>
    <t>Suction Catheter Spesifikasi : Ukuran 8 Fr</t>
  </si>
  <si>
    <t>Roll</t>
  </si>
  <si>
    <t>Alkohol Spesifikasi : Konsentrasi persen</t>
  </si>
  <si>
    <t>Benang Bedah Spesifikasi : Silk ukuran 1 Cutting 30 mm</t>
  </si>
  <si>
    <t>Kasa Hidrofil Spesifikasi : Ukuran 36m x 80 cm</t>
  </si>
  <si>
    <t>Kasa Steril Spesifikasi : Ukuran 16 cm x16 cm</t>
  </si>
  <si>
    <t>Masker Oksigen Spesifikasi : Non Rebreathing Ukuran Anak</t>
  </si>
  <si>
    <t>Urine Bag Spesifikasi : With Hanger</t>
  </si>
  <si>
    <t>Apron Standar Spesifikasi : Kemasan isi 10 pcs</t>
  </si>
  <si>
    <t>Masker Oksigen Spesifikasi : Non Rebreathing Ukuran Dewasa</t>
  </si>
  <si>
    <t>Masker Spesifikasi : Tie On 3 ply</t>
  </si>
  <si>
    <t>Nebulizer Mask uk Dewasa</t>
  </si>
  <si>
    <t>Odner Spesifikasi : Bahan plastik, ukuran folio</t>
  </si>
  <si>
    <t>Box File Spesifikasi : Bahan karton dilapisi plastik, ukuran folio, lebar punggung 10 cm</t>
  </si>
  <si>
    <t>Staples Spesifikasi : Nomor 10</t>
  </si>
  <si>
    <t>Lusin</t>
  </si>
  <si>
    <t>Ondansetron
Spesifikasi : Dosis 2 mg/ml</t>
  </si>
  <si>
    <t>Acetylsistein Spesifikasi : Dosis 200 mg</t>
  </si>
  <si>
    <t>Amoksisilin Spesifikasi : Kemasan 60 ml</t>
  </si>
  <si>
    <t>Etil klorid Spesifikasi : Kemasan 100 ml</t>
  </si>
  <si>
    <t>Gentamisin Spesifikasi : Konsentrasi 0.1%</t>
  </si>
  <si>
    <t>Omeprazol Spesifikasi : Dosis 20 mg</t>
  </si>
  <si>
    <t>Parasetamol Spesifikasi : Dosis 120 mg</t>
  </si>
  <si>
    <t>Parasetamol Spesifikasi : Dosis 500 mg</t>
  </si>
  <si>
    <t>Setirizin Spesifikasi : Dosis 10 mg</t>
  </si>
  <si>
    <t>Sukralfat Sirup Spesifikasi : Dosis 500 mg</t>
  </si>
  <si>
    <t>Asam Asetilsalisilat Spesifikasi : Dosis 80  mg</t>
  </si>
  <si>
    <t>Asam Traneksamat Spesifikasi : Dosis 100 mg</t>
  </si>
  <si>
    <t>Isosorbid Dinitrat Spesifikasi : Dosis 5 mg</t>
  </si>
  <si>
    <t>Metilprednisolon Spesifikasi : Dosis 4 mg</t>
  </si>
  <si>
    <t>Amoksisilin Spesifikasi : Dosis 500 mg</t>
  </si>
  <si>
    <t>Atropin Sulfat Spesifikasi : Konsentrasi 1 persen</t>
  </si>
  <si>
    <t>Codein Spesifikasi : Dosis 10 mg</t>
  </si>
  <si>
    <t>Domperidon Spesifikasi : Dosis 10 mg</t>
  </si>
  <si>
    <t>Furosemid Spesifikasi : Dosis 40 mg</t>
  </si>
  <si>
    <t>Kalium Klorida Spesifikasi : Volume 25 ml</t>
  </si>
  <si>
    <t>Nifedipin Spesifikasi : Dosis 10 mg</t>
  </si>
  <si>
    <t>Obat batuk hitam Spesifikasi : Kemasan 100 ml</t>
  </si>
  <si>
    <t>Oksigen Spesifikasi : Kemasan 500 ml</t>
  </si>
  <si>
    <t>Salbutamol Spesifikasi : Dosis 1 mg</t>
  </si>
  <si>
    <t>Vitamin b12 Spesifikasi : Dosis 50 mcg</t>
  </si>
  <si>
    <t>Isi staples Spesifikasi : Nomor 10, isi 20</t>
  </si>
  <si>
    <t>Urusan Pemerintahan</t>
  </si>
  <si>
    <t>: 1 URUSAN PEMERINTAHAN WAJIB YANG BERKAITAN DENGAN PELAYANAN DASAR</t>
  </si>
  <si>
    <t>Bidang Urusan</t>
  </si>
  <si>
    <t>Unit Organisasi</t>
  </si>
  <si>
    <t>Sub Unit Organisasi</t>
  </si>
  <si>
    <t>: -</t>
  </si>
  <si>
    <t>Program</t>
  </si>
  <si>
    <t>Kegiatan</t>
  </si>
  <si>
    <t>Sub Kegiatan</t>
  </si>
  <si>
    <t>SPM</t>
  </si>
  <si>
    <t>Jenis Layanan</t>
  </si>
  <si>
    <t>Sumber Pendanaan</t>
  </si>
  <si>
    <t>: PENDAPATAN ASLI DAERAH (PAD)</t>
  </si>
  <si>
    <t>Lokasi</t>
  </si>
  <si>
    <t>Waktu Pelaksanaan</t>
  </si>
  <si>
    <t>Kelompok Sasaran</t>
  </si>
  <si>
    <t>Alokasi 2025</t>
  </si>
  <si>
    <t>Alokasi 2026</t>
  </si>
  <si>
    <t>Alokasi 2027</t>
  </si>
  <si>
    <t>Indikator</t>
  </si>
  <si>
    <t>Tolok Ukur Kinerja</t>
  </si>
  <si>
    <t>Target Kinerja</t>
  </si>
  <si>
    <t>Capaian Program</t>
  </si>
  <si>
    <t>Masukan</t>
  </si>
  <si>
    <t>Dana yang dibutuhkan</t>
  </si>
  <si>
    <t>Keluaran</t>
  </si>
  <si>
    <t>Jumlah Obat, Bahan Habis Pakai, Bahan Medis Habis Pakai, Vaksin, Makanan dan Minuman di Fasilitas Kesehatan  yang disediakan</t>
  </si>
  <si>
    <t>Hasil</t>
  </si>
  <si>
    <t>Persentase puskesmas dengan SPA (Sarana Prasarana Alat Kesehatan) yang memenuhi standar</t>
  </si>
  <si>
    <t>Keluaran Sub Kegiatan</t>
  </si>
  <si>
    <t>: Jumlah Obat, Bahan Habis Pakai, Bahan Medis Habis Pakai, Vaksin, Makanan dan Minuman di Fasilitas Kesehatan  yang disediakan</t>
  </si>
  <si>
    <t>Keterangan</t>
  </si>
  <si>
    <t>:</t>
  </si>
  <si>
    <t>Rim</t>
  </si>
  <si>
    <t>Lembar</t>
  </si>
  <si>
    <t>425,00</t>
  </si>
  <si>
    <t>Buku</t>
  </si>
  <si>
    <t>Orang Hari</t>
  </si>
  <si>
    <t>Tahun</t>
  </si>
  <si>
    <t>Orang Lokasi</t>
  </si>
  <si>
    <t>Orang / Hari</t>
  </si>
  <si>
    <t>Pemerintahan Kab, Bogor Tahun Anggaran 2027</t>
  </si>
  <si>
    <t>[ # ] BELANJA KERTAS PADA GFK Sumber Dana : PENDAPATAN ASLI DAERAH (PAD)</t>
  </si>
  <si>
    <t xml:space="preserve">Post It </t>
  </si>
  <si>
    <t>Tinta/Toner Printer Spesifikasi : Epson 003 Warna</t>
  </si>
  <si>
    <t>Tinta/Toner Printer Spesifikasi : Epson 003 Black</t>
  </si>
  <si>
    <t>Tinta/Toner Printer Brother LC583, Black</t>
  </si>
  <si>
    <t>Tinta Printer Brother BT 5000, yellow</t>
  </si>
  <si>
    <t>Tinta/Toner Printer Brother LC583, Magenta</t>
  </si>
  <si>
    <t>Tinta Printer Brother BT 5000, Black</t>
  </si>
  <si>
    <t>Air untuk injeksi</t>
  </si>
  <si>
    <t>Alopurinol tab 300 mg</t>
  </si>
  <si>
    <t>Amitriptilin tab sal 25 mg</t>
  </si>
  <si>
    <t>Amlodipin tab 10 mg</t>
  </si>
  <si>
    <t>Amlodipin tab 5 mg</t>
  </si>
  <si>
    <t>Amoksisilin tab 250 mg</t>
  </si>
  <si>
    <t>Asam askorbat (vitamin C) tab 250 mg</t>
  </si>
  <si>
    <t>Asam mefenamat kaps 500 mg</t>
  </si>
  <si>
    <t>Bahan tumpatan sementara lar, serb</t>
  </si>
  <si>
    <t>Bedak salisil serb 2%</t>
  </si>
  <si>
    <t>Betametason krim 0,1%</t>
  </si>
  <si>
    <t>Deksametason inj 5 mg/ml (i.v./i.m.)</t>
  </si>
  <si>
    <t>Diazepam enema 5 mg/2,5 ml</t>
  </si>
  <si>
    <t>Diazepam tab 2 mg</t>
  </si>
  <si>
    <t>Epinefrin (adrenalin) inj 1 mg/ml</t>
  </si>
  <si>
    <t>Eritromisin tab 250 mg</t>
  </si>
  <si>
    <t>Eugenol</t>
  </si>
  <si>
    <t>Glibenklamid tab 5 mg</t>
  </si>
  <si>
    <t>Glukosa Larutan Infus 5% steril 500 ml</t>
  </si>
  <si>
    <t>Hidrokortison krim 2,5%</t>
  </si>
  <si>
    <t>Ibuprofen tab 400 mg</t>
  </si>
  <si>
    <t>Kalsium hidroksida bubuk, pasta</t>
  </si>
  <si>
    <t>Kalsium laktat (kalk) tab 500 mg</t>
  </si>
  <si>
    <t>Kaptopril tab 25 mg</t>
  </si>
  <si>
    <t>Ketokonazol krim 2%</t>
  </si>
  <si>
    <t>Ketokonazol tab 200 mg</t>
  </si>
  <si>
    <t>Kloramfenikol kaps 250 mg</t>
  </si>
  <si>
    <t>Kloramfenikol salep mata 1%</t>
  </si>
  <si>
    <t>Kloramfenikol tetes telinga 3%</t>
  </si>
  <si>
    <t>Kloramfenikol tts mata 0,5%</t>
  </si>
  <si>
    <t>Klorfeniramin tab 4 mg</t>
  </si>
  <si>
    <t>Klorfenol kamfer mentol (CHKM)</t>
  </si>
  <si>
    <t>Klorpromazin tab sal 100 mg</t>
  </si>
  <si>
    <t>Kodein tab 10 mg</t>
  </si>
  <si>
    <t>Kombinasi: kaolin 550 mg + pektin 20 mg</t>
  </si>
  <si>
    <t>Komposit resin</t>
  </si>
  <si>
    <t>Loratadin tab 10 mg</t>
  </si>
  <si>
    <t>Metformin tab 500 mg</t>
  </si>
  <si>
    <t>Metronidazol tab 500 mg</t>
  </si>
  <si>
    <t>Mikonazol krim 2%</t>
  </si>
  <si>
    <t>N-asetil sistein kaps 200 mg</t>
  </si>
  <si>
    <t>NaCl 0,9% Larutan</t>
  </si>
  <si>
    <t>Natrium diklofenak tab 50 mg</t>
  </si>
  <si>
    <t>Nistatin tab salut 500.000 UI</t>
  </si>
  <si>
    <t>Nistatin tab vaginal 100.000 UI</t>
  </si>
  <si>
    <t>Oksitosin inj 10 UI/ml</t>
  </si>
  <si>
    <t>Omeprazol kaps 20 mg</t>
  </si>
  <si>
    <t>Parasetamol sir 120 mg/5 ml</t>
  </si>
  <si>
    <t>Pasta devitalisasi (non arsen)</t>
  </si>
  <si>
    <t>Piridoksin (vitamin B6) tab 25 mg</t>
  </si>
  <si>
    <t>Prednison tab 5 mg</t>
  </si>
  <si>
    <t>Ranitidin tab 150 mg</t>
  </si>
  <si>
    <t>Ringer Laktat Larutan</t>
  </si>
  <si>
    <t>Salbutamol tab 2 mg</t>
  </si>
  <si>
    <t>Salep 2-4, kombinasi : asam salisilat 2 %+ belerang endap 4 %</t>
  </si>
  <si>
    <t>Serum antitetanus (A.T.S) inj 1500 UI/amp (i.m.)</t>
  </si>
  <si>
    <t>Simvastatin tab sal 20 mg</t>
  </si>
  <si>
    <t>Sefiksim</t>
  </si>
  <si>
    <t>Multivitamin</t>
  </si>
  <si>
    <t>Triheksifenidil tab 2 mg</t>
  </si>
  <si>
    <t>Vitamin B kompleks</t>
  </si>
  <si>
    <t>lidokain hcl 2% + epinefrin 1 : 80.000 inj 2 ml</t>
  </si>
  <si>
    <t xml:space="preserve">Antasida, kombinasi </t>
  </si>
  <si>
    <t xml:space="preserve">Antifungi salep, kombinasi </t>
  </si>
  <si>
    <t>Antihemoroid, kombinasi</t>
  </si>
  <si>
    <t xml:space="preserve">Kotrimoksazol (dewasa) kombinasi </t>
  </si>
  <si>
    <t xml:space="preserve">Kotrimoksazol kombinasi tiap 5 ml suspensi </t>
  </si>
  <si>
    <t>Serum anti bisa ular</t>
  </si>
  <si>
    <t>Acyclovir tab 400 mg</t>
  </si>
  <si>
    <t xml:space="preserve"> Lidocain 2 persen</t>
  </si>
  <si>
    <t>: R. 11.182.670.737,00</t>
  </si>
  <si>
    <r>
      <t>157</t>
    </r>
    <r>
      <rPr>
        <sz val="11"/>
        <color theme="1"/>
        <rFont val="Arial"/>
        <family val="2"/>
      </rPr>
      <t xml:space="preserve"> Paket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</si>
</sst>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"/>
    <numFmt numFmtId="165" formatCode="m\.d\.yy;@"/>
    <numFmt numFmtId="166" formatCode="_-* #,##0_-;\-* #,##0_-;_-* &quot;-&quot;??_-;_-@_-"/>
    <numFmt numFmtId="167" formatCode="_-* #,##0.00000_-;\-* #,##0.00000_-;_-* &quot;-&quot;??_-;_-@_-"/>
    <numFmt numFmtId="169" formatCode="_-* #,##0.0000000000000000000_-;\-* #,##0.0000000000000000000_-;_-* &quot;-&quot;??_-;_-@_-"/>
    <numFmt numFmtId="170" formatCode="_-* #,##0.0_-;\-* #,##0.0_-;_-* &quot;-&quot;??_-;_-@_-"/>
    <numFmt numFmtId="173" formatCode="_-* #,##0.00000000000000_-;\-* #,##0.00000000000000_-;_-* &quot;-&quot;??_-;_-@_-"/>
    <numFmt numFmtId="174" formatCode="_-* #,##0.000000000000000_-;\-* #,##0.000000000000000_-;_-* &quot;-&quot;??_-;_-@_-"/>
    <numFmt numFmtId="175" formatCode="_-* #,##0.000000000000000_-;\-* #,##0.000000000000000_-;_-* &quot;-&quot;???????????????_-;_-@_-"/>
    <numFmt numFmtId="180" formatCode="_-&quot;Rp&quot;* #,##0.0000000000000000000000000_-;\-&quot;Rp&quot;* #,##0.0000000000000000000000000_-;_-&quot;Rp&quot;* &quot;-&quot;??_-;_-@_-"/>
    <numFmt numFmtId="181" formatCode="_-* #,##0.00000000000000000000_-;\-* #,##0.00000000000000000000_-;_-* &quot;-&quot;??_-;_-@_-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181C32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11">
    <xf numFmtId="0" fontId="0" fillId="0" borderId="0" xfId="0" applyAlignment="1">
      <alignment horizontal="left" vertical="top"/>
    </xf>
    <xf numFmtId="166" fontId="4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9" fontId="4" fillId="0" borderId="2" xfId="3" applyFont="1" applyBorder="1" applyAlignment="1">
      <alignment horizontal="center" vertical="center" wrapText="1"/>
    </xf>
    <xf numFmtId="1" fontId="5" fillId="5" borderId="19" xfId="0" applyNumberFormat="1" applyFont="1" applyFill="1" applyBorder="1" applyAlignment="1">
      <alignment horizontal="right" vertical="center" shrinkToFit="1"/>
    </xf>
    <xf numFmtId="0" fontId="4" fillId="5" borderId="2" xfId="0" applyFont="1" applyFill="1" applyBorder="1" applyAlignment="1">
      <alignment vertical="center" wrapText="1"/>
    </xf>
    <xf numFmtId="166" fontId="4" fillId="5" borderId="3" xfId="0" applyNumberFormat="1" applyFont="1" applyFill="1" applyBorder="1" applyAlignment="1">
      <alignment horizontal="right" vertical="center" wrapText="1"/>
    </xf>
    <xf numFmtId="166" fontId="4" fillId="5" borderId="3" xfId="1" applyNumberFormat="1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vertical="center" wrapText="1"/>
    </xf>
    <xf numFmtId="9" fontId="4" fillId="5" borderId="4" xfId="3" applyFont="1" applyFill="1" applyBorder="1" applyAlignment="1">
      <alignment horizontal="center" vertical="center" wrapText="1"/>
    </xf>
    <xf numFmtId="43" fontId="4" fillId="5" borderId="16" xfId="1" applyFont="1" applyFill="1" applyBorder="1" applyAlignment="1">
      <alignment horizontal="left" vertical="center" wrapText="1"/>
    </xf>
    <xf numFmtId="164" fontId="5" fillId="5" borderId="19" xfId="0" applyNumberFormat="1" applyFont="1" applyFill="1" applyBorder="1" applyAlignment="1">
      <alignment horizontal="right" vertical="center" shrinkToFit="1"/>
    </xf>
    <xf numFmtId="165" fontId="5" fillId="4" borderId="19" xfId="0" applyNumberFormat="1" applyFont="1" applyFill="1" applyBorder="1" applyAlignment="1">
      <alignment horizontal="right" vertical="center" shrinkToFit="1"/>
    </xf>
    <xf numFmtId="0" fontId="4" fillId="4" borderId="2" xfId="0" applyFont="1" applyFill="1" applyBorder="1" applyAlignment="1">
      <alignment vertical="center" wrapText="1"/>
    </xf>
    <xf numFmtId="166" fontId="4" fillId="4" borderId="3" xfId="0" applyNumberFormat="1" applyFont="1" applyFill="1" applyBorder="1" applyAlignment="1">
      <alignment horizontal="right" vertical="center" wrapText="1"/>
    </xf>
    <xf numFmtId="166" fontId="4" fillId="4" borderId="3" xfId="1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43" fontId="4" fillId="4" borderId="3" xfId="1" applyFont="1" applyFill="1" applyBorder="1" applyAlignment="1">
      <alignment vertical="center" wrapText="1"/>
    </xf>
    <xf numFmtId="9" fontId="4" fillId="4" borderId="3" xfId="3" applyFont="1" applyFill="1" applyBorder="1" applyAlignment="1">
      <alignment horizontal="center" vertical="center" wrapText="1"/>
    </xf>
    <xf numFmtId="43" fontId="4" fillId="4" borderId="16" xfId="1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right" vertical="center" wrapText="1"/>
    </xf>
    <xf numFmtId="0" fontId="4" fillId="3" borderId="19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vertical="center" wrapText="1"/>
    </xf>
    <xf numFmtId="166" fontId="4" fillId="3" borderId="3" xfId="0" applyNumberFormat="1" applyFont="1" applyFill="1" applyBorder="1" applyAlignment="1">
      <alignment horizontal="right" vertical="center" wrapText="1"/>
    </xf>
    <xf numFmtId="166" fontId="4" fillId="3" borderId="3" xfId="1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43" fontId="4" fillId="3" borderId="3" xfId="1" applyFont="1" applyFill="1" applyBorder="1" applyAlignment="1">
      <alignment vertical="center" wrapText="1"/>
    </xf>
    <xf numFmtId="9" fontId="4" fillId="3" borderId="3" xfId="3" applyFont="1" applyFill="1" applyBorder="1" applyAlignment="1">
      <alignment horizontal="center" vertical="center" wrapText="1"/>
    </xf>
    <xf numFmtId="43" fontId="4" fillId="3" borderId="16" xfId="1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vertical="center" wrapText="1"/>
    </xf>
    <xf numFmtId="166" fontId="4" fillId="2" borderId="3" xfId="0" applyNumberFormat="1" applyFont="1" applyFill="1" applyBorder="1" applyAlignment="1">
      <alignment horizontal="right" vertical="center" wrapText="1"/>
    </xf>
    <xf numFmtId="166" fontId="4" fillId="2" borderId="3" xfId="1" applyNumberFormat="1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vertical="center" wrapText="1"/>
    </xf>
    <xf numFmtId="9" fontId="4" fillId="2" borderId="3" xfId="3" applyFont="1" applyFill="1" applyBorder="1" applyAlignment="1">
      <alignment horizontal="center" vertical="center" wrapText="1"/>
    </xf>
    <xf numFmtId="43" fontId="4" fillId="2" borderId="16" xfId="1" applyFont="1" applyFill="1" applyBorder="1" applyAlignment="1">
      <alignment horizontal="left" vertical="center" wrapText="1"/>
    </xf>
    <xf numFmtId="43" fontId="4" fillId="8" borderId="16" xfId="1" applyFont="1" applyFill="1" applyBorder="1" applyAlignment="1">
      <alignment horizontal="left" vertical="center" wrapText="1"/>
    </xf>
    <xf numFmtId="43" fontId="4" fillId="8" borderId="18" xfId="1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right" vertical="center" wrapText="1"/>
    </xf>
    <xf numFmtId="43" fontId="4" fillId="2" borderId="18" xfId="1" applyFont="1" applyFill="1" applyBorder="1" applyAlignment="1">
      <alignment horizontal="left" vertical="center" wrapText="1"/>
    </xf>
    <xf numFmtId="43" fontId="4" fillId="2" borderId="18" xfId="1" applyFont="1" applyFill="1" applyBorder="1" applyAlignment="1">
      <alignment horizontal="right" vertical="center" wrapText="1"/>
    </xf>
    <xf numFmtId="43" fontId="4" fillId="8" borderId="16" xfId="1" applyFont="1" applyFill="1" applyBorder="1" applyAlignment="1">
      <alignment horizontal="right" vertical="center" wrapText="1"/>
    </xf>
    <xf numFmtId="0" fontId="4" fillId="4" borderId="17" xfId="0" applyFont="1" applyFill="1" applyBorder="1" applyAlignment="1">
      <alignment horizontal="right" vertical="center" wrapText="1"/>
    </xf>
    <xf numFmtId="43" fontId="4" fillId="4" borderId="18" xfId="1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right" vertical="center" wrapText="1"/>
    </xf>
    <xf numFmtId="43" fontId="4" fillId="3" borderId="18" xfId="1" applyFont="1" applyFill="1" applyBorder="1" applyAlignment="1">
      <alignment horizontal="right" vertical="center" wrapText="1"/>
    </xf>
    <xf numFmtId="43" fontId="4" fillId="2" borderId="16" xfId="1" applyFont="1" applyFill="1" applyBorder="1" applyAlignment="1">
      <alignment horizontal="right" vertical="center" wrapText="1"/>
    </xf>
    <xf numFmtId="166" fontId="6" fillId="0" borderId="29" xfId="1" applyNumberFormat="1" applyFont="1" applyFill="1" applyBorder="1" applyAlignment="1">
      <alignment horizontal="right" vertical="center" wrapText="1"/>
    </xf>
    <xf numFmtId="166" fontId="6" fillId="0" borderId="29" xfId="1" applyNumberFormat="1" applyFont="1" applyFill="1" applyBorder="1" applyAlignment="1">
      <alignment horizontal="left" vertical="center" wrapText="1"/>
    </xf>
    <xf numFmtId="43" fontId="6" fillId="0" borderId="29" xfId="1" applyFont="1" applyFill="1" applyBorder="1" applyAlignment="1">
      <alignment horizontal="left" vertical="center" wrapText="1"/>
    </xf>
    <xf numFmtId="9" fontId="6" fillId="0" borderId="29" xfId="3" applyFont="1" applyFill="1" applyBorder="1" applyAlignment="1">
      <alignment horizontal="center" vertical="center" wrapText="1"/>
    </xf>
    <xf numFmtId="170" fontId="6" fillId="0" borderId="29" xfId="1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3" fontId="8" fillId="0" borderId="0" xfId="1" applyFont="1" applyAlignment="1">
      <alignment horizontal="left" vertical="center"/>
    </xf>
    <xf numFmtId="0" fontId="6" fillId="0" borderId="14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166" fontId="6" fillId="0" borderId="3" xfId="1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43" fontId="6" fillId="0" borderId="3" xfId="1" applyFont="1" applyBorder="1" applyAlignment="1">
      <alignment horizontal="right" vertical="center" wrapText="1"/>
    </xf>
    <xf numFmtId="9" fontId="6" fillId="0" borderId="3" xfId="3" applyFont="1" applyBorder="1" applyAlignment="1">
      <alignment horizontal="center" vertical="center" wrapText="1"/>
    </xf>
    <xf numFmtId="43" fontId="6" fillId="0" borderId="15" xfId="1" applyFont="1" applyBorder="1" applyAlignment="1">
      <alignment horizontal="left" vertical="center" wrapText="1"/>
    </xf>
    <xf numFmtId="43" fontId="6" fillId="0" borderId="16" xfId="1" applyFont="1" applyBorder="1" applyAlignment="1">
      <alignment horizontal="center" vertical="center" wrapText="1"/>
    </xf>
    <xf numFmtId="9" fontId="8" fillId="0" borderId="16" xfId="3" applyFont="1" applyBorder="1" applyAlignment="1">
      <alignment horizontal="center" vertical="center" shrinkToFit="1"/>
    </xf>
    <xf numFmtId="43" fontId="6" fillId="7" borderId="16" xfId="1" applyFont="1" applyFill="1" applyBorder="1" applyAlignment="1">
      <alignment horizontal="center" vertical="center" wrapText="1"/>
    </xf>
    <xf numFmtId="43" fontId="8" fillId="0" borderId="0" xfId="0" applyNumberFormat="1" applyFont="1" applyAlignment="1">
      <alignment horizontal="left" vertical="center"/>
    </xf>
    <xf numFmtId="43" fontId="5" fillId="0" borderId="0" xfId="1" applyFont="1" applyAlignment="1">
      <alignment horizontal="left" vertical="center"/>
    </xf>
    <xf numFmtId="0" fontId="6" fillId="0" borderId="25" xfId="0" applyFont="1" applyBorder="1" applyAlignment="1">
      <alignment horizontal="right" vertical="center" wrapText="1"/>
    </xf>
    <xf numFmtId="0" fontId="6" fillId="0" borderId="26" xfId="0" applyFont="1" applyBorder="1" applyAlignment="1">
      <alignment horizontal="left" vertical="center" wrapText="1"/>
    </xf>
    <xf numFmtId="166" fontId="6" fillId="0" borderId="27" xfId="1" applyNumberFormat="1" applyFont="1" applyBorder="1" applyAlignment="1">
      <alignment horizontal="right" vertical="center" wrapText="1"/>
    </xf>
    <xf numFmtId="0" fontId="6" fillId="0" borderId="27" xfId="0" applyFont="1" applyBorder="1" applyAlignment="1">
      <alignment horizontal="center" vertical="center" wrapText="1"/>
    </xf>
    <xf numFmtId="43" fontId="6" fillId="0" borderId="27" xfId="1" applyFont="1" applyBorder="1" applyAlignment="1">
      <alignment horizontal="right" vertical="center" wrapText="1"/>
    </xf>
    <xf numFmtId="9" fontId="6" fillId="0" borderId="27" xfId="3" applyFont="1" applyBorder="1" applyAlignment="1">
      <alignment horizontal="center" vertical="center" wrapText="1"/>
    </xf>
    <xf numFmtId="43" fontId="6" fillId="0" borderId="28" xfId="1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43" fontId="8" fillId="0" borderId="0" xfId="1" applyFont="1" applyAlignment="1">
      <alignment horizontal="center" vertical="center"/>
    </xf>
    <xf numFmtId="180" fontId="8" fillId="0" borderId="0" xfId="0" applyNumberFormat="1" applyFont="1" applyAlignment="1">
      <alignment horizontal="left" vertical="center"/>
    </xf>
    <xf numFmtId="0" fontId="8" fillId="8" borderId="19" xfId="0" applyFont="1" applyFill="1" applyBorder="1" applyAlignment="1">
      <alignment horizontal="right" vertical="center" wrapText="1"/>
    </xf>
    <xf numFmtId="0" fontId="9" fillId="0" borderId="29" xfId="0" applyFont="1" applyBorder="1" applyAlignment="1">
      <alignment horizontal="left" vertical="center" wrapText="1"/>
    </xf>
    <xf numFmtId="166" fontId="9" fillId="0" borderId="29" xfId="1" applyNumberFormat="1" applyFont="1" applyBorder="1" applyAlignment="1">
      <alignment horizontal="right" vertical="center" shrinkToFit="1"/>
    </xf>
    <xf numFmtId="0" fontId="9" fillId="0" borderId="29" xfId="0" applyFont="1" applyBorder="1" applyAlignment="1">
      <alignment horizontal="center" vertical="center" wrapText="1"/>
    </xf>
    <xf numFmtId="43" fontId="9" fillId="0" borderId="29" xfId="1" applyFont="1" applyBorder="1" applyAlignment="1">
      <alignment horizontal="right" vertical="center" wrapText="1"/>
    </xf>
    <xf numFmtId="9" fontId="9" fillId="0" borderId="29" xfId="3" applyFont="1" applyBorder="1" applyAlignment="1">
      <alignment horizontal="center" vertical="center" shrinkToFit="1"/>
    </xf>
    <xf numFmtId="0" fontId="8" fillId="8" borderId="17" xfId="0" applyFont="1" applyFill="1" applyBorder="1" applyAlignment="1">
      <alignment horizontal="right" vertical="center" wrapText="1"/>
    </xf>
    <xf numFmtId="43" fontId="10" fillId="0" borderId="0" xfId="2" applyNumberFormat="1" applyFont="1" applyAlignment="1">
      <alignment horizontal="left" vertical="center"/>
    </xf>
    <xf numFmtId="169" fontId="10" fillId="0" borderId="0" xfId="2" applyNumberFormat="1" applyFont="1" applyAlignment="1">
      <alignment horizontal="left" vertical="center"/>
    </xf>
    <xf numFmtId="43" fontId="9" fillId="0" borderId="29" xfId="1" applyFont="1" applyBorder="1" applyAlignment="1">
      <alignment horizontal="left" vertical="center" wrapText="1"/>
    </xf>
    <xf numFmtId="43" fontId="9" fillId="0" borderId="34" xfId="1" applyFont="1" applyBorder="1" applyAlignment="1">
      <alignment horizontal="left" vertical="center" wrapText="1"/>
    </xf>
    <xf numFmtId="167" fontId="8" fillId="0" borderId="0" xfId="1" applyNumberFormat="1" applyFont="1" applyAlignment="1">
      <alignment horizontal="left" vertical="center"/>
    </xf>
    <xf numFmtId="174" fontId="8" fillId="0" borderId="0" xfId="0" applyNumberFormat="1" applyFont="1" applyAlignment="1">
      <alignment horizontal="left" vertical="center"/>
    </xf>
    <xf numFmtId="175" fontId="8" fillId="0" borderId="0" xfId="0" applyNumberFormat="1" applyFont="1" applyAlignment="1">
      <alignment horizontal="left" vertical="center"/>
    </xf>
    <xf numFmtId="166" fontId="9" fillId="0" borderId="29" xfId="1" applyNumberFormat="1" applyFont="1" applyBorder="1" applyAlignment="1">
      <alignment horizontal="left" vertical="center" shrinkToFit="1"/>
    </xf>
    <xf numFmtId="166" fontId="9" fillId="0" borderId="29" xfId="1" applyNumberFormat="1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/>
    </xf>
    <xf numFmtId="166" fontId="8" fillId="0" borderId="29" xfId="1" applyNumberFormat="1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43" fontId="8" fillId="0" borderId="29" xfId="1" applyFont="1" applyBorder="1" applyAlignment="1">
      <alignment horizontal="left" vertical="center"/>
    </xf>
    <xf numFmtId="43" fontId="9" fillId="0" borderId="29" xfId="1" applyFont="1" applyFill="1" applyBorder="1" applyAlignment="1">
      <alignment horizontal="left" vertical="center" wrapText="1"/>
    </xf>
    <xf numFmtId="166" fontId="9" fillId="0" borderId="29" xfId="1" applyNumberFormat="1" applyFont="1" applyFill="1" applyBorder="1" applyAlignment="1">
      <alignment horizontal="left" vertical="center" wrapText="1"/>
    </xf>
    <xf numFmtId="166" fontId="9" fillId="0" borderId="29" xfId="1" applyNumberFormat="1" applyFont="1" applyFill="1" applyBorder="1" applyAlignment="1">
      <alignment horizontal="right" vertical="center" shrinkToFit="1"/>
    </xf>
    <xf numFmtId="9" fontId="9" fillId="0" borderId="29" xfId="3" applyFont="1" applyFill="1" applyBorder="1" applyAlignment="1">
      <alignment horizontal="center" vertical="center" shrinkToFit="1"/>
    </xf>
    <xf numFmtId="43" fontId="9" fillId="0" borderId="34" xfId="1" applyFont="1" applyFill="1" applyBorder="1" applyAlignment="1">
      <alignment horizontal="left" vertical="center" wrapText="1"/>
    </xf>
    <xf numFmtId="181" fontId="8" fillId="0" borderId="0" xfId="0" applyNumberFormat="1" applyFont="1" applyAlignment="1">
      <alignment horizontal="left" vertical="center"/>
    </xf>
    <xf numFmtId="0" fontId="8" fillId="0" borderId="29" xfId="0" applyFont="1" applyBorder="1" applyAlignment="1">
      <alignment horizontal="left" vertical="center" wrapText="1"/>
    </xf>
    <xf numFmtId="173" fontId="8" fillId="0" borderId="0" xfId="0" applyNumberFormat="1" applyFont="1" applyAlignment="1">
      <alignment horizontal="left" vertical="center"/>
    </xf>
    <xf numFmtId="43" fontId="9" fillId="0" borderId="29" xfId="1" applyFont="1" applyFill="1" applyBorder="1" applyAlignment="1">
      <alignment horizontal="right" vertical="center" wrapText="1"/>
    </xf>
    <xf numFmtId="0" fontId="10" fillId="0" borderId="0" xfId="2" applyFont="1" applyAlignment="1">
      <alignment horizontal="left" vertical="center"/>
    </xf>
    <xf numFmtId="166" fontId="8" fillId="0" borderId="0" xfId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3" fontId="9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3" fontId="11" fillId="0" borderId="0" xfId="1" applyFont="1" applyAlignment="1">
      <alignment horizontal="left" vertical="center"/>
    </xf>
    <xf numFmtId="9" fontId="8" fillId="0" borderId="0" xfId="3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66" fontId="8" fillId="0" borderId="0" xfId="1" applyNumberFormat="1" applyFont="1" applyAlignment="1">
      <alignment horizontal="right" vertical="center"/>
    </xf>
    <xf numFmtId="43" fontId="8" fillId="0" borderId="0" xfId="1" applyFont="1" applyAlignment="1">
      <alignment horizontal="right" vertical="center"/>
    </xf>
    <xf numFmtId="43" fontId="9" fillId="0" borderId="29" xfId="1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left" vertical="center" wrapText="1"/>
    </xf>
    <xf numFmtId="166" fontId="9" fillId="6" borderId="29" xfId="0" applyNumberFormat="1" applyFont="1" applyFill="1" applyBorder="1" applyAlignment="1">
      <alignment horizontal="right" vertical="center" wrapText="1"/>
    </xf>
    <xf numFmtId="166" fontId="9" fillId="6" borderId="29" xfId="1" applyNumberFormat="1" applyFont="1" applyFill="1" applyBorder="1" applyAlignment="1">
      <alignment horizontal="right" vertical="center" wrapText="1"/>
    </xf>
    <xf numFmtId="0" fontId="9" fillId="6" borderId="29" xfId="0" applyFont="1" applyFill="1" applyBorder="1" applyAlignment="1">
      <alignment horizontal="center" vertical="center" wrapText="1"/>
    </xf>
    <xf numFmtId="43" fontId="9" fillId="6" borderId="29" xfId="1" applyFont="1" applyFill="1" applyBorder="1" applyAlignment="1">
      <alignment horizontal="right" vertical="center" wrapText="1"/>
    </xf>
    <xf numFmtId="9" fontId="9" fillId="6" borderId="29" xfId="3" applyFont="1" applyFill="1" applyBorder="1" applyAlignment="1">
      <alignment horizontal="center" vertical="center" shrinkToFit="1"/>
    </xf>
    <xf numFmtId="166" fontId="9" fillId="6" borderId="29" xfId="1" applyNumberFormat="1" applyFont="1" applyFill="1" applyBorder="1" applyAlignment="1">
      <alignment horizontal="right" vertical="center" shrinkToFit="1"/>
    </xf>
    <xf numFmtId="13" fontId="8" fillId="0" borderId="0" xfId="0" applyNumberFormat="1" applyFont="1" applyAlignment="1">
      <alignment horizontal="left" vertical="center"/>
    </xf>
    <xf numFmtId="0" fontId="6" fillId="0" borderId="29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right" vertical="center" wrapText="1"/>
    </xf>
    <xf numFmtId="166" fontId="9" fillId="0" borderId="29" xfId="1" applyNumberFormat="1" applyFont="1" applyFill="1" applyBorder="1" applyAlignment="1">
      <alignment horizontal="right" vertical="center" wrapText="1"/>
    </xf>
    <xf numFmtId="9" fontId="9" fillId="0" borderId="29" xfId="3" applyFont="1" applyFill="1" applyBorder="1" applyAlignment="1">
      <alignment horizontal="center" vertical="center" wrapText="1"/>
    </xf>
    <xf numFmtId="166" fontId="9" fillId="0" borderId="29" xfId="1" applyNumberFormat="1" applyFont="1" applyFill="1" applyBorder="1" applyAlignment="1">
      <alignment horizontal="left" vertical="center" shrinkToFit="1"/>
    </xf>
    <xf numFmtId="166" fontId="8" fillId="0" borderId="29" xfId="1" applyNumberFormat="1" applyFont="1" applyFill="1" applyBorder="1" applyAlignment="1">
      <alignment horizontal="left" vertical="center"/>
    </xf>
    <xf numFmtId="43" fontId="8" fillId="0" borderId="29" xfId="1" applyFont="1" applyFill="1" applyBorder="1" applyAlignment="1">
      <alignment horizontal="left" vertical="center"/>
    </xf>
    <xf numFmtId="166" fontId="9" fillId="0" borderId="29" xfId="0" applyNumberFormat="1" applyFont="1" applyBorder="1" applyAlignment="1">
      <alignment horizontal="right" vertical="center" wrapText="1"/>
    </xf>
    <xf numFmtId="0" fontId="9" fillId="0" borderId="33" xfId="0" applyFont="1" applyBorder="1" applyAlignment="1">
      <alignment horizontal="right" vertical="center" wrapText="1"/>
    </xf>
    <xf numFmtId="0" fontId="7" fillId="0" borderId="29" xfId="0" applyFont="1" applyBorder="1" applyAlignment="1">
      <alignment horizontal="left" vertical="center"/>
    </xf>
    <xf numFmtId="166" fontId="6" fillId="0" borderId="29" xfId="1" applyNumberFormat="1" applyFont="1" applyFill="1" applyBorder="1" applyAlignment="1">
      <alignment horizontal="right" vertical="center" shrinkToFit="1"/>
    </xf>
    <xf numFmtId="43" fontId="6" fillId="0" borderId="29" xfId="1" applyFont="1" applyFill="1" applyBorder="1" applyAlignment="1">
      <alignment horizontal="right" vertical="center" wrapText="1"/>
    </xf>
    <xf numFmtId="9" fontId="6" fillId="0" borderId="29" xfId="3" applyFont="1" applyFill="1" applyBorder="1" applyAlignment="1">
      <alignment horizontal="center" vertical="center" shrinkToFit="1"/>
    </xf>
    <xf numFmtId="43" fontId="6" fillId="0" borderId="34" xfId="1" applyFont="1" applyFill="1" applyBorder="1" applyAlignment="1">
      <alignment horizontal="left" vertical="center" wrapText="1"/>
    </xf>
    <xf numFmtId="0" fontId="8" fillId="0" borderId="35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left" vertical="center" wrapText="1"/>
    </xf>
    <xf numFmtId="166" fontId="9" fillId="0" borderId="36" xfId="1" applyNumberFormat="1" applyFont="1" applyFill="1" applyBorder="1" applyAlignment="1">
      <alignment horizontal="right" vertical="center" shrinkToFit="1"/>
    </xf>
    <xf numFmtId="0" fontId="9" fillId="0" borderId="36" xfId="0" applyFont="1" applyBorder="1" applyAlignment="1">
      <alignment horizontal="center" vertical="center" wrapText="1"/>
    </xf>
    <xf numFmtId="43" fontId="9" fillId="0" borderId="36" xfId="1" applyFont="1" applyFill="1" applyBorder="1" applyAlignment="1">
      <alignment horizontal="right" vertical="center" wrapText="1"/>
    </xf>
    <xf numFmtId="9" fontId="9" fillId="0" borderId="36" xfId="3" applyFont="1" applyFill="1" applyBorder="1" applyAlignment="1">
      <alignment horizontal="center" vertical="center" shrinkToFit="1"/>
    </xf>
    <xf numFmtId="43" fontId="9" fillId="0" borderId="37" xfId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6" fontId="6" fillId="0" borderId="3" xfId="1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6" fontId="4" fillId="0" borderId="12" xfId="1" applyNumberFormat="1" applyFont="1" applyBorder="1" applyAlignment="1">
      <alignment horizontal="center" vertical="center" wrapText="1"/>
    </xf>
    <xf numFmtId="166" fontId="4" fillId="0" borderId="10" xfId="1" applyNumberFormat="1" applyFont="1" applyBorder="1" applyAlignment="1">
      <alignment horizontal="center" vertical="center" wrapText="1"/>
    </xf>
    <xf numFmtId="166" fontId="4" fillId="0" borderId="11" xfId="1" applyNumberFormat="1" applyFont="1" applyBorder="1" applyAlignment="1">
      <alignment horizontal="center" vertical="center" wrapText="1"/>
    </xf>
    <xf numFmtId="43" fontId="4" fillId="0" borderId="32" xfId="1" applyFont="1" applyBorder="1" applyAlignment="1">
      <alignment horizontal="center" vertical="center" wrapText="1"/>
    </xf>
    <xf numFmtId="43" fontId="4" fillId="0" borderId="18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166" fontId="6" fillId="7" borderId="3" xfId="1" applyNumberFormat="1" applyFont="1" applyFill="1" applyBorder="1" applyAlignment="1">
      <alignment horizontal="righ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66" fontId="5" fillId="0" borderId="23" xfId="1" applyNumberFormat="1" applyFont="1" applyBorder="1" applyAlignment="1">
      <alignment horizontal="center" vertical="center" wrapText="1"/>
    </xf>
    <xf numFmtId="166" fontId="5" fillId="0" borderId="21" xfId="1" applyNumberFormat="1" applyFont="1" applyBorder="1" applyAlignment="1">
      <alignment horizontal="center" vertical="center" wrapText="1"/>
    </xf>
    <xf numFmtId="166" fontId="5" fillId="0" borderId="24" xfId="1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right" vertical="center" wrapText="1"/>
    </xf>
    <xf numFmtId="43" fontId="9" fillId="6" borderId="34" xfId="1" applyFont="1" applyFill="1" applyBorder="1" applyAlignment="1">
      <alignment horizontal="left" vertical="center" wrapText="1"/>
    </xf>
    <xf numFmtId="0" fontId="9" fillId="6" borderId="33" xfId="0" applyFont="1" applyFill="1" applyBorder="1" applyAlignment="1">
      <alignment horizontal="right" vertical="center" wrapText="1"/>
    </xf>
    <xf numFmtId="166" fontId="8" fillId="0" borderId="0" xfId="0" applyNumberFormat="1" applyFont="1" applyAlignment="1">
      <alignment horizontal="left" vertic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FD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3C0B-324B-4BBD-8504-D9BA18084CE8}">
  <sheetPr>
    <pageSetUpPr fitToPage="1"/>
  </sheetPr>
  <dimension ref="A1:R288"/>
  <sheetViews>
    <sheetView tabSelected="1" zoomScale="78" zoomScaleNormal="78" workbookViewId="0">
      <selection activeCell="L20" sqref="L20"/>
    </sheetView>
  </sheetViews>
  <sheetFormatPr defaultRowHeight="14.25" x14ac:dyDescent="0.2"/>
  <cols>
    <col min="1" max="1" width="24.6640625" style="116" customWidth="1"/>
    <col min="2" max="2" width="65.1640625" style="56" customWidth="1"/>
    <col min="3" max="3" width="25" style="117" customWidth="1"/>
    <col min="4" max="4" width="22.33203125" style="117" customWidth="1"/>
    <col min="5" max="5" width="17.5" style="77" customWidth="1"/>
    <col min="6" max="6" width="20.5" style="118" customWidth="1"/>
    <col min="7" max="7" width="13.33203125" style="115" customWidth="1"/>
    <col min="8" max="8" width="34.5" style="57" customWidth="1"/>
    <col min="9" max="9" width="5.83203125" style="56" customWidth="1"/>
    <col min="10" max="10" width="22" style="57" customWidth="1"/>
    <col min="11" max="11" width="49.83203125" style="57" customWidth="1"/>
    <col min="12" max="12" width="24.1640625" style="57" customWidth="1"/>
    <col min="13" max="13" width="22.33203125" style="56" customWidth="1"/>
    <col min="14" max="14" width="20.83203125" style="56" customWidth="1"/>
    <col min="15" max="15" width="12.33203125" style="56" customWidth="1"/>
    <col min="16" max="16" width="18.1640625" style="56" customWidth="1"/>
    <col min="17" max="16384" width="9.33203125" style="56"/>
  </cols>
  <sheetData>
    <row r="1" spans="1:8" ht="41.25" customHeight="1" thickBot="1" x14ac:dyDescent="0.25">
      <c r="A1" s="179" t="s">
        <v>105</v>
      </c>
      <c r="B1" s="180"/>
      <c r="C1" s="180"/>
      <c r="D1" s="180"/>
      <c r="E1" s="200"/>
      <c r="F1" s="201" t="s">
        <v>106</v>
      </c>
      <c r="G1" s="202"/>
      <c r="H1" s="203"/>
    </row>
    <row r="2" spans="1:8" ht="23.85" customHeight="1" x14ac:dyDescent="0.2">
      <c r="A2" s="204" t="s">
        <v>271</v>
      </c>
      <c r="B2" s="205"/>
      <c r="C2" s="205"/>
      <c r="D2" s="205"/>
      <c r="E2" s="205"/>
      <c r="F2" s="205"/>
      <c r="G2" s="205"/>
      <c r="H2" s="206"/>
    </row>
    <row r="3" spans="1:8" ht="18" customHeight="1" x14ac:dyDescent="0.2">
      <c r="A3" s="191" t="s">
        <v>1</v>
      </c>
      <c r="B3" s="192"/>
      <c r="C3" s="192"/>
      <c r="D3" s="192"/>
      <c r="E3" s="192"/>
      <c r="F3" s="192"/>
      <c r="G3" s="192"/>
      <c r="H3" s="193"/>
    </row>
    <row r="4" spans="1:8" ht="15.75" customHeight="1" x14ac:dyDescent="0.2">
      <c r="A4" s="58" t="s">
        <v>230</v>
      </c>
      <c r="B4" s="175" t="s">
        <v>231</v>
      </c>
      <c r="C4" s="176"/>
      <c r="D4" s="176"/>
      <c r="E4" s="177"/>
      <c r="F4" s="176"/>
      <c r="G4" s="177"/>
      <c r="H4" s="178"/>
    </row>
    <row r="5" spans="1:8" ht="15.75" customHeight="1" x14ac:dyDescent="0.2">
      <c r="A5" s="58" t="s">
        <v>232</v>
      </c>
      <c r="B5" s="175" t="s">
        <v>143</v>
      </c>
      <c r="C5" s="176"/>
      <c r="D5" s="176"/>
      <c r="E5" s="177"/>
      <c r="F5" s="176"/>
      <c r="G5" s="177"/>
      <c r="H5" s="178"/>
    </row>
    <row r="6" spans="1:8" ht="15.75" customHeight="1" x14ac:dyDescent="0.2">
      <c r="A6" s="58" t="s">
        <v>233</v>
      </c>
      <c r="B6" s="175" t="s">
        <v>144</v>
      </c>
      <c r="C6" s="176"/>
      <c r="D6" s="176"/>
      <c r="E6" s="177"/>
      <c r="F6" s="176"/>
      <c r="G6" s="177"/>
      <c r="H6" s="178"/>
    </row>
    <row r="7" spans="1:8" ht="15.75" customHeight="1" x14ac:dyDescent="0.2">
      <c r="A7" s="58" t="s">
        <v>234</v>
      </c>
      <c r="B7" s="59" t="s">
        <v>235</v>
      </c>
      <c r="C7" s="60"/>
      <c r="D7" s="60"/>
      <c r="E7" s="61"/>
      <c r="F7" s="62"/>
      <c r="G7" s="63"/>
      <c r="H7" s="64"/>
    </row>
    <row r="8" spans="1:8" ht="15.75" customHeight="1" x14ac:dyDescent="0.2">
      <c r="A8" s="58" t="s">
        <v>236</v>
      </c>
      <c r="B8" s="175" t="s">
        <v>145</v>
      </c>
      <c r="C8" s="176"/>
      <c r="D8" s="176"/>
      <c r="E8" s="177"/>
      <c r="F8" s="176"/>
      <c r="G8" s="177"/>
      <c r="H8" s="178"/>
    </row>
    <row r="9" spans="1:8" ht="15.75" customHeight="1" x14ac:dyDescent="0.2">
      <c r="A9" s="58" t="s">
        <v>237</v>
      </c>
      <c r="B9" s="175" t="s">
        <v>146</v>
      </c>
      <c r="C9" s="176"/>
      <c r="D9" s="176"/>
      <c r="E9" s="177"/>
      <c r="F9" s="176"/>
      <c r="G9" s="177"/>
      <c r="H9" s="178"/>
    </row>
    <row r="10" spans="1:8" ht="15.75" customHeight="1" x14ac:dyDescent="0.2">
      <c r="A10" s="58" t="s">
        <v>238</v>
      </c>
      <c r="B10" s="175" t="s">
        <v>147</v>
      </c>
      <c r="C10" s="176"/>
      <c r="D10" s="176"/>
      <c r="E10" s="177"/>
      <c r="F10" s="176"/>
      <c r="G10" s="177"/>
      <c r="H10" s="178"/>
    </row>
    <row r="11" spans="1:8" ht="15.75" customHeight="1" x14ac:dyDescent="0.2">
      <c r="A11" s="58" t="s">
        <v>239</v>
      </c>
      <c r="B11" s="59" t="s">
        <v>235</v>
      </c>
      <c r="C11" s="60"/>
      <c r="D11" s="60"/>
      <c r="E11" s="61"/>
      <c r="F11" s="62"/>
      <c r="G11" s="63"/>
      <c r="H11" s="64"/>
    </row>
    <row r="12" spans="1:8" ht="15.75" customHeight="1" x14ac:dyDescent="0.2">
      <c r="A12" s="58" t="s">
        <v>240</v>
      </c>
      <c r="B12" s="59" t="s">
        <v>235</v>
      </c>
      <c r="C12" s="60"/>
      <c r="D12" s="60"/>
      <c r="E12" s="61"/>
      <c r="F12" s="62"/>
      <c r="G12" s="63"/>
      <c r="H12" s="64"/>
    </row>
    <row r="13" spans="1:8" ht="15.75" customHeight="1" x14ac:dyDescent="0.2">
      <c r="A13" s="58" t="s">
        <v>241</v>
      </c>
      <c r="B13" s="175" t="s">
        <v>242</v>
      </c>
      <c r="C13" s="176"/>
      <c r="D13" s="176"/>
      <c r="E13" s="177"/>
      <c r="F13" s="176"/>
      <c r="G13" s="177"/>
      <c r="H13" s="178"/>
    </row>
    <row r="14" spans="1:8" ht="15.75" customHeight="1" x14ac:dyDescent="0.2">
      <c r="A14" s="58" t="s">
        <v>243</v>
      </c>
      <c r="B14" s="175" t="s">
        <v>148</v>
      </c>
      <c r="C14" s="176"/>
      <c r="D14" s="176"/>
      <c r="E14" s="177"/>
      <c r="F14" s="176"/>
      <c r="G14" s="177"/>
      <c r="H14" s="178"/>
    </row>
    <row r="15" spans="1:8" ht="15.75" customHeight="1" x14ac:dyDescent="0.2">
      <c r="A15" s="58" t="s">
        <v>244</v>
      </c>
      <c r="B15" s="175" t="s">
        <v>149</v>
      </c>
      <c r="C15" s="176"/>
      <c r="D15" s="176"/>
      <c r="E15" s="177"/>
      <c r="F15" s="176"/>
      <c r="G15" s="177"/>
      <c r="H15" s="178"/>
    </row>
    <row r="16" spans="1:8" ht="15.75" customHeight="1" x14ac:dyDescent="0.2">
      <c r="A16" s="58" t="s">
        <v>245</v>
      </c>
      <c r="B16" s="175" t="s">
        <v>150</v>
      </c>
      <c r="C16" s="176"/>
      <c r="D16" s="176"/>
      <c r="E16" s="177"/>
      <c r="F16" s="176"/>
      <c r="G16" s="177"/>
      <c r="H16" s="178"/>
    </row>
    <row r="17" spans="1:12" ht="15.75" customHeight="1" x14ac:dyDescent="0.2">
      <c r="A17" s="58" t="s">
        <v>246</v>
      </c>
      <c r="B17" s="175" t="s">
        <v>151</v>
      </c>
      <c r="C17" s="176"/>
      <c r="D17" s="176"/>
      <c r="E17" s="177"/>
      <c r="F17" s="176"/>
      <c r="G17" s="177"/>
      <c r="H17" s="178"/>
    </row>
    <row r="18" spans="1:12" ht="15.75" customHeight="1" x14ac:dyDescent="0.2">
      <c r="A18" s="58" t="s">
        <v>247</v>
      </c>
      <c r="B18" s="194" t="s">
        <v>152</v>
      </c>
      <c r="C18" s="195"/>
      <c r="D18" s="195"/>
      <c r="E18" s="196"/>
      <c r="F18" s="195"/>
      <c r="G18" s="196"/>
      <c r="H18" s="197"/>
    </row>
    <row r="19" spans="1:12" ht="15.75" customHeight="1" x14ac:dyDescent="0.2">
      <c r="A19" s="58" t="s">
        <v>248</v>
      </c>
      <c r="B19" s="175" t="s">
        <v>350</v>
      </c>
      <c r="C19" s="176"/>
      <c r="D19" s="176"/>
      <c r="E19" s="177"/>
      <c r="F19" s="176"/>
      <c r="G19" s="177"/>
      <c r="H19" s="178"/>
    </row>
    <row r="20" spans="1:12" ht="23.85" customHeight="1" x14ac:dyDescent="0.2">
      <c r="A20" s="191" t="s">
        <v>2</v>
      </c>
      <c r="B20" s="192"/>
      <c r="C20" s="192"/>
      <c r="D20" s="192"/>
      <c r="E20" s="192"/>
      <c r="F20" s="192"/>
      <c r="G20" s="192"/>
      <c r="H20" s="193"/>
    </row>
    <row r="21" spans="1:12" ht="23.85" customHeight="1" x14ac:dyDescent="0.2">
      <c r="A21" s="58" t="s">
        <v>249</v>
      </c>
      <c r="B21" s="198" t="s">
        <v>250</v>
      </c>
      <c r="C21" s="177"/>
      <c r="D21" s="177"/>
      <c r="E21" s="177"/>
      <c r="F21" s="177"/>
      <c r="G21" s="199"/>
      <c r="H21" s="65" t="s">
        <v>251</v>
      </c>
    </row>
    <row r="22" spans="1:12" ht="15" customHeight="1" x14ac:dyDescent="0.2">
      <c r="A22" s="58" t="s">
        <v>252</v>
      </c>
      <c r="B22" s="175" t="s">
        <v>0</v>
      </c>
      <c r="C22" s="176"/>
      <c r="D22" s="176"/>
      <c r="E22" s="177"/>
      <c r="F22" s="176"/>
      <c r="G22" s="199"/>
      <c r="H22" s="66">
        <v>0.64</v>
      </c>
    </row>
    <row r="23" spans="1:12" ht="15" customHeight="1" x14ac:dyDescent="0.2">
      <c r="A23" s="58" t="s">
        <v>253</v>
      </c>
      <c r="B23" s="175" t="s">
        <v>254</v>
      </c>
      <c r="C23" s="176"/>
      <c r="D23" s="176"/>
      <c r="E23" s="177"/>
      <c r="F23" s="176"/>
      <c r="G23" s="199"/>
      <c r="H23" s="67">
        <v>11182670737</v>
      </c>
      <c r="L23" s="69"/>
    </row>
    <row r="24" spans="1:12" ht="15" customHeight="1" x14ac:dyDescent="0.2">
      <c r="A24" s="58" t="s">
        <v>255</v>
      </c>
      <c r="B24" s="175" t="s">
        <v>256</v>
      </c>
      <c r="C24" s="176"/>
      <c r="D24" s="176"/>
      <c r="E24" s="177"/>
      <c r="F24" s="176"/>
      <c r="G24" s="199"/>
      <c r="H24" s="65" t="s">
        <v>351</v>
      </c>
    </row>
    <row r="25" spans="1:12" ht="15" customHeight="1" x14ac:dyDescent="0.2">
      <c r="A25" s="58" t="s">
        <v>257</v>
      </c>
      <c r="B25" s="175" t="s">
        <v>258</v>
      </c>
      <c r="C25" s="176"/>
      <c r="D25" s="176"/>
      <c r="E25" s="177"/>
      <c r="F25" s="176"/>
      <c r="G25" s="199"/>
      <c r="H25" s="66">
        <v>0.72</v>
      </c>
    </row>
    <row r="26" spans="1:12" ht="37.5" customHeight="1" x14ac:dyDescent="0.2">
      <c r="A26" s="191" t="s">
        <v>3</v>
      </c>
      <c r="B26" s="192"/>
      <c r="C26" s="192"/>
      <c r="D26" s="192"/>
      <c r="E26" s="192"/>
      <c r="F26" s="192"/>
      <c r="G26" s="192"/>
      <c r="H26" s="193"/>
    </row>
    <row r="27" spans="1:12" ht="15.75" customHeight="1" x14ac:dyDescent="0.2">
      <c r="A27" s="58" t="s">
        <v>238</v>
      </c>
      <c r="B27" s="175" t="s">
        <v>147</v>
      </c>
      <c r="C27" s="176"/>
      <c r="D27" s="176"/>
      <c r="E27" s="177"/>
      <c r="F27" s="176"/>
      <c r="G27" s="177"/>
      <c r="H27" s="178"/>
    </row>
    <row r="28" spans="1:12" ht="15.75" customHeight="1" x14ac:dyDescent="0.2">
      <c r="A28" s="58" t="s">
        <v>241</v>
      </c>
      <c r="B28" s="175" t="s">
        <v>242</v>
      </c>
      <c r="C28" s="176"/>
      <c r="D28" s="176"/>
      <c r="E28" s="177"/>
      <c r="F28" s="176"/>
      <c r="G28" s="177"/>
      <c r="H28" s="178"/>
    </row>
    <row r="29" spans="1:12" ht="15.75" customHeight="1" x14ac:dyDescent="0.2">
      <c r="A29" s="58" t="s">
        <v>243</v>
      </c>
      <c r="B29" s="175" t="s">
        <v>153</v>
      </c>
      <c r="C29" s="176"/>
      <c r="D29" s="176"/>
      <c r="E29" s="177"/>
      <c r="F29" s="176"/>
      <c r="G29" s="177"/>
      <c r="H29" s="178"/>
    </row>
    <row r="30" spans="1:12" ht="15.75" customHeight="1" x14ac:dyDescent="0.2">
      <c r="A30" s="58" t="s">
        <v>259</v>
      </c>
      <c r="B30" s="175" t="s">
        <v>260</v>
      </c>
      <c r="C30" s="176"/>
      <c r="D30" s="176"/>
      <c r="E30" s="177"/>
      <c r="F30" s="176"/>
      <c r="G30" s="177"/>
      <c r="H30" s="178"/>
    </row>
    <row r="31" spans="1:12" ht="15.75" customHeight="1" x14ac:dyDescent="0.2">
      <c r="A31" s="58" t="s">
        <v>244</v>
      </c>
      <c r="B31" s="175" t="s">
        <v>149</v>
      </c>
      <c r="C31" s="176"/>
      <c r="D31" s="176"/>
      <c r="E31" s="177"/>
      <c r="F31" s="176"/>
      <c r="G31" s="177"/>
      <c r="H31" s="178"/>
    </row>
    <row r="32" spans="1:12" ht="15.75" customHeight="1" thickBot="1" x14ac:dyDescent="0.25">
      <c r="A32" s="70" t="s">
        <v>261</v>
      </c>
      <c r="B32" s="71" t="s">
        <v>262</v>
      </c>
      <c r="C32" s="72"/>
      <c r="D32" s="72"/>
      <c r="E32" s="73"/>
      <c r="F32" s="74"/>
      <c r="G32" s="75"/>
      <c r="H32" s="76"/>
    </row>
    <row r="33" spans="1:14" ht="37.5" customHeight="1" thickBot="1" x14ac:dyDescent="0.25">
      <c r="A33" s="179" t="s">
        <v>3</v>
      </c>
      <c r="B33" s="180"/>
      <c r="C33" s="180"/>
      <c r="D33" s="180"/>
      <c r="E33" s="180"/>
      <c r="F33" s="180"/>
      <c r="G33" s="180"/>
      <c r="H33" s="181"/>
    </row>
    <row r="34" spans="1:14" s="77" customFormat="1" ht="20.25" customHeight="1" x14ac:dyDescent="0.2">
      <c r="A34" s="182" t="s">
        <v>107</v>
      </c>
      <c r="B34" s="184" t="s">
        <v>108</v>
      </c>
      <c r="C34" s="186" t="s">
        <v>109</v>
      </c>
      <c r="D34" s="187"/>
      <c r="E34" s="187"/>
      <c r="F34" s="187"/>
      <c r="G34" s="188"/>
      <c r="H34" s="189" t="s">
        <v>110</v>
      </c>
      <c r="J34" s="78"/>
      <c r="K34" s="78"/>
      <c r="L34" s="78"/>
    </row>
    <row r="35" spans="1:14" s="77" customFormat="1" ht="20.25" customHeight="1" x14ac:dyDescent="0.2">
      <c r="A35" s="183"/>
      <c r="B35" s="185"/>
      <c r="C35" s="1" t="s">
        <v>111</v>
      </c>
      <c r="D35" s="2"/>
      <c r="E35" s="3" t="s">
        <v>112</v>
      </c>
      <c r="F35" s="4" t="s">
        <v>113</v>
      </c>
      <c r="G35" s="5" t="s">
        <v>114</v>
      </c>
      <c r="H35" s="190"/>
      <c r="J35" s="78"/>
      <c r="K35" s="78"/>
      <c r="L35" s="78"/>
    </row>
    <row r="36" spans="1:14" ht="18" customHeight="1" x14ac:dyDescent="0.2">
      <c r="A36" s="6">
        <v>5</v>
      </c>
      <c r="B36" s="7" t="s">
        <v>115</v>
      </c>
      <c r="C36" s="8"/>
      <c r="D36" s="9"/>
      <c r="E36" s="10"/>
      <c r="F36" s="11"/>
      <c r="G36" s="12"/>
      <c r="H36" s="13">
        <f>+H37</f>
        <v>11182670737</v>
      </c>
      <c r="M36" s="68"/>
      <c r="N36" s="68"/>
    </row>
    <row r="37" spans="1:14" ht="18" customHeight="1" x14ac:dyDescent="0.2">
      <c r="A37" s="14">
        <v>5.0999999999999996</v>
      </c>
      <c r="B37" s="7" t="s">
        <v>116</v>
      </c>
      <c r="C37" s="8"/>
      <c r="D37" s="9"/>
      <c r="E37" s="10"/>
      <c r="F37" s="11"/>
      <c r="G37" s="12"/>
      <c r="H37" s="13">
        <f>+H38+H265</f>
        <v>11182670737</v>
      </c>
      <c r="K37" s="56"/>
    </row>
    <row r="38" spans="1:14" ht="18" customHeight="1" x14ac:dyDescent="0.2">
      <c r="A38" s="15">
        <v>37377</v>
      </c>
      <c r="B38" s="16" t="s">
        <v>117</v>
      </c>
      <c r="C38" s="17"/>
      <c r="D38" s="18"/>
      <c r="E38" s="19"/>
      <c r="F38" s="20"/>
      <c r="G38" s="21"/>
      <c r="H38" s="22">
        <f>+H39+H242</f>
        <v>11058728737</v>
      </c>
      <c r="K38" s="79"/>
    </row>
    <row r="39" spans="1:14" ht="18" customHeight="1" x14ac:dyDescent="0.2">
      <c r="A39" s="23" t="s">
        <v>154</v>
      </c>
      <c r="B39" s="16" t="s">
        <v>118</v>
      </c>
      <c r="C39" s="17"/>
      <c r="D39" s="18"/>
      <c r="E39" s="19"/>
      <c r="F39" s="20"/>
      <c r="G39" s="21"/>
      <c r="H39" s="22">
        <f>+H40</f>
        <v>10838349557</v>
      </c>
      <c r="K39" s="68"/>
    </row>
    <row r="40" spans="1:14" ht="18" customHeight="1" x14ac:dyDescent="0.2">
      <c r="A40" s="24" t="s">
        <v>155</v>
      </c>
      <c r="B40" s="25" t="s">
        <v>119</v>
      </c>
      <c r="C40" s="26"/>
      <c r="D40" s="27"/>
      <c r="E40" s="28"/>
      <c r="F40" s="29"/>
      <c r="G40" s="30"/>
      <c r="H40" s="31">
        <f>+H41+H48+H89+H103+H109+H114++H127</f>
        <v>10838349557</v>
      </c>
      <c r="K40" s="68"/>
    </row>
    <row r="41" spans="1:14" ht="18" customHeight="1" x14ac:dyDescent="0.2">
      <c r="A41" s="32" t="s">
        <v>156</v>
      </c>
      <c r="B41" s="33" t="s">
        <v>120</v>
      </c>
      <c r="C41" s="34"/>
      <c r="D41" s="35"/>
      <c r="E41" s="36"/>
      <c r="F41" s="37"/>
      <c r="G41" s="38"/>
      <c r="H41" s="39">
        <f>+H42</f>
        <v>2000000000</v>
      </c>
      <c r="K41" s="56"/>
    </row>
    <row r="42" spans="1:14" ht="18" customHeight="1" x14ac:dyDescent="0.2">
      <c r="A42" s="86"/>
      <c r="B42" s="170" t="s">
        <v>121</v>
      </c>
      <c r="C42" s="173"/>
      <c r="D42" s="173"/>
      <c r="E42" s="173"/>
      <c r="F42" s="173"/>
      <c r="G42" s="174"/>
      <c r="H42" s="41">
        <f>SUM(H43:H47)</f>
        <v>2000000000</v>
      </c>
      <c r="K42" s="56"/>
      <c r="N42" s="68"/>
    </row>
    <row r="43" spans="1:14" ht="18" customHeight="1" x14ac:dyDescent="0.2">
      <c r="A43" s="130">
        <v>1</v>
      </c>
      <c r="B43" s="100" t="s">
        <v>38</v>
      </c>
      <c r="C43" s="102">
        <v>560</v>
      </c>
      <c r="D43" s="102">
        <v>1</v>
      </c>
      <c r="E43" s="119" t="s">
        <v>37</v>
      </c>
      <c r="F43" s="108">
        <v>2136650</v>
      </c>
      <c r="G43" s="103">
        <v>0</v>
      </c>
      <c r="H43" s="104">
        <f t="shared" ref="H43:H47" si="0">+(C43*D43)*(F43+(F43*G43))</f>
        <v>1196524000</v>
      </c>
      <c r="M43" s="68"/>
    </row>
    <row r="44" spans="1:14" ht="18" customHeight="1" x14ac:dyDescent="0.2">
      <c r="A44" s="130">
        <v>2</v>
      </c>
      <c r="B44" s="100" t="s">
        <v>39</v>
      </c>
      <c r="C44" s="102">
        <v>252.03603603603602</v>
      </c>
      <c r="D44" s="102">
        <v>1</v>
      </c>
      <c r="E44" s="119" t="s">
        <v>37</v>
      </c>
      <c r="F44" s="108">
        <v>1609500</v>
      </c>
      <c r="G44" s="103">
        <v>0</v>
      </c>
      <c r="H44" s="104">
        <f t="shared" si="0"/>
        <v>405652000</v>
      </c>
      <c r="L44" s="87"/>
      <c r="M44" s="68"/>
    </row>
    <row r="45" spans="1:14" ht="18" customHeight="1" x14ac:dyDescent="0.2">
      <c r="A45" s="130">
        <v>3</v>
      </c>
      <c r="B45" s="100" t="s">
        <v>40</v>
      </c>
      <c r="C45" s="102">
        <v>126</v>
      </c>
      <c r="D45" s="102">
        <v>1</v>
      </c>
      <c r="E45" s="119" t="s">
        <v>37</v>
      </c>
      <c r="F45" s="108">
        <v>1609500</v>
      </c>
      <c r="G45" s="103">
        <v>0</v>
      </c>
      <c r="H45" s="104">
        <f t="shared" si="0"/>
        <v>202797000</v>
      </c>
      <c r="L45" s="88"/>
    </row>
    <row r="46" spans="1:14" ht="18" customHeight="1" x14ac:dyDescent="0.2">
      <c r="A46" s="130">
        <v>4</v>
      </c>
      <c r="B46" s="100" t="s">
        <v>41</v>
      </c>
      <c r="C46" s="102">
        <v>252</v>
      </c>
      <c r="D46" s="102">
        <v>1</v>
      </c>
      <c r="E46" s="119" t="s">
        <v>37</v>
      </c>
      <c r="F46" s="108">
        <v>388500</v>
      </c>
      <c r="G46" s="103">
        <v>0</v>
      </c>
      <c r="H46" s="104">
        <f t="shared" si="0"/>
        <v>97902000</v>
      </c>
      <c r="L46" s="87"/>
    </row>
    <row r="47" spans="1:14" ht="18" customHeight="1" x14ac:dyDescent="0.2">
      <c r="A47" s="130">
        <v>5</v>
      </c>
      <c r="B47" s="100" t="s">
        <v>42</v>
      </c>
      <c r="C47" s="102">
        <v>125</v>
      </c>
      <c r="D47" s="102">
        <v>1</v>
      </c>
      <c r="E47" s="119" t="s">
        <v>37</v>
      </c>
      <c r="F47" s="108">
        <v>777000</v>
      </c>
      <c r="G47" s="103">
        <v>0</v>
      </c>
      <c r="H47" s="104">
        <f t="shared" si="0"/>
        <v>97125000</v>
      </c>
      <c r="L47" s="87"/>
    </row>
    <row r="48" spans="1:14" ht="18" customHeight="1" x14ac:dyDescent="0.2">
      <c r="A48" s="42" t="s">
        <v>157</v>
      </c>
      <c r="B48" s="159" t="s">
        <v>122</v>
      </c>
      <c r="C48" s="160"/>
      <c r="D48" s="160"/>
      <c r="E48" s="160"/>
      <c r="F48" s="160"/>
      <c r="G48" s="161"/>
      <c r="H48" s="43">
        <f>+H49</f>
        <v>1086523678</v>
      </c>
      <c r="K48" s="56"/>
    </row>
    <row r="49" spans="1:14" ht="18" customHeight="1" x14ac:dyDescent="0.2">
      <c r="A49" s="86"/>
      <c r="B49" s="170" t="s">
        <v>75</v>
      </c>
      <c r="C49" s="171"/>
      <c r="D49" s="171"/>
      <c r="E49" s="171"/>
      <c r="F49" s="171"/>
      <c r="G49" s="172"/>
      <c r="H49" s="41">
        <f>SUM(H50:H88)</f>
        <v>1086523678</v>
      </c>
      <c r="K49" s="56"/>
      <c r="L49" s="91"/>
    </row>
    <row r="50" spans="1:14" ht="18" customHeight="1" x14ac:dyDescent="0.2">
      <c r="A50" s="130">
        <v>1</v>
      </c>
      <c r="B50" s="100" t="s">
        <v>60</v>
      </c>
      <c r="C50" s="131">
        <v>1440</v>
      </c>
      <c r="D50" s="102">
        <v>1</v>
      </c>
      <c r="E50" s="119" t="s">
        <v>37</v>
      </c>
      <c r="F50" s="100">
        <v>179400</v>
      </c>
      <c r="G50" s="132">
        <v>0.11</v>
      </c>
      <c r="H50" s="104">
        <f t="shared" ref="H50:H51" si="1">+(C50*D50)*(F50+(F50*G50))</f>
        <v>286752960</v>
      </c>
      <c r="K50" s="56"/>
      <c r="M50" s="92"/>
      <c r="N50" s="93"/>
    </row>
    <row r="51" spans="1:14" ht="18" customHeight="1" x14ac:dyDescent="0.2">
      <c r="A51" s="130">
        <v>2</v>
      </c>
      <c r="B51" s="100" t="s">
        <v>61</v>
      </c>
      <c r="C51" s="131">
        <v>576</v>
      </c>
      <c r="D51" s="102">
        <v>1</v>
      </c>
      <c r="E51" s="119" t="s">
        <v>37</v>
      </c>
      <c r="F51" s="100">
        <v>105950</v>
      </c>
      <c r="G51" s="132">
        <v>0.11</v>
      </c>
      <c r="H51" s="104">
        <f t="shared" si="1"/>
        <v>67740192</v>
      </c>
      <c r="K51" s="56"/>
      <c r="M51" s="68"/>
      <c r="N51" s="68"/>
    </row>
    <row r="52" spans="1:14" ht="20.25" customHeight="1" x14ac:dyDescent="0.2">
      <c r="A52" s="130">
        <v>3</v>
      </c>
      <c r="B52" s="81" t="s">
        <v>178</v>
      </c>
      <c r="C52" s="101">
        <v>120</v>
      </c>
      <c r="D52" s="102">
        <v>1</v>
      </c>
      <c r="E52" s="83" t="s">
        <v>4</v>
      </c>
      <c r="F52" s="100">
        <v>25975</v>
      </c>
      <c r="G52" s="103">
        <v>0</v>
      </c>
      <c r="H52" s="104">
        <f t="shared" ref="H52:H88" si="2">+(C52*D52)*(F52+(F52*G52))</f>
        <v>3117000</v>
      </c>
      <c r="K52" s="68"/>
    </row>
    <row r="53" spans="1:14" ht="20.25" customHeight="1" x14ac:dyDescent="0.2">
      <c r="A53" s="130">
        <v>4</v>
      </c>
      <c r="B53" s="81" t="s">
        <v>180</v>
      </c>
      <c r="C53" s="101">
        <v>132</v>
      </c>
      <c r="D53" s="102">
        <v>1</v>
      </c>
      <c r="E53" s="83" t="s">
        <v>37</v>
      </c>
      <c r="F53" s="100">
        <v>110550</v>
      </c>
      <c r="G53" s="103">
        <v>0</v>
      </c>
      <c r="H53" s="104">
        <f t="shared" si="2"/>
        <v>14592600</v>
      </c>
      <c r="K53" s="68"/>
    </row>
    <row r="54" spans="1:14" ht="20.25" customHeight="1" x14ac:dyDescent="0.2">
      <c r="A54" s="130">
        <v>5</v>
      </c>
      <c r="B54" s="81" t="s">
        <v>96</v>
      </c>
      <c r="C54" s="101">
        <v>235</v>
      </c>
      <c r="D54" s="102">
        <v>1</v>
      </c>
      <c r="E54" s="83" t="s">
        <v>4</v>
      </c>
      <c r="F54" s="100">
        <v>20450</v>
      </c>
      <c r="G54" s="103">
        <v>0</v>
      </c>
      <c r="H54" s="104">
        <f t="shared" si="2"/>
        <v>4805750</v>
      </c>
      <c r="K54" s="68"/>
    </row>
    <row r="55" spans="1:14" ht="20.25" customHeight="1" x14ac:dyDescent="0.2">
      <c r="A55" s="130">
        <v>6</v>
      </c>
      <c r="B55" s="81" t="s">
        <v>47</v>
      </c>
      <c r="C55" s="101">
        <v>2000</v>
      </c>
      <c r="D55" s="102">
        <v>1</v>
      </c>
      <c r="E55" s="83" t="s">
        <v>4</v>
      </c>
      <c r="F55" s="100">
        <v>5950</v>
      </c>
      <c r="G55" s="103">
        <v>0</v>
      </c>
      <c r="H55" s="104">
        <f t="shared" si="2"/>
        <v>11900000</v>
      </c>
      <c r="K55" s="68"/>
    </row>
    <row r="56" spans="1:14" ht="20.25" customHeight="1" x14ac:dyDescent="0.2">
      <c r="A56" s="130">
        <v>7</v>
      </c>
      <c r="B56" s="96" t="s">
        <v>181</v>
      </c>
      <c r="C56" s="134">
        <v>250</v>
      </c>
      <c r="D56" s="102">
        <v>1</v>
      </c>
      <c r="E56" s="98" t="s">
        <v>37</v>
      </c>
      <c r="F56" s="135">
        <v>11950</v>
      </c>
      <c r="G56" s="103">
        <v>0</v>
      </c>
      <c r="H56" s="104">
        <f t="shared" si="2"/>
        <v>2987500</v>
      </c>
      <c r="K56" s="68"/>
    </row>
    <row r="57" spans="1:14" ht="20.25" customHeight="1" x14ac:dyDescent="0.2">
      <c r="A57" s="130">
        <v>8</v>
      </c>
      <c r="B57" s="81" t="s">
        <v>192</v>
      </c>
      <c r="C57" s="101">
        <v>100</v>
      </c>
      <c r="D57" s="102">
        <v>1</v>
      </c>
      <c r="E57" s="83" t="s">
        <v>189</v>
      </c>
      <c r="F57" s="100">
        <v>169000</v>
      </c>
      <c r="G57" s="103">
        <v>0</v>
      </c>
      <c r="H57" s="104">
        <f t="shared" si="2"/>
        <v>16900000</v>
      </c>
      <c r="K57" s="68"/>
    </row>
    <row r="58" spans="1:14" ht="20.25" customHeight="1" x14ac:dyDescent="0.2">
      <c r="A58" s="130">
        <v>9</v>
      </c>
      <c r="B58" s="81" t="s">
        <v>97</v>
      </c>
      <c r="C58" s="101">
        <v>150</v>
      </c>
      <c r="D58" s="102">
        <v>1</v>
      </c>
      <c r="E58" s="83" t="s">
        <v>4</v>
      </c>
      <c r="F58" s="100">
        <v>6425</v>
      </c>
      <c r="G58" s="103">
        <v>0</v>
      </c>
      <c r="H58" s="104">
        <f t="shared" si="2"/>
        <v>963750</v>
      </c>
      <c r="K58" s="68"/>
    </row>
    <row r="59" spans="1:14" ht="20.25" customHeight="1" x14ac:dyDescent="0.2">
      <c r="A59" s="130">
        <v>10</v>
      </c>
      <c r="B59" s="96" t="s">
        <v>182</v>
      </c>
      <c r="C59" s="134">
        <v>150</v>
      </c>
      <c r="D59" s="102">
        <v>1</v>
      </c>
      <c r="E59" s="98" t="s">
        <v>4</v>
      </c>
      <c r="F59" s="135">
        <v>6425</v>
      </c>
      <c r="G59" s="103">
        <v>0</v>
      </c>
      <c r="H59" s="104">
        <f t="shared" si="2"/>
        <v>963750</v>
      </c>
      <c r="K59" s="68"/>
    </row>
    <row r="60" spans="1:14" ht="20.25" customHeight="1" x14ac:dyDescent="0.2">
      <c r="A60" s="130">
        <v>11</v>
      </c>
      <c r="B60" s="96" t="s">
        <v>183</v>
      </c>
      <c r="C60" s="134">
        <v>150</v>
      </c>
      <c r="D60" s="102">
        <v>1</v>
      </c>
      <c r="E60" s="98" t="s">
        <v>4</v>
      </c>
      <c r="F60" s="135">
        <v>6425</v>
      </c>
      <c r="G60" s="103">
        <v>0</v>
      </c>
      <c r="H60" s="104">
        <f t="shared" si="2"/>
        <v>963750</v>
      </c>
      <c r="K60" s="68"/>
    </row>
    <row r="61" spans="1:14" ht="20.25" customHeight="1" x14ac:dyDescent="0.2">
      <c r="A61" s="130">
        <v>12</v>
      </c>
      <c r="B61" s="96" t="s">
        <v>184</v>
      </c>
      <c r="C61" s="134">
        <v>250</v>
      </c>
      <c r="D61" s="102">
        <v>1</v>
      </c>
      <c r="E61" s="98" t="s">
        <v>37</v>
      </c>
      <c r="F61" s="135">
        <v>66350</v>
      </c>
      <c r="G61" s="103">
        <v>0</v>
      </c>
      <c r="H61" s="104">
        <f t="shared" si="2"/>
        <v>16587500</v>
      </c>
      <c r="K61" s="68"/>
    </row>
    <row r="62" spans="1:14" ht="20.25" customHeight="1" x14ac:dyDescent="0.2">
      <c r="A62" s="130">
        <v>13</v>
      </c>
      <c r="B62" s="81" t="s">
        <v>43</v>
      </c>
      <c r="C62" s="101">
        <v>60000</v>
      </c>
      <c r="D62" s="102">
        <v>1</v>
      </c>
      <c r="E62" s="83" t="s">
        <v>4</v>
      </c>
      <c r="F62" s="100">
        <v>900</v>
      </c>
      <c r="G62" s="103">
        <v>0</v>
      </c>
      <c r="H62" s="104">
        <f t="shared" si="2"/>
        <v>54000000</v>
      </c>
      <c r="K62" s="68"/>
    </row>
    <row r="63" spans="1:14" ht="20.25" customHeight="1" x14ac:dyDescent="0.2">
      <c r="A63" s="130">
        <v>14</v>
      </c>
      <c r="B63" s="81" t="s">
        <v>44</v>
      </c>
      <c r="C63" s="101">
        <v>100000</v>
      </c>
      <c r="D63" s="102">
        <v>1</v>
      </c>
      <c r="E63" s="83" t="s">
        <v>4</v>
      </c>
      <c r="F63" s="100">
        <v>1000</v>
      </c>
      <c r="G63" s="103">
        <v>0</v>
      </c>
      <c r="H63" s="104">
        <f t="shared" si="2"/>
        <v>100000000</v>
      </c>
      <c r="K63" s="68"/>
    </row>
    <row r="64" spans="1:14" ht="20.25" customHeight="1" x14ac:dyDescent="0.2">
      <c r="A64" s="130">
        <v>15</v>
      </c>
      <c r="B64" s="81" t="s">
        <v>195</v>
      </c>
      <c r="C64" s="133">
        <v>500</v>
      </c>
      <c r="D64" s="102">
        <v>1</v>
      </c>
      <c r="E64" s="83" t="s">
        <v>4</v>
      </c>
      <c r="F64" s="108">
        <v>7675</v>
      </c>
      <c r="G64" s="103">
        <v>0</v>
      </c>
      <c r="H64" s="104">
        <f t="shared" si="2"/>
        <v>3837500</v>
      </c>
      <c r="K64" s="68"/>
    </row>
    <row r="65" spans="1:13" ht="20.25" customHeight="1" x14ac:dyDescent="0.2">
      <c r="A65" s="130">
        <v>16</v>
      </c>
      <c r="B65" s="81" t="s">
        <v>190</v>
      </c>
      <c r="C65" s="101">
        <v>300</v>
      </c>
      <c r="D65" s="102">
        <v>1</v>
      </c>
      <c r="E65" s="83" t="s">
        <v>23</v>
      </c>
      <c r="F65" s="100">
        <v>24350</v>
      </c>
      <c r="G65" s="103">
        <v>0.11</v>
      </c>
      <c r="H65" s="104">
        <f t="shared" si="2"/>
        <v>8108550</v>
      </c>
      <c r="K65" s="68"/>
      <c r="M65" s="105"/>
    </row>
    <row r="66" spans="1:13" ht="20.25" customHeight="1" x14ac:dyDescent="0.2">
      <c r="A66" s="130">
        <v>17</v>
      </c>
      <c r="B66" s="106" t="s">
        <v>196</v>
      </c>
      <c r="C66" s="97">
        <v>20</v>
      </c>
      <c r="D66" s="102">
        <v>1</v>
      </c>
      <c r="E66" s="98" t="s">
        <v>98</v>
      </c>
      <c r="F66" s="99">
        <v>18425</v>
      </c>
      <c r="G66" s="85">
        <v>0</v>
      </c>
      <c r="H66" s="90">
        <f t="shared" si="2"/>
        <v>368500</v>
      </c>
      <c r="K66" s="68"/>
    </row>
    <row r="67" spans="1:13" ht="20.25" customHeight="1" x14ac:dyDescent="0.2">
      <c r="A67" s="130">
        <v>18</v>
      </c>
      <c r="B67" s="81" t="s">
        <v>191</v>
      </c>
      <c r="C67" s="94">
        <v>8640</v>
      </c>
      <c r="D67" s="102">
        <v>1</v>
      </c>
      <c r="E67" s="83" t="s">
        <v>24</v>
      </c>
      <c r="F67" s="84">
        <v>35875</v>
      </c>
      <c r="G67" s="85">
        <v>0</v>
      </c>
      <c r="H67" s="90">
        <f t="shared" si="2"/>
        <v>309960000</v>
      </c>
      <c r="K67" s="68"/>
    </row>
    <row r="68" spans="1:13" ht="20.25" customHeight="1" x14ac:dyDescent="0.2">
      <c r="A68" s="130">
        <v>19</v>
      </c>
      <c r="B68" s="96" t="s">
        <v>179</v>
      </c>
      <c r="C68" s="134">
        <v>600</v>
      </c>
      <c r="D68" s="102">
        <v>1</v>
      </c>
      <c r="E68" s="98" t="s">
        <v>4</v>
      </c>
      <c r="F68" s="135">
        <v>7675</v>
      </c>
      <c r="G68" s="103">
        <v>0.11</v>
      </c>
      <c r="H68" s="104">
        <f t="shared" si="2"/>
        <v>5111550</v>
      </c>
      <c r="K68" s="68"/>
    </row>
    <row r="69" spans="1:13" ht="20.25" customHeight="1" x14ac:dyDescent="0.2">
      <c r="A69" s="130">
        <v>20</v>
      </c>
      <c r="B69" s="81" t="s">
        <v>193</v>
      </c>
      <c r="C69" s="101">
        <v>2000</v>
      </c>
      <c r="D69" s="102">
        <v>1</v>
      </c>
      <c r="E69" s="83" t="s">
        <v>37</v>
      </c>
      <c r="F69" s="100">
        <v>7275</v>
      </c>
      <c r="G69" s="103">
        <v>0.11</v>
      </c>
      <c r="H69" s="104">
        <f t="shared" si="2"/>
        <v>16150500</v>
      </c>
      <c r="K69" s="107"/>
    </row>
    <row r="70" spans="1:13" ht="20.25" customHeight="1" x14ac:dyDescent="0.2">
      <c r="A70" s="130">
        <v>21</v>
      </c>
      <c r="B70" s="81" t="s">
        <v>194</v>
      </c>
      <c r="C70" s="95">
        <v>150</v>
      </c>
      <c r="D70" s="102">
        <v>1</v>
      </c>
      <c r="E70" s="83" t="s">
        <v>4</v>
      </c>
      <c r="F70" s="89">
        <v>16075</v>
      </c>
      <c r="G70" s="85">
        <v>0</v>
      </c>
      <c r="H70" s="90">
        <f t="shared" si="2"/>
        <v>2411250</v>
      </c>
      <c r="K70" s="68"/>
      <c r="M70" s="68"/>
    </row>
    <row r="71" spans="1:13" ht="20.25" customHeight="1" x14ac:dyDescent="0.2">
      <c r="A71" s="130">
        <v>22</v>
      </c>
      <c r="B71" s="96" t="s">
        <v>197</v>
      </c>
      <c r="C71" s="97">
        <v>150</v>
      </c>
      <c r="D71" s="102">
        <v>1</v>
      </c>
      <c r="E71" s="98" t="s">
        <v>4</v>
      </c>
      <c r="F71" s="99">
        <v>16075</v>
      </c>
      <c r="G71" s="85">
        <v>0</v>
      </c>
      <c r="H71" s="90">
        <f t="shared" si="2"/>
        <v>2411250</v>
      </c>
      <c r="K71" s="68"/>
    </row>
    <row r="72" spans="1:13" ht="20.25" customHeight="1" x14ac:dyDescent="0.2">
      <c r="A72" s="130">
        <v>23</v>
      </c>
      <c r="B72" s="96" t="s">
        <v>198</v>
      </c>
      <c r="C72" s="134">
        <v>500</v>
      </c>
      <c r="D72" s="102">
        <v>1</v>
      </c>
      <c r="E72" s="98" t="s">
        <v>37</v>
      </c>
      <c r="F72" s="135">
        <v>17594</v>
      </c>
      <c r="G72" s="103">
        <v>0.11</v>
      </c>
      <c r="H72" s="104">
        <f t="shared" si="2"/>
        <v>9764670</v>
      </c>
      <c r="K72" s="68"/>
    </row>
    <row r="73" spans="1:13" ht="20.25" customHeight="1" x14ac:dyDescent="0.2">
      <c r="A73" s="130">
        <v>24</v>
      </c>
      <c r="B73" s="81" t="s">
        <v>199</v>
      </c>
      <c r="C73" s="101">
        <v>250</v>
      </c>
      <c r="D73" s="102">
        <v>1</v>
      </c>
      <c r="E73" s="83" t="s">
        <v>4</v>
      </c>
      <c r="F73" s="100">
        <v>19350</v>
      </c>
      <c r="G73" s="103">
        <v>0</v>
      </c>
      <c r="H73" s="104">
        <f t="shared" si="2"/>
        <v>4837500</v>
      </c>
      <c r="K73" s="68"/>
    </row>
    <row r="74" spans="1:13" ht="20.25" customHeight="1" x14ac:dyDescent="0.2">
      <c r="A74" s="130">
        <v>25</v>
      </c>
      <c r="B74" s="96" t="s">
        <v>185</v>
      </c>
      <c r="C74" s="134">
        <v>30</v>
      </c>
      <c r="D74" s="102">
        <v>1</v>
      </c>
      <c r="E74" s="98" t="s">
        <v>4</v>
      </c>
      <c r="F74" s="135">
        <v>4200</v>
      </c>
      <c r="G74" s="103">
        <v>0.11</v>
      </c>
      <c r="H74" s="104">
        <f t="shared" si="2"/>
        <v>139860</v>
      </c>
      <c r="K74" s="68"/>
    </row>
    <row r="75" spans="1:13" ht="20.25" customHeight="1" x14ac:dyDescent="0.2">
      <c r="A75" s="130">
        <v>26</v>
      </c>
      <c r="B75" s="96" t="s">
        <v>186</v>
      </c>
      <c r="C75" s="134">
        <v>30</v>
      </c>
      <c r="D75" s="102">
        <v>1</v>
      </c>
      <c r="E75" s="98" t="s">
        <v>4</v>
      </c>
      <c r="F75" s="135">
        <v>4200</v>
      </c>
      <c r="G75" s="103">
        <v>0.11</v>
      </c>
      <c r="H75" s="104">
        <f t="shared" si="2"/>
        <v>139860</v>
      </c>
      <c r="K75" s="68"/>
    </row>
    <row r="76" spans="1:13" ht="20.25" customHeight="1" x14ac:dyDescent="0.2">
      <c r="A76" s="130">
        <v>27</v>
      </c>
      <c r="B76" s="96" t="s">
        <v>187</v>
      </c>
      <c r="C76" s="134">
        <v>30</v>
      </c>
      <c r="D76" s="102">
        <v>1</v>
      </c>
      <c r="E76" s="98" t="s">
        <v>4</v>
      </c>
      <c r="F76" s="135">
        <v>4200</v>
      </c>
      <c r="G76" s="103">
        <v>0.11</v>
      </c>
      <c r="H76" s="104">
        <f t="shared" si="2"/>
        <v>139860</v>
      </c>
      <c r="K76" s="68"/>
    </row>
    <row r="77" spans="1:13" ht="20.25" customHeight="1" x14ac:dyDescent="0.2">
      <c r="A77" s="130">
        <v>28</v>
      </c>
      <c r="B77" s="96" t="s">
        <v>188</v>
      </c>
      <c r="C77" s="134">
        <v>30</v>
      </c>
      <c r="D77" s="102">
        <v>1</v>
      </c>
      <c r="E77" s="98" t="s">
        <v>4</v>
      </c>
      <c r="F77" s="135">
        <v>4200</v>
      </c>
      <c r="G77" s="103">
        <v>0.11</v>
      </c>
      <c r="H77" s="104">
        <f t="shared" si="2"/>
        <v>139860</v>
      </c>
      <c r="K77" s="68"/>
    </row>
    <row r="78" spans="1:13" ht="20.25" customHeight="1" x14ac:dyDescent="0.2">
      <c r="A78" s="130">
        <v>29</v>
      </c>
      <c r="B78" s="81" t="s">
        <v>55</v>
      </c>
      <c r="C78" s="136">
        <v>60</v>
      </c>
      <c r="D78" s="102">
        <v>1</v>
      </c>
      <c r="E78" s="83" t="s">
        <v>37</v>
      </c>
      <c r="F78" s="100">
        <v>119880</v>
      </c>
      <c r="G78" s="103">
        <v>0.11</v>
      </c>
      <c r="H78" s="104">
        <f t="shared" si="2"/>
        <v>7984007.9999999991</v>
      </c>
      <c r="K78" s="68"/>
    </row>
    <row r="79" spans="1:13" ht="20.25" customHeight="1" x14ac:dyDescent="0.2">
      <c r="A79" s="130">
        <v>30</v>
      </c>
      <c r="B79" s="81" t="s">
        <v>56</v>
      </c>
      <c r="C79" s="136">
        <v>60</v>
      </c>
      <c r="D79" s="102">
        <v>1</v>
      </c>
      <c r="E79" s="83" t="s">
        <v>37</v>
      </c>
      <c r="F79" s="100">
        <v>119880</v>
      </c>
      <c r="G79" s="103">
        <v>0.11</v>
      </c>
      <c r="H79" s="104">
        <f t="shared" si="2"/>
        <v>7984007.9999999991</v>
      </c>
      <c r="K79" s="68"/>
    </row>
    <row r="80" spans="1:13" ht="20.25" customHeight="1" x14ac:dyDescent="0.2">
      <c r="A80" s="130">
        <v>31</v>
      </c>
      <c r="B80" s="81" t="s">
        <v>52</v>
      </c>
      <c r="C80" s="136">
        <v>120</v>
      </c>
      <c r="D80" s="102">
        <v>1</v>
      </c>
      <c r="E80" s="83" t="s">
        <v>24</v>
      </c>
      <c r="F80" s="100">
        <v>75500</v>
      </c>
      <c r="G80" s="103">
        <v>0</v>
      </c>
      <c r="H80" s="104">
        <f t="shared" si="2"/>
        <v>9060000</v>
      </c>
      <c r="K80" s="68"/>
    </row>
    <row r="81" spans="1:14" ht="20.25" customHeight="1" x14ac:dyDescent="0.2">
      <c r="A81" s="130">
        <v>32</v>
      </c>
      <c r="B81" s="81" t="s">
        <v>53</v>
      </c>
      <c r="C81" s="136">
        <v>350</v>
      </c>
      <c r="D81" s="102">
        <v>1</v>
      </c>
      <c r="E81" s="83" t="s">
        <v>37</v>
      </c>
      <c r="F81" s="100">
        <v>31100</v>
      </c>
      <c r="G81" s="103">
        <v>0.11</v>
      </c>
      <c r="H81" s="104">
        <f t="shared" si="2"/>
        <v>12082350</v>
      </c>
      <c r="K81" s="68"/>
    </row>
    <row r="82" spans="1:14" ht="20.25" customHeight="1" x14ac:dyDescent="0.2">
      <c r="A82" s="130">
        <v>33</v>
      </c>
      <c r="B82" s="81" t="s">
        <v>45</v>
      </c>
      <c r="C82" s="136">
        <v>100</v>
      </c>
      <c r="D82" s="102">
        <v>1</v>
      </c>
      <c r="E82" s="83" t="s">
        <v>23</v>
      </c>
      <c r="F82" s="100">
        <v>23100</v>
      </c>
      <c r="G82" s="103">
        <v>0.11</v>
      </c>
      <c r="H82" s="104">
        <f t="shared" si="2"/>
        <v>2564100</v>
      </c>
      <c r="K82" s="68"/>
    </row>
    <row r="83" spans="1:14" ht="20.25" customHeight="1" x14ac:dyDescent="0.2">
      <c r="A83" s="130">
        <v>34</v>
      </c>
      <c r="B83" s="81" t="s">
        <v>57</v>
      </c>
      <c r="C83" s="136">
        <v>400</v>
      </c>
      <c r="D83" s="102">
        <v>1</v>
      </c>
      <c r="E83" s="83" t="s">
        <v>4</v>
      </c>
      <c r="F83" s="100">
        <v>98800</v>
      </c>
      <c r="G83" s="103">
        <v>0</v>
      </c>
      <c r="H83" s="104">
        <f t="shared" si="2"/>
        <v>39520000</v>
      </c>
      <c r="K83" s="68"/>
    </row>
    <row r="84" spans="1:14" ht="20.25" customHeight="1" x14ac:dyDescent="0.2">
      <c r="A84" s="130">
        <v>35</v>
      </c>
      <c r="B84" s="81" t="s">
        <v>50</v>
      </c>
      <c r="C84" s="136">
        <v>500</v>
      </c>
      <c r="D84" s="102">
        <v>1</v>
      </c>
      <c r="E84" s="83" t="s">
        <v>23</v>
      </c>
      <c r="F84" s="100">
        <v>15025</v>
      </c>
      <c r="G84" s="103">
        <v>0</v>
      </c>
      <c r="H84" s="104">
        <f t="shared" si="2"/>
        <v>7512500</v>
      </c>
      <c r="K84" s="68"/>
      <c r="M84" s="68"/>
      <c r="N84" s="68"/>
    </row>
    <row r="85" spans="1:14" ht="20.25" customHeight="1" x14ac:dyDescent="0.2">
      <c r="A85" s="130">
        <v>36</v>
      </c>
      <c r="B85" s="81" t="s">
        <v>51</v>
      </c>
      <c r="C85" s="136">
        <v>1200</v>
      </c>
      <c r="D85" s="102">
        <v>1</v>
      </c>
      <c r="E85" s="83" t="s">
        <v>4</v>
      </c>
      <c r="F85" s="100">
        <v>24475</v>
      </c>
      <c r="G85" s="103">
        <v>0</v>
      </c>
      <c r="H85" s="104">
        <f t="shared" si="2"/>
        <v>29370000</v>
      </c>
      <c r="K85" s="68"/>
    </row>
    <row r="86" spans="1:14" ht="20.25" customHeight="1" x14ac:dyDescent="0.2">
      <c r="A86" s="130">
        <v>37</v>
      </c>
      <c r="B86" s="81" t="s">
        <v>48</v>
      </c>
      <c r="C86" s="136">
        <v>50</v>
      </c>
      <c r="D86" s="102">
        <v>1</v>
      </c>
      <c r="E86" s="83" t="s">
        <v>49</v>
      </c>
      <c r="F86" s="100">
        <v>13325</v>
      </c>
      <c r="G86" s="103">
        <v>0</v>
      </c>
      <c r="H86" s="104">
        <f t="shared" si="2"/>
        <v>666250</v>
      </c>
      <c r="K86" s="68"/>
    </row>
    <row r="87" spans="1:14" ht="20.25" customHeight="1" x14ac:dyDescent="0.2">
      <c r="A87" s="130">
        <v>38</v>
      </c>
      <c r="B87" s="81" t="s">
        <v>54</v>
      </c>
      <c r="C87" s="136">
        <v>300</v>
      </c>
      <c r="D87" s="102">
        <v>1</v>
      </c>
      <c r="E87" s="83" t="s">
        <v>46</v>
      </c>
      <c r="F87" s="100">
        <v>34200</v>
      </c>
      <c r="G87" s="103">
        <v>0</v>
      </c>
      <c r="H87" s="104">
        <f t="shared" si="2"/>
        <v>10260000</v>
      </c>
      <c r="K87" s="68"/>
      <c r="M87" s="68"/>
    </row>
    <row r="88" spans="1:14" ht="20.25" customHeight="1" x14ac:dyDescent="0.2">
      <c r="A88" s="130">
        <v>39</v>
      </c>
      <c r="B88" s="81" t="s">
        <v>58</v>
      </c>
      <c r="C88" s="136">
        <v>3000</v>
      </c>
      <c r="D88" s="102">
        <v>1</v>
      </c>
      <c r="E88" s="83" t="s">
        <v>23</v>
      </c>
      <c r="F88" s="100">
        <v>4575</v>
      </c>
      <c r="G88" s="103">
        <v>0</v>
      </c>
      <c r="H88" s="104">
        <f t="shared" si="2"/>
        <v>13725000</v>
      </c>
      <c r="K88" s="68"/>
      <c r="M88" s="68"/>
    </row>
    <row r="89" spans="1:14" ht="18" customHeight="1" x14ac:dyDescent="0.2">
      <c r="A89" s="42" t="s">
        <v>158</v>
      </c>
      <c r="B89" s="159" t="s">
        <v>123</v>
      </c>
      <c r="C89" s="160"/>
      <c r="D89" s="160"/>
      <c r="E89" s="160"/>
      <c r="F89" s="160"/>
      <c r="G89" s="161"/>
      <c r="H89" s="44">
        <f>+H90</f>
        <v>29831100</v>
      </c>
      <c r="K89" s="68"/>
    </row>
    <row r="90" spans="1:14" ht="18" customHeight="1" x14ac:dyDescent="0.2">
      <c r="A90" s="80"/>
      <c r="B90" s="156" t="s">
        <v>76</v>
      </c>
      <c r="C90" s="168"/>
      <c r="D90" s="168"/>
      <c r="E90" s="168"/>
      <c r="F90" s="168"/>
      <c r="G90" s="169"/>
      <c r="H90" s="45">
        <f>SUM(H91:H102)</f>
        <v>29831100</v>
      </c>
      <c r="K90" s="56"/>
    </row>
    <row r="91" spans="1:14" ht="18" customHeight="1" x14ac:dyDescent="0.2">
      <c r="A91" s="137">
        <v>1</v>
      </c>
      <c r="B91" s="81" t="s">
        <v>68</v>
      </c>
      <c r="C91" s="102">
        <v>1</v>
      </c>
      <c r="D91" s="102">
        <v>1</v>
      </c>
      <c r="E91" s="83" t="s">
        <v>203</v>
      </c>
      <c r="F91" s="108">
        <v>293725</v>
      </c>
      <c r="G91" s="103">
        <v>0</v>
      </c>
      <c r="H91" s="104">
        <f t="shared" ref="H91:H102" si="3">+(C91*D91)*(F91+(F91*G91))</f>
        <v>293725</v>
      </c>
      <c r="K91" s="56"/>
    </row>
    <row r="92" spans="1:14" ht="18" customHeight="1" x14ac:dyDescent="0.2">
      <c r="A92" s="137">
        <v>2</v>
      </c>
      <c r="B92" s="81" t="s">
        <v>69</v>
      </c>
      <c r="C92" s="102">
        <v>5</v>
      </c>
      <c r="D92" s="102">
        <v>1</v>
      </c>
      <c r="E92" s="83" t="s">
        <v>203</v>
      </c>
      <c r="F92" s="108">
        <v>59200</v>
      </c>
      <c r="G92" s="103">
        <v>0</v>
      </c>
      <c r="H92" s="104">
        <f t="shared" si="3"/>
        <v>296000</v>
      </c>
      <c r="K92" s="56"/>
    </row>
    <row r="93" spans="1:14" ht="18" customHeight="1" x14ac:dyDescent="0.2">
      <c r="A93" s="137">
        <v>3</v>
      </c>
      <c r="B93" s="81" t="s">
        <v>70</v>
      </c>
      <c r="C93" s="102">
        <v>5</v>
      </c>
      <c r="D93" s="102">
        <v>1</v>
      </c>
      <c r="E93" s="83" t="s">
        <v>5</v>
      </c>
      <c r="F93" s="108">
        <v>66600</v>
      </c>
      <c r="G93" s="103">
        <v>0</v>
      </c>
      <c r="H93" s="104">
        <f t="shared" si="3"/>
        <v>333000</v>
      </c>
    </row>
    <row r="94" spans="1:14" ht="29.25" customHeight="1" x14ac:dyDescent="0.2">
      <c r="A94" s="137">
        <v>4</v>
      </c>
      <c r="B94" s="81" t="s">
        <v>201</v>
      </c>
      <c r="C94" s="102">
        <v>150</v>
      </c>
      <c r="D94" s="102">
        <v>1</v>
      </c>
      <c r="E94" s="83" t="s">
        <v>24</v>
      </c>
      <c r="F94" s="108">
        <v>64675</v>
      </c>
      <c r="G94" s="103">
        <v>0</v>
      </c>
      <c r="H94" s="104">
        <f t="shared" si="3"/>
        <v>9701250</v>
      </c>
      <c r="K94" s="56"/>
    </row>
    <row r="95" spans="1:14" ht="18.75" customHeight="1" x14ac:dyDescent="0.2">
      <c r="A95" s="137">
        <v>5</v>
      </c>
      <c r="B95" s="81" t="s">
        <v>229</v>
      </c>
      <c r="C95" s="102">
        <v>10</v>
      </c>
      <c r="D95" s="102">
        <v>1</v>
      </c>
      <c r="E95" s="83" t="s">
        <v>98</v>
      </c>
      <c r="F95" s="108">
        <v>163750</v>
      </c>
      <c r="G95" s="103">
        <v>0</v>
      </c>
      <c r="H95" s="104">
        <f t="shared" si="3"/>
        <v>1637500</v>
      </c>
      <c r="K95" s="56"/>
    </row>
    <row r="96" spans="1:14" ht="18" customHeight="1" x14ac:dyDescent="0.2">
      <c r="A96" s="137">
        <v>6</v>
      </c>
      <c r="B96" s="81" t="s">
        <v>71</v>
      </c>
      <c r="C96" s="102">
        <v>20</v>
      </c>
      <c r="D96" s="102">
        <v>1</v>
      </c>
      <c r="E96" s="83" t="s">
        <v>5</v>
      </c>
      <c r="F96" s="108">
        <v>183350</v>
      </c>
      <c r="G96" s="103">
        <v>0</v>
      </c>
      <c r="H96" s="104">
        <f t="shared" si="3"/>
        <v>3667000</v>
      </c>
      <c r="K96" s="56"/>
    </row>
    <row r="97" spans="1:11" ht="18" customHeight="1" x14ac:dyDescent="0.2">
      <c r="A97" s="137">
        <v>7</v>
      </c>
      <c r="B97" s="81" t="s">
        <v>72</v>
      </c>
      <c r="C97" s="102">
        <v>10</v>
      </c>
      <c r="D97" s="102">
        <v>1</v>
      </c>
      <c r="E97" s="83" t="s">
        <v>5</v>
      </c>
      <c r="F97" s="108">
        <v>138775</v>
      </c>
      <c r="G97" s="103">
        <v>0</v>
      </c>
      <c r="H97" s="104">
        <f t="shared" si="3"/>
        <v>1387750</v>
      </c>
      <c r="K97" s="56"/>
    </row>
    <row r="98" spans="1:11" ht="18" customHeight="1" x14ac:dyDescent="0.2">
      <c r="A98" s="137">
        <v>8</v>
      </c>
      <c r="B98" s="81" t="s">
        <v>200</v>
      </c>
      <c r="C98" s="102">
        <v>150</v>
      </c>
      <c r="D98" s="102">
        <v>1</v>
      </c>
      <c r="E98" s="83" t="s">
        <v>24</v>
      </c>
      <c r="F98" s="108">
        <v>72150</v>
      </c>
      <c r="G98" s="103">
        <v>0</v>
      </c>
      <c r="H98" s="104">
        <f t="shared" si="3"/>
        <v>10822500</v>
      </c>
      <c r="K98" s="56"/>
    </row>
    <row r="99" spans="1:11" ht="18" customHeight="1" x14ac:dyDescent="0.2">
      <c r="A99" s="137">
        <v>9</v>
      </c>
      <c r="B99" s="81" t="s">
        <v>74</v>
      </c>
      <c r="C99" s="102">
        <v>20</v>
      </c>
      <c r="D99" s="102">
        <v>1</v>
      </c>
      <c r="E99" s="83" t="s">
        <v>4</v>
      </c>
      <c r="F99" s="108">
        <v>8725</v>
      </c>
      <c r="G99" s="103">
        <v>0</v>
      </c>
      <c r="H99" s="104">
        <f t="shared" si="3"/>
        <v>174500</v>
      </c>
      <c r="K99" s="56"/>
    </row>
    <row r="100" spans="1:11" ht="18" customHeight="1" x14ac:dyDescent="0.2">
      <c r="A100" s="137">
        <v>10</v>
      </c>
      <c r="B100" s="81" t="s">
        <v>73</v>
      </c>
      <c r="C100" s="102">
        <v>10</v>
      </c>
      <c r="D100" s="102">
        <v>1</v>
      </c>
      <c r="E100" s="83" t="s">
        <v>203</v>
      </c>
      <c r="F100" s="108">
        <v>27750</v>
      </c>
      <c r="G100" s="103">
        <v>0</v>
      </c>
      <c r="H100" s="104">
        <f t="shared" si="3"/>
        <v>277500</v>
      </c>
      <c r="K100" s="56"/>
    </row>
    <row r="101" spans="1:11" ht="18" customHeight="1" x14ac:dyDescent="0.2">
      <c r="A101" s="137">
        <v>11</v>
      </c>
      <c r="B101" s="81" t="s">
        <v>273</v>
      </c>
      <c r="C101" s="102">
        <v>15</v>
      </c>
      <c r="D101" s="102">
        <v>1</v>
      </c>
      <c r="E101" s="83" t="s">
        <v>98</v>
      </c>
      <c r="F101" s="108">
        <v>34225</v>
      </c>
      <c r="G101" s="103">
        <v>0</v>
      </c>
      <c r="H101" s="104">
        <f t="shared" si="3"/>
        <v>513375</v>
      </c>
      <c r="K101" s="56"/>
    </row>
    <row r="102" spans="1:11" ht="18" customHeight="1" x14ac:dyDescent="0.2">
      <c r="A102" s="137">
        <v>12</v>
      </c>
      <c r="B102" s="81" t="s">
        <v>202</v>
      </c>
      <c r="C102" s="102">
        <v>20</v>
      </c>
      <c r="D102" s="102">
        <v>1</v>
      </c>
      <c r="E102" s="83" t="s">
        <v>24</v>
      </c>
      <c r="F102" s="108">
        <v>36350</v>
      </c>
      <c r="G102" s="103">
        <v>0</v>
      </c>
      <c r="H102" s="104">
        <f t="shared" si="3"/>
        <v>727000</v>
      </c>
      <c r="K102" s="56"/>
    </row>
    <row r="103" spans="1:11" ht="18" customHeight="1" x14ac:dyDescent="0.2">
      <c r="A103" s="42" t="s">
        <v>159</v>
      </c>
      <c r="B103" s="159" t="s">
        <v>124</v>
      </c>
      <c r="C103" s="160"/>
      <c r="D103" s="160"/>
      <c r="E103" s="160"/>
      <c r="F103" s="160"/>
      <c r="G103" s="161"/>
      <c r="H103" s="44">
        <f>+H104</f>
        <v>27111568</v>
      </c>
      <c r="K103" s="56"/>
    </row>
    <row r="104" spans="1:11" ht="18" customHeight="1" x14ac:dyDescent="0.2">
      <c r="A104" s="80"/>
      <c r="B104" s="156" t="s">
        <v>272</v>
      </c>
      <c r="C104" s="168"/>
      <c r="D104" s="168"/>
      <c r="E104" s="168"/>
      <c r="F104" s="168"/>
      <c r="G104" s="169"/>
      <c r="H104" s="45">
        <f>SUM(H105:H108)</f>
        <v>27111568</v>
      </c>
      <c r="K104" s="56"/>
    </row>
    <row r="105" spans="1:11" ht="18" customHeight="1" x14ac:dyDescent="0.2">
      <c r="A105" s="130">
        <v>1</v>
      </c>
      <c r="B105" s="81" t="s">
        <v>83</v>
      </c>
      <c r="C105" s="102">
        <v>35</v>
      </c>
      <c r="D105" s="102">
        <v>1</v>
      </c>
      <c r="E105" s="83" t="s">
        <v>263</v>
      </c>
      <c r="F105" s="108">
        <v>73450</v>
      </c>
      <c r="G105" s="103">
        <v>0.11</v>
      </c>
      <c r="H105" s="104">
        <v>1222943</v>
      </c>
      <c r="K105" s="56"/>
    </row>
    <row r="106" spans="1:11" ht="18" customHeight="1" x14ac:dyDescent="0.2">
      <c r="A106" s="130">
        <v>2</v>
      </c>
      <c r="B106" s="81" t="s">
        <v>84</v>
      </c>
      <c r="C106" s="102">
        <v>20</v>
      </c>
      <c r="D106" s="102">
        <v>1</v>
      </c>
      <c r="E106" s="83" t="s">
        <v>5</v>
      </c>
      <c r="F106" s="108">
        <v>714175</v>
      </c>
      <c r="G106" s="103">
        <v>0</v>
      </c>
      <c r="H106" s="104">
        <f t="shared" ref="H106:H108" si="4">+(C106*D106)*(F106+(F106*G106))</f>
        <v>14283500</v>
      </c>
      <c r="K106" s="56"/>
    </row>
    <row r="107" spans="1:11" ht="18" customHeight="1" x14ac:dyDescent="0.2">
      <c r="A107" s="130">
        <v>3</v>
      </c>
      <c r="B107" s="81" t="s">
        <v>85</v>
      </c>
      <c r="C107" s="102">
        <v>20</v>
      </c>
      <c r="D107" s="102">
        <v>1</v>
      </c>
      <c r="E107" s="83" t="s">
        <v>24</v>
      </c>
      <c r="F107" s="108">
        <v>426475</v>
      </c>
      <c r="G107" s="103">
        <v>0</v>
      </c>
      <c r="H107" s="104">
        <f t="shared" si="4"/>
        <v>8529500</v>
      </c>
      <c r="K107" s="56"/>
    </row>
    <row r="108" spans="1:11" ht="18" customHeight="1" x14ac:dyDescent="0.2">
      <c r="A108" s="130">
        <v>4</v>
      </c>
      <c r="B108" s="81" t="s">
        <v>86</v>
      </c>
      <c r="C108" s="102">
        <v>35</v>
      </c>
      <c r="D108" s="102">
        <v>1</v>
      </c>
      <c r="E108" s="83" t="s">
        <v>263</v>
      </c>
      <c r="F108" s="108">
        <v>87875</v>
      </c>
      <c r="G108" s="103">
        <v>0</v>
      </c>
      <c r="H108" s="104">
        <f t="shared" si="4"/>
        <v>3075625</v>
      </c>
      <c r="K108" s="56"/>
    </row>
    <row r="109" spans="1:11" ht="18" customHeight="1" x14ac:dyDescent="0.2">
      <c r="A109" s="42" t="s">
        <v>160</v>
      </c>
      <c r="B109" s="159" t="s">
        <v>125</v>
      </c>
      <c r="C109" s="160"/>
      <c r="D109" s="160"/>
      <c r="E109" s="160"/>
      <c r="F109" s="160"/>
      <c r="G109" s="161"/>
      <c r="H109" s="44">
        <f>+H110</f>
        <v>16269400</v>
      </c>
      <c r="K109" s="56"/>
    </row>
    <row r="110" spans="1:11" ht="18" customHeight="1" x14ac:dyDescent="0.2">
      <c r="A110" s="80"/>
      <c r="B110" s="156" t="s">
        <v>126</v>
      </c>
      <c r="C110" s="157"/>
      <c r="D110" s="157"/>
      <c r="E110" s="157"/>
      <c r="F110" s="157"/>
      <c r="G110" s="158"/>
      <c r="H110" s="45">
        <f>SUM(H111:H113)</f>
        <v>16269400</v>
      </c>
      <c r="K110" s="56"/>
    </row>
    <row r="111" spans="1:11" ht="26.25" customHeight="1" x14ac:dyDescent="0.2">
      <c r="A111" s="130">
        <v>1</v>
      </c>
      <c r="B111" s="81" t="s">
        <v>87</v>
      </c>
      <c r="C111" s="102">
        <v>25000</v>
      </c>
      <c r="D111" s="102">
        <v>1</v>
      </c>
      <c r="E111" s="83" t="s">
        <v>264</v>
      </c>
      <c r="F111" s="108" t="s">
        <v>265</v>
      </c>
      <c r="G111" s="103">
        <v>0</v>
      </c>
      <c r="H111" s="104">
        <f t="shared" ref="H111:H113" si="5">+(C111*D111)*(F111+(F111*G111))</f>
        <v>10625000</v>
      </c>
      <c r="K111" s="210"/>
    </row>
    <row r="112" spans="1:11" ht="36" customHeight="1" x14ac:dyDescent="0.2">
      <c r="A112" s="130">
        <v>2</v>
      </c>
      <c r="B112" s="81" t="s">
        <v>88</v>
      </c>
      <c r="C112" s="102">
        <v>4</v>
      </c>
      <c r="D112" s="102">
        <v>1</v>
      </c>
      <c r="E112" s="83" t="s">
        <v>266</v>
      </c>
      <c r="F112" s="108">
        <v>166350</v>
      </c>
      <c r="G112" s="103">
        <v>0</v>
      </c>
      <c r="H112" s="104">
        <f t="shared" si="5"/>
        <v>665400</v>
      </c>
      <c r="K112" s="127"/>
    </row>
    <row r="113" spans="1:13" ht="36" customHeight="1" x14ac:dyDescent="0.2">
      <c r="A113" s="130">
        <v>3</v>
      </c>
      <c r="B113" s="81" t="s">
        <v>89</v>
      </c>
      <c r="C113" s="102">
        <v>65</v>
      </c>
      <c r="D113" s="102">
        <v>1</v>
      </c>
      <c r="E113" s="83" t="s">
        <v>24</v>
      </c>
      <c r="F113" s="108">
        <v>76600</v>
      </c>
      <c r="G113" s="103">
        <v>0</v>
      </c>
      <c r="H113" s="104">
        <f t="shared" si="5"/>
        <v>4979000</v>
      </c>
      <c r="K113" s="68"/>
    </row>
    <row r="114" spans="1:13" ht="18" customHeight="1" x14ac:dyDescent="0.2">
      <c r="A114" s="42" t="s">
        <v>161</v>
      </c>
      <c r="B114" s="159" t="s">
        <v>127</v>
      </c>
      <c r="C114" s="160"/>
      <c r="D114" s="160"/>
      <c r="E114" s="160"/>
      <c r="F114" s="160"/>
      <c r="G114" s="161"/>
      <c r="H114" s="44">
        <f>+H115</f>
        <v>48203637</v>
      </c>
      <c r="K114" s="56"/>
    </row>
    <row r="115" spans="1:13" ht="18" customHeight="1" x14ac:dyDescent="0.2">
      <c r="A115" s="80"/>
      <c r="B115" s="156" t="s">
        <v>77</v>
      </c>
      <c r="C115" s="168"/>
      <c r="D115" s="168"/>
      <c r="E115" s="168"/>
      <c r="F115" s="168"/>
      <c r="G115" s="169"/>
      <c r="H115" s="45">
        <f>SUM(H116:H126)</f>
        <v>48203637</v>
      </c>
      <c r="K115" s="56"/>
    </row>
    <row r="116" spans="1:13" ht="18" customHeight="1" x14ac:dyDescent="0.2">
      <c r="A116" s="130">
        <v>1</v>
      </c>
      <c r="B116" s="81" t="s">
        <v>90</v>
      </c>
      <c r="C116" s="102">
        <v>24</v>
      </c>
      <c r="D116" s="102">
        <v>1</v>
      </c>
      <c r="E116" s="83" t="s">
        <v>24</v>
      </c>
      <c r="F116" s="108">
        <v>179700</v>
      </c>
      <c r="G116" s="103">
        <v>0.11</v>
      </c>
      <c r="H116" s="104">
        <f t="shared" ref="H116:H126" si="6">+(C116*D116)*(F116+(F116*G116))</f>
        <v>4787208</v>
      </c>
      <c r="K116" s="56"/>
    </row>
    <row r="117" spans="1:13" ht="18" customHeight="1" x14ac:dyDescent="0.2">
      <c r="A117" s="130">
        <v>2</v>
      </c>
      <c r="B117" s="81" t="s">
        <v>91</v>
      </c>
      <c r="C117" s="102">
        <v>12</v>
      </c>
      <c r="D117" s="102">
        <v>1</v>
      </c>
      <c r="E117" s="83" t="s">
        <v>24</v>
      </c>
      <c r="F117" s="108">
        <v>166100</v>
      </c>
      <c r="G117" s="103">
        <v>0.11</v>
      </c>
      <c r="H117" s="104">
        <f t="shared" si="6"/>
        <v>2212452</v>
      </c>
      <c r="K117" s="56"/>
    </row>
    <row r="118" spans="1:13" ht="18" customHeight="1" x14ac:dyDescent="0.2">
      <c r="A118" s="130">
        <v>3</v>
      </c>
      <c r="B118" s="81" t="s">
        <v>279</v>
      </c>
      <c r="C118" s="102">
        <v>12</v>
      </c>
      <c r="D118" s="102">
        <v>1</v>
      </c>
      <c r="E118" s="83" t="s">
        <v>24</v>
      </c>
      <c r="F118" s="108">
        <v>200000</v>
      </c>
      <c r="G118" s="103">
        <v>0.11</v>
      </c>
      <c r="H118" s="104">
        <f t="shared" si="6"/>
        <v>2664000</v>
      </c>
      <c r="K118" s="56"/>
    </row>
    <row r="119" spans="1:13" ht="18" customHeight="1" x14ac:dyDescent="0.2">
      <c r="A119" s="130">
        <v>4</v>
      </c>
      <c r="B119" s="81" t="s">
        <v>277</v>
      </c>
      <c r="C119" s="102">
        <v>12</v>
      </c>
      <c r="D119" s="102">
        <v>1</v>
      </c>
      <c r="E119" s="83" t="s">
        <v>24</v>
      </c>
      <c r="F119" s="108">
        <v>200000</v>
      </c>
      <c r="G119" s="103">
        <v>0.11</v>
      </c>
      <c r="H119" s="104">
        <f t="shared" si="6"/>
        <v>2664000</v>
      </c>
      <c r="K119" s="56"/>
    </row>
    <row r="120" spans="1:13" ht="18" customHeight="1" x14ac:dyDescent="0.2">
      <c r="A120" s="130">
        <v>5</v>
      </c>
      <c r="B120" s="81" t="s">
        <v>276</v>
      </c>
      <c r="C120" s="102">
        <v>12</v>
      </c>
      <c r="D120" s="102">
        <v>1</v>
      </c>
      <c r="E120" s="83" t="s">
        <v>24</v>
      </c>
      <c r="F120" s="108">
        <v>230000</v>
      </c>
      <c r="G120" s="103">
        <v>0.11</v>
      </c>
      <c r="H120" s="104">
        <f t="shared" si="6"/>
        <v>3063600</v>
      </c>
      <c r="K120" s="56"/>
    </row>
    <row r="121" spans="1:13" ht="18" customHeight="1" x14ac:dyDescent="0.2">
      <c r="A121" s="130">
        <v>6</v>
      </c>
      <c r="B121" s="81" t="s">
        <v>278</v>
      </c>
      <c r="C121" s="102">
        <v>12</v>
      </c>
      <c r="D121" s="102">
        <v>1</v>
      </c>
      <c r="E121" s="83" t="s">
        <v>24</v>
      </c>
      <c r="F121" s="108">
        <v>230000</v>
      </c>
      <c r="G121" s="103">
        <v>0.11</v>
      </c>
      <c r="H121" s="104">
        <f t="shared" si="6"/>
        <v>3063600</v>
      </c>
      <c r="K121" s="56"/>
    </row>
    <row r="122" spans="1:13" ht="18" customHeight="1" x14ac:dyDescent="0.2">
      <c r="A122" s="130">
        <v>7</v>
      </c>
      <c r="B122" s="81" t="s">
        <v>92</v>
      </c>
      <c r="C122" s="102">
        <v>6</v>
      </c>
      <c r="D122" s="102">
        <v>1</v>
      </c>
      <c r="E122" s="83" t="s">
        <v>24</v>
      </c>
      <c r="F122" s="108">
        <v>1209625</v>
      </c>
      <c r="G122" s="103">
        <v>0.11</v>
      </c>
      <c r="H122" s="104">
        <f t="shared" si="6"/>
        <v>8056102.5</v>
      </c>
      <c r="K122" s="56"/>
    </row>
    <row r="123" spans="1:13" ht="18" customHeight="1" x14ac:dyDescent="0.2">
      <c r="A123" s="130">
        <v>8</v>
      </c>
      <c r="B123" s="81" t="s">
        <v>93</v>
      </c>
      <c r="C123" s="102">
        <v>6</v>
      </c>
      <c r="D123" s="102">
        <v>1</v>
      </c>
      <c r="E123" s="83" t="s">
        <v>24</v>
      </c>
      <c r="F123" s="108">
        <v>1193375</v>
      </c>
      <c r="G123" s="103">
        <v>0.11</v>
      </c>
      <c r="H123" s="104">
        <f t="shared" si="6"/>
        <v>7947877.5</v>
      </c>
      <c r="K123" s="56"/>
    </row>
    <row r="124" spans="1:13" ht="18" customHeight="1" x14ac:dyDescent="0.2">
      <c r="A124" s="130">
        <v>9</v>
      </c>
      <c r="B124" s="81" t="s">
        <v>94</v>
      </c>
      <c r="C124" s="102">
        <v>8</v>
      </c>
      <c r="D124" s="102">
        <v>1</v>
      </c>
      <c r="E124" s="83" t="s">
        <v>24</v>
      </c>
      <c r="F124" s="108">
        <v>1092025</v>
      </c>
      <c r="G124" s="103">
        <v>0.11</v>
      </c>
      <c r="H124" s="104">
        <f t="shared" si="6"/>
        <v>9697182</v>
      </c>
      <c r="K124" s="56"/>
    </row>
    <row r="125" spans="1:13" ht="18" customHeight="1" x14ac:dyDescent="0.2">
      <c r="A125" s="130">
        <v>10</v>
      </c>
      <c r="B125" s="81" t="s">
        <v>274</v>
      </c>
      <c r="C125" s="102">
        <v>10</v>
      </c>
      <c r="D125" s="102">
        <v>1</v>
      </c>
      <c r="E125" s="83" t="s">
        <v>24</v>
      </c>
      <c r="F125" s="108">
        <v>145050</v>
      </c>
      <c r="G125" s="103">
        <v>0.11</v>
      </c>
      <c r="H125" s="104">
        <f t="shared" si="6"/>
        <v>1610055</v>
      </c>
      <c r="K125" s="56"/>
    </row>
    <row r="126" spans="1:13" ht="18" customHeight="1" x14ac:dyDescent="0.2">
      <c r="A126" s="130">
        <v>11</v>
      </c>
      <c r="B126" s="81" t="s">
        <v>275</v>
      </c>
      <c r="C126" s="82">
        <v>20</v>
      </c>
      <c r="D126" s="102">
        <v>1</v>
      </c>
      <c r="E126" s="83" t="s">
        <v>24</v>
      </c>
      <c r="F126" s="84">
        <v>109800</v>
      </c>
      <c r="G126" s="103">
        <v>0.11</v>
      </c>
      <c r="H126" s="104">
        <f t="shared" si="6"/>
        <v>2437560</v>
      </c>
      <c r="K126" s="56"/>
      <c r="M126" s="68"/>
    </row>
    <row r="127" spans="1:13" ht="18" customHeight="1" x14ac:dyDescent="0.2">
      <c r="A127" s="42" t="s">
        <v>162</v>
      </c>
      <c r="B127" s="159" t="s">
        <v>128</v>
      </c>
      <c r="C127" s="160"/>
      <c r="D127" s="160"/>
      <c r="E127" s="160"/>
      <c r="F127" s="160"/>
      <c r="G127" s="161"/>
      <c r="H127" s="43">
        <f>+H128</f>
        <v>7630410174</v>
      </c>
      <c r="K127" s="56"/>
    </row>
    <row r="128" spans="1:13" ht="18" customHeight="1" x14ac:dyDescent="0.2">
      <c r="A128" s="86"/>
      <c r="B128" s="170" t="s">
        <v>78</v>
      </c>
      <c r="C128" s="171"/>
      <c r="D128" s="171"/>
      <c r="E128" s="171"/>
      <c r="F128" s="171"/>
      <c r="G128" s="172"/>
      <c r="H128" s="41">
        <f>SUM(H129:H241)</f>
        <v>7630410174</v>
      </c>
      <c r="K128" s="56"/>
      <c r="M128" s="68"/>
    </row>
    <row r="129" spans="1:13" ht="18" customHeight="1" x14ac:dyDescent="0.2">
      <c r="A129" s="130">
        <v>1</v>
      </c>
      <c r="B129" s="128" t="s">
        <v>205</v>
      </c>
      <c r="C129" s="51">
        <v>600000</v>
      </c>
      <c r="D129" s="102">
        <v>1</v>
      </c>
      <c r="E129" s="129" t="s">
        <v>24</v>
      </c>
      <c r="F129" s="53">
        <v>350</v>
      </c>
      <c r="G129" s="54">
        <v>0.11</v>
      </c>
      <c r="H129" s="104">
        <f>+(C129*D129)*(F129+(F129*G129))</f>
        <v>233100000</v>
      </c>
      <c r="K129" s="56"/>
      <c r="L129" s="87"/>
      <c r="M129" s="68"/>
    </row>
    <row r="130" spans="1:13" ht="18" customHeight="1" x14ac:dyDescent="0.2">
      <c r="A130" s="130">
        <v>2</v>
      </c>
      <c r="B130" s="128" t="s">
        <v>30</v>
      </c>
      <c r="C130" s="51">
        <v>2000</v>
      </c>
      <c r="D130" s="52">
        <v>1</v>
      </c>
      <c r="E130" s="129" t="s">
        <v>24</v>
      </c>
      <c r="F130" s="53">
        <v>6500</v>
      </c>
      <c r="G130" s="54">
        <v>0.11</v>
      </c>
      <c r="H130" s="104">
        <f>+(C130*D130)*(F130+(F130*G130))</f>
        <v>14430000</v>
      </c>
      <c r="K130" s="56"/>
      <c r="L130" s="87"/>
      <c r="M130" s="68"/>
    </row>
    <row r="131" spans="1:13" ht="18" customHeight="1" x14ac:dyDescent="0.2">
      <c r="A131" s="130">
        <v>3</v>
      </c>
      <c r="B131" s="128" t="s">
        <v>280</v>
      </c>
      <c r="C131" s="51">
        <v>300</v>
      </c>
      <c r="D131" s="102">
        <v>1</v>
      </c>
      <c r="E131" s="129" t="s">
        <v>24</v>
      </c>
      <c r="F131" s="53">
        <v>3000</v>
      </c>
      <c r="G131" s="54">
        <v>0.11</v>
      </c>
      <c r="H131" s="104">
        <f>+(C131*D131)*(F131+(F131*G131))</f>
        <v>999000</v>
      </c>
      <c r="K131" s="56"/>
      <c r="L131" s="87"/>
      <c r="M131" s="68"/>
    </row>
    <row r="132" spans="1:13" ht="18" customHeight="1" x14ac:dyDescent="0.2">
      <c r="A132" s="130">
        <v>4</v>
      </c>
      <c r="B132" s="128" t="s">
        <v>281</v>
      </c>
      <c r="C132" s="51">
        <v>200000</v>
      </c>
      <c r="D132" s="102">
        <v>1</v>
      </c>
      <c r="E132" s="129" t="s">
        <v>24</v>
      </c>
      <c r="F132" s="53">
        <v>675</v>
      </c>
      <c r="G132" s="54">
        <v>0.11</v>
      </c>
      <c r="H132" s="104">
        <f>+(C132*D132)*(F132+(F132*G132))</f>
        <v>149850000</v>
      </c>
      <c r="K132" s="56"/>
      <c r="L132" s="87"/>
      <c r="M132" s="68"/>
    </row>
    <row r="133" spans="1:13" ht="18" customHeight="1" x14ac:dyDescent="0.2">
      <c r="A133" s="130">
        <v>5</v>
      </c>
      <c r="B133" s="128" t="s">
        <v>282</v>
      </c>
      <c r="C133" s="51">
        <v>30000</v>
      </c>
      <c r="D133" s="102">
        <v>1</v>
      </c>
      <c r="E133" s="129" t="s">
        <v>24</v>
      </c>
      <c r="F133" s="53">
        <v>1250</v>
      </c>
      <c r="G133" s="54">
        <v>0.11</v>
      </c>
      <c r="H133" s="104">
        <f>+(C133*D133)*(F133+(F133*G133))</f>
        <v>41625000</v>
      </c>
      <c r="K133" s="56"/>
      <c r="L133" s="87"/>
      <c r="M133" s="68"/>
    </row>
    <row r="134" spans="1:13" ht="18" customHeight="1" x14ac:dyDescent="0.2">
      <c r="A134" s="130">
        <v>6</v>
      </c>
      <c r="B134" s="128" t="s">
        <v>283</v>
      </c>
      <c r="C134" s="51">
        <v>300000</v>
      </c>
      <c r="D134" s="102">
        <v>1</v>
      </c>
      <c r="E134" s="129" t="s">
        <v>24</v>
      </c>
      <c r="F134" s="53">
        <v>150</v>
      </c>
      <c r="G134" s="54">
        <v>0.11</v>
      </c>
      <c r="H134" s="104">
        <f>+(C134*D134)*(F134+(F134*G134))</f>
        <v>49950000</v>
      </c>
      <c r="K134" s="56"/>
      <c r="L134" s="87"/>
      <c r="M134" s="68"/>
    </row>
    <row r="135" spans="1:13" ht="18" customHeight="1" x14ac:dyDescent="0.2">
      <c r="A135" s="130">
        <v>7</v>
      </c>
      <c r="B135" s="128" t="s">
        <v>284</v>
      </c>
      <c r="C135" s="51">
        <v>300000</v>
      </c>
      <c r="D135" s="102">
        <v>1</v>
      </c>
      <c r="E135" s="129" t="s">
        <v>24</v>
      </c>
      <c r="F135" s="53">
        <v>125</v>
      </c>
      <c r="G135" s="54">
        <v>0.11</v>
      </c>
      <c r="H135" s="104">
        <f>+(C135*D135)*(F135+(F135*G135))</f>
        <v>41625000</v>
      </c>
      <c r="K135" s="56"/>
      <c r="L135" s="87"/>
      <c r="M135" s="68"/>
    </row>
    <row r="136" spans="1:13" ht="18" customHeight="1" x14ac:dyDescent="0.2">
      <c r="A136" s="130">
        <v>8</v>
      </c>
      <c r="B136" s="128" t="s">
        <v>218</v>
      </c>
      <c r="C136" s="51">
        <v>400000</v>
      </c>
      <c r="D136" s="102">
        <v>1</v>
      </c>
      <c r="E136" s="129" t="s">
        <v>24</v>
      </c>
      <c r="F136" s="53">
        <v>500</v>
      </c>
      <c r="G136" s="54">
        <v>0.11</v>
      </c>
      <c r="H136" s="104">
        <f>+(C136*D136)*(F136+(F136*G136))</f>
        <v>222000000</v>
      </c>
      <c r="K136" s="56"/>
      <c r="L136" s="87"/>
      <c r="M136" s="68"/>
    </row>
    <row r="137" spans="1:13" ht="18" customHeight="1" x14ac:dyDescent="0.2">
      <c r="A137" s="130">
        <v>9</v>
      </c>
      <c r="B137" s="128" t="s">
        <v>206</v>
      </c>
      <c r="C137" s="51">
        <v>3000</v>
      </c>
      <c r="D137" s="102">
        <v>1</v>
      </c>
      <c r="E137" s="129" t="s">
        <v>24</v>
      </c>
      <c r="F137" s="53">
        <v>5150</v>
      </c>
      <c r="G137" s="54">
        <v>0.11</v>
      </c>
      <c r="H137" s="104">
        <f>+(C137*D137)*(F137+(F137*G137))</f>
        <v>17149500</v>
      </c>
      <c r="K137" s="56"/>
      <c r="L137" s="87"/>
      <c r="M137" s="68"/>
    </row>
    <row r="138" spans="1:13" ht="18" customHeight="1" x14ac:dyDescent="0.2">
      <c r="A138" s="130">
        <v>10</v>
      </c>
      <c r="B138" s="128" t="s">
        <v>285</v>
      </c>
      <c r="C138" s="51">
        <v>200000</v>
      </c>
      <c r="D138" s="102">
        <v>1</v>
      </c>
      <c r="E138" s="129" t="s">
        <v>24</v>
      </c>
      <c r="F138" s="53">
        <v>525</v>
      </c>
      <c r="G138" s="54">
        <v>0.11</v>
      </c>
      <c r="H138" s="104">
        <f>+(C138*D138)*(F138+(F138*G138))</f>
        <v>116550000</v>
      </c>
      <c r="K138" s="56"/>
      <c r="L138" s="87"/>
      <c r="M138" s="68"/>
    </row>
    <row r="139" spans="1:13" ht="18" customHeight="1" x14ac:dyDescent="0.2">
      <c r="A139" s="130">
        <v>11</v>
      </c>
      <c r="B139" s="128" t="s">
        <v>349</v>
      </c>
      <c r="C139" s="51">
        <v>1000</v>
      </c>
      <c r="D139" s="102">
        <v>1</v>
      </c>
      <c r="E139" s="129" t="s">
        <v>24</v>
      </c>
      <c r="F139" s="53">
        <v>1725</v>
      </c>
      <c r="G139" s="54">
        <v>0.11</v>
      </c>
      <c r="H139" s="104">
        <f>+(C139*D139)*(F139+(F139*G139))</f>
        <v>1914750</v>
      </c>
      <c r="K139" s="56"/>
      <c r="L139" s="87"/>
      <c r="M139" s="68"/>
    </row>
    <row r="140" spans="1:13" ht="18" customHeight="1" x14ac:dyDescent="0.2">
      <c r="A140" s="130">
        <v>12</v>
      </c>
      <c r="B140" s="128" t="s">
        <v>342</v>
      </c>
      <c r="C140" s="51">
        <v>200000</v>
      </c>
      <c r="D140" s="102">
        <v>1</v>
      </c>
      <c r="E140" s="129" t="s">
        <v>24</v>
      </c>
      <c r="F140" s="53">
        <v>125</v>
      </c>
      <c r="G140" s="54">
        <v>0.11</v>
      </c>
      <c r="H140" s="104">
        <f>+(C140*D140)*(F140+(F140*G140))</f>
        <v>27750000</v>
      </c>
      <c r="K140" s="56"/>
      <c r="L140" s="87"/>
      <c r="M140" s="68"/>
    </row>
    <row r="141" spans="1:13" ht="18" customHeight="1" x14ac:dyDescent="0.2">
      <c r="A141" s="130">
        <v>13</v>
      </c>
      <c r="B141" s="128" t="s">
        <v>343</v>
      </c>
      <c r="C141" s="51">
        <v>20000</v>
      </c>
      <c r="D141" s="102">
        <v>1</v>
      </c>
      <c r="E141" s="129" t="s">
        <v>24</v>
      </c>
      <c r="F141" s="53">
        <v>6150</v>
      </c>
      <c r="G141" s="54">
        <v>0.11</v>
      </c>
      <c r="H141" s="104">
        <f>+(C141*D141)*(F141+(F141*G141))</f>
        <v>136530000</v>
      </c>
      <c r="K141" s="56"/>
      <c r="L141" s="87"/>
      <c r="M141" s="68"/>
    </row>
    <row r="142" spans="1:13" ht="18" customHeight="1" x14ac:dyDescent="0.2">
      <c r="A142" s="130">
        <v>14</v>
      </c>
      <c r="B142" s="128" t="s">
        <v>344</v>
      </c>
      <c r="C142" s="51">
        <v>5000</v>
      </c>
      <c r="D142" s="102">
        <v>1</v>
      </c>
      <c r="E142" s="129" t="s">
        <v>24</v>
      </c>
      <c r="F142" s="53">
        <v>3250</v>
      </c>
      <c r="G142" s="54">
        <v>0.11</v>
      </c>
      <c r="H142" s="104">
        <f>+(C142*D142)*(F142+(F142*G142))</f>
        <v>18037500</v>
      </c>
      <c r="K142" s="56"/>
      <c r="L142" s="87"/>
      <c r="M142" s="68"/>
    </row>
    <row r="143" spans="1:13" ht="18" customHeight="1" x14ac:dyDescent="0.2">
      <c r="A143" s="130">
        <v>15</v>
      </c>
      <c r="B143" s="128" t="s">
        <v>103</v>
      </c>
      <c r="C143" s="51">
        <v>20</v>
      </c>
      <c r="D143" s="52">
        <v>1</v>
      </c>
      <c r="E143" s="129" t="s">
        <v>24</v>
      </c>
      <c r="F143" s="53">
        <v>3365500</v>
      </c>
      <c r="G143" s="54">
        <v>0.11</v>
      </c>
      <c r="H143" s="104">
        <f>+(C143*D143)*(F143+(F143*G143))</f>
        <v>74714100</v>
      </c>
      <c r="K143" s="56"/>
      <c r="L143" s="87"/>
      <c r="M143" s="68"/>
    </row>
    <row r="144" spans="1:13" ht="18" customHeight="1" x14ac:dyDescent="0.2">
      <c r="A144" s="130">
        <v>16</v>
      </c>
      <c r="B144" s="128" t="s">
        <v>104</v>
      </c>
      <c r="C144" s="51">
        <v>37</v>
      </c>
      <c r="D144" s="52">
        <v>1</v>
      </c>
      <c r="E144" s="129" t="s">
        <v>24</v>
      </c>
      <c r="F144" s="53">
        <v>3365500</v>
      </c>
      <c r="G144" s="54">
        <v>0.11</v>
      </c>
      <c r="H144" s="104">
        <f>+(C144*D144)*(F144+(F144*G144))</f>
        <v>138221085</v>
      </c>
      <c r="K144" s="56"/>
      <c r="L144" s="87"/>
      <c r="M144" s="68"/>
    </row>
    <row r="145" spans="1:13" ht="18" customHeight="1" x14ac:dyDescent="0.2">
      <c r="A145" s="130">
        <v>17</v>
      </c>
      <c r="B145" s="128" t="s">
        <v>214</v>
      </c>
      <c r="C145" s="51">
        <v>1000</v>
      </c>
      <c r="D145" s="102">
        <v>1</v>
      </c>
      <c r="E145" s="129" t="s">
        <v>24</v>
      </c>
      <c r="F145" s="53">
        <v>700</v>
      </c>
      <c r="G145" s="54">
        <v>0.11</v>
      </c>
      <c r="H145" s="104">
        <f>+(C145*D145)*(F145+(F145*G145))</f>
        <v>777000</v>
      </c>
      <c r="K145" s="56"/>
      <c r="L145" s="87"/>
      <c r="M145" s="68"/>
    </row>
    <row r="146" spans="1:13" ht="18" customHeight="1" x14ac:dyDescent="0.2">
      <c r="A146" s="130">
        <v>18</v>
      </c>
      <c r="B146" s="128" t="s">
        <v>286</v>
      </c>
      <c r="C146" s="51">
        <v>200000</v>
      </c>
      <c r="D146" s="102">
        <v>1</v>
      </c>
      <c r="E146" s="129" t="s">
        <v>24</v>
      </c>
      <c r="F146" s="53">
        <v>225</v>
      </c>
      <c r="G146" s="54">
        <v>0.11</v>
      </c>
      <c r="H146" s="104">
        <f>+(C146*D146)*(F146+(F146*G146))</f>
        <v>49950000</v>
      </c>
      <c r="K146" s="56"/>
      <c r="L146" s="87"/>
      <c r="M146" s="68"/>
    </row>
    <row r="147" spans="1:13" ht="18" customHeight="1" x14ac:dyDescent="0.2">
      <c r="A147" s="130">
        <v>19</v>
      </c>
      <c r="B147" s="128" t="s">
        <v>35</v>
      </c>
      <c r="C147" s="51">
        <v>500000</v>
      </c>
      <c r="D147" s="52">
        <v>1</v>
      </c>
      <c r="E147" s="129" t="s">
        <v>24</v>
      </c>
      <c r="F147" s="53">
        <v>500</v>
      </c>
      <c r="G147" s="54">
        <v>0.11</v>
      </c>
      <c r="H147" s="104">
        <f>+(C147*D147)*(F147+(F147*G147))</f>
        <v>277500000</v>
      </c>
      <c r="K147" s="56"/>
      <c r="L147" s="87"/>
      <c r="M147" s="68"/>
    </row>
    <row r="148" spans="1:13" ht="18" customHeight="1" x14ac:dyDescent="0.2">
      <c r="A148" s="130">
        <v>20</v>
      </c>
      <c r="B148" s="128" t="s">
        <v>287</v>
      </c>
      <c r="C148" s="51">
        <v>200000</v>
      </c>
      <c r="D148" s="102">
        <v>1</v>
      </c>
      <c r="E148" s="129" t="s">
        <v>24</v>
      </c>
      <c r="F148" s="53">
        <v>300</v>
      </c>
      <c r="G148" s="54">
        <v>0.11</v>
      </c>
      <c r="H148" s="104">
        <f>+(C148*D148)*(F148+(F148*G148))</f>
        <v>66600000</v>
      </c>
      <c r="K148" s="56"/>
      <c r="L148" s="87"/>
      <c r="M148" s="68"/>
    </row>
    <row r="149" spans="1:13" ht="18" customHeight="1" x14ac:dyDescent="0.2">
      <c r="A149" s="130">
        <v>21</v>
      </c>
      <c r="B149" s="128" t="s">
        <v>215</v>
      </c>
      <c r="C149" s="51">
        <v>300</v>
      </c>
      <c r="D149" s="102">
        <v>1</v>
      </c>
      <c r="E149" s="129" t="s">
        <v>24</v>
      </c>
      <c r="F149" s="53">
        <v>2500</v>
      </c>
      <c r="G149" s="54">
        <v>0.11</v>
      </c>
      <c r="H149" s="104">
        <f>+(C149*D149)*(F149+(F149*G149))</f>
        <v>832500</v>
      </c>
      <c r="K149" s="56"/>
      <c r="L149" s="87"/>
      <c r="M149" s="68"/>
    </row>
    <row r="150" spans="1:13" ht="18" customHeight="1" x14ac:dyDescent="0.2">
      <c r="A150" s="130">
        <v>22</v>
      </c>
      <c r="B150" s="128" t="s">
        <v>348</v>
      </c>
      <c r="C150" s="51">
        <v>100000</v>
      </c>
      <c r="D150" s="102">
        <v>1</v>
      </c>
      <c r="E150" s="129" t="s">
        <v>24</v>
      </c>
      <c r="F150" s="53">
        <v>925</v>
      </c>
      <c r="G150" s="54">
        <v>0.11</v>
      </c>
      <c r="H150" s="104">
        <f>+(C150*D150)*(F150+(F150*G150))</f>
        <v>102675000</v>
      </c>
      <c r="K150" s="56"/>
      <c r="L150" s="87"/>
      <c r="M150" s="68"/>
    </row>
    <row r="151" spans="1:13" ht="18" customHeight="1" x14ac:dyDescent="0.2">
      <c r="A151" s="130">
        <v>23</v>
      </c>
      <c r="B151" s="128" t="s">
        <v>219</v>
      </c>
      <c r="C151" s="51">
        <v>200</v>
      </c>
      <c r="D151" s="102">
        <v>1</v>
      </c>
      <c r="E151" s="129" t="s">
        <v>24</v>
      </c>
      <c r="F151" s="53">
        <v>19800</v>
      </c>
      <c r="G151" s="54">
        <v>0.11</v>
      </c>
      <c r="H151" s="104">
        <f>+(C151*D151)*(F151+(F151*G151))</f>
        <v>4395600</v>
      </c>
      <c r="K151" s="56"/>
      <c r="L151" s="87"/>
      <c r="M151" s="68"/>
    </row>
    <row r="152" spans="1:13" ht="18" customHeight="1" x14ac:dyDescent="0.2">
      <c r="A152" s="130">
        <v>24</v>
      </c>
      <c r="B152" s="128" t="s">
        <v>27</v>
      </c>
      <c r="C152" s="51">
        <v>200</v>
      </c>
      <c r="D152" s="52">
        <v>1</v>
      </c>
      <c r="E152" s="129" t="s">
        <v>24</v>
      </c>
      <c r="F152" s="53">
        <v>184700</v>
      </c>
      <c r="G152" s="54">
        <v>0.11</v>
      </c>
      <c r="H152" s="104">
        <f>+(C152*D152)*(F152+(F152*G152))</f>
        <v>41003400</v>
      </c>
      <c r="K152" s="56"/>
      <c r="L152" s="87"/>
      <c r="M152" s="68"/>
    </row>
    <row r="153" spans="1:13" ht="18" customHeight="1" x14ac:dyDescent="0.2">
      <c r="A153" s="130">
        <v>25</v>
      </c>
      <c r="B153" s="128" t="s">
        <v>288</v>
      </c>
      <c r="C153" s="51">
        <v>400</v>
      </c>
      <c r="D153" s="102">
        <v>1</v>
      </c>
      <c r="E153" s="129" t="s">
        <v>24</v>
      </c>
      <c r="F153" s="53">
        <v>66600</v>
      </c>
      <c r="G153" s="54">
        <v>0.11</v>
      </c>
      <c r="H153" s="104">
        <f>+(C153*D153)*(F153+(F153*G153))</f>
        <v>29570400</v>
      </c>
      <c r="K153" s="56"/>
      <c r="L153" s="87"/>
      <c r="M153" s="68"/>
    </row>
    <row r="154" spans="1:13" ht="18" customHeight="1" x14ac:dyDescent="0.2">
      <c r="A154" s="130">
        <v>26</v>
      </c>
      <c r="B154" s="128" t="s">
        <v>289</v>
      </c>
      <c r="C154" s="51">
        <v>20000</v>
      </c>
      <c r="D154" s="102">
        <v>1</v>
      </c>
      <c r="E154" s="129" t="s">
        <v>24</v>
      </c>
      <c r="F154" s="53">
        <v>7125</v>
      </c>
      <c r="G154" s="54">
        <v>0.11</v>
      </c>
      <c r="H154" s="104">
        <f>+(C154*D154)*(F154+(F154*G154))</f>
        <v>158175000</v>
      </c>
      <c r="K154" s="56"/>
      <c r="L154" s="87"/>
      <c r="M154" s="68"/>
    </row>
    <row r="155" spans="1:13" ht="18" customHeight="1" x14ac:dyDescent="0.2">
      <c r="A155" s="130">
        <v>27</v>
      </c>
      <c r="B155" s="128" t="s">
        <v>99</v>
      </c>
      <c r="C155" s="51">
        <v>1000</v>
      </c>
      <c r="D155" s="102">
        <v>1</v>
      </c>
      <c r="E155" s="129" t="s">
        <v>24</v>
      </c>
      <c r="F155" s="53">
        <v>175</v>
      </c>
      <c r="G155" s="54">
        <v>0.11</v>
      </c>
      <c r="H155" s="104">
        <f>+(C155*D155)*(F155+(F155*G155))</f>
        <v>194250</v>
      </c>
      <c r="K155" s="56"/>
      <c r="L155" s="87"/>
      <c r="M155" s="68"/>
    </row>
    <row r="156" spans="1:13" ht="18" customHeight="1" x14ac:dyDescent="0.2">
      <c r="A156" s="130">
        <v>28</v>
      </c>
      <c r="B156" s="128" t="s">
        <v>290</v>
      </c>
      <c r="C156" s="51">
        <v>20000</v>
      </c>
      <c r="D156" s="102">
        <v>1</v>
      </c>
      <c r="E156" s="129" t="s">
        <v>24</v>
      </c>
      <c r="F156" s="53">
        <v>2375</v>
      </c>
      <c r="G156" s="54">
        <v>0.11</v>
      </c>
      <c r="H156" s="104">
        <f>+(C156*D156)*(F156+(F156*G156))</f>
        <v>52725000</v>
      </c>
      <c r="K156" s="56"/>
      <c r="L156" s="87"/>
      <c r="M156" s="68"/>
    </row>
    <row r="157" spans="1:13" ht="18" customHeight="1" x14ac:dyDescent="0.2">
      <c r="A157" s="130">
        <v>29</v>
      </c>
      <c r="B157" s="128" t="s">
        <v>32</v>
      </c>
      <c r="C157" s="51">
        <v>100</v>
      </c>
      <c r="D157" s="52">
        <v>1</v>
      </c>
      <c r="E157" s="129" t="s">
        <v>24</v>
      </c>
      <c r="F157" s="53">
        <v>36500</v>
      </c>
      <c r="G157" s="54">
        <v>0.11</v>
      </c>
      <c r="H157" s="104">
        <f>+(C157*D157)*(F157+(F157*G157))</f>
        <v>4051500</v>
      </c>
      <c r="K157" s="56"/>
      <c r="L157" s="87"/>
      <c r="M157" s="68"/>
    </row>
    <row r="158" spans="1:13" ht="18" customHeight="1" x14ac:dyDescent="0.2">
      <c r="A158" s="130">
        <v>30</v>
      </c>
      <c r="B158" s="128" t="s">
        <v>36</v>
      </c>
      <c r="C158" s="51">
        <v>300</v>
      </c>
      <c r="D158" s="52">
        <v>1</v>
      </c>
      <c r="E158" s="129" t="s">
        <v>24</v>
      </c>
      <c r="F158" s="53">
        <v>42600</v>
      </c>
      <c r="G158" s="54">
        <v>0.11</v>
      </c>
      <c r="H158" s="104">
        <f>+(C158*D158)*(F158+(F158*G158))</f>
        <v>14185800</v>
      </c>
      <c r="K158" s="56"/>
      <c r="L158" s="87"/>
      <c r="M158" s="68"/>
    </row>
    <row r="159" spans="1:13" ht="18" customHeight="1" x14ac:dyDescent="0.2">
      <c r="A159" s="130">
        <v>31</v>
      </c>
      <c r="B159" s="128" t="s">
        <v>220</v>
      </c>
      <c r="C159" s="51">
        <v>5000</v>
      </c>
      <c r="D159" s="102">
        <v>1</v>
      </c>
      <c r="E159" s="129" t="s">
        <v>24</v>
      </c>
      <c r="F159" s="53">
        <v>575</v>
      </c>
      <c r="G159" s="54">
        <v>0.11</v>
      </c>
      <c r="H159" s="104">
        <f>+(C159*D159)*(F159+(F159*G159))</f>
        <v>3191250</v>
      </c>
      <c r="K159" s="56"/>
      <c r="L159" s="87"/>
      <c r="M159" s="68"/>
    </row>
    <row r="160" spans="1:13" ht="18" customHeight="1" x14ac:dyDescent="0.2">
      <c r="A160" s="130">
        <v>32</v>
      </c>
      <c r="B160" s="128" t="s">
        <v>291</v>
      </c>
      <c r="C160" s="51">
        <v>1000</v>
      </c>
      <c r="D160" s="102">
        <v>1</v>
      </c>
      <c r="E160" s="129" t="s">
        <v>24</v>
      </c>
      <c r="F160" s="53">
        <v>1800</v>
      </c>
      <c r="G160" s="54">
        <v>0.11</v>
      </c>
      <c r="H160" s="104">
        <f>+(C160*D160)*(F160+(F160*G160))</f>
        <v>1998000</v>
      </c>
      <c r="K160" s="56"/>
      <c r="L160" s="87"/>
      <c r="M160" s="68"/>
    </row>
    <row r="161" spans="1:13" ht="18" customHeight="1" x14ac:dyDescent="0.2">
      <c r="A161" s="130">
        <v>33</v>
      </c>
      <c r="B161" s="128" t="s">
        <v>292</v>
      </c>
      <c r="C161" s="51">
        <v>1000</v>
      </c>
      <c r="D161" s="102">
        <v>1</v>
      </c>
      <c r="E161" s="129" t="s">
        <v>24</v>
      </c>
      <c r="F161" s="53">
        <v>13675</v>
      </c>
      <c r="G161" s="54">
        <v>0.11</v>
      </c>
      <c r="H161" s="104">
        <f>+(C161*D161)*(F161+(F161*G161))</f>
        <v>15179250</v>
      </c>
      <c r="K161" s="56"/>
      <c r="L161" s="87"/>
      <c r="M161" s="68"/>
    </row>
    <row r="162" spans="1:13" ht="18" customHeight="1" x14ac:dyDescent="0.2">
      <c r="A162" s="130">
        <v>34</v>
      </c>
      <c r="B162" s="128" t="s">
        <v>293</v>
      </c>
      <c r="C162" s="51">
        <v>50000</v>
      </c>
      <c r="D162" s="102">
        <v>1</v>
      </c>
      <c r="E162" s="129" t="s">
        <v>24</v>
      </c>
      <c r="F162" s="53">
        <v>175</v>
      </c>
      <c r="G162" s="54">
        <v>0.11</v>
      </c>
      <c r="H162" s="104">
        <f>+(C162*D162)*(F162+(F162*G162))</f>
        <v>9712500</v>
      </c>
      <c r="K162" s="56"/>
      <c r="L162" s="87"/>
      <c r="M162" s="68"/>
    </row>
    <row r="163" spans="1:13" ht="18" customHeight="1" x14ac:dyDescent="0.2">
      <c r="A163" s="130">
        <v>35</v>
      </c>
      <c r="B163" s="128" t="s">
        <v>101</v>
      </c>
      <c r="C163" s="51">
        <v>50000</v>
      </c>
      <c r="D163" s="102">
        <v>1</v>
      </c>
      <c r="E163" s="129" t="s">
        <v>24</v>
      </c>
      <c r="F163" s="53">
        <v>125</v>
      </c>
      <c r="G163" s="54">
        <v>0.11</v>
      </c>
      <c r="H163" s="104">
        <f>+(C163*D163)*(F163+(F163*G163))</f>
        <v>6937500</v>
      </c>
      <c r="K163" s="56"/>
      <c r="L163" s="87"/>
      <c r="M163" s="68"/>
    </row>
    <row r="164" spans="1:13" ht="18" customHeight="1" x14ac:dyDescent="0.2">
      <c r="A164" s="130">
        <v>36</v>
      </c>
      <c r="B164" s="128" t="s">
        <v>34</v>
      </c>
      <c r="C164" s="51">
        <v>1100</v>
      </c>
      <c r="D164" s="52">
        <v>1</v>
      </c>
      <c r="E164" s="129" t="s">
        <v>24</v>
      </c>
      <c r="F164" s="53">
        <v>1900</v>
      </c>
      <c r="G164" s="54">
        <v>0.11</v>
      </c>
      <c r="H164" s="104">
        <f>+(C164*D164)*(F164+(F164*G164))</f>
        <v>2319900</v>
      </c>
      <c r="K164" s="56"/>
      <c r="L164" s="87"/>
      <c r="M164" s="68"/>
    </row>
    <row r="165" spans="1:13" ht="18" customHeight="1" x14ac:dyDescent="0.2">
      <c r="A165" s="130">
        <v>37</v>
      </c>
      <c r="B165" s="128" t="s">
        <v>221</v>
      </c>
      <c r="C165" s="51">
        <v>2000</v>
      </c>
      <c r="D165" s="102">
        <v>1</v>
      </c>
      <c r="E165" s="129" t="s">
        <v>24</v>
      </c>
      <c r="F165" s="53">
        <v>150</v>
      </c>
      <c r="G165" s="54">
        <v>0.11</v>
      </c>
      <c r="H165" s="104">
        <f>+(C165*D165)*(F165+(F165*G165))</f>
        <v>333000</v>
      </c>
      <c r="K165" s="56"/>
      <c r="L165" s="87"/>
      <c r="M165" s="68"/>
    </row>
    <row r="166" spans="1:13" ht="18" customHeight="1" x14ac:dyDescent="0.2">
      <c r="A166" s="130">
        <v>38</v>
      </c>
      <c r="B166" s="128" t="s">
        <v>294</v>
      </c>
      <c r="C166" s="51">
        <v>300</v>
      </c>
      <c r="D166" s="102">
        <v>1</v>
      </c>
      <c r="E166" s="129" t="s">
        <v>24</v>
      </c>
      <c r="F166" s="53">
        <v>10500</v>
      </c>
      <c r="G166" s="54">
        <v>0.11</v>
      </c>
      <c r="H166" s="104">
        <f>+(C166*D166)*(F166+(F166*G166))</f>
        <v>3496500</v>
      </c>
      <c r="K166" s="56"/>
      <c r="L166" s="87"/>
      <c r="M166" s="68"/>
    </row>
    <row r="167" spans="1:13" ht="18" customHeight="1" x14ac:dyDescent="0.2">
      <c r="A167" s="130">
        <v>39</v>
      </c>
      <c r="B167" s="128" t="s">
        <v>28</v>
      </c>
      <c r="C167" s="51">
        <v>1000</v>
      </c>
      <c r="D167" s="52">
        <v>1</v>
      </c>
      <c r="E167" s="129" t="s">
        <v>24</v>
      </c>
      <c r="F167" s="53">
        <v>8350</v>
      </c>
      <c r="G167" s="54">
        <v>0.11</v>
      </c>
      <c r="H167" s="104">
        <f>+(C167*D167)*(F167+(F167*G167))</f>
        <v>9268500</v>
      </c>
      <c r="K167" s="56"/>
      <c r="L167" s="87"/>
      <c r="M167" s="68"/>
    </row>
    <row r="168" spans="1:13" ht="18" customHeight="1" x14ac:dyDescent="0.2">
      <c r="A168" s="130">
        <v>40</v>
      </c>
      <c r="B168" s="128" t="s">
        <v>295</v>
      </c>
      <c r="C168" s="51">
        <v>50000</v>
      </c>
      <c r="D168" s="102">
        <v>1</v>
      </c>
      <c r="E168" s="129" t="s">
        <v>24</v>
      </c>
      <c r="F168" s="53">
        <v>975</v>
      </c>
      <c r="G168" s="54">
        <v>0.11</v>
      </c>
      <c r="H168" s="104">
        <f>+(C168*D168)*(F168+(F168*G168))</f>
        <v>54112500</v>
      </c>
      <c r="K168" s="56"/>
      <c r="L168" s="87"/>
      <c r="M168" s="68"/>
    </row>
    <row r="169" spans="1:13" ht="18" customHeight="1" x14ac:dyDescent="0.2">
      <c r="A169" s="130">
        <v>41</v>
      </c>
      <c r="B169" s="128" t="s">
        <v>207</v>
      </c>
      <c r="C169" s="51">
        <v>800</v>
      </c>
      <c r="D169" s="102">
        <v>1</v>
      </c>
      <c r="E169" s="129" t="s">
        <v>24</v>
      </c>
      <c r="F169" s="53">
        <v>195550</v>
      </c>
      <c r="G169" s="54">
        <v>0.11</v>
      </c>
      <c r="H169" s="104">
        <f>+(C169*D169)*(F169+(F169*G169))</f>
        <v>173648400</v>
      </c>
      <c r="K169" s="56"/>
      <c r="L169" s="87"/>
      <c r="M169" s="68"/>
    </row>
    <row r="170" spans="1:13" ht="18" customHeight="1" x14ac:dyDescent="0.2">
      <c r="A170" s="130">
        <v>42</v>
      </c>
      <c r="B170" s="128" t="s">
        <v>296</v>
      </c>
      <c r="C170" s="51">
        <v>400</v>
      </c>
      <c r="D170" s="102">
        <v>1</v>
      </c>
      <c r="E170" s="129" t="s">
        <v>24</v>
      </c>
      <c r="F170" s="53">
        <v>85500</v>
      </c>
      <c r="G170" s="54">
        <v>0.11</v>
      </c>
      <c r="H170" s="104">
        <f>+(C170*D170)*(F170+(F170*G170))</f>
        <v>37962000</v>
      </c>
      <c r="K170" s="56"/>
      <c r="L170" s="87"/>
      <c r="M170" s="68"/>
    </row>
    <row r="171" spans="1:13" ht="18" customHeight="1" x14ac:dyDescent="0.2">
      <c r="A171" s="130">
        <v>43</v>
      </c>
      <c r="B171" s="128" t="s">
        <v>25</v>
      </c>
      <c r="C171" s="51">
        <v>10000</v>
      </c>
      <c r="D171" s="52">
        <v>1</v>
      </c>
      <c r="E171" s="129" t="s">
        <v>24</v>
      </c>
      <c r="F171" s="53">
        <v>200</v>
      </c>
      <c r="G171" s="54">
        <v>0.11</v>
      </c>
      <c r="H171" s="104">
        <f>+(C171*D171)*(F171+(F171*G171))</f>
        <v>2220000</v>
      </c>
      <c r="K171" s="56"/>
      <c r="L171" s="87"/>
      <c r="M171" s="68"/>
    </row>
    <row r="172" spans="1:13" ht="18" customHeight="1" x14ac:dyDescent="0.2">
      <c r="A172" s="130">
        <v>44</v>
      </c>
      <c r="B172" s="128" t="s">
        <v>222</v>
      </c>
      <c r="C172" s="51">
        <v>2000</v>
      </c>
      <c r="D172" s="102">
        <v>1</v>
      </c>
      <c r="E172" s="129" t="s">
        <v>24</v>
      </c>
      <c r="F172" s="53">
        <v>350</v>
      </c>
      <c r="G172" s="54">
        <v>0.11</v>
      </c>
      <c r="H172" s="104">
        <f>+(C172*D172)*(F172+(F172*G172))</f>
        <v>777000</v>
      </c>
      <c r="K172" s="56"/>
      <c r="L172" s="87"/>
      <c r="M172" s="68"/>
    </row>
    <row r="173" spans="1:13" ht="18" customHeight="1" x14ac:dyDescent="0.2">
      <c r="A173" s="130">
        <v>45</v>
      </c>
      <c r="B173" s="128" t="s">
        <v>208</v>
      </c>
      <c r="C173" s="51">
        <v>100</v>
      </c>
      <c r="D173" s="102">
        <v>1</v>
      </c>
      <c r="E173" s="129" t="s">
        <v>24</v>
      </c>
      <c r="F173" s="53">
        <v>3075</v>
      </c>
      <c r="G173" s="54">
        <v>0.11</v>
      </c>
      <c r="H173" s="104">
        <f>+(C173*D173)*(F173+(F173*G173))</f>
        <v>341325</v>
      </c>
      <c r="K173" s="56"/>
      <c r="L173" s="87"/>
      <c r="M173" s="68"/>
    </row>
    <row r="174" spans="1:13" ht="18" customHeight="1" x14ac:dyDescent="0.2">
      <c r="A174" s="130">
        <v>46</v>
      </c>
      <c r="B174" s="128" t="s">
        <v>297</v>
      </c>
      <c r="C174" s="51">
        <v>300000</v>
      </c>
      <c r="D174" s="102">
        <v>1</v>
      </c>
      <c r="E174" s="129" t="s">
        <v>24</v>
      </c>
      <c r="F174" s="53">
        <v>200</v>
      </c>
      <c r="G174" s="54">
        <v>0.11</v>
      </c>
      <c r="H174" s="104">
        <f>+(C174*D174)*(F174+(F174*G174))</f>
        <v>66600000</v>
      </c>
      <c r="K174" s="56"/>
      <c r="L174" s="87"/>
      <c r="M174" s="68"/>
    </row>
    <row r="175" spans="1:13" ht="18" customHeight="1" x14ac:dyDescent="0.2">
      <c r="A175" s="130">
        <v>47</v>
      </c>
      <c r="B175" s="128" t="s">
        <v>298</v>
      </c>
      <c r="C175" s="51">
        <v>2000</v>
      </c>
      <c r="D175" s="102">
        <v>1</v>
      </c>
      <c r="E175" s="129" t="s">
        <v>24</v>
      </c>
      <c r="F175" s="53">
        <v>8075</v>
      </c>
      <c r="G175" s="54">
        <v>0.11</v>
      </c>
      <c r="H175" s="104">
        <f>+(C175*D175)*(F175+(F175*G175))</f>
        <v>17926500</v>
      </c>
      <c r="K175" s="56"/>
      <c r="L175" s="87"/>
      <c r="M175" s="68"/>
    </row>
    <row r="176" spans="1:13" ht="18" customHeight="1" x14ac:dyDescent="0.2">
      <c r="A176" s="130">
        <v>48</v>
      </c>
      <c r="B176" s="128" t="s">
        <v>299</v>
      </c>
      <c r="C176" s="51">
        <v>20000</v>
      </c>
      <c r="D176" s="102">
        <v>1</v>
      </c>
      <c r="E176" s="129" t="s">
        <v>24</v>
      </c>
      <c r="F176" s="53">
        <v>4300</v>
      </c>
      <c r="G176" s="54">
        <v>0.11</v>
      </c>
      <c r="H176" s="104">
        <f>+(C176*D176)*(F176+(F176*G176))</f>
        <v>95460000</v>
      </c>
      <c r="K176" s="56"/>
      <c r="L176" s="87"/>
      <c r="M176" s="68"/>
    </row>
    <row r="177" spans="1:13" ht="18" customHeight="1" x14ac:dyDescent="0.2">
      <c r="A177" s="130">
        <v>49</v>
      </c>
      <c r="B177" s="128" t="s">
        <v>26</v>
      </c>
      <c r="C177" s="51">
        <v>500</v>
      </c>
      <c r="D177" s="52">
        <v>1</v>
      </c>
      <c r="E177" s="129" t="s">
        <v>24</v>
      </c>
      <c r="F177" s="53">
        <v>2500</v>
      </c>
      <c r="G177" s="54">
        <v>0.11</v>
      </c>
      <c r="H177" s="104">
        <f>+(C177*D177)*(F177+(F177*G177))</f>
        <v>1387500</v>
      </c>
      <c r="K177" s="56"/>
      <c r="L177" s="87"/>
      <c r="M177" s="68"/>
    </row>
    <row r="178" spans="1:13" ht="18" customHeight="1" x14ac:dyDescent="0.2">
      <c r="A178" s="130">
        <v>50</v>
      </c>
      <c r="B178" s="128" t="s">
        <v>59</v>
      </c>
      <c r="C178" s="51">
        <v>300</v>
      </c>
      <c r="D178" s="52">
        <v>1</v>
      </c>
      <c r="E178" s="129" t="s">
        <v>24</v>
      </c>
      <c r="F178" s="53">
        <v>22275</v>
      </c>
      <c r="G178" s="54">
        <v>0.11</v>
      </c>
      <c r="H178" s="104">
        <f>+(C178*D178)*(F178+(F178*G178))</f>
        <v>7417575</v>
      </c>
      <c r="K178" s="56"/>
      <c r="L178" s="87"/>
      <c r="M178" s="68"/>
    </row>
    <row r="179" spans="1:13" ht="18" customHeight="1" x14ac:dyDescent="0.2">
      <c r="A179" s="130">
        <v>51</v>
      </c>
      <c r="B179" s="128" t="s">
        <v>300</v>
      </c>
      <c r="C179" s="51">
        <v>200000</v>
      </c>
      <c r="D179" s="102">
        <v>1</v>
      </c>
      <c r="E179" s="129" t="s">
        <v>24</v>
      </c>
      <c r="F179" s="53">
        <v>425</v>
      </c>
      <c r="G179" s="54">
        <v>0.11</v>
      </c>
      <c r="H179" s="104">
        <f>+(C179*D179)*(F179+(F179*G179))</f>
        <v>94350000</v>
      </c>
      <c r="K179" s="56"/>
      <c r="L179" s="87"/>
      <c r="M179" s="68"/>
    </row>
    <row r="180" spans="1:13" ht="18" customHeight="1" x14ac:dyDescent="0.2">
      <c r="A180" s="130">
        <v>52</v>
      </c>
      <c r="B180" s="128" t="s">
        <v>216</v>
      </c>
      <c r="C180" s="51">
        <v>3000</v>
      </c>
      <c r="D180" s="102">
        <v>1</v>
      </c>
      <c r="E180" s="129" t="s">
        <v>24</v>
      </c>
      <c r="F180" s="53">
        <v>450</v>
      </c>
      <c r="G180" s="54">
        <v>0.11</v>
      </c>
      <c r="H180" s="104">
        <f>+(C180*D180)*(F180+(F180*G180))</f>
        <v>1498500</v>
      </c>
      <c r="K180" s="56"/>
      <c r="L180" s="87"/>
      <c r="M180" s="68"/>
    </row>
    <row r="181" spans="1:13" ht="18" customHeight="1" x14ac:dyDescent="0.2">
      <c r="A181" s="130">
        <v>53</v>
      </c>
      <c r="B181" s="128" t="s">
        <v>223</v>
      </c>
      <c r="C181" s="51">
        <v>1100</v>
      </c>
      <c r="D181" s="102">
        <v>1</v>
      </c>
      <c r="E181" s="129" t="s">
        <v>24</v>
      </c>
      <c r="F181" s="53">
        <v>3500</v>
      </c>
      <c r="G181" s="54">
        <v>0.11</v>
      </c>
      <c r="H181" s="104">
        <f>+(C181*D181)*(F181+(F181*G181))</f>
        <v>4273500</v>
      </c>
      <c r="K181" s="56"/>
      <c r="L181" s="87"/>
      <c r="M181" s="68"/>
    </row>
    <row r="182" spans="1:13" ht="18" customHeight="1" x14ac:dyDescent="0.2">
      <c r="A182" s="130">
        <v>54</v>
      </c>
      <c r="B182" s="128" t="s">
        <v>301</v>
      </c>
      <c r="C182" s="51">
        <v>400</v>
      </c>
      <c r="D182" s="102">
        <v>1</v>
      </c>
      <c r="E182" s="129" t="s">
        <v>24</v>
      </c>
      <c r="F182" s="53">
        <v>105450</v>
      </c>
      <c r="G182" s="54">
        <v>0.11</v>
      </c>
      <c r="H182" s="104">
        <f>+(C182*D182)*(F182+(F182*G182))</f>
        <v>46819800</v>
      </c>
      <c r="K182" s="56"/>
      <c r="L182" s="87"/>
      <c r="M182" s="68"/>
    </row>
    <row r="183" spans="1:13" ht="18" customHeight="1" x14ac:dyDescent="0.2">
      <c r="A183" s="130">
        <v>55</v>
      </c>
      <c r="B183" s="128" t="s">
        <v>302</v>
      </c>
      <c r="C183" s="51">
        <v>200000</v>
      </c>
      <c r="D183" s="102">
        <v>1</v>
      </c>
      <c r="E183" s="129" t="s">
        <v>24</v>
      </c>
      <c r="F183" s="53">
        <v>125</v>
      </c>
      <c r="G183" s="54">
        <v>0.11</v>
      </c>
      <c r="H183" s="104">
        <f>+(C183*D183)*(F183+(F183*G183))</f>
        <v>27750000</v>
      </c>
      <c r="K183" s="56"/>
      <c r="L183" s="87"/>
      <c r="M183" s="68"/>
    </row>
    <row r="184" spans="1:13" ht="18" customHeight="1" x14ac:dyDescent="0.2">
      <c r="A184" s="130">
        <v>56</v>
      </c>
      <c r="B184" s="128" t="s">
        <v>303</v>
      </c>
      <c r="C184" s="51">
        <v>200000</v>
      </c>
      <c r="D184" s="102">
        <v>1</v>
      </c>
      <c r="E184" s="129" t="s">
        <v>24</v>
      </c>
      <c r="F184" s="53">
        <v>200</v>
      </c>
      <c r="G184" s="54">
        <v>0.11</v>
      </c>
      <c r="H184" s="104">
        <f>+(C184*D184)*(F184+(F184*G184))</f>
        <v>44400000</v>
      </c>
      <c r="K184" s="56"/>
      <c r="L184" s="87"/>
      <c r="M184" s="68"/>
    </row>
    <row r="185" spans="1:13" ht="18" customHeight="1" x14ac:dyDescent="0.2">
      <c r="A185" s="130">
        <v>57</v>
      </c>
      <c r="B185" s="128" t="s">
        <v>304</v>
      </c>
      <c r="C185" s="51">
        <v>20000</v>
      </c>
      <c r="D185" s="102">
        <v>1</v>
      </c>
      <c r="E185" s="129" t="s">
        <v>24</v>
      </c>
      <c r="F185" s="53">
        <v>4850</v>
      </c>
      <c r="G185" s="54">
        <v>0.11</v>
      </c>
      <c r="H185" s="104">
        <f>+(C185*D185)*(F185+(F185*G185))</f>
        <v>107670000</v>
      </c>
      <c r="K185" s="56"/>
      <c r="L185" s="87"/>
      <c r="M185" s="68"/>
    </row>
    <row r="186" spans="1:13" ht="18" customHeight="1" x14ac:dyDescent="0.2">
      <c r="A186" s="130">
        <v>58</v>
      </c>
      <c r="B186" s="128" t="s">
        <v>305</v>
      </c>
      <c r="C186" s="51">
        <v>20000</v>
      </c>
      <c r="D186" s="102">
        <v>1</v>
      </c>
      <c r="E186" s="129" t="s">
        <v>24</v>
      </c>
      <c r="F186" s="53">
        <v>400</v>
      </c>
      <c r="G186" s="54">
        <v>0.11</v>
      </c>
      <c r="H186" s="104">
        <f>+(C186*D186)*(F186+(F186*G186))</f>
        <v>8880000</v>
      </c>
      <c r="K186" s="56"/>
      <c r="L186" s="87"/>
      <c r="M186" s="68"/>
    </row>
    <row r="187" spans="1:13" ht="18" customHeight="1" x14ac:dyDescent="0.2">
      <c r="A187" s="130">
        <v>59</v>
      </c>
      <c r="B187" s="128" t="s">
        <v>306</v>
      </c>
      <c r="C187" s="51">
        <v>100000</v>
      </c>
      <c r="D187" s="102">
        <v>1</v>
      </c>
      <c r="E187" s="129" t="s">
        <v>24</v>
      </c>
      <c r="F187" s="53">
        <v>625</v>
      </c>
      <c r="G187" s="54">
        <v>0.11</v>
      </c>
      <c r="H187" s="104">
        <f>+(C187*D187)*(F187+(F187*G187))</f>
        <v>69375000</v>
      </c>
      <c r="K187" s="56"/>
      <c r="L187" s="87"/>
      <c r="M187" s="68"/>
    </row>
    <row r="188" spans="1:13" ht="18" customHeight="1" x14ac:dyDescent="0.2">
      <c r="A188" s="130">
        <v>60</v>
      </c>
      <c r="B188" s="128" t="s">
        <v>307</v>
      </c>
      <c r="C188" s="51">
        <v>20000</v>
      </c>
      <c r="D188" s="102">
        <v>1</v>
      </c>
      <c r="E188" s="129" t="s">
        <v>24</v>
      </c>
      <c r="F188" s="53">
        <v>7225</v>
      </c>
      <c r="G188" s="54">
        <v>0.11</v>
      </c>
      <c r="H188" s="104">
        <f>+(C188*D188)*(F188+(F188*G188))</f>
        <v>160395000</v>
      </c>
      <c r="K188" s="56"/>
      <c r="L188" s="87"/>
      <c r="M188" s="68"/>
    </row>
    <row r="189" spans="1:13" ht="18" customHeight="1" x14ac:dyDescent="0.2">
      <c r="A189" s="130">
        <v>61</v>
      </c>
      <c r="B189" s="128" t="s">
        <v>308</v>
      </c>
      <c r="C189" s="51">
        <v>10000</v>
      </c>
      <c r="D189" s="102">
        <v>1</v>
      </c>
      <c r="E189" s="129" t="s">
        <v>24</v>
      </c>
      <c r="F189" s="53">
        <v>8000</v>
      </c>
      <c r="G189" s="54">
        <v>0.11</v>
      </c>
      <c r="H189" s="104">
        <f>+(C189*D189)*(F189+(F189*G189))</f>
        <v>88800000</v>
      </c>
      <c r="K189" s="56"/>
      <c r="L189" s="87"/>
      <c r="M189" s="68"/>
    </row>
    <row r="190" spans="1:13" ht="18" customHeight="1" x14ac:dyDescent="0.2">
      <c r="A190" s="130">
        <v>62</v>
      </c>
      <c r="B190" s="128" t="s">
        <v>309</v>
      </c>
      <c r="C190" s="51">
        <v>10000</v>
      </c>
      <c r="D190" s="102">
        <v>1</v>
      </c>
      <c r="E190" s="129" t="s">
        <v>24</v>
      </c>
      <c r="F190" s="53">
        <v>9300</v>
      </c>
      <c r="G190" s="54">
        <v>0.11</v>
      </c>
      <c r="H190" s="104">
        <f>+(C190*D190)*(F190+(F190*G190))</f>
        <v>103230000</v>
      </c>
      <c r="K190" s="56"/>
      <c r="L190" s="87"/>
      <c r="M190" s="68"/>
    </row>
    <row r="191" spans="1:13" ht="18" customHeight="1" x14ac:dyDescent="0.2">
      <c r="A191" s="130">
        <v>63</v>
      </c>
      <c r="B191" s="128" t="s">
        <v>310</v>
      </c>
      <c r="C191" s="51">
        <v>161174</v>
      </c>
      <c r="D191" s="102">
        <v>1</v>
      </c>
      <c r="E191" s="129" t="s">
        <v>24</v>
      </c>
      <c r="F191" s="53">
        <v>100</v>
      </c>
      <c r="G191" s="54">
        <v>0.11</v>
      </c>
      <c r="H191" s="104">
        <f>+(C191*D191)*(F191+(F191*G191))</f>
        <v>17890314</v>
      </c>
      <c r="K191" s="56"/>
      <c r="L191" s="87"/>
      <c r="M191" s="68"/>
    </row>
    <row r="192" spans="1:13" ht="18" customHeight="1" x14ac:dyDescent="0.2">
      <c r="A192" s="130">
        <v>64</v>
      </c>
      <c r="B192" s="128" t="s">
        <v>311</v>
      </c>
      <c r="C192" s="51">
        <v>400</v>
      </c>
      <c r="D192" s="102">
        <v>1</v>
      </c>
      <c r="E192" s="129" t="s">
        <v>24</v>
      </c>
      <c r="F192" s="53">
        <v>140500</v>
      </c>
      <c r="G192" s="54">
        <v>0.11</v>
      </c>
      <c r="H192" s="104">
        <f>+(C192*D192)*(F192+(F192*G192))</f>
        <v>62382000</v>
      </c>
      <c r="K192" s="56"/>
      <c r="L192" s="87"/>
      <c r="M192" s="68"/>
    </row>
    <row r="193" spans="1:13" ht="18" customHeight="1" x14ac:dyDescent="0.2">
      <c r="A193" s="130">
        <v>65</v>
      </c>
      <c r="B193" s="128" t="s">
        <v>312</v>
      </c>
      <c r="C193" s="51">
        <v>100000</v>
      </c>
      <c r="D193" s="102">
        <v>1</v>
      </c>
      <c r="E193" s="129" t="s">
        <v>24</v>
      </c>
      <c r="F193" s="53">
        <v>900</v>
      </c>
      <c r="G193" s="54">
        <v>0.11</v>
      </c>
      <c r="H193" s="104">
        <f>+(C193*D193)*(F193+(F193*G193))</f>
        <v>99900000</v>
      </c>
      <c r="K193" s="56"/>
      <c r="L193" s="87"/>
      <c r="M193" s="68"/>
    </row>
    <row r="194" spans="1:13" ht="18" customHeight="1" x14ac:dyDescent="0.2">
      <c r="A194" s="130">
        <v>66</v>
      </c>
      <c r="B194" s="128" t="s">
        <v>313</v>
      </c>
      <c r="C194" s="51">
        <v>50000</v>
      </c>
      <c r="D194" s="102">
        <v>1</v>
      </c>
      <c r="E194" s="129" t="s">
        <v>24</v>
      </c>
      <c r="F194" s="53">
        <v>850</v>
      </c>
      <c r="G194" s="54">
        <v>0.11</v>
      </c>
      <c r="H194" s="104">
        <f>+(C194*D194)*(F194+(F194*G194))</f>
        <v>47175000</v>
      </c>
      <c r="K194" s="56"/>
      <c r="L194" s="87"/>
      <c r="M194" s="68"/>
    </row>
    <row r="195" spans="1:13" ht="18" customHeight="1" x14ac:dyDescent="0.2">
      <c r="A195" s="130">
        <v>67</v>
      </c>
      <c r="B195" s="128" t="s">
        <v>314</v>
      </c>
      <c r="C195" s="51">
        <v>200000</v>
      </c>
      <c r="D195" s="102">
        <v>1</v>
      </c>
      <c r="E195" s="129" t="s">
        <v>24</v>
      </c>
      <c r="F195" s="53">
        <v>900</v>
      </c>
      <c r="G195" s="54">
        <v>0.11</v>
      </c>
      <c r="H195" s="104">
        <f>+(C195*D195)*(F195+(F195*G195))</f>
        <v>199800000</v>
      </c>
      <c r="K195" s="56"/>
      <c r="L195" s="87"/>
      <c r="M195" s="68"/>
    </row>
    <row r="196" spans="1:13" ht="18" customHeight="1" x14ac:dyDescent="0.2">
      <c r="A196" s="130">
        <v>68</v>
      </c>
      <c r="B196" s="128" t="s">
        <v>315</v>
      </c>
      <c r="C196" s="51">
        <v>423</v>
      </c>
      <c r="D196" s="102">
        <v>1</v>
      </c>
      <c r="E196" s="129" t="s">
        <v>24</v>
      </c>
      <c r="F196" s="53">
        <v>1225000</v>
      </c>
      <c r="G196" s="54">
        <v>0.11</v>
      </c>
      <c r="H196" s="104">
        <f>+(C196*D196)*(F196+(F196*G196))</f>
        <v>575174250</v>
      </c>
      <c r="K196" s="68"/>
      <c r="L196" s="87"/>
      <c r="M196" s="68"/>
    </row>
    <row r="197" spans="1:13" ht="18" customHeight="1" x14ac:dyDescent="0.2">
      <c r="A197" s="130">
        <v>69</v>
      </c>
      <c r="B197" s="128" t="s">
        <v>345</v>
      </c>
      <c r="C197" s="51">
        <v>200000</v>
      </c>
      <c r="D197" s="102">
        <v>1</v>
      </c>
      <c r="E197" s="129" t="s">
        <v>24</v>
      </c>
      <c r="F197" s="53">
        <v>375</v>
      </c>
      <c r="G197" s="54">
        <v>0.11</v>
      </c>
      <c r="H197" s="104">
        <f>+(C197*D197)*(F197+(F197*G197))</f>
        <v>83250000</v>
      </c>
      <c r="K197" s="56"/>
      <c r="L197" s="87"/>
      <c r="M197" s="68"/>
    </row>
    <row r="198" spans="1:13" ht="18" customHeight="1" x14ac:dyDescent="0.2">
      <c r="A198" s="130">
        <v>70</v>
      </c>
      <c r="B198" s="128" t="s">
        <v>346</v>
      </c>
      <c r="C198" s="51">
        <v>20000</v>
      </c>
      <c r="D198" s="102">
        <v>1</v>
      </c>
      <c r="E198" s="129" t="s">
        <v>24</v>
      </c>
      <c r="F198" s="53">
        <v>5350</v>
      </c>
      <c r="G198" s="54">
        <v>0.11</v>
      </c>
      <c r="H198" s="104">
        <f>+(C198*D198)*(F198+(F198*G198))</f>
        <v>118770000</v>
      </c>
      <c r="K198" s="56"/>
      <c r="L198" s="87"/>
      <c r="M198" s="68"/>
    </row>
    <row r="199" spans="1:13" ht="18" customHeight="1" x14ac:dyDescent="0.2">
      <c r="A199" s="130">
        <v>71</v>
      </c>
      <c r="B199" s="128" t="s">
        <v>341</v>
      </c>
      <c r="C199" s="51">
        <v>1000</v>
      </c>
      <c r="D199" s="102">
        <v>1</v>
      </c>
      <c r="E199" s="129" t="s">
        <v>24</v>
      </c>
      <c r="F199" s="53">
        <v>2625</v>
      </c>
      <c r="G199" s="54">
        <v>0.11</v>
      </c>
      <c r="H199" s="104">
        <f>+(C199*D199)*(F199+(F199*G199))</f>
        <v>2913750</v>
      </c>
      <c r="K199" s="56"/>
      <c r="L199" s="87"/>
      <c r="M199" s="68"/>
    </row>
    <row r="200" spans="1:13" ht="18" customHeight="1" x14ac:dyDescent="0.2">
      <c r="A200" s="130">
        <v>72</v>
      </c>
      <c r="B200" s="128" t="s">
        <v>316</v>
      </c>
      <c r="C200" s="51">
        <v>500000</v>
      </c>
      <c r="D200" s="102">
        <v>1</v>
      </c>
      <c r="E200" s="129" t="s">
        <v>24</v>
      </c>
      <c r="F200" s="53">
        <v>150</v>
      </c>
      <c r="G200" s="54">
        <v>0.11</v>
      </c>
      <c r="H200" s="104">
        <f>+(C200*D200)*(F200+(F200*G200))</f>
        <v>83250000</v>
      </c>
      <c r="K200" s="56"/>
      <c r="L200" s="87"/>
      <c r="M200" s="68"/>
    </row>
    <row r="201" spans="1:13" ht="18" customHeight="1" x14ac:dyDescent="0.2">
      <c r="A201" s="130">
        <v>73</v>
      </c>
      <c r="B201" s="128" t="s">
        <v>317</v>
      </c>
      <c r="C201" s="51">
        <v>800000</v>
      </c>
      <c r="D201" s="102">
        <v>1</v>
      </c>
      <c r="E201" s="129" t="s">
        <v>24</v>
      </c>
      <c r="F201" s="53">
        <v>225</v>
      </c>
      <c r="G201" s="54">
        <v>0.11</v>
      </c>
      <c r="H201" s="104">
        <f>+(C201*D201)*(F201+(F201*G201))</f>
        <v>199800000</v>
      </c>
      <c r="K201" s="56"/>
      <c r="L201" s="87"/>
      <c r="M201" s="68"/>
    </row>
    <row r="202" spans="1:13" ht="18" customHeight="1" x14ac:dyDescent="0.2">
      <c r="A202" s="130">
        <v>74</v>
      </c>
      <c r="B202" s="128" t="s">
        <v>217</v>
      </c>
      <c r="C202" s="51">
        <v>400000</v>
      </c>
      <c r="D202" s="102">
        <v>1</v>
      </c>
      <c r="E202" s="129" t="s">
        <v>24</v>
      </c>
      <c r="F202" s="53">
        <v>150</v>
      </c>
      <c r="G202" s="54">
        <v>0.11</v>
      </c>
      <c r="H202" s="104">
        <f>+(C202*D202)*(F202+(F202*G202))</f>
        <v>66600000</v>
      </c>
      <c r="K202" s="56"/>
      <c r="L202" s="87"/>
      <c r="M202" s="68"/>
    </row>
    <row r="203" spans="1:13" ht="18" customHeight="1" x14ac:dyDescent="0.2">
      <c r="A203" s="130">
        <v>75</v>
      </c>
      <c r="B203" s="128" t="s">
        <v>318</v>
      </c>
      <c r="C203" s="51">
        <v>200000</v>
      </c>
      <c r="D203" s="102">
        <v>1</v>
      </c>
      <c r="E203" s="129" t="s">
        <v>24</v>
      </c>
      <c r="F203" s="53">
        <v>250</v>
      </c>
      <c r="G203" s="54">
        <v>0.11</v>
      </c>
      <c r="H203" s="104">
        <f>+(C203*D203)*(F203+(F203*G203))</f>
        <v>55500000</v>
      </c>
      <c r="L203" s="87"/>
      <c r="M203" s="68"/>
    </row>
    <row r="204" spans="1:13" ht="18" customHeight="1" x14ac:dyDescent="0.2">
      <c r="A204" s="130">
        <v>76</v>
      </c>
      <c r="B204" s="128" t="s">
        <v>319</v>
      </c>
      <c r="C204" s="51">
        <v>25000</v>
      </c>
      <c r="D204" s="102">
        <v>1</v>
      </c>
      <c r="E204" s="129" t="s">
        <v>24</v>
      </c>
      <c r="F204" s="53">
        <v>3925</v>
      </c>
      <c r="G204" s="54">
        <v>0.11</v>
      </c>
      <c r="H204" s="104">
        <f>+(C204*D204)*(F204+(F204*G204))</f>
        <v>108918750</v>
      </c>
      <c r="K204" s="56"/>
      <c r="L204" s="87"/>
      <c r="M204" s="68"/>
    </row>
    <row r="205" spans="1:13" ht="18" customHeight="1" x14ac:dyDescent="0.2">
      <c r="A205" s="130">
        <v>77</v>
      </c>
      <c r="B205" s="128" t="s">
        <v>338</v>
      </c>
      <c r="C205" s="51">
        <v>100000</v>
      </c>
      <c r="D205" s="102">
        <v>1</v>
      </c>
      <c r="E205" s="129" t="s">
        <v>24</v>
      </c>
      <c r="F205" s="53">
        <v>1250</v>
      </c>
      <c r="G205" s="54">
        <v>0.11</v>
      </c>
      <c r="H205" s="104">
        <f>+(C205*D205)*(F205+(F205*G205))</f>
        <v>138750000</v>
      </c>
      <c r="K205" s="56"/>
      <c r="L205" s="87"/>
      <c r="M205" s="68"/>
    </row>
    <row r="206" spans="1:13" ht="18" customHeight="1" x14ac:dyDescent="0.2">
      <c r="A206" s="130">
        <v>78</v>
      </c>
      <c r="B206" s="128" t="s">
        <v>29</v>
      </c>
      <c r="C206" s="51">
        <v>20000</v>
      </c>
      <c r="D206" s="102">
        <v>1</v>
      </c>
      <c r="E206" s="129" t="s">
        <v>24</v>
      </c>
      <c r="F206" s="53">
        <v>1875</v>
      </c>
      <c r="G206" s="54">
        <v>0.11</v>
      </c>
      <c r="H206" s="104">
        <f>+(C206*D206)*(F206+(F206*G206))</f>
        <v>41625000</v>
      </c>
      <c r="K206" s="56"/>
      <c r="L206" s="87"/>
      <c r="M206" s="68"/>
    </row>
    <row r="207" spans="1:13" ht="18" customHeight="1" x14ac:dyDescent="0.2">
      <c r="A207" s="130">
        <v>79</v>
      </c>
      <c r="B207" s="128" t="s">
        <v>321</v>
      </c>
      <c r="C207" s="51">
        <v>3000</v>
      </c>
      <c r="D207" s="102">
        <v>1</v>
      </c>
      <c r="E207" s="129" t="s">
        <v>24</v>
      </c>
      <c r="F207" s="53">
        <v>7125</v>
      </c>
      <c r="G207" s="54">
        <v>0.11</v>
      </c>
      <c r="H207" s="104">
        <f>+(C207*D207)*(F207+(F207*G207))</f>
        <v>23726250</v>
      </c>
      <c r="L207" s="87"/>
      <c r="M207" s="68"/>
    </row>
    <row r="208" spans="1:13" ht="18" customHeight="1" x14ac:dyDescent="0.2">
      <c r="A208" s="130">
        <v>80</v>
      </c>
      <c r="B208" s="128" t="s">
        <v>320</v>
      </c>
      <c r="C208" s="51">
        <v>500000</v>
      </c>
      <c r="D208" s="102">
        <v>1</v>
      </c>
      <c r="E208" s="129" t="s">
        <v>24</v>
      </c>
      <c r="F208" s="53">
        <v>650</v>
      </c>
      <c r="G208" s="54">
        <v>0.11</v>
      </c>
      <c r="H208" s="104">
        <f>+(C208*D208)*(F208+(F208*G208))</f>
        <v>360750000</v>
      </c>
      <c r="K208" s="56"/>
      <c r="L208" s="87"/>
      <c r="M208" s="68"/>
    </row>
    <row r="209" spans="1:13" ht="18" customHeight="1" x14ac:dyDescent="0.2">
      <c r="A209" s="130">
        <v>81</v>
      </c>
      <c r="B209" s="128" t="s">
        <v>322</v>
      </c>
      <c r="C209" s="51">
        <v>5000000</v>
      </c>
      <c r="D209" s="102">
        <v>1</v>
      </c>
      <c r="E209" s="129" t="s">
        <v>24</v>
      </c>
      <c r="F209" s="53">
        <v>50</v>
      </c>
      <c r="G209" s="54">
        <v>0.11</v>
      </c>
      <c r="H209" s="104">
        <f>+(C209*D209)*(F209+(F209*G209))</f>
        <v>277500000</v>
      </c>
      <c r="L209" s="87"/>
      <c r="M209" s="68"/>
    </row>
    <row r="210" spans="1:13" ht="18" customHeight="1" x14ac:dyDescent="0.2">
      <c r="A210" s="130">
        <v>82</v>
      </c>
      <c r="B210" s="128" t="s">
        <v>33</v>
      </c>
      <c r="C210" s="51">
        <v>300</v>
      </c>
      <c r="D210" s="52">
        <v>1</v>
      </c>
      <c r="E210" s="129" t="s">
        <v>24</v>
      </c>
      <c r="F210" s="53">
        <v>7775</v>
      </c>
      <c r="G210" s="54">
        <v>0.11</v>
      </c>
      <c r="H210" s="104">
        <f>+(C210*D210)*(F210+(F210*G210))</f>
        <v>2589075</v>
      </c>
      <c r="K210" s="56"/>
      <c r="L210" s="87"/>
      <c r="M210" s="68"/>
    </row>
    <row r="211" spans="1:13" ht="18" customHeight="1" x14ac:dyDescent="0.2">
      <c r="A211" s="130">
        <v>83</v>
      </c>
      <c r="B211" s="128" t="s">
        <v>224</v>
      </c>
      <c r="C211" s="51">
        <v>3000</v>
      </c>
      <c r="D211" s="102">
        <v>1</v>
      </c>
      <c r="E211" s="129" t="s">
        <v>24</v>
      </c>
      <c r="F211" s="53">
        <v>325</v>
      </c>
      <c r="G211" s="54">
        <v>0.11</v>
      </c>
      <c r="H211" s="104">
        <f>+(C211*D211)*(F211+(F211*G211))</f>
        <v>1082250</v>
      </c>
      <c r="K211" s="56"/>
      <c r="L211" s="87"/>
      <c r="M211" s="68"/>
    </row>
    <row r="212" spans="1:13" ht="18" customHeight="1" x14ac:dyDescent="0.2">
      <c r="A212" s="130">
        <v>84</v>
      </c>
      <c r="B212" s="128" t="s">
        <v>323</v>
      </c>
      <c r="C212" s="51">
        <v>20000</v>
      </c>
      <c r="D212" s="102">
        <v>1</v>
      </c>
      <c r="E212" s="129" t="s">
        <v>24</v>
      </c>
      <c r="F212" s="53">
        <v>1950</v>
      </c>
      <c r="G212" s="54">
        <v>0.11</v>
      </c>
      <c r="H212" s="104">
        <f>+(C212*D212)*(F212+(F212*G212))</f>
        <v>43290000</v>
      </c>
      <c r="K212" s="56"/>
      <c r="L212" s="87"/>
      <c r="M212" s="68"/>
    </row>
    <row r="213" spans="1:13" ht="18" customHeight="1" x14ac:dyDescent="0.2">
      <c r="A213" s="130">
        <v>85</v>
      </c>
      <c r="B213" s="128" t="s">
        <v>324</v>
      </c>
      <c r="C213" s="51">
        <v>20000</v>
      </c>
      <c r="D213" s="102">
        <v>1</v>
      </c>
      <c r="E213" s="129" t="s">
        <v>24</v>
      </c>
      <c r="F213" s="53">
        <v>1850</v>
      </c>
      <c r="G213" s="54">
        <v>0.11</v>
      </c>
      <c r="H213" s="104">
        <f>+(C213*D213)*(F213+(F213*G213))</f>
        <v>41070000</v>
      </c>
      <c r="K213" s="56"/>
      <c r="L213" s="87"/>
      <c r="M213" s="68"/>
    </row>
    <row r="214" spans="1:13" ht="18" customHeight="1" x14ac:dyDescent="0.2">
      <c r="A214" s="130">
        <v>86</v>
      </c>
      <c r="B214" s="128" t="s">
        <v>225</v>
      </c>
      <c r="C214" s="51">
        <v>20000</v>
      </c>
      <c r="D214" s="102">
        <v>1</v>
      </c>
      <c r="E214" s="129" t="s">
        <v>24</v>
      </c>
      <c r="F214" s="53">
        <v>7675</v>
      </c>
      <c r="G214" s="54">
        <v>0.11</v>
      </c>
      <c r="H214" s="104">
        <f>+(C214*D214)*(F214+(F214*G214))</f>
        <v>170385000</v>
      </c>
      <c r="K214" s="56"/>
      <c r="L214" s="87"/>
      <c r="M214" s="68"/>
    </row>
    <row r="215" spans="1:13" ht="18" customHeight="1" x14ac:dyDescent="0.2">
      <c r="A215" s="130">
        <v>87</v>
      </c>
      <c r="B215" s="128" t="s">
        <v>31</v>
      </c>
      <c r="C215" s="51">
        <v>20000</v>
      </c>
      <c r="D215" s="52">
        <v>1</v>
      </c>
      <c r="E215" s="129" t="s">
        <v>24</v>
      </c>
      <c r="F215" s="53">
        <v>900</v>
      </c>
      <c r="G215" s="54">
        <v>0.11</v>
      </c>
      <c r="H215" s="104">
        <f>+(C215*D215)*(F215+(F215*G215))</f>
        <v>19980000</v>
      </c>
      <c r="L215" s="87"/>
      <c r="M215" s="68"/>
    </row>
    <row r="216" spans="1:13" ht="18" customHeight="1" x14ac:dyDescent="0.2">
      <c r="A216" s="130">
        <v>88</v>
      </c>
      <c r="B216" s="128" t="s">
        <v>226</v>
      </c>
      <c r="C216" s="51">
        <v>800</v>
      </c>
      <c r="D216" s="102">
        <v>1</v>
      </c>
      <c r="E216" s="129" t="s">
        <v>24</v>
      </c>
      <c r="F216" s="53">
        <v>59875</v>
      </c>
      <c r="G216" s="54">
        <v>0.11</v>
      </c>
      <c r="H216" s="104">
        <f>+(C216*D216)*(F216+(F216*G216))</f>
        <v>53169000</v>
      </c>
      <c r="K216" s="56"/>
      <c r="L216" s="87"/>
      <c r="M216" s="68"/>
    </row>
    <row r="217" spans="1:13" ht="18" customHeight="1" x14ac:dyDescent="0.2">
      <c r="A217" s="130">
        <v>89</v>
      </c>
      <c r="B217" s="128" t="s">
        <v>325</v>
      </c>
      <c r="C217" s="51">
        <v>3000</v>
      </c>
      <c r="D217" s="102">
        <v>1</v>
      </c>
      <c r="E217" s="129" t="s">
        <v>24</v>
      </c>
      <c r="F217" s="53">
        <v>3300</v>
      </c>
      <c r="G217" s="54">
        <v>0.11</v>
      </c>
      <c r="H217" s="104">
        <f>+(C217*D217)*(F217+(F217*G217))</f>
        <v>10989000</v>
      </c>
      <c r="L217" s="87"/>
      <c r="M217" s="68"/>
    </row>
    <row r="218" spans="1:13" ht="18" customHeight="1" x14ac:dyDescent="0.2">
      <c r="A218" s="130">
        <v>90</v>
      </c>
      <c r="B218" s="128" t="s">
        <v>326</v>
      </c>
      <c r="C218" s="51">
        <v>200000</v>
      </c>
      <c r="D218" s="102">
        <v>1</v>
      </c>
      <c r="E218" s="129" t="s">
        <v>24</v>
      </c>
      <c r="F218" s="53">
        <v>250</v>
      </c>
      <c r="G218" s="54">
        <v>0.11</v>
      </c>
      <c r="H218" s="104">
        <f>+(C218*D218)*(F218+(F218*G218))</f>
        <v>55500000</v>
      </c>
      <c r="L218" s="87"/>
      <c r="M218" s="68"/>
    </row>
    <row r="219" spans="1:13" ht="18" customHeight="1" x14ac:dyDescent="0.2">
      <c r="A219" s="130">
        <v>91</v>
      </c>
      <c r="B219" s="81" t="s">
        <v>209</v>
      </c>
      <c r="C219" s="102">
        <v>20000</v>
      </c>
      <c r="D219" s="102">
        <v>1</v>
      </c>
      <c r="E219" s="129" t="s">
        <v>24</v>
      </c>
      <c r="F219" s="108">
        <v>200</v>
      </c>
      <c r="G219" s="54">
        <v>0.11</v>
      </c>
      <c r="H219" s="104">
        <f>+(C219*D219)*(F219+(F219*G219))</f>
        <v>4440000</v>
      </c>
      <c r="K219" s="56"/>
      <c r="L219" s="87"/>
      <c r="M219" s="68"/>
    </row>
    <row r="220" spans="1:13" ht="18" customHeight="1" x14ac:dyDescent="0.2">
      <c r="A220" s="130">
        <v>92</v>
      </c>
      <c r="B220" s="138" t="s">
        <v>204</v>
      </c>
      <c r="C220" s="51">
        <v>1025</v>
      </c>
      <c r="D220" s="102">
        <v>1</v>
      </c>
      <c r="E220" s="129" t="s">
        <v>24</v>
      </c>
      <c r="F220" s="53">
        <v>1800</v>
      </c>
      <c r="G220" s="54">
        <v>0.11</v>
      </c>
      <c r="H220" s="104">
        <f>+(C220*D220)*(F220+(F220*G220))</f>
        <v>2047950</v>
      </c>
      <c r="L220" s="87"/>
      <c r="M220" s="68"/>
    </row>
    <row r="221" spans="1:13" ht="18" customHeight="1" x14ac:dyDescent="0.2">
      <c r="A221" s="130">
        <v>93</v>
      </c>
      <c r="B221" s="128" t="s">
        <v>327</v>
      </c>
      <c r="C221" s="51">
        <v>20000</v>
      </c>
      <c r="D221" s="102">
        <v>1</v>
      </c>
      <c r="E221" s="129" t="s">
        <v>24</v>
      </c>
      <c r="F221" s="53">
        <v>3900</v>
      </c>
      <c r="G221" s="54">
        <v>0.11</v>
      </c>
      <c r="H221" s="104">
        <f>+(C221*D221)*(F221+(F221*G221))</f>
        <v>86580000</v>
      </c>
      <c r="K221" s="56"/>
      <c r="L221" s="87"/>
      <c r="M221" s="68"/>
    </row>
    <row r="222" spans="1:13" ht="18" customHeight="1" x14ac:dyDescent="0.2">
      <c r="A222" s="130">
        <v>94</v>
      </c>
      <c r="B222" s="128" t="s">
        <v>210</v>
      </c>
      <c r="C222" s="51">
        <v>30000</v>
      </c>
      <c r="D222" s="102">
        <v>1</v>
      </c>
      <c r="E222" s="129" t="s">
        <v>24</v>
      </c>
      <c r="F222" s="53">
        <v>3700</v>
      </c>
      <c r="G222" s="54">
        <v>0.11</v>
      </c>
      <c r="H222" s="104">
        <f>+(C222*D222)*(F222+(F222*G222))</f>
        <v>123210000</v>
      </c>
      <c r="K222" s="56"/>
      <c r="L222" s="87"/>
      <c r="M222" s="68"/>
    </row>
    <row r="223" spans="1:13" ht="18" customHeight="1" x14ac:dyDescent="0.2">
      <c r="A223" s="130">
        <v>95</v>
      </c>
      <c r="B223" s="128" t="s">
        <v>211</v>
      </c>
      <c r="C223" s="51">
        <v>800000</v>
      </c>
      <c r="D223" s="55">
        <v>1.5</v>
      </c>
      <c r="E223" s="129" t="s">
        <v>24</v>
      </c>
      <c r="F223" s="53">
        <v>100</v>
      </c>
      <c r="G223" s="54">
        <v>0.11</v>
      </c>
      <c r="H223" s="104">
        <f>+(C223*D223)*(F223+(F223*G223))</f>
        <v>133200000</v>
      </c>
      <c r="K223" s="56"/>
      <c r="L223" s="87"/>
      <c r="M223" s="68"/>
    </row>
    <row r="224" spans="1:13" ht="18" customHeight="1" x14ac:dyDescent="0.2">
      <c r="A224" s="130">
        <v>96</v>
      </c>
      <c r="B224" s="128" t="s">
        <v>328</v>
      </c>
      <c r="C224" s="51">
        <v>400</v>
      </c>
      <c r="D224" s="102">
        <v>1</v>
      </c>
      <c r="E224" s="129" t="s">
        <v>24</v>
      </c>
      <c r="F224" s="53">
        <v>255300</v>
      </c>
      <c r="G224" s="54">
        <v>0.11</v>
      </c>
      <c r="H224" s="104">
        <f>+(C224*D224)*(F224+(F224*G224))</f>
        <v>113353200</v>
      </c>
      <c r="K224" s="56"/>
      <c r="L224" s="87"/>
      <c r="M224" s="68"/>
    </row>
    <row r="225" spans="1:13" ht="18" customHeight="1" x14ac:dyDescent="0.2">
      <c r="A225" s="130">
        <v>97</v>
      </c>
      <c r="B225" s="128" t="s">
        <v>329</v>
      </c>
      <c r="C225" s="51">
        <v>200000</v>
      </c>
      <c r="D225" s="102">
        <v>1</v>
      </c>
      <c r="E225" s="129" t="s">
        <v>24</v>
      </c>
      <c r="F225" s="53">
        <v>125</v>
      </c>
      <c r="G225" s="54">
        <v>0.11</v>
      </c>
      <c r="H225" s="104">
        <f>+(C225*D225)*(F225+(F225*G225))</f>
        <v>27750000</v>
      </c>
      <c r="K225" s="56"/>
      <c r="L225" s="87"/>
      <c r="M225" s="68"/>
    </row>
    <row r="226" spans="1:13" ht="18" customHeight="1" x14ac:dyDescent="0.2">
      <c r="A226" s="130">
        <v>98</v>
      </c>
      <c r="B226" s="128" t="s">
        <v>330</v>
      </c>
      <c r="C226" s="51">
        <v>200000</v>
      </c>
      <c r="D226" s="102">
        <v>1</v>
      </c>
      <c r="E226" s="129" t="s">
        <v>24</v>
      </c>
      <c r="F226" s="53">
        <v>25</v>
      </c>
      <c r="G226" s="54">
        <v>0.11</v>
      </c>
      <c r="H226" s="104">
        <f>+(C226*D226)*(F226+(F226*G226))</f>
        <v>5550000</v>
      </c>
      <c r="L226" s="87"/>
      <c r="M226" s="68"/>
    </row>
    <row r="227" spans="1:13" ht="18" customHeight="1" x14ac:dyDescent="0.2">
      <c r="A227" s="130">
        <v>99</v>
      </c>
      <c r="B227" s="128" t="s">
        <v>331</v>
      </c>
      <c r="C227" s="51">
        <v>200000</v>
      </c>
      <c r="D227" s="102">
        <v>1</v>
      </c>
      <c r="E227" s="129" t="s">
        <v>24</v>
      </c>
      <c r="F227" s="53">
        <v>225</v>
      </c>
      <c r="G227" s="54">
        <v>0.11</v>
      </c>
      <c r="H227" s="104">
        <f>+(C227*D227)*(F227+(F227*G227))</f>
        <v>49950000</v>
      </c>
      <c r="K227" s="56"/>
      <c r="L227" s="87"/>
      <c r="M227" s="68"/>
    </row>
    <row r="228" spans="1:13" ht="18" customHeight="1" x14ac:dyDescent="0.2">
      <c r="A228" s="130">
        <v>100</v>
      </c>
      <c r="B228" s="128" t="s">
        <v>332</v>
      </c>
      <c r="C228" s="51">
        <v>10000</v>
      </c>
      <c r="D228" s="102">
        <v>1</v>
      </c>
      <c r="E228" s="129" t="s">
        <v>24</v>
      </c>
      <c r="F228" s="53">
        <v>8925</v>
      </c>
      <c r="G228" s="54">
        <v>0.11</v>
      </c>
      <c r="H228" s="104">
        <f>+(C228*D228)*(F228+(F228*G228))</f>
        <v>99067500</v>
      </c>
      <c r="K228" s="56"/>
      <c r="L228" s="87"/>
      <c r="M228" s="68"/>
    </row>
    <row r="229" spans="1:13" ht="18" customHeight="1" x14ac:dyDescent="0.2">
      <c r="A229" s="130">
        <v>101</v>
      </c>
      <c r="B229" s="128" t="s">
        <v>227</v>
      </c>
      <c r="C229" s="51">
        <v>3000</v>
      </c>
      <c r="D229" s="102">
        <v>1</v>
      </c>
      <c r="E229" s="129" t="s">
        <v>24</v>
      </c>
      <c r="F229" s="53">
        <v>4450</v>
      </c>
      <c r="G229" s="54">
        <v>0.11</v>
      </c>
      <c r="H229" s="104">
        <f>+(C229*D229)*(F229+(F229*G229))</f>
        <v>14818500</v>
      </c>
      <c r="L229" s="87"/>
      <c r="M229" s="68"/>
    </row>
    <row r="230" spans="1:13" ht="18" customHeight="1" x14ac:dyDescent="0.2">
      <c r="A230" s="130">
        <v>102</v>
      </c>
      <c r="B230" s="128" t="s">
        <v>333</v>
      </c>
      <c r="C230" s="51">
        <v>100000</v>
      </c>
      <c r="D230" s="102">
        <v>1</v>
      </c>
      <c r="E230" s="129" t="s">
        <v>24</v>
      </c>
      <c r="F230" s="53">
        <v>150</v>
      </c>
      <c r="G230" s="54">
        <v>0.11</v>
      </c>
      <c r="H230" s="104">
        <f>+(C230*D230)*(F230+(F230*G230))</f>
        <v>16650000</v>
      </c>
      <c r="K230" s="56"/>
      <c r="L230" s="87"/>
      <c r="M230" s="68"/>
    </row>
    <row r="231" spans="1:13" ht="18" customHeight="1" x14ac:dyDescent="0.2">
      <c r="A231" s="130">
        <v>103</v>
      </c>
      <c r="B231" s="128" t="s">
        <v>334</v>
      </c>
      <c r="C231" s="51">
        <v>20000</v>
      </c>
      <c r="D231" s="102">
        <v>1</v>
      </c>
      <c r="E231" s="129" t="s">
        <v>24</v>
      </c>
      <c r="F231" s="53">
        <v>4275</v>
      </c>
      <c r="G231" s="54">
        <v>0.11</v>
      </c>
      <c r="H231" s="104">
        <f>+(C231*D231)*(F231+(F231*G231))</f>
        <v>94905000</v>
      </c>
      <c r="K231" s="56"/>
      <c r="L231" s="87"/>
    </row>
    <row r="232" spans="1:13" ht="18" customHeight="1" x14ac:dyDescent="0.2">
      <c r="A232" s="130">
        <v>104</v>
      </c>
      <c r="B232" s="128" t="s">
        <v>100</v>
      </c>
      <c r="C232" s="51">
        <v>10000</v>
      </c>
      <c r="D232" s="102">
        <v>1</v>
      </c>
      <c r="E232" s="129" t="s">
        <v>24</v>
      </c>
      <c r="F232" s="53">
        <v>900</v>
      </c>
      <c r="G232" s="54">
        <v>0.11</v>
      </c>
      <c r="H232" s="104">
        <f>+(C232*D232)*(F232+(F232*G232))</f>
        <v>9990000</v>
      </c>
      <c r="L232" s="87"/>
    </row>
    <row r="233" spans="1:13" ht="18" customHeight="1" x14ac:dyDescent="0.2">
      <c r="A233" s="130">
        <v>105</v>
      </c>
      <c r="B233" s="128" t="s">
        <v>337</v>
      </c>
      <c r="C233" s="51">
        <v>200000</v>
      </c>
      <c r="D233" s="102">
        <v>1</v>
      </c>
      <c r="E233" s="129" t="s">
        <v>24</v>
      </c>
      <c r="F233" s="53">
        <v>700</v>
      </c>
      <c r="G233" s="54">
        <v>0.11</v>
      </c>
      <c r="H233" s="104">
        <f>+(C233*D233)*(F233+(F233*G233))</f>
        <v>155400000</v>
      </c>
      <c r="K233" s="56"/>
      <c r="L233" s="87"/>
    </row>
    <row r="234" spans="1:13" ht="18" customHeight="1" x14ac:dyDescent="0.2">
      <c r="A234" s="130">
        <v>106</v>
      </c>
      <c r="B234" s="128" t="s">
        <v>347</v>
      </c>
      <c r="C234" s="51">
        <v>50</v>
      </c>
      <c r="D234" s="102">
        <v>1</v>
      </c>
      <c r="E234" s="129" t="s">
        <v>24</v>
      </c>
      <c r="F234" s="53">
        <v>1600000</v>
      </c>
      <c r="G234" s="54">
        <v>0.11</v>
      </c>
      <c r="H234" s="104">
        <f>+(C234*D234)*(F234+(F234*G234))</f>
        <v>88800000</v>
      </c>
      <c r="K234" s="56"/>
      <c r="L234" s="87"/>
    </row>
    <row r="235" spans="1:13" ht="18" customHeight="1" x14ac:dyDescent="0.2">
      <c r="A235" s="130">
        <v>107</v>
      </c>
      <c r="B235" s="128" t="s">
        <v>335</v>
      </c>
      <c r="C235" s="51">
        <v>500</v>
      </c>
      <c r="D235" s="102">
        <v>1</v>
      </c>
      <c r="E235" s="129" t="s">
        <v>24</v>
      </c>
      <c r="F235" s="53">
        <v>250000</v>
      </c>
      <c r="G235" s="54">
        <v>0.11</v>
      </c>
      <c r="H235" s="104">
        <f>+(C235*D235)*(F235+(F235*G235))</f>
        <v>138750000</v>
      </c>
      <c r="K235" s="56"/>
      <c r="L235" s="87"/>
    </row>
    <row r="236" spans="1:13" ht="18" customHeight="1" x14ac:dyDescent="0.2">
      <c r="A236" s="130">
        <v>108</v>
      </c>
      <c r="B236" s="128" t="s">
        <v>212</v>
      </c>
      <c r="C236" s="51">
        <v>5000</v>
      </c>
      <c r="D236" s="102">
        <v>1</v>
      </c>
      <c r="E236" s="129" t="s">
        <v>24</v>
      </c>
      <c r="F236" s="53">
        <v>70</v>
      </c>
      <c r="G236" s="54">
        <v>0.11</v>
      </c>
      <c r="H236" s="104">
        <f>+(C236*D236)*(F236+(F236*G236))</f>
        <v>388500</v>
      </c>
      <c r="K236" s="56"/>
      <c r="L236" s="87"/>
    </row>
    <row r="237" spans="1:13" ht="18" customHeight="1" x14ac:dyDescent="0.2">
      <c r="A237" s="130">
        <v>109</v>
      </c>
      <c r="B237" s="128" t="s">
        <v>336</v>
      </c>
      <c r="C237" s="51">
        <v>200000</v>
      </c>
      <c r="D237" s="102">
        <v>1</v>
      </c>
      <c r="E237" s="129" t="s">
        <v>24</v>
      </c>
      <c r="F237" s="53">
        <v>250</v>
      </c>
      <c r="G237" s="54">
        <v>0.11</v>
      </c>
      <c r="H237" s="104">
        <f>+(C237*D237)*(F237+(F237*G237))</f>
        <v>55500000</v>
      </c>
      <c r="K237" s="56"/>
      <c r="L237" s="87"/>
    </row>
    <row r="238" spans="1:13" ht="18" customHeight="1" x14ac:dyDescent="0.2">
      <c r="A238" s="130">
        <v>110</v>
      </c>
      <c r="B238" s="128" t="s">
        <v>213</v>
      </c>
      <c r="C238" s="51">
        <v>1000</v>
      </c>
      <c r="D238" s="102">
        <v>1</v>
      </c>
      <c r="E238" s="129" t="s">
        <v>24</v>
      </c>
      <c r="F238" s="53">
        <v>6600</v>
      </c>
      <c r="G238" s="54">
        <v>0.11</v>
      </c>
      <c r="H238" s="104">
        <f>+(C238*D238)*(F238+(F238*G238))</f>
        <v>7326000</v>
      </c>
      <c r="K238" s="56"/>
      <c r="L238" s="87"/>
    </row>
    <row r="239" spans="1:13" ht="18" customHeight="1" x14ac:dyDescent="0.2">
      <c r="A239" s="130">
        <v>111</v>
      </c>
      <c r="B239" s="128" t="s">
        <v>339</v>
      </c>
      <c r="C239" s="51">
        <v>200000</v>
      </c>
      <c r="D239" s="102">
        <v>1</v>
      </c>
      <c r="E239" s="129" t="s">
        <v>24</v>
      </c>
      <c r="F239" s="53">
        <v>275</v>
      </c>
      <c r="G239" s="54">
        <v>0.11</v>
      </c>
      <c r="H239" s="104">
        <f>+(C239*D239)*(F239+(F239*G239))</f>
        <v>61050000</v>
      </c>
      <c r="K239" s="56"/>
      <c r="L239" s="87"/>
    </row>
    <row r="240" spans="1:13" ht="18" customHeight="1" x14ac:dyDescent="0.2">
      <c r="A240" s="130">
        <v>112</v>
      </c>
      <c r="B240" s="128" t="s">
        <v>340</v>
      </c>
      <c r="C240" s="51">
        <v>300000</v>
      </c>
      <c r="D240" s="102">
        <v>1</v>
      </c>
      <c r="E240" s="129" t="s">
        <v>24</v>
      </c>
      <c r="F240" s="53">
        <v>75</v>
      </c>
      <c r="G240" s="54">
        <v>0.11</v>
      </c>
      <c r="H240" s="104">
        <f>+(C240*D240)*(F240+(F240*G240))</f>
        <v>24975000</v>
      </c>
      <c r="K240" s="56"/>
      <c r="L240" s="87"/>
    </row>
    <row r="241" spans="1:16" ht="18" customHeight="1" x14ac:dyDescent="0.2">
      <c r="A241" s="130">
        <v>113</v>
      </c>
      <c r="B241" s="128" t="s">
        <v>228</v>
      </c>
      <c r="C241" s="51">
        <v>2000</v>
      </c>
      <c r="D241" s="102">
        <v>1</v>
      </c>
      <c r="E241" s="129" t="s">
        <v>24</v>
      </c>
      <c r="F241" s="53">
        <v>75</v>
      </c>
      <c r="G241" s="54">
        <v>0.11</v>
      </c>
      <c r="H241" s="104">
        <f>+(C241*D241)*(F241+(F241*G241))</f>
        <v>166500</v>
      </c>
      <c r="K241" s="56"/>
      <c r="L241" s="87"/>
    </row>
    <row r="242" spans="1:16" ht="29.25" customHeight="1" x14ac:dyDescent="0.2">
      <c r="A242" s="46" t="s">
        <v>163</v>
      </c>
      <c r="B242" s="162" t="s">
        <v>129</v>
      </c>
      <c r="C242" s="163"/>
      <c r="D242" s="163"/>
      <c r="E242" s="163"/>
      <c r="F242" s="163"/>
      <c r="G242" s="164"/>
      <c r="H242" s="47">
        <f>+H243+H254</f>
        <v>220379180</v>
      </c>
      <c r="K242" s="56"/>
    </row>
    <row r="243" spans="1:16" ht="18" customHeight="1" x14ac:dyDescent="0.2">
      <c r="A243" s="24" t="s">
        <v>164</v>
      </c>
      <c r="B243" s="150" t="s">
        <v>130</v>
      </c>
      <c r="C243" s="151"/>
      <c r="D243" s="151"/>
      <c r="E243" s="151"/>
      <c r="F243" s="151"/>
      <c r="G243" s="152"/>
      <c r="H243" s="31">
        <f>+H244+H251</f>
        <v>72800000</v>
      </c>
      <c r="K243" s="56"/>
    </row>
    <row r="244" spans="1:16" ht="18" customHeight="1" x14ac:dyDescent="0.2">
      <c r="A244" s="32" t="s">
        <v>165</v>
      </c>
      <c r="B244" s="153" t="s">
        <v>6</v>
      </c>
      <c r="C244" s="154"/>
      <c r="D244" s="154"/>
      <c r="E244" s="154"/>
      <c r="F244" s="154"/>
      <c r="G244" s="155"/>
      <c r="H244" s="39">
        <f>+H245</f>
        <v>22800000</v>
      </c>
      <c r="K244" s="56"/>
    </row>
    <row r="245" spans="1:16" ht="18" customHeight="1" x14ac:dyDescent="0.2">
      <c r="A245" s="80"/>
      <c r="B245" s="156" t="s">
        <v>7</v>
      </c>
      <c r="C245" s="157"/>
      <c r="D245" s="157"/>
      <c r="E245" s="157"/>
      <c r="F245" s="157"/>
      <c r="G245" s="158"/>
      <c r="H245" s="40">
        <f>+H246</f>
        <v>22800000</v>
      </c>
      <c r="K245" s="56"/>
    </row>
    <row r="246" spans="1:16" ht="23.25" customHeight="1" x14ac:dyDescent="0.2">
      <c r="A246" s="130">
        <v>1</v>
      </c>
      <c r="B246" s="81" t="s">
        <v>9</v>
      </c>
      <c r="C246" s="131">
        <v>1</v>
      </c>
      <c r="D246" s="131">
        <v>12</v>
      </c>
      <c r="E246" s="83" t="s">
        <v>13</v>
      </c>
      <c r="F246" s="108">
        <v>1900000</v>
      </c>
      <c r="G246" s="103">
        <v>0</v>
      </c>
      <c r="H246" s="104">
        <f t="shared" ref="H246:H250" si="7">+(C246*D246)*(F246+(F246*G246))</f>
        <v>22800000</v>
      </c>
      <c r="K246" s="56"/>
      <c r="L246" s="109"/>
      <c r="P246" s="109"/>
    </row>
    <row r="247" spans="1:16" ht="23.25" customHeight="1" x14ac:dyDescent="0.2">
      <c r="A247" s="130">
        <v>1</v>
      </c>
      <c r="B247" s="81" t="s">
        <v>8</v>
      </c>
      <c r="C247" s="131">
        <v>2</v>
      </c>
      <c r="D247" s="131">
        <v>12</v>
      </c>
      <c r="E247" s="83" t="s">
        <v>13</v>
      </c>
      <c r="F247" s="108">
        <v>2500000</v>
      </c>
      <c r="G247" s="103">
        <v>0</v>
      </c>
      <c r="H247" s="104">
        <f t="shared" si="7"/>
        <v>60000000</v>
      </c>
      <c r="K247" s="56"/>
      <c r="L247" s="87"/>
    </row>
    <row r="248" spans="1:16" ht="23.25" customHeight="1" x14ac:dyDescent="0.2">
      <c r="A248" s="130">
        <v>1</v>
      </c>
      <c r="B248" s="81" t="s">
        <v>10</v>
      </c>
      <c r="C248" s="131">
        <v>3</v>
      </c>
      <c r="D248" s="131">
        <v>12</v>
      </c>
      <c r="E248" s="83" t="s">
        <v>13</v>
      </c>
      <c r="F248" s="108">
        <v>206471</v>
      </c>
      <c r="G248" s="103">
        <v>0</v>
      </c>
      <c r="H248" s="104">
        <f t="shared" si="7"/>
        <v>7432956</v>
      </c>
      <c r="K248" s="56"/>
    </row>
    <row r="249" spans="1:16" ht="23.25" customHeight="1" x14ac:dyDescent="0.2">
      <c r="A249" s="130">
        <v>1</v>
      </c>
      <c r="B249" s="81" t="s">
        <v>11</v>
      </c>
      <c r="C249" s="131">
        <v>3</v>
      </c>
      <c r="D249" s="131">
        <v>12</v>
      </c>
      <c r="E249" s="83" t="s">
        <v>13</v>
      </c>
      <c r="F249" s="108">
        <v>6000</v>
      </c>
      <c r="G249" s="103">
        <v>0</v>
      </c>
      <c r="H249" s="104">
        <f t="shared" si="7"/>
        <v>216000</v>
      </c>
      <c r="K249" s="56"/>
      <c r="M249" s="68"/>
      <c r="N249" s="68"/>
    </row>
    <row r="250" spans="1:16" ht="23.25" customHeight="1" x14ac:dyDescent="0.2">
      <c r="A250" s="130">
        <v>1</v>
      </c>
      <c r="B250" s="81" t="s">
        <v>12</v>
      </c>
      <c r="C250" s="131">
        <v>3</v>
      </c>
      <c r="D250" s="131">
        <v>12</v>
      </c>
      <c r="E250" s="83" t="s">
        <v>13</v>
      </c>
      <c r="F250" s="108">
        <v>4800</v>
      </c>
      <c r="G250" s="103">
        <v>0</v>
      </c>
      <c r="H250" s="104">
        <f t="shared" si="7"/>
        <v>172800</v>
      </c>
      <c r="K250" s="56"/>
    </row>
    <row r="251" spans="1:16" ht="18" customHeight="1" x14ac:dyDescent="0.2">
      <c r="A251" s="42" t="s">
        <v>166</v>
      </c>
      <c r="B251" s="159" t="s">
        <v>131</v>
      </c>
      <c r="C251" s="160"/>
      <c r="D251" s="160"/>
      <c r="E251" s="160"/>
      <c r="F251" s="160"/>
      <c r="G251" s="161"/>
      <c r="H251" s="43">
        <f>+H252</f>
        <v>50000000</v>
      </c>
      <c r="K251" s="56"/>
      <c r="L251" s="87"/>
    </row>
    <row r="252" spans="1:16" ht="18" customHeight="1" x14ac:dyDescent="0.2">
      <c r="A252" s="80"/>
      <c r="B252" s="156" t="s">
        <v>132</v>
      </c>
      <c r="C252" s="157"/>
      <c r="D252" s="157"/>
      <c r="E252" s="157"/>
      <c r="F252" s="157"/>
      <c r="G252" s="158"/>
      <c r="H252" s="40">
        <f>+H253</f>
        <v>50000000</v>
      </c>
      <c r="K252" s="56"/>
      <c r="L252" s="56"/>
    </row>
    <row r="253" spans="1:16" ht="34.5" customHeight="1" x14ac:dyDescent="0.2">
      <c r="A253" s="130">
        <v>1</v>
      </c>
      <c r="B253" s="81" t="s">
        <v>79</v>
      </c>
      <c r="C253" s="131">
        <v>4</v>
      </c>
      <c r="D253" s="131">
        <v>125</v>
      </c>
      <c r="E253" s="83" t="s">
        <v>267</v>
      </c>
      <c r="F253" s="108">
        <v>100000</v>
      </c>
      <c r="G253" s="103">
        <v>0</v>
      </c>
      <c r="H253" s="104">
        <f t="shared" ref="H253" si="8">+(C253*D253)*(F253+(F253*G253))</f>
        <v>50000000</v>
      </c>
      <c r="K253" s="56"/>
    </row>
    <row r="254" spans="1:16" ht="18" customHeight="1" x14ac:dyDescent="0.2">
      <c r="A254" s="48" t="s">
        <v>167</v>
      </c>
      <c r="B254" s="165" t="s">
        <v>133</v>
      </c>
      <c r="C254" s="166"/>
      <c r="D254" s="166"/>
      <c r="E254" s="166"/>
      <c r="F254" s="166"/>
      <c r="G254" s="167"/>
      <c r="H254" s="49">
        <f>+H255+H258+H262</f>
        <v>147579180</v>
      </c>
      <c r="K254" s="56"/>
    </row>
    <row r="255" spans="1:16" s="111" customFormat="1" ht="27" customHeight="1" x14ac:dyDescent="0.2">
      <c r="A255" s="32" t="s">
        <v>168</v>
      </c>
      <c r="B255" s="153" t="s">
        <v>134</v>
      </c>
      <c r="C255" s="154"/>
      <c r="D255" s="154"/>
      <c r="E255" s="154"/>
      <c r="F255" s="154"/>
      <c r="G255" s="155"/>
      <c r="H255" s="50">
        <f>+H256</f>
        <v>45000000</v>
      </c>
      <c r="J255" s="57"/>
      <c r="K255" s="56"/>
      <c r="L255" s="57"/>
    </row>
    <row r="256" spans="1:16" s="111" customFormat="1" ht="27" customHeight="1" x14ac:dyDescent="0.2">
      <c r="A256" s="80"/>
      <c r="B256" s="156" t="s">
        <v>80</v>
      </c>
      <c r="C256" s="168"/>
      <c r="D256" s="168"/>
      <c r="E256" s="168"/>
      <c r="F256" s="168"/>
      <c r="G256" s="169"/>
      <c r="H256" s="45">
        <f>+H257</f>
        <v>45000000</v>
      </c>
      <c r="J256" s="57"/>
      <c r="K256" s="56"/>
      <c r="L256" s="112"/>
    </row>
    <row r="257" spans="1:16" ht="54.75" customHeight="1" x14ac:dyDescent="0.2">
      <c r="A257" s="130">
        <v>1</v>
      </c>
      <c r="B257" s="128" t="s">
        <v>169</v>
      </c>
      <c r="C257" s="139">
        <v>1</v>
      </c>
      <c r="D257" s="139">
        <v>1</v>
      </c>
      <c r="E257" s="129" t="s">
        <v>268</v>
      </c>
      <c r="F257" s="140">
        <v>45000000</v>
      </c>
      <c r="G257" s="141">
        <v>0</v>
      </c>
      <c r="H257" s="142">
        <f>+(C257*D257)*(F257+(F257*G257))</f>
        <v>45000000</v>
      </c>
      <c r="K257" s="56"/>
    </row>
    <row r="258" spans="1:16" ht="18" customHeight="1" x14ac:dyDescent="0.2">
      <c r="A258" s="42" t="s">
        <v>170</v>
      </c>
      <c r="B258" s="159" t="s">
        <v>14</v>
      </c>
      <c r="C258" s="160"/>
      <c r="D258" s="160"/>
      <c r="E258" s="160"/>
      <c r="F258" s="160"/>
      <c r="G258" s="161"/>
      <c r="H258" s="44">
        <f>+H259</f>
        <v>18579180</v>
      </c>
      <c r="K258" s="56"/>
    </row>
    <row r="259" spans="1:16" ht="24.75" customHeight="1" x14ac:dyDescent="0.2">
      <c r="A259" s="80"/>
      <c r="B259" s="156" t="s">
        <v>81</v>
      </c>
      <c r="C259" s="168"/>
      <c r="D259" s="168"/>
      <c r="E259" s="168"/>
      <c r="F259" s="168"/>
      <c r="G259" s="169"/>
      <c r="H259" s="45">
        <f>+H260+H261</f>
        <v>18579180</v>
      </c>
    </row>
    <row r="260" spans="1:16" ht="18" customHeight="1" x14ac:dyDescent="0.2">
      <c r="A260" s="207">
        <v>1</v>
      </c>
      <c r="B260" s="120" t="s">
        <v>15</v>
      </c>
      <c r="C260" s="121">
        <v>8</v>
      </c>
      <c r="D260" s="122">
        <v>1</v>
      </c>
      <c r="E260" s="123" t="s">
        <v>17</v>
      </c>
      <c r="F260" s="124">
        <v>950160</v>
      </c>
      <c r="G260" s="125">
        <v>0</v>
      </c>
      <c r="H260" s="208">
        <f>+(C260*D260)*(F260+(F260*G260))</f>
        <v>7601280</v>
      </c>
      <c r="K260" s="56"/>
      <c r="L260" s="114"/>
      <c r="M260" s="113"/>
      <c r="N260" s="113"/>
      <c r="O260" s="113"/>
      <c r="P260" s="113"/>
    </row>
    <row r="261" spans="1:16" ht="18" customHeight="1" x14ac:dyDescent="0.2">
      <c r="A261" s="207">
        <v>1</v>
      </c>
      <c r="B261" s="120" t="s">
        <v>16</v>
      </c>
      <c r="C261" s="126">
        <v>23</v>
      </c>
      <c r="D261" s="126">
        <v>1</v>
      </c>
      <c r="E261" s="123" t="s">
        <v>17</v>
      </c>
      <c r="F261" s="124">
        <v>477300</v>
      </c>
      <c r="G261" s="125">
        <v>0</v>
      </c>
      <c r="H261" s="208">
        <f>+(C261*D261)*(F261+(F261*G261))</f>
        <v>10977900</v>
      </c>
      <c r="K261" s="56"/>
      <c r="L261" s="114"/>
      <c r="M261" s="113"/>
      <c r="N261" s="113"/>
      <c r="O261" s="113"/>
      <c r="P261" s="113"/>
    </row>
    <row r="262" spans="1:16" ht="18" customHeight="1" x14ac:dyDescent="0.2">
      <c r="A262" s="42" t="s">
        <v>171</v>
      </c>
      <c r="B262" s="159" t="s">
        <v>19</v>
      </c>
      <c r="C262" s="160"/>
      <c r="D262" s="160"/>
      <c r="E262" s="160"/>
      <c r="F262" s="160"/>
      <c r="G262" s="161"/>
      <c r="H262" s="44">
        <f>+H263</f>
        <v>84000000</v>
      </c>
      <c r="K262" s="56"/>
      <c r="L262" s="114"/>
      <c r="M262" s="113"/>
      <c r="N262" s="113"/>
      <c r="O262" s="113"/>
      <c r="P262" s="113"/>
    </row>
    <row r="263" spans="1:16" ht="18" customHeight="1" x14ac:dyDescent="0.2">
      <c r="A263" s="80"/>
      <c r="B263" s="156" t="s">
        <v>82</v>
      </c>
      <c r="C263" s="168"/>
      <c r="D263" s="168"/>
      <c r="E263" s="168"/>
      <c r="F263" s="168"/>
      <c r="G263" s="169"/>
      <c r="H263" s="45">
        <f>+H264</f>
        <v>84000000</v>
      </c>
      <c r="L263" s="114"/>
      <c r="M263" s="113"/>
      <c r="N263" s="113"/>
      <c r="O263" s="113"/>
      <c r="P263" s="113"/>
    </row>
    <row r="264" spans="1:16" ht="41.25" customHeight="1" x14ac:dyDescent="0.2">
      <c r="A264" s="209">
        <v>1</v>
      </c>
      <c r="B264" s="120" t="s">
        <v>20</v>
      </c>
      <c r="C264" s="121">
        <v>4000</v>
      </c>
      <c r="D264" s="122">
        <v>1</v>
      </c>
      <c r="E264" s="123" t="s">
        <v>21</v>
      </c>
      <c r="F264" s="124">
        <v>21000</v>
      </c>
      <c r="G264" s="125">
        <v>0</v>
      </c>
      <c r="H264" s="208">
        <f>+(C264*D264)*(F264+(F264*G264))</f>
        <v>84000000</v>
      </c>
      <c r="K264" s="56"/>
      <c r="L264" s="114"/>
      <c r="M264" s="113"/>
      <c r="N264" s="113"/>
      <c r="O264" s="113"/>
      <c r="P264" s="113"/>
    </row>
    <row r="265" spans="1:16" ht="18" customHeight="1" x14ac:dyDescent="0.2">
      <c r="A265" s="46" t="s">
        <v>172</v>
      </c>
      <c r="B265" s="162" t="s">
        <v>135</v>
      </c>
      <c r="C265" s="163"/>
      <c r="D265" s="163"/>
      <c r="E265" s="163"/>
      <c r="F265" s="163"/>
      <c r="G265" s="164"/>
      <c r="H265" s="47">
        <f>+H266</f>
        <v>123942000</v>
      </c>
      <c r="K265" s="56"/>
      <c r="L265" s="114"/>
      <c r="M265" s="113"/>
      <c r="N265" s="113"/>
      <c r="O265" s="113"/>
      <c r="P265" s="113"/>
    </row>
    <row r="266" spans="1:16" ht="18" customHeight="1" x14ac:dyDescent="0.2">
      <c r="A266" s="24" t="s">
        <v>173</v>
      </c>
      <c r="B266" s="150" t="s">
        <v>136</v>
      </c>
      <c r="C266" s="151"/>
      <c r="D266" s="151"/>
      <c r="E266" s="151"/>
      <c r="F266" s="151"/>
      <c r="G266" s="152"/>
      <c r="H266" s="31">
        <f>+H267+H271+H280</f>
        <v>123942000</v>
      </c>
      <c r="K266" s="56"/>
      <c r="L266" s="114"/>
      <c r="M266" s="113"/>
      <c r="N266" s="113"/>
      <c r="O266" s="113"/>
      <c r="P266" s="113"/>
    </row>
    <row r="267" spans="1:16" ht="18" customHeight="1" x14ac:dyDescent="0.2">
      <c r="A267" s="32" t="s">
        <v>174</v>
      </c>
      <c r="B267" s="153" t="s">
        <v>137</v>
      </c>
      <c r="C267" s="154"/>
      <c r="D267" s="154"/>
      <c r="E267" s="154"/>
      <c r="F267" s="154"/>
      <c r="G267" s="155"/>
      <c r="H267" s="50">
        <f>+H268</f>
        <v>9130000</v>
      </c>
      <c r="K267" s="56"/>
      <c r="L267" s="114"/>
      <c r="M267" s="113"/>
      <c r="N267" s="113"/>
      <c r="O267" s="113"/>
      <c r="P267" s="113"/>
    </row>
    <row r="268" spans="1:16" ht="29.25" customHeight="1" x14ac:dyDescent="0.2">
      <c r="A268" s="80"/>
      <c r="B268" s="156" t="s">
        <v>138</v>
      </c>
      <c r="C268" s="157"/>
      <c r="D268" s="157"/>
      <c r="E268" s="157"/>
      <c r="F268" s="157"/>
      <c r="G268" s="158"/>
      <c r="H268" s="45">
        <f>+H269+H270</f>
        <v>9130000</v>
      </c>
      <c r="K268" s="56"/>
      <c r="L268" s="114"/>
      <c r="M268" s="113"/>
      <c r="N268" s="113"/>
      <c r="O268" s="113"/>
      <c r="P268" s="113"/>
    </row>
    <row r="269" spans="1:16" ht="32.25" customHeight="1" x14ac:dyDescent="0.2">
      <c r="A269" s="137">
        <v>1</v>
      </c>
      <c r="B269" s="81" t="s">
        <v>95</v>
      </c>
      <c r="C269" s="102">
        <v>1</v>
      </c>
      <c r="D269" s="139">
        <v>1</v>
      </c>
      <c r="E269" s="83" t="s">
        <v>22</v>
      </c>
      <c r="F269" s="108">
        <v>530000</v>
      </c>
      <c r="G269" s="103">
        <v>0</v>
      </c>
      <c r="H269" s="104">
        <f>+(C269*D269)*(F269+(F269*G269))</f>
        <v>530000</v>
      </c>
      <c r="K269" s="56"/>
      <c r="M269" s="113"/>
      <c r="N269" s="113"/>
      <c r="O269" s="113"/>
      <c r="P269" s="113"/>
    </row>
    <row r="270" spans="1:16" ht="32.25" customHeight="1" x14ac:dyDescent="0.2">
      <c r="A270" s="137">
        <v>1</v>
      </c>
      <c r="B270" s="81" t="s">
        <v>62</v>
      </c>
      <c r="C270" s="102">
        <v>20</v>
      </c>
      <c r="D270" s="139">
        <v>1</v>
      </c>
      <c r="E270" s="83" t="s">
        <v>22</v>
      </c>
      <c r="F270" s="108">
        <v>430000</v>
      </c>
      <c r="G270" s="103">
        <v>0</v>
      </c>
      <c r="H270" s="104">
        <f>+(C270*D270)*(F270+(F270*G270))</f>
        <v>8600000</v>
      </c>
      <c r="K270" s="56"/>
      <c r="L270" s="114"/>
      <c r="M270" s="113"/>
      <c r="N270" s="113"/>
      <c r="O270" s="113"/>
      <c r="P270" s="113"/>
    </row>
    <row r="271" spans="1:16" ht="15.75" customHeight="1" x14ac:dyDescent="0.2">
      <c r="A271" s="42" t="s">
        <v>175</v>
      </c>
      <c r="B271" s="159" t="s">
        <v>139</v>
      </c>
      <c r="C271" s="160"/>
      <c r="D271" s="160"/>
      <c r="E271" s="160"/>
      <c r="F271" s="160"/>
      <c r="G271" s="161"/>
      <c r="H271" s="44">
        <f>+H272</f>
        <v>9740000</v>
      </c>
      <c r="K271" s="56"/>
      <c r="L271" s="114"/>
      <c r="M271" s="113"/>
      <c r="N271" s="113"/>
      <c r="O271" s="113"/>
      <c r="P271" s="113"/>
    </row>
    <row r="272" spans="1:16" ht="15.75" customHeight="1" x14ac:dyDescent="0.2">
      <c r="A272" s="80"/>
      <c r="B272" s="156" t="s">
        <v>140</v>
      </c>
      <c r="C272" s="157"/>
      <c r="D272" s="157"/>
      <c r="E272" s="157"/>
      <c r="F272" s="157"/>
      <c r="G272" s="158"/>
      <c r="H272" s="45">
        <f>SUM(H273:H279)</f>
        <v>9740000</v>
      </c>
      <c r="K272" s="56"/>
      <c r="L272" s="114"/>
    </row>
    <row r="273" spans="1:18" ht="34.5" customHeight="1" x14ac:dyDescent="0.2">
      <c r="A273" s="130">
        <v>1</v>
      </c>
      <c r="B273" s="81" t="s">
        <v>18</v>
      </c>
      <c r="C273" s="131">
        <v>3</v>
      </c>
      <c r="D273" s="131">
        <v>14</v>
      </c>
      <c r="E273" s="83" t="s">
        <v>269</v>
      </c>
      <c r="F273" s="108">
        <v>170000</v>
      </c>
      <c r="G273" s="103">
        <v>0</v>
      </c>
      <c r="H273" s="104">
        <f t="shared" ref="H273:H279" si="9">+(C273*D273)*(F273+(F273*G273))</f>
        <v>7140000</v>
      </c>
      <c r="K273" s="56"/>
    </row>
    <row r="274" spans="1:18" ht="19.5" customHeight="1" x14ac:dyDescent="0.2">
      <c r="A274" s="130">
        <v>1</v>
      </c>
      <c r="B274" s="81" t="s">
        <v>63</v>
      </c>
      <c r="C274" s="102">
        <v>2</v>
      </c>
      <c r="D274" s="102">
        <v>1</v>
      </c>
      <c r="E274" s="83" t="s">
        <v>270</v>
      </c>
      <c r="F274" s="108">
        <v>195000</v>
      </c>
      <c r="G274" s="103">
        <v>0</v>
      </c>
      <c r="H274" s="104">
        <f t="shared" si="9"/>
        <v>390000</v>
      </c>
      <c r="K274" s="56"/>
    </row>
    <row r="275" spans="1:18" ht="19.5" customHeight="1" x14ac:dyDescent="0.2">
      <c r="A275" s="130">
        <v>1</v>
      </c>
      <c r="B275" s="81" t="s">
        <v>176</v>
      </c>
      <c r="C275" s="102">
        <v>2</v>
      </c>
      <c r="D275" s="102">
        <v>1</v>
      </c>
      <c r="E275" s="83" t="s">
        <v>270</v>
      </c>
      <c r="F275" s="108">
        <v>165000</v>
      </c>
      <c r="G275" s="103">
        <v>0</v>
      </c>
      <c r="H275" s="104">
        <f t="shared" si="9"/>
        <v>330000</v>
      </c>
      <c r="K275" s="56"/>
    </row>
    <row r="276" spans="1:18" s="77" customFormat="1" ht="19.5" customHeight="1" x14ac:dyDescent="0.2">
      <c r="A276" s="130">
        <v>1</v>
      </c>
      <c r="B276" s="81" t="s">
        <v>64</v>
      </c>
      <c r="C276" s="102">
        <v>2</v>
      </c>
      <c r="D276" s="102">
        <v>1</v>
      </c>
      <c r="E276" s="83" t="s">
        <v>270</v>
      </c>
      <c r="F276" s="108">
        <v>255000</v>
      </c>
      <c r="G276" s="103">
        <v>0</v>
      </c>
      <c r="H276" s="104">
        <f t="shared" si="9"/>
        <v>510000</v>
      </c>
      <c r="I276" s="56"/>
      <c r="J276" s="57"/>
      <c r="K276" s="56"/>
      <c r="L276" s="57"/>
      <c r="M276" s="56"/>
      <c r="N276" s="56"/>
      <c r="O276" s="56"/>
      <c r="P276" s="56"/>
      <c r="Q276" s="56"/>
      <c r="R276" s="56"/>
    </row>
    <row r="277" spans="1:18" s="77" customFormat="1" ht="19.5" customHeight="1" x14ac:dyDescent="0.2">
      <c r="A277" s="130">
        <v>1</v>
      </c>
      <c r="B277" s="81" t="s">
        <v>65</v>
      </c>
      <c r="C277" s="102">
        <v>2</v>
      </c>
      <c r="D277" s="102">
        <v>1</v>
      </c>
      <c r="E277" s="83" t="s">
        <v>270</v>
      </c>
      <c r="F277" s="108">
        <v>200000</v>
      </c>
      <c r="G277" s="103">
        <v>0</v>
      </c>
      <c r="H277" s="104">
        <f t="shared" si="9"/>
        <v>400000</v>
      </c>
      <c r="I277" s="56"/>
      <c r="J277" s="57"/>
      <c r="K277" s="56"/>
      <c r="L277" s="57"/>
      <c r="M277" s="56"/>
      <c r="N277" s="56"/>
      <c r="O277" s="56"/>
      <c r="P277" s="56"/>
      <c r="Q277" s="56"/>
      <c r="R277" s="56"/>
    </row>
    <row r="278" spans="1:18" ht="19.5" customHeight="1" x14ac:dyDescent="0.2">
      <c r="A278" s="130">
        <v>1</v>
      </c>
      <c r="B278" s="81" t="s">
        <v>66</v>
      </c>
      <c r="C278" s="102">
        <v>2</v>
      </c>
      <c r="D278" s="102">
        <v>1</v>
      </c>
      <c r="E278" s="83" t="s">
        <v>270</v>
      </c>
      <c r="F278" s="108">
        <v>175000</v>
      </c>
      <c r="G278" s="103">
        <v>0</v>
      </c>
      <c r="H278" s="104">
        <f t="shared" si="9"/>
        <v>350000</v>
      </c>
      <c r="K278" s="56"/>
    </row>
    <row r="279" spans="1:18" ht="19.5" customHeight="1" x14ac:dyDescent="0.2">
      <c r="A279" s="130">
        <v>1</v>
      </c>
      <c r="B279" s="81" t="s">
        <v>67</v>
      </c>
      <c r="C279" s="102">
        <v>4</v>
      </c>
      <c r="D279" s="102">
        <v>1</v>
      </c>
      <c r="E279" s="83" t="s">
        <v>270</v>
      </c>
      <c r="F279" s="108">
        <v>155000</v>
      </c>
      <c r="G279" s="103">
        <v>0</v>
      </c>
      <c r="H279" s="104">
        <f t="shared" si="9"/>
        <v>620000</v>
      </c>
      <c r="K279" s="56"/>
    </row>
    <row r="280" spans="1:18" ht="15" x14ac:dyDescent="0.2">
      <c r="A280" s="42" t="s">
        <v>177</v>
      </c>
      <c r="B280" s="159" t="s">
        <v>141</v>
      </c>
      <c r="C280" s="160"/>
      <c r="D280" s="160"/>
      <c r="E280" s="160"/>
      <c r="F280" s="160"/>
      <c r="G280" s="161"/>
      <c r="H280" s="43">
        <f>+H281</f>
        <v>105072000</v>
      </c>
      <c r="K280" s="56"/>
    </row>
    <row r="281" spans="1:18" ht="15" x14ac:dyDescent="0.2">
      <c r="A281" s="80"/>
      <c r="B281" s="156" t="s">
        <v>142</v>
      </c>
      <c r="C281" s="157"/>
      <c r="D281" s="157"/>
      <c r="E281" s="157"/>
      <c r="F281" s="157"/>
      <c r="G281" s="158"/>
      <c r="H281" s="40">
        <f>SUM(H282)</f>
        <v>105072000</v>
      </c>
      <c r="K281" s="56"/>
    </row>
    <row r="282" spans="1:18" ht="36" customHeight="1" thickBot="1" x14ac:dyDescent="0.25">
      <c r="A282" s="143">
        <v>1</v>
      </c>
      <c r="B282" s="144" t="s">
        <v>102</v>
      </c>
      <c r="C282" s="145">
        <v>264</v>
      </c>
      <c r="D282" s="145">
        <v>1</v>
      </c>
      <c r="E282" s="146" t="s">
        <v>22</v>
      </c>
      <c r="F282" s="147">
        <v>398000</v>
      </c>
      <c r="G282" s="148">
        <v>0</v>
      </c>
      <c r="H282" s="149">
        <f>+(C282*D282)*(F282+(F282*G282))</f>
        <v>105072000</v>
      </c>
      <c r="K282" s="56"/>
    </row>
    <row r="283" spans="1:18" x14ac:dyDescent="0.2">
      <c r="H283" s="115"/>
    </row>
    <row r="286" spans="1:18" x14ac:dyDescent="0.2">
      <c r="C286" s="110"/>
      <c r="D286" s="57"/>
    </row>
    <row r="287" spans="1:18" x14ac:dyDescent="0.2">
      <c r="C287" s="110"/>
      <c r="D287" s="57"/>
    </row>
    <row r="288" spans="1:18" x14ac:dyDescent="0.2">
      <c r="C288" s="110"/>
      <c r="D288" s="68"/>
    </row>
  </sheetData>
  <sortState xmlns:xlrd2="http://schemas.microsoft.com/office/spreadsheetml/2017/richdata2" ref="B129:H241">
    <sortCondition ref="B129:B241"/>
  </sortState>
  <mergeCells count="68">
    <mergeCell ref="B14:H14"/>
    <mergeCell ref="A1:E1"/>
    <mergeCell ref="F1:H1"/>
    <mergeCell ref="A2:H2"/>
    <mergeCell ref="A3:H3"/>
    <mergeCell ref="B4:H4"/>
    <mergeCell ref="B5:H5"/>
    <mergeCell ref="B6:H6"/>
    <mergeCell ref="B8:H8"/>
    <mergeCell ref="B9:H9"/>
    <mergeCell ref="B10:H10"/>
    <mergeCell ref="B13:H13"/>
    <mergeCell ref="A26:H26"/>
    <mergeCell ref="B15:H15"/>
    <mergeCell ref="B16:H16"/>
    <mergeCell ref="B17:H17"/>
    <mergeCell ref="B18:H18"/>
    <mergeCell ref="B19:H19"/>
    <mergeCell ref="A20:H20"/>
    <mergeCell ref="B21:G21"/>
    <mergeCell ref="B22:G22"/>
    <mergeCell ref="B23:G23"/>
    <mergeCell ref="B24:G24"/>
    <mergeCell ref="B25:G25"/>
    <mergeCell ref="A33:H33"/>
    <mergeCell ref="A34:A35"/>
    <mergeCell ref="B34:B35"/>
    <mergeCell ref="C34:G34"/>
    <mergeCell ref="H34:H35"/>
    <mergeCell ref="B27:H27"/>
    <mergeCell ref="B28:H28"/>
    <mergeCell ref="B29:H29"/>
    <mergeCell ref="B30:H30"/>
    <mergeCell ref="B31:H31"/>
    <mergeCell ref="B103:G103"/>
    <mergeCell ref="B104:G104"/>
    <mergeCell ref="B109:G109"/>
    <mergeCell ref="B110:G110"/>
    <mergeCell ref="B42:G42"/>
    <mergeCell ref="B48:G48"/>
    <mergeCell ref="B49:G49"/>
    <mergeCell ref="B89:G89"/>
    <mergeCell ref="B90:G90"/>
    <mergeCell ref="B114:G114"/>
    <mergeCell ref="B115:G115"/>
    <mergeCell ref="B252:G252"/>
    <mergeCell ref="B127:G127"/>
    <mergeCell ref="B128:G128"/>
    <mergeCell ref="B242:G242"/>
    <mergeCell ref="B243:G243"/>
    <mergeCell ref="B244:G244"/>
    <mergeCell ref="B245:G245"/>
    <mergeCell ref="B251:G251"/>
    <mergeCell ref="B265:G265"/>
    <mergeCell ref="B254:G254"/>
    <mergeCell ref="B255:G255"/>
    <mergeCell ref="B256:G256"/>
    <mergeCell ref="B258:G258"/>
    <mergeCell ref="B259:G259"/>
    <mergeCell ref="B262:G262"/>
    <mergeCell ref="B263:G263"/>
    <mergeCell ref="B266:G266"/>
    <mergeCell ref="B267:G267"/>
    <mergeCell ref="B268:G268"/>
    <mergeCell ref="B271:G271"/>
    <mergeCell ref="B272:G272"/>
    <mergeCell ref="B280:G280"/>
    <mergeCell ref="B281:G281"/>
  </mergeCells>
  <pageMargins left="0.23622047244094491" right="0.23622047244094491" top="0.74803149606299213" bottom="0.74803149606299213" header="0.31496062992125984" footer="0.31496062992125984"/>
  <pageSetup paperSize="9" scale="5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OBAT</vt:lpstr>
      <vt:lpstr>OBAT!Print_Area</vt:lpstr>
      <vt:lpstr>OBAT!Print_Titles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Cetak Rincian Belanja 1.02.02.2.01.0023 Pengadaan Obat, Bahan Habis Pakai, Bahan Medis Habis Pakai,, Vaksin, Makanan dan Minuman di Fasilitas Kesehatan</dc:title>
  <dc:creator>SIPD</dc:creator>
  <cp:lastModifiedBy>Farmasi Kabbogor</cp:lastModifiedBy>
  <cp:lastPrinted>2026-01-30T00:32:04Z</cp:lastPrinted>
  <dcterms:created xsi:type="dcterms:W3CDTF">2025-12-04T02:12:14Z</dcterms:created>
  <dcterms:modified xsi:type="dcterms:W3CDTF">2026-02-23T06:13:31Z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Creator">
    <vt:lpwstr>-</vt:lpwstr>
  </property>
  <property fmtid="{D5CDD505-2E9C-101B-9397-08002B2CF9AE}" pid="4" name="Producer">
    <vt:lpwstr>jsPDF 2.5.2</vt:lpwstr>
  </property>
  <property fmtid="{D5CDD505-2E9C-101B-9397-08002B2CF9AE}" pid="5" name="LastSaved">
    <vt:filetime>2025-12-02T00:00:00Z</vt:filetime>
  </property>
</Properties>
</file>