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2027\DPA\"/>
    </mc:Choice>
  </mc:AlternateContent>
  <xr:revisionPtr revIDLastSave="0" documentId="13_ncr:1_{03002A65-1954-47F9-8C7D-AA8AC5F7794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MONE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G23" i="1"/>
  <c r="G43" i="1"/>
  <c r="G42" i="1" s="1"/>
  <c r="G41" i="1" s="1"/>
  <c r="G40" i="1" s="1"/>
  <c r="G39" i="1" s="1"/>
  <c r="G38" i="1" s="1"/>
  <c r="G37" i="1" s="1"/>
  <c r="G36" i="1" s="1"/>
  <c r="G77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45" i="1"/>
  <c r="G44" i="1"/>
</calcChain>
</file>

<file path=xl/sharedStrings.xml><?xml version="1.0" encoding="utf-8"?>
<sst xmlns="http://schemas.openxmlformats.org/spreadsheetml/2006/main" count="151" uniqueCount="112">
  <si>
    <r>
      <rPr>
        <b/>
        <sz val="15"/>
        <rFont val="Arial"/>
        <family val="2"/>
      </rPr>
      <t>RENCANA KERJA DAN ANGGARAN SATUAN KERJA PERANGKAT DAERAH</t>
    </r>
  </si>
  <si>
    <r>
      <rPr>
        <b/>
        <sz val="12"/>
        <rFont val="Arial"/>
        <family val="2"/>
      </rPr>
      <t xml:space="preserve">Formulir RKA-BELANJA
</t>
    </r>
    <r>
      <rPr>
        <b/>
        <sz val="12"/>
        <rFont val="Arial"/>
        <family val="2"/>
      </rPr>
      <t>SKPD</t>
    </r>
  </si>
  <si>
    <r>
      <rPr>
        <sz val="12"/>
        <rFont val="Arial MT"/>
        <family val="2"/>
      </rPr>
      <t>Pemerintahan Kab. Bogor Tahun Anggaran 2026</t>
    </r>
  </si>
  <si>
    <r>
      <rPr>
        <sz val="12"/>
        <rFont val="Arial MT"/>
        <family val="2"/>
      </rPr>
      <t>Rincian Anggaran Belanja Menurut Program, Kegiatan dan Sub Kegiatan</t>
    </r>
  </si>
  <si>
    <r>
      <rPr>
        <sz val="9"/>
        <rFont val="Arial MT"/>
        <family val="2"/>
      </rPr>
      <t>Urusan Pemerintahan</t>
    </r>
  </si>
  <si>
    <r>
      <rPr>
        <sz val="9"/>
        <rFont val="Arial MT"/>
        <family val="2"/>
      </rPr>
      <t>Bidang Urusan</t>
    </r>
  </si>
  <si>
    <r>
      <rPr>
        <sz val="9"/>
        <rFont val="Arial MT"/>
        <family val="2"/>
      </rPr>
      <t>: 1.02 URUSAN PEMERINTAHAN BIDANG KESEHATAN</t>
    </r>
  </si>
  <si>
    <r>
      <rPr>
        <sz val="9"/>
        <rFont val="Arial MT"/>
        <family val="2"/>
      </rPr>
      <t>Unit Organisasi</t>
    </r>
  </si>
  <si>
    <r>
      <rPr>
        <sz val="9"/>
        <rFont val="Arial MT"/>
        <family val="2"/>
      </rPr>
      <t>: 1.02.0.00.0.00.01.0000 DINAS KESEHATAN</t>
    </r>
  </si>
  <si>
    <r>
      <rPr>
        <sz val="9"/>
        <rFont val="Arial MT"/>
        <family val="2"/>
      </rPr>
      <t>Sub Unit Organisasi</t>
    </r>
  </si>
  <si>
    <r>
      <rPr>
        <sz val="9"/>
        <rFont val="Arial MT"/>
        <family val="2"/>
      </rPr>
      <t>: -</t>
    </r>
  </si>
  <si>
    <r>
      <rPr>
        <sz val="9"/>
        <rFont val="Arial MT"/>
        <family val="2"/>
      </rPr>
      <t>Program</t>
    </r>
  </si>
  <si>
    <r>
      <rPr>
        <sz val="9"/>
        <rFont val="Arial MT"/>
        <family val="2"/>
      </rPr>
      <t>: 1.02.04 PROGRAM SEDIAAN FARMASI, ALAT KESEHATAN DAN MAKANAN MINUMAN</t>
    </r>
  </si>
  <si>
    <r>
      <rPr>
        <sz val="9"/>
        <rFont val="Arial MT"/>
        <family val="2"/>
      </rPr>
      <t>Kegiatan</t>
    </r>
  </si>
  <si>
    <r>
      <rPr>
        <sz val="9"/>
        <rFont val="Arial MT"/>
        <family val="2"/>
      </rPr>
      <t>: 1.02.04.2.01 Pemberian Izin Apotek, Toko Obat, Toko Alat Kesehatan dan Optikal, Usaha Mikro Obat Tradisional (UMOT)</t>
    </r>
  </si>
  <si>
    <r>
      <rPr>
        <sz val="9"/>
        <rFont val="Arial MT"/>
        <family val="2"/>
      </rPr>
      <t>Sub Kegiatan</t>
    </r>
  </si>
  <si>
    <r>
      <rPr>
        <sz val="9"/>
        <rFont val="Arial MT"/>
        <family val="2"/>
      </rPr>
      <t>: 1.02.04.2.01.0001 Pengendalian dan Pengawasan serta Tindak Lanjut Pengawasan Perizinan Apotek, Toko Obat, Toko Alat Kesehatan, dan Optikal, Usaha Mikro Obat Tradisional (UMOT)</t>
    </r>
  </si>
  <si>
    <r>
      <rPr>
        <sz val="9"/>
        <rFont val="Arial MT"/>
        <family val="2"/>
      </rPr>
      <t>SPM</t>
    </r>
  </si>
  <si>
    <r>
      <rPr>
        <sz val="9"/>
        <rFont val="Arial MT"/>
        <family val="2"/>
      </rPr>
      <t>Jenis Layanan</t>
    </r>
  </si>
  <si>
    <r>
      <rPr>
        <sz val="9"/>
        <rFont val="Arial MT"/>
        <family val="2"/>
      </rPr>
      <t>Sumber Pendanaan</t>
    </r>
  </si>
  <si>
    <r>
      <rPr>
        <sz val="9"/>
        <rFont val="Arial MT"/>
        <family val="2"/>
      </rPr>
      <t>: PENDAPATAN ASLI DAERAH (PAD)</t>
    </r>
  </si>
  <si>
    <r>
      <rPr>
        <sz val="9"/>
        <rFont val="Arial MT"/>
        <family val="2"/>
      </rPr>
      <t>Lokasi</t>
    </r>
  </si>
  <si>
    <r>
      <rPr>
        <sz val="9"/>
        <rFont val="Arial MT"/>
        <family val="2"/>
      </rPr>
      <t>: Kab. Bogor, Semua Kecamatan, Semua Kel/Desa</t>
    </r>
  </si>
  <si>
    <r>
      <rPr>
        <sz val="9"/>
        <rFont val="Arial MT"/>
        <family val="2"/>
      </rPr>
      <t>Waktu Pelaksanaan</t>
    </r>
  </si>
  <si>
    <r>
      <rPr>
        <sz val="9"/>
        <rFont val="Arial MT"/>
        <family val="2"/>
      </rPr>
      <t>: Januari s.d Desember</t>
    </r>
  </si>
  <si>
    <r>
      <rPr>
        <sz val="9"/>
        <rFont val="Arial MT"/>
        <family val="2"/>
      </rPr>
      <t>Kelompok Sasaran</t>
    </r>
  </si>
  <si>
    <r>
      <rPr>
        <sz val="9"/>
        <rFont val="Arial MT"/>
        <family val="2"/>
      </rPr>
      <t>: apotek, toko obat, toko alat kesehatan dan optikal, usaha mikro obat tradisional  Kab. Bogor</t>
    </r>
  </si>
  <si>
    <r>
      <rPr>
        <sz val="9"/>
        <rFont val="Arial MT"/>
        <family val="2"/>
      </rPr>
      <t>Alokasi 2025</t>
    </r>
  </si>
  <si>
    <r>
      <rPr>
        <sz val="9"/>
        <rFont val="Arial MT"/>
        <family val="2"/>
      </rPr>
      <t>: Rp. 0,00</t>
    </r>
  </si>
  <si>
    <r>
      <rPr>
        <sz val="9"/>
        <rFont val="Arial MT"/>
        <family val="2"/>
      </rPr>
      <t>Alokasi 2026</t>
    </r>
  </si>
  <si>
    <r>
      <rPr>
        <sz val="9"/>
        <rFont val="Arial MT"/>
        <family val="2"/>
      </rPr>
      <t>: Rp. 70.720.000,00</t>
    </r>
  </si>
  <si>
    <r>
      <rPr>
        <sz val="9"/>
        <rFont val="Arial MT"/>
        <family val="2"/>
      </rPr>
      <t>Alokasi 2027</t>
    </r>
  </si>
  <si>
    <r>
      <rPr>
        <sz val="12"/>
        <rFont val="Arial MT"/>
        <family val="2"/>
      </rPr>
      <t>Indikator dan Tolak Ukur Kinerja Kegiatan</t>
    </r>
  </si>
  <si>
    <r>
      <rPr>
        <sz val="12"/>
        <rFont val="Arial MT"/>
        <family val="2"/>
      </rPr>
      <t>Indikator</t>
    </r>
  </si>
  <si>
    <r>
      <rPr>
        <sz val="12"/>
        <rFont val="Arial MT"/>
        <family val="2"/>
      </rPr>
      <t>Tolok Ukur Kinerja</t>
    </r>
  </si>
  <si>
    <r>
      <rPr>
        <sz val="12"/>
        <rFont val="Arial MT"/>
        <family val="2"/>
      </rPr>
      <t>Target Kinerja</t>
    </r>
  </si>
  <si>
    <r>
      <rPr>
        <sz val="9"/>
        <rFont val="Arial MT"/>
        <family val="2"/>
      </rPr>
      <t>Capaian Program</t>
    </r>
  </si>
  <si>
    <r>
      <rPr>
        <sz val="9"/>
        <rFont val="Arial MT"/>
        <family val="2"/>
      </rPr>
      <t>Persentase Sarana Kefarmasian yang memenuhi syarat</t>
    </r>
  </si>
  <si>
    <r>
      <rPr>
        <sz val="9"/>
        <rFont val="Arial MT"/>
        <family val="2"/>
      </rPr>
      <t>Masukan</t>
    </r>
  </si>
  <si>
    <r>
      <rPr>
        <sz val="9"/>
        <rFont val="Arial MT"/>
        <family val="2"/>
      </rPr>
      <t>Dana yang dibutuhkan</t>
    </r>
  </si>
  <si>
    <r>
      <rPr>
        <sz val="9"/>
        <rFont val="Arial MT"/>
        <family val="2"/>
      </rPr>
      <t>Keluaran</t>
    </r>
  </si>
  <si>
    <r>
      <rPr>
        <sz val="9"/>
        <rFont val="Arial MT"/>
        <family val="2"/>
      </rPr>
      <t>Jumlah Dokumen Hasil Pengendalian dan Pengawasan serta Tindak Lanjut Pengawasan Perizinan Apotek, Toko Obat, Toko Alat Kesehatan, dan Optikal, Usaha Mikro Obat Tradisional (UMOT)</t>
    </r>
  </si>
  <si>
    <r>
      <rPr>
        <sz val="9"/>
        <rFont val="Arial MT"/>
        <family val="2"/>
      </rPr>
      <t>38 Dokumen</t>
    </r>
  </si>
  <si>
    <r>
      <rPr>
        <sz val="9"/>
        <rFont val="Arial MT"/>
        <family val="2"/>
      </rPr>
      <t>Hasil</t>
    </r>
  </si>
  <si>
    <r>
      <rPr>
        <sz val="9"/>
        <rFont val="Arial MT"/>
        <family val="2"/>
      </rPr>
      <t>Persentase apotek, toko obat, toko alat kesehatan dan optikal, usaha mikro obat tradisional (umot) yang dilakukan pembinaan dan pengawasan</t>
    </r>
  </si>
  <si>
    <r>
      <rPr>
        <sz val="12"/>
        <rFont val="Arial MT"/>
        <family val="2"/>
      </rPr>
      <t>Rincian Anggaran Belanja Kegiatan Satuan Kerja Perangkat Daerah</t>
    </r>
  </si>
  <si>
    <r>
      <rPr>
        <sz val="9"/>
        <rFont val="Arial MT"/>
        <family val="2"/>
      </rPr>
      <t>: Kab. Bogor, Semua Kecamatan, Semua Kelurahan</t>
    </r>
  </si>
  <si>
    <r>
      <rPr>
        <sz val="9"/>
        <rFont val="Arial MT"/>
        <family val="2"/>
      </rPr>
      <t>Keluaran Sub Kegiatan</t>
    </r>
  </si>
  <si>
    <r>
      <rPr>
        <sz val="9"/>
        <rFont val="Arial MT"/>
        <family val="2"/>
      </rPr>
      <t>Keterangan</t>
    </r>
  </si>
  <si>
    <r>
      <rPr>
        <sz val="9"/>
        <rFont val="Arial MT"/>
        <family val="2"/>
      </rPr>
      <t>:</t>
    </r>
  </si>
  <si>
    <r>
      <rPr>
        <b/>
        <sz val="12"/>
        <rFont val="Arial"/>
        <family val="2"/>
      </rPr>
      <t>Rincian Anggaran Belanja Kegiatan Satuan Kerja Perangkat Daerah</t>
    </r>
  </si>
  <si>
    <t>5.1.02.04.001.00003</t>
  </si>
  <si>
    <t>Biaya Kegiatan Rapat atau Pertemuan di Luar Kantor  (DESK RKO)
setingkat Pejabat Eselon II ke bawah di Hotel Bintang 4 dan 5 (paket fullday)</t>
  </si>
  <si>
    <t>Orang
paket</t>
  </si>
  <si>
    <r>
      <rPr>
        <b/>
        <sz val="11"/>
        <rFont val="Arial"/>
        <family val="2"/>
      </rPr>
      <t>Kode Rekening</t>
    </r>
  </si>
  <si>
    <r>
      <rPr>
        <b/>
        <sz val="11"/>
        <rFont val="Arial"/>
        <family val="2"/>
      </rPr>
      <t>Uraian</t>
    </r>
  </si>
  <si>
    <r>
      <rPr>
        <b/>
        <sz val="11"/>
        <rFont val="Arial"/>
        <family val="2"/>
      </rPr>
      <t>Rinci Perhitungan</t>
    </r>
  </si>
  <si>
    <r>
      <rPr>
        <b/>
        <sz val="11"/>
        <rFont val="Arial"/>
        <family val="2"/>
      </rPr>
      <t>Jumlah</t>
    </r>
  </si>
  <si>
    <r>
      <rPr>
        <b/>
        <sz val="11"/>
        <rFont val="Arial"/>
        <family val="2"/>
      </rPr>
      <t>Koefisien</t>
    </r>
  </si>
  <si>
    <r>
      <rPr>
        <b/>
        <sz val="11"/>
        <rFont val="Arial"/>
        <family val="2"/>
      </rPr>
      <t>Satuan</t>
    </r>
  </si>
  <si>
    <r>
      <rPr>
        <b/>
        <sz val="11"/>
        <rFont val="Arial"/>
        <family val="2"/>
      </rPr>
      <t>Harga</t>
    </r>
  </si>
  <si>
    <r>
      <rPr>
        <b/>
        <sz val="11"/>
        <rFont val="Arial"/>
        <family val="2"/>
      </rPr>
      <t>PPN</t>
    </r>
  </si>
  <si>
    <r>
      <rPr>
        <b/>
        <sz val="11"/>
        <rFont val="Arial"/>
        <family val="2"/>
      </rPr>
      <t>BELANJA DAERAH</t>
    </r>
  </si>
  <si>
    <r>
      <rPr>
        <b/>
        <sz val="11"/>
        <rFont val="Arial"/>
        <family val="2"/>
      </rPr>
      <t>5.1</t>
    </r>
  </si>
  <si>
    <r>
      <rPr>
        <b/>
        <sz val="11"/>
        <rFont val="Arial"/>
        <family val="2"/>
      </rPr>
      <t>BELANJA OPERASI</t>
    </r>
  </si>
  <si>
    <r>
      <rPr>
        <b/>
        <sz val="11"/>
        <rFont val="Arial"/>
        <family val="2"/>
      </rPr>
      <t>Belanja Barang dan Jasa</t>
    </r>
  </si>
  <si>
    <r>
      <rPr>
        <b/>
        <sz val="11"/>
        <rFont val="Arial"/>
        <family val="2"/>
      </rPr>
      <t>5.1.02.04</t>
    </r>
  </si>
  <si>
    <r>
      <rPr>
        <b/>
        <sz val="11"/>
        <rFont val="Arial"/>
        <family val="2"/>
      </rPr>
      <t>Belanja Perjalanan Dinas</t>
    </r>
  </si>
  <si>
    <r>
      <rPr>
        <b/>
        <sz val="11"/>
        <rFont val="Arial"/>
        <family val="2"/>
      </rPr>
      <t>5.1.02.04.001</t>
    </r>
  </si>
  <si>
    <r>
      <rPr>
        <b/>
        <sz val="11"/>
        <rFont val="Arial"/>
        <family val="2"/>
      </rPr>
      <t>Belanja Perjalanan Dinas Dalam Negeri</t>
    </r>
  </si>
  <si>
    <r>
      <rPr>
        <b/>
        <sz val="11"/>
        <rFont val="Arial"/>
        <family val="2"/>
      </rPr>
      <t>Belanja Perjalanan Dinas Dalam Kota</t>
    </r>
  </si>
  <si>
    <r>
      <rPr>
        <b/>
        <sz val="11"/>
        <rFont val="Arial"/>
        <family val="2"/>
      </rPr>
      <t>[ # ] Belanja Perjalanan Dinas Dalam Kota
Sumber Dana : PENDAPATAN ASLI DAERAH (PAD)</t>
    </r>
  </si>
  <si>
    <r>
      <rPr>
        <b/>
        <sz val="11"/>
        <rFont val="Arial"/>
        <family val="2"/>
      </rPr>
      <t>[ - ] Belanja Perjalanan Dinas Dalam Kota</t>
    </r>
  </si>
  <si>
    <r>
      <rPr>
        <sz val="11"/>
        <rFont val="Arial MT"/>
        <family val="2"/>
      </rPr>
      <t>3 x 82</t>
    </r>
  </si>
  <si>
    <r>
      <rPr>
        <sz val="11"/>
        <rFont val="Arial MT"/>
        <family val="2"/>
      </rPr>
      <t>Orang Tempat</t>
    </r>
  </si>
  <si>
    <r>
      <rPr>
        <sz val="11"/>
        <rFont val="Arial MT"/>
        <family val="2"/>
      </rPr>
      <t>Biaya transport perjalanan dinas antar kecamatan untuk Mobil &gt;2000cc
Spesifikasi : dari Kecamatan Cibinong ke Kecamatan Babakan Madan...</t>
    </r>
  </si>
  <si>
    <r>
      <rPr>
        <sz val="11"/>
        <rFont val="Arial MT"/>
        <family val="2"/>
      </rPr>
      <t>Tempat</t>
    </r>
  </si>
  <si>
    <r>
      <rPr>
        <sz val="11"/>
        <rFont val="Arial MT"/>
        <family val="2"/>
      </rPr>
      <t>Biaya transport perjalanan dinas antar kecamatan untuk Mobil &gt;2000cc
Spesifikasi : dari Kecamatan Cibinong ke Kecamatan Bojonggede</t>
    </r>
  </si>
  <si>
    <r>
      <rPr>
        <sz val="11"/>
        <rFont val="Arial MT"/>
        <family val="2"/>
      </rPr>
      <t>Biaya transport perjalanan dinas antar kecamatan untuk Mobil &gt;2000cc
Spesifikasi : dari Kecamatan Cibinong ke Kecamatan Caringin</t>
    </r>
  </si>
  <si>
    <r>
      <rPr>
        <sz val="11"/>
        <rFont val="Arial MT"/>
        <family val="2"/>
      </rPr>
      <t>Biaya transport perjalanan dinas antar kecamatan untuk Mobil &gt;2000cc
Spesifikasi : dari Kecamatan Cibinong ke Kecamatan Ciampea</t>
    </r>
  </si>
  <si>
    <r>
      <rPr>
        <sz val="11"/>
        <rFont val="Arial MT"/>
        <family val="2"/>
      </rPr>
      <t>Biaya transport perjalanan dinas antar kecamatan untuk Mobil &gt;2000cc
Spesifikasi : dari Kecamatan Cibinong ke Kecamatan Ciawi</t>
    </r>
  </si>
  <si>
    <r>
      <rPr>
        <sz val="11"/>
        <rFont val="Arial MT"/>
        <family val="2"/>
      </rPr>
      <t>Biaya transport perjalanan dinas antar kecamatan untuk Mobil &gt;2000cc
Spesifikasi : dari Kecamatan Cibinong ke Kecamatan Cibungbulang</t>
    </r>
  </si>
  <si>
    <r>
      <rPr>
        <sz val="11"/>
        <rFont val="Arial MT"/>
        <family val="2"/>
      </rPr>
      <t>Biaya transport perjalanan dinas antar kecamatan untuk Mobil &gt;2000cc
Spesifikasi : dari Kecamatan Cibinong ke Kecamatan Cigombong</t>
    </r>
  </si>
  <si>
    <r>
      <rPr>
        <sz val="11"/>
        <rFont val="Arial MT"/>
        <family val="2"/>
      </rPr>
      <t>Biaya transport perjalanan dinas antar kecamatan untuk Mobil &gt;2000cc
Spesifikasi : dari Kecamatan Cibinong ke Kecamatan Cigudeg</t>
    </r>
  </si>
  <si>
    <r>
      <rPr>
        <sz val="11"/>
        <rFont val="Arial MT"/>
        <family val="2"/>
      </rPr>
      <t>Biaya transport perjalanan dinas antar kecamatan untuk Mobil &gt;2000cc
Spesifikasi : dari Kecamatan Cibinong ke Kecamatan Cijeruk</t>
    </r>
  </si>
  <si>
    <r>
      <rPr>
        <sz val="11"/>
        <rFont val="Arial MT"/>
        <family val="2"/>
      </rPr>
      <t>Biaya transport perjalanan dinas antar kecamatan untuk Mobil &gt;2000cc
Spesifikasi : dari Kecamatan Cibinong ke Kecamatan Cileungsi</t>
    </r>
  </si>
  <si>
    <r>
      <rPr>
        <sz val="11"/>
        <rFont val="Arial MT"/>
        <family val="2"/>
      </rPr>
      <t>Biaya transport perjalanan dinas antar kecamatan untuk Mobil &gt;2000cc
Spesifikasi : dari Kecamatan Cibinong ke Kecamatan Ciomas</t>
    </r>
  </si>
  <si>
    <r>
      <rPr>
        <sz val="11"/>
        <rFont val="Arial MT"/>
        <family val="2"/>
      </rPr>
      <t>Biaya transport perjalanan dinas antar kecamatan untuk Mobil &gt;2000cc
Spesifikasi : dari Kecamatan Cibinong ke Kecamatan Cisarua</t>
    </r>
  </si>
  <si>
    <r>
      <rPr>
        <sz val="11"/>
        <rFont val="Arial MT"/>
        <family val="2"/>
      </rPr>
      <t>Biaya transport perjalanan dinas antar kecamatan untuk Mobil &gt;2000cc
Spesifikasi : dari Kecamatan Cibinong ke Kecamatan Ciseeng</t>
    </r>
  </si>
  <si>
    <r>
      <rPr>
        <sz val="11"/>
        <rFont val="Arial MT"/>
        <family val="2"/>
      </rPr>
      <t>Biaya transport perjalanan dinas antar kecamatan untuk Mobil &gt;2000cc
Spesifikasi : dari Kecamatan Cibinong ke Kecamatan Citeureup</t>
    </r>
  </si>
  <si>
    <r>
      <rPr>
        <sz val="11"/>
        <rFont val="Arial MT"/>
        <family val="2"/>
      </rPr>
      <t>Biaya transport perjalanan dinas antar kecamatan untuk Mobil &gt;2000cc
Spesifikasi : dari Kecamatan Cibinong ke Kecamatan Dramaga</t>
    </r>
  </si>
  <si>
    <r>
      <rPr>
        <sz val="11"/>
        <rFont val="Arial MT"/>
        <family val="2"/>
      </rPr>
      <t>Biaya transport perjalanan dinas antar kecamatan untuk Mobil &gt;2000cc
Spesifikasi : dari Kecamatan Cibinong ke Kecamatan Gunungputri</t>
    </r>
  </si>
  <si>
    <r>
      <rPr>
        <sz val="11"/>
        <rFont val="Arial MT"/>
        <family val="2"/>
      </rPr>
      <t>Biaya transport perjalanan dinas antar kecamatan untuk Mobil &gt;2000cc
Spesifikasi : dari Kecamatan Cibinong ke Kecamatan Gunungsindur</t>
    </r>
  </si>
  <si>
    <r>
      <rPr>
        <sz val="11"/>
        <rFont val="Arial MT"/>
        <family val="2"/>
      </rPr>
      <t>Biaya transport perjalanan dinas antar kecamatan untuk Mobil &gt;2000cc
Spesifikasi : dari Kecamatan Cibinong ke Kecamatan Jasinga</t>
    </r>
  </si>
  <si>
    <r>
      <rPr>
        <sz val="11"/>
        <rFont val="Arial MT"/>
        <family val="2"/>
      </rPr>
      <t>Biaya transport perjalanan dinas antar kecamatan untuk Mobil &gt;2000cc
Spesifikasi : dari Kecamatan Cibinong ke Kecamatan Jonggol</t>
    </r>
  </si>
  <si>
    <r>
      <rPr>
        <sz val="11"/>
        <rFont val="Arial MT"/>
        <family val="2"/>
      </rPr>
      <t>Biaya transport perjalanan dinas antar kecamatan untuk Mobil &gt;2000cc
Spesifikasi : dari Kecamatan Cibinong ke Kecamatan Kemang</t>
    </r>
  </si>
  <si>
    <r>
      <rPr>
        <sz val="11"/>
        <rFont val="Arial MT"/>
        <family val="2"/>
      </rPr>
      <t>Biaya transport perjalanan dinas antar kecamatan untuk Mobil &gt;2000cc
Spesifikasi : dari Kecamatan Cibinong ke Kecamatan Klapanunggal</t>
    </r>
  </si>
  <si>
    <r>
      <rPr>
        <sz val="11"/>
        <rFont val="Arial MT"/>
        <family val="2"/>
      </rPr>
      <t>Biaya transport perjalanan dinas antar kecamatan untuk Mobil &gt;2000cc
Spesifikasi : dari Kecamatan Cibinong ke Kecamatan Leuwiliang</t>
    </r>
  </si>
  <si>
    <r>
      <rPr>
        <sz val="11"/>
        <rFont val="Arial MT"/>
        <family val="2"/>
      </rPr>
      <t>Biaya transport perjalanan dinas antar kecamatan untuk Mobil &gt;2000cc
Spesifikasi : dari Kecamatan Cibinong ke Kecamatan Leuwisadeng</t>
    </r>
  </si>
  <si>
    <r>
      <rPr>
        <sz val="11"/>
        <rFont val="Arial MT"/>
        <family val="2"/>
      </rPr>
      <t>Biaya transport perjalanan dinas antar kecamatan untuk Mobil &gt;2000cc
Spesifikasi : dari Kecamatan Cibinong ke Kecamatan Megamendung</t>
    </r>
  </si>
  <si>
    <r>
      <rPr>
        <sz val="11"/>
        <rFont val="Arial MT"/>
        <family val="2"/>
      </rPr>
      <t>Biaya transport perjalanan dinas antar kecamatan untuk Mobil &gt;2000cc
Spesifikasi : dari Kecamatan Cibinong ke Kecamatan Nanggung</t>
    </r>
  </si>
  <si>
    <r>
      <rPr>
        <sz val="11"/>
        <rFont val="Arial MT"/>
        <family val="2"/>
      </rPr>
      <t>Biaya transport perjalanan dinas antar kecamatan untuk Mobil &gt;2000cc
Spesifikasi : dari Kecamatan Cibinong ke Kecamatan Pamijahan</t>
    </r>
  </si>
  <si>
    <r>
      <rPr>
        <sz val="11"/>
        <rFont val="Arial MT"/>
        <family val="2"/>
      </rPr>
      <t>Biaya transport perjalanan dinas antar kecamatan untuk Mobil &gt;2000cc
Spesifikasi : dari Kecamatan Cibinong ke Kecamatan Parung</t>
    </r>
  </si>
  <si>
    <r>
      <rPr>
        <sz val="11"/>
        <rFont val="Arial MT"/>
        <family val="2"/>
      </rPr>
      <t>Biaya transport perjalanan dinas antar kecamatan untuk Mobil &gt;2000cc
Spesifikasi : dari Kecamatan Cibinong ke Kecamatan Rancabungur</t>
    </r>
  </si>
  <si>
    <r>
      <rPr>
        <sz val="11"/>
        <rFont val="Arial MT"/>
        <family val="2"/>
      </rPr>
      <t>Biaya transport perjalanan dinas antar kecamatan untuk Mobil &gt;2000cc
Spesifikasi : dari Kecamatan Cibinong ke Kecamatan Sukaraja</t>
    </r>
  </si>
  <si>
    <r>
      <rPr>
        <sz val="11"/>
        <rFont val="Arial MT"/>
        <family val="2"/>
      </rPr>
      <t>Biaya transport perjalanan dinas antar kecamatan untuk Mobil &gt;2000cc
Spesifikasi : dari Kecamatan Cibinong ke Kecamatan Tajurhalang</t>
    </r>
  </si>
  <si>
    <r>
      <rPr>
        <sz val="11"/>
        <rFont val="Arial MT"/>
        <family val="2"/>
      </rPr>
      <t>Biaya transport perjalanan dinas antar kecamatan untuk Mobil &gt;2000cc
Spesifikasi : dari Kecamatan Cibinong ke Kecamatan Tamansari</t>
    </r>
  </si>
  <si>
    <r>
      <rPr>
        <sz val="11"/>
        <rFont val="Arial MT"/>
        <family val="2"/>
      </rPr>
      <t>Biaya transport perjalanan dinas antar kecamatan untuk Mobil &gt;2000cc
Spesifikasi : dari Kecamatan Cibinong ke Kecamatan Tenjolaya</t>
    </r>
  </si>
  <si>
    <t>: 1 URUSAN PEMERINTAHAN WAJIB YANG BERKAITAN DENGAN PELAYANAN DASAR</t>
  </si>
  <si>
    <t xml:space="preserve">   : Jumlah Dokumen Hasil Pengendalian dan Pengawasan serta Tindak Lanjut Pengawasan Perizinan Apotek, Toko Obat, Toko Alat Kesehatan, dan Optikal, Usaha Mikro Obat Tradisional (UMOT)</t>
  </si>
  <si>
    <t xml:space="preserve">   : 1.02.04.2.01.0001 Pengendalian dan Pengawasan serta Tindak Lanjut Pengawasan Perizinan Apotek, Toko Obat, Toko Alat Kesehatan, dan Optikal, Usaha Mikro Obat Tradisional (UMOT)</t>
  </si>
  <si>
    <t>Uang Harian Perjalanan Dinas Dalam Daerah Spesifikasi : Perjalanan Dinas Dalam Daerah Lebih dari 8 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</si>
</sst>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0\ %"/>
    <numFmt numFmtId="165" formatCode="m\.d\.yy;@"/>
  </numFmts>
  <fonts count="17">
    <font>
      <sz val="10"/>
      <color rgb="FF000000"/>
      <name val="Times New Roman"/>
      <charset val="204"/>
    </font>
    <font>
      <b/>
      <sz val="15"/>
      <name val="Arial"/>
      <family val="2"/>
    </font>
    <font>
      <sz val="12"/>
      <name val="Arial MT"/>
    </font>
    <font>
      <sz val="9"/>
      <name val="Arial MT"/>
    </font>
    <font>
      <sz val="9"/>
      <color rgb="FF000000"/>
      <name val="Arial MT"/>
      <family val="2"/>
    </font>
    <font>
      <b/>
      <sz val="12"/>
      <name val="Arial"/>
      <family val="2"/>
    </font>
    <font>
      <sz val="12"/>
      <name val="Arial MT"/>
      <family val="2"/>
    </font>
    <font>
      <sz val="9"/>
      <name val="Arial MT"/>
      <family val="2"/>
    </font>
    <font>
      <sz val="10"/>
      <color rgb="FF000000"/>
      <name val="Times New Roman"/>
      <family val="1"/>
    </font>
    <font>
      <b/>
      <sz val="11"/>
      <name val="Arial"/>
      <family val="2"/>
      <charset val="1"/>
    </font>
    <font>
      <b/>
      <sz val="11"/>
      <name val="Arial"/>
      <family val="2"/>
    </font>
    <font>
      <b/>
      <sz val="11"/>
      <color rgb="FF000000"/>
      <name val="Arial"/>
      <family val="2"/>
      <charset val="1"/>
    </font>
    <font>
      <sz val="11"/>
      <color rgb="FF000000"/>
      <name val="Times New Roman"/>
      <family val="1"/>
    </font>
    <font>
      <sz val="11"/>
      <name val="Arial MT"/>
      <family val="2"/>
    </font>
    <font>
      <sz val="11"/>
      <name val="Arial MT"/>
      <charset val="1"/>
    </font>
    <font>
      <sz val="11"/>
      <color rgb="FF000000"/>
      <name val="Arial MT"/>
      <family val="2"/>
      <charset val="1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72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2"/>
    </xf>
    <xf numFmtId="164" fontId="4" fillId="0" borderId="1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 indent="7"/>
    </xf>
    <xf numFmtId="0" fontId="0" fillId="0" borderId="3" xfId="0" applyBorder="1" applyAlignment="1">
      <alignment horizontal="left" vertical="top" wrapText="1" indent="7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 indent="1"/>
    </xf>
    <xf numFmtId="0" fontId="3" fillId="0" borderId="4" xfId="0" applyFont="1" applyBorder="1" applyAlignment="1">
      <alignment horizontal="left" vertical="top" wrapText="1" indent="1"/>
    </xf>
    <xf numFmtId="0" fontId="3" fillId="0" borderId="3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7"/>
    </xf>
    <xf numFmtId="43" fontId="3" fillId="0" borderId="1" xfId="1" applyFont="1" applyBorder="1" applyAlignment="1">
      <alignment vertical="top" wrapText="1"/>
    </xf>
    <xf numFmtId="0" fontId="9" fillId="0" borderId="5" xfId="0" applyFont="1" applyBorder="1" applyAlignment="1">
      <alignment horizontal="left" vertical="top" wrapText="1" indent="1"/>
    </xf>
    <xf numFmtId="0" fontId="9" fillId="0" borderId="5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left" vertical="top" wrapText="1" indent="3"/>
    </xf>
    <xf numFmtId="0" fontId="9" fillId="0" borderId="6" xfId="0" applyFont="1" applyBorder="1" applyAlignment="1">
      <alignment horizontal="left" vertical="top" wrapText="1" indent="1"/>
    </xf>
    <xf numFmtId="0" fontId="9" fillId="0" borderId="6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 indent="2"/>
    </xf>
    <xf numFmtId="0" fontId="9" fillId="0" borderId="6" xfId="0" applyFont="1" applyBorder="1" applyAlignment="1">
      <alignment horizontal="left" vertical="top" wrapText="1" indent="3"/>
    </xf>
    <xf numFmtId="1" fontId="11" fillId="0" borderId="1" xfId="0" applyNumberFormat="1" applyFont="1" applyBorder="1" applyAlignment="1">
      <alignment horizontal="left" vertical="top" shrinkToFit="1"/>
    </xf>
    <xf numFmtId="0" fontId="9" fillId="0" borderId="2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44" fontId="9" fillId="0" borderId="1" xfId="0" applyNumberFormat="1" applyFont="1" applyBorder="1" applyAlignment="1">
      <alignment horizontal="right" vertical="top" wrapText="1"/>
    </xf>
    <xf numFmtId="0" fontId="9" fillId="0" borderId="1" xfId="0" applyFont="1" applyBorder="1" applyAlignment="1">
      <alignment horizontal="left" vertical="top" wrapText="1"/>
    </xf>
    <xf numFmtId="165" fontId="11" fillId="0" borderId="1" xfId="0" applyNumberFormat="1" applyFont="1" applyBorder="1" applyAlignment="1">
      <alignment horizontal="left" vertical="top" shrinkToFit="1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 indent="2"/>
    </xf>
    <xf numFmtId="0" fontId="14" fillId="0" borderId="1" xfId="0" applyFont="1" applyBorder="1" applyAlignment="1">
      <alignment horizontal="left" vertical="center" wrapText="1"/>
    </xf>
    <xf numFmtId="4" fontId="15" fillId="0" borderId="1" xfId="0" applyNumberFormat="1" applyFont="1" applyBorder="1" applyAlignment="1">
      <alignment horizontal="left" vertical="center" shrinkToFit="1"/>
    </xf>
    <xf numFmtId="164" fontId="15" fillId="0" borderId="1" xfId="0" applyNumberFormat="1" applyFont="1" applyBorder="1" applyAlignment="1">
      <alignment horizontal="left" vertical="center" shrinkToFit="1"/>
    </xf>
    <xf numFmtId="44" fontId="14" fillId="0" borderId="1" xfId="1" applyNumberFormat="1" applyFont="1" applyBorder="1" applyAlignment="1">
      <alignment horizontal="right" vertical="center" wrapText="1"/>
    </xf>
    <xf numFmtId="0" fontId="12" fillId="0" borderId="5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 indent="2"/>
    </xf>
    <xf numFmtId="0" fontId="12" fillId="0" borderId="7" xfId="0" applyFont="1" applyBorder="1" applyAlignment="1">
      <alignment horizontal="left" vertical="top"/>
    </xf>
    <xf numFmtId="0" fontId="12" fillId="0" borderId="4" xfId="0" applyFont="1" applyBorder="1" applyAlignment="1">
      <alignment horizontal="left" vertical="top" wrapText="1" indent="2"/>
    </xf>
    <xf numFmtId="0" fontId="14" fillId="0" borderId="2" xfId="0" applyFont="1" applyBorder="1" applyAlignment="1">
      <alignment vertical="center" wrapText="1"/>
    </xf>
    <xf numFmtId="4" fontId="15" fillId="0" borderId="2" xfId="0" applyNumberFormat="1" applyFont="1" applyBorder="1" applyAlignment="1">
      <alignment horizontal="left" vertical="center" shrinkToFit="1"/>
    </xf>
    <xf numFmtId="0" fontId="16" fillId="0" borderId="7" xfId="0" applyFont="1" applyBorder="1" applyAlignment="1">
      <alignment vertical="center" wrapText="1"/>
    </xf>
    <xf numFmtId="0" fontId="16" fillId="0" borderId="7" xfId="2" applyNumberFormat="1" applyFont="1" applyBorder="1" applyAlignment="1">
      <alignment horizontal="center" vertical="center" wrapText="1"/>
    </xf>
    <xf numFmtId="0" fontId="16" fillId="0" borderId="8" xfId="0" applyFont="1" applyBorder="1" applyAlignment="1">
      <alignment horizontal="left" vertical="top" wrapText="1" indent="2"/>
    </xf>
    <xf numFmtId="0" fontId="14" fillId="0" borderId="1" xfId="0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shrinkToFit="1"/>
    </xf>
    <xf numFmtId="1" fontId="15" fillId="0" borderId="2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 indent="2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>
      <selection activeCell="L24" sqref="L24"/>
    </sheetView>
  </sheetViews>
  <sheetFormatPr defaultRowHeight="12.75"/>
  <cols>
    <col min="1" max="1" width="32.83203125" customWidth="1"/>
    <col min="2" max="2" width="98.5" customWidth="1"/>
    <col min="3" max="3" width="16.1640625" style="66" customWidth="1"/>
    <col min="4" max="4" width="17.33203125" customWidth="1"/>
    <col min="5" max="5" width="15.1640625" customWidth="1"/>
    <col min="6" max="6" width="9.1640625" customWidth="1"/>
    <col min="7" max="7" width="24.83203125" customWidth="1"/>
  </cols>
  <sheetData>
    <row r="1" spans="1:7" ht="36" customHeight="1">
      <c r="A1" s="67" t="s">
        <v>0</v>
      </c>
      <c r="B1" s="68"/>
      <c r="C1" s="68"/>
      <c r="D1" s="69"/>
      <c r="E1" s="7" t="s">
        <v>1</v>
      </c>
      <c r="F1" s="23"/>
      <c r="G1" s="8"/>
    </row>
    <row r="2" spans="1:7" ht="17.25" customHeight="1">
      <c r="A2" s="9" t="s">
        <v>2</v>
      </c>
      <c r="B2" s="10"/>
      <c r="C2" s="10"/>
      <c r="D2" s="10"/>
      <c r="E2" s="10"/>
      <c r="F2" s="10"/>
      <c r="G2" s="11"/>
    </row>
    <row r="3" spans="1:7" ht="17.25" customHeight="1">
      <c r="A3" s="9" t="s">
        <v>3</v>
      </c>
      <c r="B3" s="10"/>
      <c r="C3" s="10"/>
      <c r="D3" s="10"/>
      <c r="E3" s="10"/>
      <c r="F3" s="10"/>
      <c r="G3" s="11"/>
    </row>
    <row r="4" spans="1:7" ht="12.75" customHeight="1">
      <c r="A4" s="3" t="s">
        <v>4</v>
      </c>
      <c r="B4" s="21" t="s">
        <v>108</v>
      </c>
      <c r="C4" s="13"/>
      <c r="D4" s="13"/>
      <c r="E4" s="13"/>
      <c r="F4" s="13"/>
      <c r="G4" s="14"/>
    </row>
    <row r="5" spans="1:7" ht="12.75" customHeight="1">
      <c r="A5" s="3" t="s">
        <v>5</v>
      </c>
      <c r="B5" s="12" t="s">
        <v>6</v>
      </c>
      <c r="C5" s="13"/>
      <c r="D5" s="13"/>
      <c r="E5" s="13"/>
      <c r="F5" s="13"/>
      <c r="G5" s="14"/>
    </row>
    <row r="6" spans="1:7" ht="12.75" customHeight="1">
      <c r="A6" s="3" t="s">
        <v>7</v>
      </c>
      <c r="B6" s="12" t="s">
        <v>8</v>
      </c>
      <c r="C6" s="13"/>
      <c r="D6" s="13"/>
      <c r="E6" s="13"/>
      <c r="F6" s="13"/>
      <c r="G6" s="14"/>
    </row>
    <row r="7" spans="1:7" ht="12.75" customHeight="1">
      <c r="A7" s="3" t="s">
        <v>9</v>
      </c>
      <c r="B7" s="12" t="s">
        <v>10</v>
      </c>
      <c r="C7" s="13"/>
      <c r="D7" s="13"/>
      <c r="E7" s="13"/>
      <c r="F7" s="13"/>
      <c r="G7" s="14"/>
    </row>
    <row r="8" spans="1:7" ht="12.75" customHeight="1">
      <c r="A8" s="3" t="s">
        <v>11</v>
      </c>
      <c r="B8" s="12" t="s">
        <v>12</v>
      </c>
      <c r="C8" s="13"/>
      <c r="D8" s="13"/>
      <c r="E8" s="13"/>
      <c r="F8" s="13"/>
      <c r="G8" s="14"/>
    </row>
    <row r="9" spans="1:7" ht="12.75" customHeight="1">
      <c r="A9" s="3" t="s">
        <v>13</v>
      </c>
      <c r="B9" s="12" t="s">
        <v>14</v>
      </c>
      <c r="C9" s="13"/>
      <c r="D9" s="13"/>
      <c r="E9" s="13"/>
      <c r="F9" s="13"/>
      <c r="G9" s="14"/>
    </row>
    <row r="10" spans="1:7" ht="12.75" customHeight="1">
      <c r="A10" s="3" t="s">
        <v>15</v>
      </c>
      <c r="B10" s="15" t="s">
        <v>16</v>
      </c>
      <c r="C10" s="16"/>
      <c r="D10" s="16"/>
      <c r="E10" s="16"/>
      <c r="F10" s="16"/>
      <c r="G10" s="17"/>
    </row>
    <row r="11" spans="1:7" ht="12.75" customHeight="1">
      <c r="A11" s="3" t="s">
        <v>17</v>
      </c>
      <c r="B11" s="12" t="s">
        <v>10</v>
      </c>
      <c r="C11" s="13"/>
      <c r="D11" s="13"/>
      <c r="E11" s="13"/>
      <c r="F11" s="13"/>
      <c r="G11" s="14"/>
    </row>
    <row r="12" spans="1:7" ht="12.75" customHeight="1">
      <c r="A12" s="3" t="s">
        <v>18</v>
      </c>
      <c r="B12" s="12" t="s">
        <v>10</v>
      </c>
      <c r="C12" s="13"/>
      <c r="D12" s="13"/>
      <c r="E12" s="13"/>
      <c r="F12" s="13"/>
      <c r="G12" s="14"/>
    </row>
    <row r="13" spans="1:7" ht="12.75" customHeight="1">
      <c r="A13" s="3" t="s">
        <v>19</v>
      </c>
      <c r="B13" s="12" t="s">
        <v>20</v>
      </c>
      <c r="C13" s="13"/>
      <c r="D13" s="13"/>
      <c r="E13" s="13"/>
      <c r="F13" s="13"/>
      <c r="G13" s="14"/>
    </row>
    <row r="14" spans="1:7" ht="12.75" customHeight="1">
      <c r="A14" s="3" t="s">
        <v>21</v>
      </c>
      <c r="B14" s="12" t="s">
        <v>22</v>
      </c>
      <c r="C14" s="13"/>
      <c r="D14" s="13"/>
      <c r="E14" s="13"/>
      <c r="F14" s="13"/>
      <c r="G14" s="14"/>
    </row>
    <row r="15" spans="1:7" ht="12.75" customHeight="1">
      <c r="A15" s="3" t="s">
        <v>23</v>
      </c>
      <c r="B15" s="12" t="s">
        <v>24</v>
      </c>
      <c r="C15" s="13"/>
      <c r="D15" s="13"/>
      <c r="E15" s="13"/>
      <c r="F15" s="13"/>
      <c r="G15" s="14"/>
    </row>
    <row r="16" spans="1:7" ht="12.75" customHeight="1">
      <c r="A16" s="3" t="s">
        <v>25</v>
      </c>
      <c r="B16" s="12" t="s">
        <v>26</v>
      </c>
      <c r="C16" s="13"/>
      <c r="D16" s="13"/>
      <c r="E16" s="13"/>
      <c r="F16" s="13"/>
      <c r="G16" s="14"/>
    </row>
    <row r="17" spans="1:7" ht="12.75" customHeight="1">
      <c r="A17" s="3" t="s">
        <v>27</v>
      </c>
      <c r="B17" s="12" t="s">
        <v>28</v>
      </c>
      <c r="C17" s="13"/>
      <c r="D17" s="13"/>
      <c r="E17" s="13"/>
      <c r="F17" s="13"/>
      <c r="G17" s="14"/>
    </row>
    <row r="18" spans="1:7" ht="12.75" customHeight="1">
      <c r="A18" s="3" t="s">
        <v>29</v>
      </c>
      <c r="B18" s="12" t="s">
        <v>30</v>
      </c>
      <c r="C18" s="13"/>
      <c r="D18" s="13"/>
      <c r="E18" s="13"/>
      <c r="F18" s="13"/>
      <c r="G18" s="14"/>
    </row>
    <row r="19" spans="1:7" ht="12.75" customHeight="1">
      <c r="A19" s="3" t="s">
        <v>31</v>
      </c>
      <c r="B19" s="21" t="str">
        <f>+": Rp."&amp;G23</f>
        <v>: Rp.104865000</v>
      </c>
      <c r="C19" s="22"/>
      <c r="D19" s="22"/>
      <c r="E19" s="13"/>
      <c r="F19" s="13"/>
      <c r="G19" s="14"/>
    </row>
    <row r="20" spans="1:7" ht="15.75" customHeight="1">
      <c r="A20" s="9" t="s">
        <v>32</v>
      </c>
      <c r="B20" s="10"/>
      <c r="C20" s="10"/>
      <c r="D20" s="10"/>
      <c r="E20" s="10"/>
      <c r="F20" s="10"/>
      <c r="G20" s="11"/>
    </row>
    <row r="21" spans="1:7" ht="17.25" customHeight="1">
      <c r="A21" s="1" t="s">
        <v>33</v>
      </c>
      <c r="B21" s="9" t="s">
        <v>34</v>
      </c>
      <c r="C21" s="10"/>
      <c r="D21" s="10"/>
      <c r="E21" s="11"/>
      <c r="F21" s="2"/>
      <c r="G21" s="5" t="s">
        <v>35</v>
      </c>
    </row>
    <row r="22" spans="1:7" ht="16.5" customHeight="1">
      <c r="A22" s="3" t="s">
        <v>36</v>
      </c>
      <c r="B22" s="15" t="s">
        <v>37</v>
      </c>
      <c r="C22" s="16"/>
      <c r="D22" s="16"/>
      <c r="E22" s="17"/>
      <c r="F22" s="4"/>
      <c r="G22" s="6">
        <v>1</v>
      </c>
    </row>
    <row r="23" spans="1:7" ht="16.5" customHeight="1">
      <c r="A23" s="3" t="s">
        <v>38</v>
      </c>
      <c r="B23" s="15" t="s">
        <v>39</v>
      </c>
      <c r="C23" s="16"/>
      <c r="D23" s="16"/>
      <c r="E23" s="17"/>
      <c r="F23" s="4"/>
      <c r="G23" s="24">
        <f>+G36</f>
        <v>104865000</v>
      </c>
    </row>
    <row r="24" spans="1:7" ht="28.5" customHeight="1">
      <c r="A24" s="3" t="s">
        <v>40</v>
      </c>
      <c r="B24" s="15" t="s">
        <v>41</v>
      </c>
      <c r="C24" s="16"/>
      <c r="D24" s="16"/>
      <c r="E24" s="17"/>
      <c r="F24" s="4"/>
      <c r="G24" s="3" t="s">
        <v>42</v>
      </c>
    </row>
    <row r="25" spans="1:7" ht="16.5" customHeight="1">
      <c r="A25" s="3" t="s">
        <v>43</v>
      </c>
      <c r="B25" s="15" t="s">
        <v>44</v>
      </c>
      <c r="C25" s="16"/>
      <c r="D25" s="16"/>
      <c r="E25" s="17"/>
      <c r="F25" s="4"/>
      <c r="G25" s="6">
        <v>0.3</v>
      </c>
    </row>
    <row r="26" spans="1:7" ht="17.25" customHeight="1">
      <c r="A26" s="9" t="s">
        <v>45</v>
      </c>
      <c r="B26" s="10"/>
      <c r="C26" s="10"/>
      <c r="D26" s="10"/>
      <c r="E26" s="10"/>
      <c r="F26" s="10"/>
      <c r="G26" s="11"/>
    </row>
    <row r="27" spans="1:7" ht="13.5" customHeight="1">
      <c r="A27" s="3" t="s">
        <v>15</v>
      </c>
      <c r="B27" s="70" t="s">
        <v>110</v>
      </c>
      <c r="C27" s="16"/>
      <c r="D27" s="16"/>
      <c r="E27" s="16"/>
      <c r="F27" s="16"/>
      <c r="G27" s="17"/>
    </row>
    <row r="28" spans="1:7" ht="13.5" customHeight="1">
      <c r="A28" s="3" t="s">
        <v>19</v>
      </c>
      <c r="B28" s="12" t="s">
        <v>20</v>
      </c>
      <c r="C28" s="13"/>
      <c r="D28" s="13"/>
      <c r="E28" s="13"/>
      <c r="F28" s="13"/>
      <c r="G28" s="14"/>
    </row>
    <row r="29" spans="1:7" ht="13.5" customHeight="1">
      <c r="A29" s="3" t="s">
        <v>21</v>
      </c>
      <c r="B29" s="12" t="s">
        <v>46</v>
      </c>
      <c r="C29" s="13"/>
      <c r="D29" s="13"/>
      <c r="E29" s="13"/>
      <c r="F29" s="13"/>
      <c r="G29" s="14"/>
    </row>
    <row r="30" spans="1:7" ht="13.5" customHeight="1">
      <c r="A30" s="3" t="s">
        <v>47</v>
      </c>
      <c r="B30" s="70" t="s">
        <v>109</v>
      </c>
      <c r="C30" s="16"/>
      <c r="D30" s="16"/>
      <c r="E30" s="16"/>
      <c r="F30" s="16"/>
      <c r="G30" s="17"/>
    </row>
    <row r="31" spans="1:7" ht="13.5" customHeight="1">
      <c r="A31" s="3" t="s">
        <v>23</v>
      </c>
      <c r="B31" s="12" t="s">
        <v>24</v>
      </c>
      <c r="C31" s="13"/>
      <c r="D31" s="13"/>
      <c r="E31" s="13"/>
      <c r="F31" s="13"/>
      <c r="G31" s="14"/>
    </row>
    <row r="32" spans="1:7" ht="13.5" customHeight="1">
      <c r="A32" s="3" t="s">
        <v>48</v>
      </c>
      <c r="B32" s="12" t="s">
        <v>49</v>
      </c>
      <c r="C32" s="13"/>
      <c r="D32" s="13"/>
      <c r="E32" s="13"/>
      <c r="F32" s="13"/>
      <c r="G32" s="14"/>
    </row>
    <row r="33" spans="1:7" ht="15.75">
      <c r="A33" s="18" t="s">
        <v>50</v>
      </c>
      <c r="B33" s="19"/>
      <c r="C33" s="19"/>
      <c r="D33" s="19"/>
      <c r="E33" s="19"/>
      <c r="F33" s="19"/>
      <c r="G33" s="20"/>
    </row>
    <row r="34" spans="1:7" ht="15">
      <c r="A34" s="25" t="s">
        <v>54</v>
      </c>
      <c r="B34" s="26" t="s">
        <v>55</v>
      </c>
      <c r="C34" s="27" t="s">
        <v>56</v>
      </c>
      <c r="D34" s="28"/>
      <c r="E34" s="28"/>
      <c r="F34" s="29"/>
      <c r="G34" s="30" t="s">
        <v>57</v>
      </c>
    </row>
    <row r="35" spans="1:7" ht="15">
      <c r="A35" s="31"/>
      <c r="B35" s="32"/>
      <c r="C35" s="33" t="s">
        <v>58</v>
      </c>
      <c r="D35" s="33" t="s">
        <v>59</v>
      </c>
      <c r="E35" s="33" t="s">
        <v>60</v>
      </c>
      <c r="F35" s="34" t="s">
        <v>61</v>
      </c>
      <c r="G35" s="35"/>
    </row>
    <row r="36" spans="1:7" ht="15">
      <c r="A36" s="36">
        <v>5</v>
      </c>
      <c r="B36" s="37" t="s">
        <v>62</v>
      </c>
      <c r="C36" s="38"/>
      <c r="D36" s="38"/>
      <c r="E36" s="38"/>
      <c r="F36" s="39"/>
      <c r="G36" s="40">
        <f>+G37</f>
        <v>104865000</v>
      </c>
    </row>
    <row r="37" spans="1:7" ht="15">
      <c r="A37" s="41" t="s">
        <v>63</v>
      </c>
      <c r="B37" s="37" t="s">
        <v>64</v>
      </c>
      <c r="C37" s="38"/>
      <c r="D37" s="38"/>
      <c r="E37" s="38"/>
      <c r="F37" s="39"/>
      <c r="G37" s="40">
        <f>+G38</f>
        <v>104865000</v>
      </c>
    </row>
    <row r="38" spans="1:7" ht="15">
      <c r="A38" s="42">
        <v>37377</v>
      </c>
      <c r="B38" s="37" t="s">
        <v>65</v>
      </c>
      <c r="C38" s="38"/>
      <c r="D38" s="38"/>
      <c r="E38" s="38"/>
      <c r="F38" s="39"/>
      <c r="G38" s="40">
        <f>+G39</f>
        <v>104865000</v>
      </c>
    </row>
    <row r="39" spans="1:7" ht="15">
      <c r="A39" s="41" t="s">
        <v>66</v>
      </c>
      <c r="B39" s="37" t="s">
        <v>67</v>
      </c>
      <c r="C39" s="38"/>
      <c r="D39" s="38"/>
      <c r="E39" s="38"/>
      <c r="F39" s="39"/>
      <c r="G39" s="40">
        <f>+G40</f>
        <v>104865000</v>
      </c>
    </row>
    <row r="40" spans="1:7" ht="15">
      <c r="A40" s="41" t="s">
        <v>68</v>
      </c>
      <c r="B40" s="37" t="s">
        <v>69</v>
      </c>
      <c r="C40" s="38"/>
      <c r="D40" s="38"/>
      <c r="E40" s="38"/>
      <c r="F40" s="39"/>
      <c r="G40" s="40">
        <f>+G41</f>
        <v>104865000</v>
      </c>
    </row>
    <row r="41" spans="1:7" ht="15">
      <c r="A41" s="41" t="s">
        <v>51</v>
      </c>
      <c r="B41" s="37" t="s">
        <v>70</v>
      </c>
      <c r="C41" s="38"/>
      <c r="D41" s="38"/>
      <c r="E41" s="38"/>
      <c r="F41" s="39"/>
      <c r="G41" s="40">
        <f>+G42</f>
        <v>104865000</v>
      </c>
    </row>
    <row r="42" spans="1:7" ht="15">
      <c r="A42" s="43"/>
      <c r="B42" s="44" t="s">
        <v>71</v>
      </c>
      <c r="C42" s="45"/>
      <c r="D42" s="45"/>
      <c r="E42" s="45"/>
      <c r="F42" s="46"/>
      <c r="G42" s="40">
        <f>+G43</f>
        <v>104865000</v>
      </c>
    </row>
    <row r="43" spans="1:7" ht="15">
      <c r="A43" s="43"/>
      <c r="B43" s="37" t="s">
        <v>72</v>
      </c>
      <c r="C43" s="38"/>
      <c r="D43" s="38"/>
      <c r="E43" s="38"/>
      <c r="F43" s="39"/>
      <c r="G43" s="40">
        <f>SUM(G44:G77)</f>
        <v>104865000</v>
      </c>
    </row>
    <row r="44" spans="1:7" ht="28.5">
      <c r="A44" s="47"/>
      <c r="B44" s="71" t="s">
        <v>111</v>
      </c>
      <c r="C44" s="63" t="s">
        <v>73</v>
      </c>
      <c r="D44" s="49" t="s">
        <v>74</v>
      </c>
      <c r="E44" s="50">
        <v>170000</v>
      </c>
      <c r="F44" s="51">
        <v>0</v>
      </c>
      <c r="G44" s="52">
        <f>+(3*82)*E44</f>
        <v>41820000</v>
      </c>
    </row>
    <row r="45" spans="1:7" ht="28.5">
      <c r="A45" s="47"/>
      <c r="B45" s="48" t="s">
        <v>75</v>
      </c>
      <c r="C45" s="64">
        <v>3</v>
      </c>
      <c r="D45" s="49" t="s">
        <v>76</v>
      </c>
      <c r="E45" s="50">
        <v>165000</v>
      </c>
      <c r="F45" s="51">
        <v>0</v>
      </c>
      <c r="G45" s="52">
        <f>+C45*E45</f>
        <v>495000</v>
      </c>
    </row>
    <row r="46" spans="1:7" ht="28.5">
      <c r="A46" s="47"/>
      <c r="B46" s="48" t="s">
        <v>77</v>
      </c>
      <c r="C46" s="64">
        <v>4</v>
      </c>
      <c r="D46" s="49" t="s">
        <v>76</v>
      </c>
      <c r="E46" s="50">
        <v>110000</v>
      </c>
      <c r="F46" s="51">
        <v>0</v>
      </c>
      <c r="G46" s="52">
        <f t="shared" ref="G46:G77" si="0">+C46*E46</f>
        <v>440000</v>
      </c>
    </row>
    <row r="47" spans="1:7" ht="28.5">
      <c r="A47" s="47"/>
      <c r="B47" s="48" t="s">
        <v>78</v>
      </c>
      <c r="C47" s="64">
        <v>2</v>
      </c>
      <c r="D47" s="49" t="s">
        <v>76</v>
      </c>
      <c r="E47" s="50">
        <v>225000</v>
      </c>
      <c r="F47" s="51">
        <v>0</v>
      </c>
      <c r="G47" s="52">
        <f t="shared" si="0"/>
        <v>450000</v>
      </c>
    </row>
    <row r="48" spans="1:7" ht="28.5">
      <c r="A48" s="47"/>
      <c r="B48" s="48" t="s">
        <v>79</v>
      </c>
      <c r="C48" s="64">
        <v>4</v>
      </c>
      <c r="D48" s="49" t="s">
        <v>76</v>
      </c>
      <c r="E48" s="50">
        <v>175000</v>
      </c>
      <c r="F48" s="51">
        <v>0</v>
      </c>
      <c r="G48" s="52">
        <f t="shared" si="0"/>
        <v>700000</v>
      </c>
    </row>
    <row r="49" spans="1:7" ht="28.5">
      <c r="A49" s="47"/>
      <c r="B49" s="48" t="s">
        <v>80</v>
      </c>
      <c r="C49" s="64">
        <v>2</v>
      </c>
      <c r="D49" s="49" t="s">
        <v>76</v>
      </c>
      <c r="E49" s="50">
        <v>215000</v>
      </c>
      <c r="F49" s="51">
        <v>0</v>
      </c>
      <c r="G49" s="52">
        <f t="shared" si="0"/>
        <v>430000</v>
      </c>
    </row>
    <row r="50" spans="1:7" ht="28.5">
      <c r="A50" s="47"/>
      <c r="B50" s="48" t="s">
        <v>81</v>
      </c>
      <c r="C50" s="64">
        <v>2</v>
      </c>
      <c r="D50" s="49" t="s">
        <v>76</v>
      </c>
      <c r="E50" s="50">
        <v>195000</v>
      </c>
      <c r="F50" s="51">
        <v>0</v>
      </c>
      <c r="G50" s="52">
        <f t="shared" si="0"/>
        <v>390000</v>
      </c>
    </row>
    <row r="51" spans="1:7" ht="28.5">
      <c r="A51" s="47"/>
      <c r="B51" s="48" t="s">
        <v>82</v>
      </c>
      <c r="C51" s="64">
        <v>2</v>
      </c>
      <c r="D51" s="49" t="s">
        <v>76</v>
      </c>
      <c r="E51" s="50">
        <v>225000</v>
      </c>
      <c r="F51" s="51">
        <v>0</v>
      </c>
      <c r="G51" s="52">
        <f t="shared" si="0"/>
        <v>450000</v>
      </c>
    </row>
    <row r="52" spans="1:7" ht="28.5">
      <c r="A52" s="47"/>
      <c r="B52" s="48" t="s">
        <v>83</v>
      </c>
      <c r="C52" s="64">
        <v>1</v>
      </c>
      <c r="D52" s="49" t="s">
        <v>76</v>
      </c>
      <c r="E52" s="50">
        <v>255000</v>
      </c>
      <c r="F52" s="51">
        <v>0</v>
      </c>
      <c r="G52" s="52">
        <f t="shared" si="0"/>
        <v>255000</v>
      </c>
    </row>
    <row r="53" spans="1:7" ht="28.5">
      <c r="A53" s="47"/>
      <c r="B53" s="48" t="s">
        <v>84</v>
      </c>
      <c r="C53" s="64">
        <v>2</v>
      </c>
      <c r="D53" s="49" t="s">
        <v>76</v>
      </c>
      <c r="E53" s="50">
        <v>195000</v>
      </c>
      <c r="F53" s="51">
        <v>0</v>
      </c>
      <c r="G53" s="52">
        <f t="shared" si="0"/>
        <v>390000</v>
      </c>
    </row>
    <row r="54" spans="1:7" ht="28.5">
      <c r="A54" s="47"/>
      <c r="B54" s="48" t="s">
        <v>85</v>
      </c>
      <c r="C54" s="64">
        <v>4</v>
      </c>
      <c r="D54" s="49" t="s">
        <v>76</v>
      </c>
      <c r="E54" s="50">
        <v>170000</v>
      </c>
      <c r="F54" s="51">
        <v>0</v>
      </c>
      <c r="G54" s="52">
        <f t="shared" si="0"/>
        <v>680000</v>
      </c>
    </row>
    <row r="55" spans="1:7" ht="28.5">
      <c r="A55" s="47"/>
      <c r="B55" s="48" t="s">
        <v>86</v>
      </c>
      <c r="C55" s="64">
        <v>2</v>
      </c>
      <c r="D55" s="49" t="s">
        <v>76</v>
      </c>
      <c r="E55" s="50">
        <v>155000</v>
      </c>
      <c r="F55" s="51">
        <v>0</v>
      </c>
      <c r="G55" s="52">
        <f t="shared" si="0"/>
        <v>310000</v>
      </c>
    </row>
    <row r="56" spans="1:7" ht="28.5">
      <c r="A56" s="47"/>
      <c r="B56" s="48" t="s">
        <v>87</v>
      </c>
      <c r="C56" s="64">
        <v>3</v>
      </c>
      <c r="D56" s="49" t="s">
        <v>76</v>
      </c>
      <c r="E56" s="50">
        <v>220000</v>
      </c>
      <c r="F56" s="51">
        <v>0</v>
      </c>
      <c r="G56" s="52">
        <f t="shared" si="0"/>
        <v>660000</v>
      </c>
    </row>
    <row r="57" spans="1:7" ht="28.5">
      <c r="A57" s="47"/>
      <c r="B57" s="48" t="s">
        <v>88</v>
      </c>
      <c r="C57" s="64">
        <v>2</v>
      </c>
      <c r="D57" s="49" t="s">
        <v>76</v>
      </c>
      <c r="E57" s="50">
        <v>170000</v>
      </c>
      <c r="F57" s="51">
        <v>0</v>
      </c>
      <c r="G57" s="52">
        <f t="shared" si="0"/>
        <v>340000</v>
      </c>
    </row>
    <row r="58" spans="1:7" ht="28.5">
      <c r="A58" s="47"/>
      <c r="B58" s="48" t="s">
        <v>89</v>
      </c>
      <c r="C58" s="64">
        <v>3</v>
      </c>
      <c r="D58" s="49" t="s">
        <v>76</v>
      </c>
      <c r="E58" s="50">
        <v>120000</v>
      </c>
      <c r="F58" s="51">
        <v>0</v>
      </c>
      <c r="G58" s="52">
        <f t="shared" si="0"/>
        <v>360000</v>
      </c>
    </row>
    <row r="59" spans="1:7" ht="28.5">
      <c r="A59" s="47"/>
      <c r="B59" s="48" t="s">
        <v>90</v>
      </c>
      <c r="C59" s="64">
        <v>2</v>
      </c>
      <c r="D59" s="49" t="s">
        <v>76</v>
      </c>
      <c r="E59" s="50">
        <v>170000</v>
      </c>
      <c r="F59" s="51">
        <v>0</v>
      </c>
      <c r="G59" s="52">
        <f t="shared" si="0"/>
        <v>340000</v>
      </c>
    </row>
    <row r="60" spans="1:7" ht="28.5">
      <c r="A60" s="47"/>
      <c r="B60" s="48" t="s">
        <v>91</v>
      </c>
      <c r="C60" s="64">
        <v>2</v>
      </c>
      <c r="D60" s="49" t="s">
        <v>76</v>
      </c>
      <c r="E60" s="50">
        <v>165000</v>
      </c>
      <c r="F60" s="51">
        <v>0</v>
      </c>
      <c r="G60" s="52">
        <f t="shared" si="0"/>
        <v>330000</v>
      </c>
    </row>
    <row r="61" spans="1:7" ht="28.5">
      <c r="A61" s="47"/>
      <c r="B61" s="48" t="s">
        <v>92</v>
      </c>
      <c r="C61" s="64">
        <v>3</v>
      </c>
      <c r="D61" s="49" t="s">
        <v>76</v>
      </c>
      <c r="E61" s="50">
        <v>175000</v>
      </c>
      <c r="F61" s="51">
        <v>0</v>
      </c>
      <c r="G61" s="52">
        <f t="shared" si="0"/>
        <v>525000</v>
      </c>
    </row>
    <row r="62" spans="1:7" ht="28.5">
      <c r="A62" s="47"/>
      <c r="B62" s="48" t="s">
        <v>93</v>
      </c>
      <c r="C62" s="64">
        <v>3</v>
      </c>
      <c r="D62" s="49" t="s">
        <v>76</v>
      </c>
      <c r="E62" s="50">
        <v>290000</v>
      </c>
      <c r="F62" s="51">
        <v>0</v>
      </c>
      <c r="G62" s="52">
        <f t="shared" si="0"/>
        <v>870000</v>
      </c>
    </row>
    <row r="63" spans="1:7" ht="28.5">
      <c r="A63" s="47"/>
      <c r="B63" s="48" t="s">
        <v>94</v>
      </c>
      <c r="C63" s="64">
        <v>3</v>
      </c>
      <c r="D63" s="49" t="s">
        <v>76</v>
      </c>
      <c r="E63" s="50">
        <v>200000</v>
      </c>
      <c r="F63" s="51">
        <v>0</v>
      </c>
      <c r="G63" s="52">
        <f t="shared" si="0"/>
        <v>600000</v>
      </c>
    </row>
    <row r="64" spans="1:7" ht="28.5">
      <c r="A64" s="47"/>
      <c r="B64" s="48" t="s">
        <v>95</v>
      </c>
      <c r="C64" s="64">
        <v>2</v>
      </c>
      <c r="D64" s="49" t="s">
        <v>76</v>
      </c>
      <c r="E64" s="50">
        <v>140000</v>
      </c>
      <c r="F64" s="51">
        <v>0</v>
      </c>
      <c r="G64" s="52">
        <f t="shared" si="0"/>
        <v>280000</v>
      </c>
    </row>
    <row r="65" spans="1:7" ht="28.5">
      <c r="A65" s="47"/>
      <c r="B65" s="48" t="s">
        <v>96</v>
      </c>
      <c r="C65" s="64">
        <v>3</v>
      </c>
      <c r="D65" s="49" t="s">
        <v>76</v>
      </c>
      <c r="E65" s="50">
        <v>150000</v>
      </c>
      <c r="F65" s="51">
        <v>0</v>
      </c>
      <c r="G65" s="52">
        <f t="shared" si="0"/>
        <v>450000</v>
      </c>
    </row>
    <row r="66" spans="1:7" ht="28.5">
      <c r="A66" s="47"/>
      <c r="B66" s="48" t="s">
        <v>97</v>
      </c>
      <c r="C66" s="64">
        <v>3</v>
      </c>
      <c r="D66" s="49" t="s">
        <v>76</v>
      </c>
      <c r="E66" s="50">
        <v>250000</v>
      </c>
      <c r="F66" s="51">
        <v>0</v>
      </c>
      <c r="G66" s="52">
        <f t="shared" si="0"/>
        <v>750000</v>
      </c>
    </row>
    <row r="67" spans="1:7" ht="28.5">
      <c r="A67" s="47"/>
      <c r="B67" s="48" t="s">
        <v>98</v>
      </c>
      <c r="C67" s="64">
        <v>2</v>
      </c>
      <c r="D67" s="49" t="s">
        <v>76</v>
      </c>
      <c r="E67" s="50">
        <v>265000</v>
      </c>
      <c r="F67" s="51">
        <v>0</v>
      </c>
      <c r="G67" s="52">
        <f t="shared" si="0"/>
        <v>530000</v>
      </c>
    </row>
    <row r="68" spans="1:7" ht="28.5">
      <c r="A68" s="47"/>
      <c r="B68" s="48" t="s">
        <v>99</v>
      </c>
      <c r="C68" s="64">
        <v>2</v>
      </c>
      <c r="D68" s="49" t="s">
        <v>76</v>
      </c>
      <c r="E68" s="50">
        <v>195000</v>
      </c>
      <c r="F68" s="51">
        <v>0</v>
      </c>
      <c r="G68" s="52">
        <f t="shared" si="0"/>
        <v>390000</v>
      </c>
    </row>
    <row r="69" spans="1:7" ht="28.5">
      <c r="A69" s="47"/>
      <c r="B69" s="48" t="s">
        <v>100</v>
      </c>
      <c r="C69" s="64">
        <v>2</v>
      </c>
      <c r="D69" s="49" t="s">
        <v>76</v>
      </c>
      <c r="E69" s="50">
        <v>305000</v>
      </c>
      <c r="F69" s="51">
        <v>0</v>
      </c>
      <c r="G69" s="52">
        <f t="shared" si="0"/>
        <v>610000</v>
      </c>
    </row>
    <row r="70" spans="1:7" ht="28.5">
      <c r="A70" s="47"/>
      <c r="B70" s="48" t="s">
        <v>101</v>
      </c>
      <c r="C70" s="64">
        <v>3</v>
      </c>
      <c r="D70" s="49" t="s">
        <v>76</v>
      </c>
      <c r="E70" s="50">
        <v>250000</v>
      </c>
      <c r="F70" s="51">
        <v>0</v>
      </c>
      <c r="G70" s="52">
        <f t="shared" si="0"/>
        <v>750000</v>
      </c>
    </row>
    <row r="71" spans="1:7" ht="28.5">
      <c r="A71" s="47"/>
      <c r="B71" s="48" t="s">
        <v>102</v>
      </c>
      <c r="C71" s="64">
        <v>4</v>
      </c>
      <c r="D71" s="49" t="s">
        <v>76</v>
      </c>
      <c r="E71" s="50">
        <v>155000</v>
      </c>
      <c r="F71" s="51">
        <v>0</v>
      </c>
      <c r="G71" s="52">
        <f t="shared" si="0"/>
        <v>620000</v>
      </c>
    </row>
    <row r="72" spans="1:7" ht="28.5">
      <c r="A72" s="47"/>
      <c r="B72" s="48" t="s">
        <v>103</v>
      </c>
      <c r="C72" s="64">
        <v>3</v>
      </c>
      <c r="D72" s="49" t="s">
        <v>76</v>
      </c>
      <c r="E72" s="50">
        <v>150000</v>
      </c>
      <c r="F72" s="51">
        <v>0</v>
      </c>
      <c r="G72" s="52">
        <f t="shared" si="0"/>
        <v>450000</v>
      </c>
    </row>
    <row r="73" spans="1:7" ht="28.5">
      <c r="A73" s="47"/>
      <c r="B73" s="48" t="s">
        <v>104</v>
      </c>
      <c r="C73" s="64">
        <v>2</v>
      </c>
      <c r="D73" s="49" t="s">
        <v>76</v>
      </c>
      <c r="E73" s="50">
        <v>145000</v>
      </c>
      <c r="F73" s="51">
        <v>0</v>
      </c>
      <c r="G73" s="52">
        <f t="shared" si="0"/>
        <v>290000</v>
      </c>
    </row>
    <row r="74" spans="1:7" ht="27" customHeight="1">
      <c r="A74" s="53"/>
      <c r="B74" s="48" t="s">
        <v>105</v>
      </c>
      <c r="C74" s="64">
        <v>3</v>
      </c>
      <c r="D74" s="49" t="s">
        <v>76</v>
      </c>
      <c r="E74" s="50">
        <v>120000</v>
      </c>
      <c r="F74" s="51">
        <v>0</v>
      </c>
      <c r="G74" s="52">
        <f t="shared" si="0"/>
        <v>360000</v>
      </c>
    </row>
    <row r="75" spans="1:7" ht="27" customHeight="1">
      <c r="A75" s="54"/>
      <c r="B75" s="55" t="s">
        <v>106</v>
      </c>
      <c r="C75" s="64">
        <v>2</v>
      </c>
      <c r="D75" s="49" t="s">
        <v>76</v>
      </c>
      <c r="E75" s="50">
        <v>195000</v>
      </c>
      <c r="F75" s="51">
        <v>0</v>
      </c>
      <c r="G75" s="52">
        <f t="shared" si="0"/>
        <v>390000</v>
      </c>
    </row>
    <row r="76" spans="1:7" ht="27" customHeight="1">
      <c r="A76" s="56"/>
      <c r="B76" s="57" t="s">
        <v>107</v>
      </c>
      <c r="C76" s="65">
        <v>2</v>
      </c>
      <c r="D76" s="58" t="s">
        <v>76</v>
      </c>
      <c r="E76" s="59">
        <v>200000</v>
      </c>
      <c r="F76" s="51">
        <v>0</v>
      </c>
      <c r="G76" s="52">
        <f t="shared" si="0"/>
        <v>400000</v>
      </c>
    </row>
    <row r="77" spans="1:7" ht="28.5">
      <c r="A77" s="60"/>
      <c r="B77" s="62" t="s">
        <v>52</v>
      </c>
      <c r="C77" s="61">
        <v>120</v>
      </c>
      <c r="D77" s="60" t="s">
        <v>53</v>
      </c>
      <c r="E77" s="59">
        <v>398000</v>
      </c>
      <c r="F77" s="51">
        <v>0</v>
      </c>
      <c r="G77" s="52">
        <f t="shared" si="0"/>
        <v>47760000</v>
      </c>
    </row>
  </sheetData>
  <mergeCells count="46">
    <mergeCell ref="A1:D1"/>
    <mergeCell ref="B41:F41"/>
    <mergeCell ref="B42:F42"/>
    <mergeCell ref="B43:F43"/>
    <mergeCell ref="B36:F36"/>
    <mergeCell ref="B37:F37"/>
    <mergeCell ref="B38:F38"/>
    <mergeCell ref="B39:F39"/>
    <mergeCell ref="B40:F40"/>
    <mergeCell ref="B30:G30"/>
    <mergeCell ref="B31:G31"/>
    <mergeCell ref="B32:G32"/>
    <mergeCell ref="A33:G33"/>
    <mergeCell ref="A34:A35"/>
    <mergeCell ref="B34:B35"/>
    <mergeCell ref="C34:F34"/>
    <mergeCell ref="G34:G35"/>
    <mergeCell ref="B25:E25"/>
    <mergeCell ref="A26:G26"/>
    <mergeCell ref="B27:G27"/>
    <mergeCell ref="B28:G28"/>
    <mergeCell ref="B29:G29"/>
    <mergeCell ref="A20:G20"/>
    <mergeCell ref="B21:E21"/>
    <mergeCell ref="B22:E22"/>
    <mergeCell ref="B23:E23"/>
    <mergeCell ref="B24:E24"/>
    <mergeCell ref="B15:G15"/>
    <mergeCell ref="B16:G16"/>
    <mergeCell ref="B17:G17"/>
    <mergeCell ref="B18:G18"/>
    <mergeCell ref="B19:G19"/>
    <mergeCell ref="B10:G10"/>
    <mergeCell ref="B11:G11"/>
    <mergeCell ref="B12:G12"/>
    <mergeCell ref="B13:G13"/>
    <mergeCell ref="B14:G14"/>
    <mergeCell ref="B5:G5"/>
    <mergeCell ref="B6:G6"/>
    <mergeCell ref="B7:G7"/>
    <mergeCell ref="B8:G8"/>
    <mergeCell ref="B9:G9"/>
    <mergeCell ref="E1:G1"/>
    <mergeCell ref="A2:G2"/>
    <mergeCell ref="A3:G3"/>
    <mergeCell ref="B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Sistem Informasi Pemerintahan Daerah - Cetak Rincian Belanja 1.02.04.2.01.0001 Pengendalian dan Pengawasan serta Tindak Lanjut Pengawasan Perizinan Apotek, Toko Obat, Toko Alat Kesehatan, dan Optikal, Usaha Mikro Obat Tradisional (UMOT)</dc:title>
  <dc:creator>SIPD</dc:creator>
  <cp:lastModifiedBy>Farmasi Kabbogor</cp:lastModifiedBy>
  <dcterms:created xsi:type="dcterms:W3CDTF">2026-02-23T06:23:26Z</dcterms:created>
  <dcterms:modified xsi:type="dcterms:W3CDTF">2026-02-23T07:53:20Z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2025-12-02T00:00:00Z</vt:filetime>
  </property>
  <property fmtid="{D5CDD505-2E9C-101B-9397-08002B2CF9AE}" pid="3" name="Creator">
    <vt:lpwstr>-</vt:lpwstr>
  </property>
  <property fmtid="{D5CDD505-2E9C-101B-9397-08002B2CF9AE}" pid="4" name="Producer">
    <vt:lpwstr>jsPDF 2.5.2</vt:lpwstr>
  </property>
  <property fmtid="{D5CDD505-2E9C-101B-9397-08002B2CF9AE}" pid="5" name="LastSaved">
    <vt:filetime>2025-12-02T00:00:00Z</vt:filetime>
  </property>
</Properties>
</file>