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NAS KESEHATAN KABUPATEN BOGOR\2027\"/>
    </mc:Choice>
  </mc:AlternateContent>
  <xr:revisionPtr revIDLastSave="0" documentId="13_ncr:1_{F8F19F9C-1591-438A-8896-91D83EFF6581}" xr6:coauthVersionLast="47" xr6:coauthVersionMax="47" xr10:uidLastSave="{00000000-0000-0000-0000-000000000000}"/>
  <bookViews>
    <workbookView xWindow="-120" yWindow="-120" windowWidth="29040" windowHeight="15840" xr2:uid="{99995273-7598-4AEC-A46A-FD281EB43430}"/>
  </bookViews>
  <sheets>
    <sheet name="PEMBANGUNAN PUSKESMAS" sheetId="3" r:id="rId1"/>
    <sheet name="PEMBANGUNAN FASKES LAINNYA" sheetId="6" r:id="rId2"/>
    <sheet name="REHAB RS" sheetId="5" r:id="rId3"/>
    <sheet name="REHAB PUSKESMAS" sheetId="4" r:id="rId4"/>
    <sheet name="ALKE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5" i="3" l="1"/>
  <c r="L34" i="5"/>
  <c r="L33" i="5"/>
  <c r="L32" i="5"/>
  <c r="G31" i="6"/>
  <c r="G32" i="6"/>
  <c r="G33" i="6"/>
  <c r="G34" i="6"/>
  <c r="G35" i="6"/>
  <c r="G50" i="6"/>
  <c r="G31" i="4"/>
  <c r="G32" i="4"/>
  <c r="G33" i="4"/>
  <c r="G34" i="4"/>
  <c r="G35" i="4"/>
  <c r="G460" i="4"/>
  <c r="G459" i="4"/>
  <c r="G458" i="4" s="1"/>
  <c r="G457" i="4" s="1"/>
  <c r="G456" i="4"/>
  <c r="G454" i="4" s="1"/>
  <c r="G455" i="4"/>
  <c r="G453" i="4"/>
  <c r="G452" i="4"/>
  <c r="G451" i="4"/>
  <c r="G449" i="4"/>
  <c r="G448" i="4"/>
  <c r="G447" i="4" s="1"/>
  <c r="G446" i="4"/>
  <c r="G445" i="4"/>
  <c r="G444" i="4"/>
  <c r="G443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3" i="4"/>
  <c r="G412" i="4"/>
  <c r="G411" i="4"/>
  <c r="J410" i="4"/>
  <c r="H410" i="4"/>
  <c r="G410" i="4"/>
  <c r="G409" i="4"/>
  <c r="G450" i="4" l="1"/>
  <c r="G414" i="4"/>
  <c r="G442" i="4"/>
  <c r="G407" i="4"/>
  <c r="G406" i="4"/>
  <c r="G403" i="4"/>
  <c r="G402" i="4"/>
  <c r="G401" i="4" s="1"/>
  <c r="G400" i="4"/>
  <c r="G399" i="4"/>
  <c r="G398" i="4"/>
  <c r="G396" i="4"/>
  <c r="G395" i="4"/>
  <c r="G393" i="4"/>
  <c r="G392" i="4"/>
  <c r="G391" i="4"/>
  <c r="G390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0" i="4"/>
  <c r="G359" i="4" s="1"/>
  <c r="G358" i="4"/>
  <c r="J357" i="4"/>
  <c r="H357" i="4"/>
  <c r="G357" i="4"/>
  <c r="G356" i="4"/>
  <c r="G354" i="4"/>
  <c r="G353" i="4"/>
  <c r="G350" i="4"/>
  <c r="G349" i="4"/>
  <c r="G347" i="4"/>
  <c r="G346" i="4"/>
  <c r="G345" i="4"/>
  <c r="G343" i="4"/>
  <c r="G342" i="4"/>
  <c r="G340" i="4"/>
  <c r="G339" i="4"/>
  <c r="G338" i="4"/>
  <c r="G337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7" i="4"/>
  <c r="G306" i="4" s="1"/>
  <c r="G305" i="4"/>
  <c r="J304" i="4"/>
  <c r="H304" i="4"/>
  <c r="G304" i="4"/>
  <c r="G303" i="4"/>
  <c r="G301" i="4"/>
  <c r="G300" i="4"/>
  <c r="G297" i="4"/>
  <c r="G296" i="4"/>
  <c r="G294" i="4"/>
  <c r="G293" i="4"/>
  <c r="G292" i="4"/>
  <c r="G290" i="4"/>
  <c r="G289" i="4"/>
  <c r="G287" i="4"/>
  <c r="G286" i="4"/>
  <c r="G285" i="4"/>
  <c r="G284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4" i="4"/>
  <c r="G253" i="4" s="1"/>
  <c r="G252" i="4"/>
  <c r="J251" i="4"/>
  <c r="H251" i="4"/>
  <c r="G251" i="4"/>
  <c r="G250" i="4"/>
  <c r="G142" i="4"/>
  <c r="G389" i="4" l="1"/>
  <c r="G408" i="4"/>
  <c r="G352" i="4"/>
  <c r="G351" i="4" s="1"/>
  <c r="G336" i="4"/>
  <c r="G348" i="4"/>
  <c r="G405" i="4"/>
  <c r="G404" i="4" s="1"/>
  <c r="G394" i="4"/>
  <c r="G397" i="4"/>
  <c r="G308" i="4"/>
  <c r="G302" i="4" s="1"/>
  <c r="G341" i="4"/>
  <c r="G361" i="4"/>
  <c r="G344" i="4"/>
  <c r="G291" i="4"/>
  <c r="G288" i="4"/>
  <c r="G255" i="4"/>
  <c r="G283" i="4"/>
  <c r="G295" i="4"/>
  <c r="G299" i="4"/>
  <c r="G298" i="4" s="1"/>
  <c r="G355" i="4" l="1"/>
  <c r="G249" i="4"/>
  <c r="L40" i="5" l="1"/>
  <c r="H42" i="5"/>
  <c r="H43" i="5"/>
  <c r="J43" i="5"/>
  <c r="J42" i="5"/>
  <c r="J44" i="5"/>
  <c r="G63" i="6" l="1"/>
  <c r="G46" i="6"/>
  <c r="G58" i="6"/>
  <c r="G93" i="6"/>
  <c r="G91" i="6"/>
  <c r="G92" i="6"/>
  <c r="G42" i="6"/>
  <c r="G40" i="6"/>
  <c r="G38" i="6"/>
  <c r="G150" i="3" l="1"/>
  <c r="F97" i="3"/>
  <c r="G101" i="3" l="1"/>
  <c r="G100" i="3"/>
  <c r="H99" i="3"/>
  <c r="G99" i="3"/>
  <c r="G97" i="3"/>
  <c r="G96" i="3"/>
  <c r="G95" i="3"/>
  <c r="G39" i="3"/>
  <c r="G98" i="3" l="1"/>
  <c r="H42" i="3" l="1"/>
  <c r="G103" i="6"/>
  <c r="G102" i="6"/>
  <c r="G101" i="6"/>
  <c r="G100" i="6"/>
  <c r="G99" i="6"/>
  <c r="G97" i="6"/>
  <c r="G96" i="6"/>
  <c r="G95" i="6"/>
  <c r="G90" i="6"/>
  <c r="G87" i="6"/>
  <c r="G86" i="6"/>
  <c r="G84" i="6"/>
  <c r="G83" i="6"/>
  <c r="G82" i="6"/>
  <c r="G80" i="6"/>
  <c r="G79" i="6"/>
  <c r="G77" i="6"/>
  <c r="G76" i="6"/>
  <c r="G75" i="6"/>
  <c r="G74" i="6"/>
  <c r="G72" i="6"/>
  <c r="G71" i="6"/>
  <c r="G70" i="6"/>
  <c r="G69" i="6"/>
  <c r="G68" i="6"/>
  <c r="G67" i="6"/>
  <c r="G66" i="6"/>
  <c r="G65" i="6"/>
  <c r="G64" i="6"/>
  <c r="G62" i="6"/>
  <c r="G61" i="6"/>
  <c r="G60" i="6"/>
  <c r="G59" i="6"/>
  <c r="G57" i="6"/>
  <c r="G56" i="6"/>
  <c r="G55" i="6"/>
  <c r="G54" i="6"/>
  <c r="G53" i="6"/>
  <c r="G52" i="6"/>
  <c r="G51" i="6"/>
  <c r="G49" i="6"/>
  <c r="G48" i="6"/>
  <c r="G47" i="6"/>
  <c r="G44" i="6"/>
  <c r="G43" i="6" s="1"/>
  <c r="L43" i="5"/>
  <c r="L93" i="5"/>
  <c r="L92" i="5"/>
  <c r="L90" i="5"/>
  <c r="L89" i="5"/>
  <c r="L88" i="5"/>
  <c r="L86" i="5"/>
  <c r="L85" i="5"/>
  <c r="L84" i="5"/>
  <c r="L83" i="5"/>
  <c r="L81" i="5"/>
  <c r="L80" i="5" s="1"/>
  <c r="L79" i="5"/>
  <c r="L78" i="5"/>
  <c r="L76" i="5"/>
  <c r="L75" i="5"/>
  <c r="L74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39" i="5"/>
  <c r="L38" i="5" s="1"/>
  <c r="L37" i="5"/>
  <c r="L36" i="5" s="1"/>
  <c r="G45" i="6" l="1"/>
  <c r="G39" i="6" s="1"/>
  <c r="G78" i="6"/>
  <c r="G89" i="6"/>
  <c r="G88" i="6" s="1"/>
  <c r="G85" i="6"/>
  <c r="G81" i="6"/>
  <c r="G73" i="6"/>
  <c r="G94" i="6"/>
  <c r="G98" i="6"/>
  <c r="L42" i="5"/>
  <c r="L44" i="5"/>
  <c r="L77" i="5"/>
  <c r="L91" i="5"/>
  <c r="L87" i="5"/>
  <c r="L82" i="5"/>
  <c r="L73" i="5"/>
  <c r="L45" i="5"/>
  <c r="G154" i="3"/>
  <c r="G153" i="3"/>
  <c r="G149" i="3"/>
  <c r="G146" i="3"/>
  <c r="G145" i="3"/>
  <c r="G143" i="3"/>
  <c r="G142" i="3"/>
  <c r="G141" i="3"/>
  <c r="G139" i="3"/>
  <c r="G138" i="3"/>
  <c r="G136" i="3"/>
  <c r="G135" i="3"/>
  <c r="G134" i="3"/>
  <c r="G133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3" i="3"/>
  <c r="G102" i="3" s="1"/>
  <c r="G93" i="3"/>
  <c r="G92" i="3"/>
  <c r="G89" i="3"/>
  <c r="G88" i="3"/>
  <c r="G86" i="3"/>
  <c r="G85" i="3"/>
  <c r="G84" i="3"/>
  <c r="G82" i="3"/>
  <c r="G81" i="3"/>
  <c r="G79" i="3"/>
  <c r="G78" i="3"/>
  <c r="G77" i="3"/>
  <c r="G76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6" i="3"/>
  <c r="G45" i="3" s="1"/>
  <c r="G44" i="3"/>
  <c r="G43" i="3"/>
  <c r="G42" i="3"/>
  <c r="G40" i="3"/>
  <c r="G38" i="3"/>
  <c r="L35" i="5" l="1"/>
  <c r="L31" i="5" s="1"/>
  <c r="M31" i="5" s="1"/>
  <c r="L41" i="5"/>
  <c r="G41" i="6"/>
  <c r="G37" i="6"/>
  <c r="G36" i="6" s="1"/>
  <c r="G152" i="3"/>
  <c r="G151" i="3" s="1"/>
  <c r="G137" i="3"/>
  <c r="G144" i="3"/>
  <c r="G140" i="3"/>
  <c r="G132" i="3"/>
  <c r="G104" i="3"/>
  <c r="G94" i="3" s="1"/>
  <c r="G148" i="3"/>
  <c r="G147" i="3" s="1"/>
  <c r="G41" i="3"/>
  <c r="G75" i="3"/>
  <c r="G80" i="3"/>
  <c r="G87" i="3"/>
  <c r="G83" i="3"/>
  <c r="G47" i="3"/>
  <c r="G91" i="3"/>
  <c r="G90" i="3" s="1"/>
  <c r="G155" i="3"/>
  <c r="G37" i="3" l="1"/>
  <c r="G36" i="3" l="1"/>
  <c r="G31" i="3" s="1"/>
  <c r="G248" i="4"/>
  <c r="G247" i="4"/>
  <c r="G244" i="4"/>
  <c r="G243" i="4"/>
  <c r="G241" i="4"/>
  <c r="G240" i="4"/>
  <c r="G239" i="4"/>
  <c r="G237" i="4"/>
  <c r="G236" i="4"/>
  <c r="G234" i="4"/>
  <c r="G233" i="4"/>
  <c r="G232" i="4"/>
  <c r="G231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1" i="4"/>
  <c r="G200" i="4" s="1"/>
  <c r="G199" i="4"/>
  <c r="J198" i="4"/>
  <c r="H198" i="4"/>
  <c r="G198" i="4"/>
  <c r="G197" i="4"/>
  <c r="G195" i="4"/>
  <c r="G194" i="4"/>
  <c r="G191" i="4"/>
  <c r="G190" i="4"/>
  <c r="G188" i="4"/>
  <c r="G187" i="4"/>
  <c r="G186" i="4"/>
  <c r="G184" i="4"/>
  <c r="G183" i="4"/>
  <c r="G181" i="4"/>
  <c r="G180" i="4"/>
  <c r="G179" i="4"/>
  <c r="G178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8" i="4"/>
  <c r="G147" i="4" s="1"/>
  <c r="G146" i="4"/>
  <c r="J145" i="4"/>
  <c r="H145" i="4"/>
  <c r="G145" i="4"/>
  <c r="G144" i="4"/>
  <c r="G141" i="4"/>
  <c r="G140" i="4" s="1"/>
  <c r="G138" i="4"/>
  <c r="G137" i="4"/>
  <c r="G135" i="4"/>
  <c r="G134" i="4"/>
  <c r="G133" i="4"/>
  <c r="G131" i="4"/>
  <c r="G130" i="4"/>
  <c r="G128" i="4"/>
  <c r="G127" i="4"/>
  <c r="G126" i="4"/>
  <c r="G125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5" i="4"/>
  <c r="G94" i="4" s="1"/>
  <c r="G93" i="4"/>
  <c r="J92" i="4"/>
  <c r="H92" i="4"/>
  <c r="G92" i="4"/>
  <c r="G91" i="4"/>
  <c r="G89" i="4"/>
  <c r="G88" i="4"/>
  <c r="G85" i="4"/>
  <c r="G84" i="4"/>
  <c r="G82" i="4"/>
  <c r="G81" i="4"/>
  <c r="G80" i="4"/>
  <c r="G78" i="4"/>
  <c r="G77" i="4"/>
  <c r="G75" i="4"/>
  <c r="G74" i="4"/>
  <c r="G73" i="4"/>
  <c r="G72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2" i="4"/>
  <c r="G41" i="4" s="1"/>
  <c r="G40" i="4"/>
  <c r="J39" i="4"/>
  <c r="H39" i="4"/>
  <c r="G39" i="4"/>
  <c r="G38" i="4"/>
  <c r="G205" i="3"/>
  <c r="G204" i="3" s="1"/>
  <c r="G203" i="3"/>
  <c r="G202" i="3" s="1"/>
  <c r="G35" i="3" l="1"/>
  <c r="G34" i="3" s="1"/>
  <c r="G33" i="3" s="1"/>
  <c r="G32" i="3" s="1"/>
  <c r="G246" i="4"/>
  <c r="G193" i="4"/>
  <c r="G238" i="4"/>
  <c r="G185" i="4"/>
  <c r="G87" i="4"/>
  <c r="G189" i="4"/>
  <c r="G230" i="4"/>
  <c r="G235" i="4"/>
  <c r="G242" i="4"/>
  <c r="G182" i="4"/>
  <c r="G177" i="4"/>
  <c r="G149" i="4"/>
  <c r="G202" i="4"/>
  <c r="G79" i="4"/>
  <c r="G124" i="4"/>
  <c r="G136" i="4"/>
  <c r="G129" i="4"/>
  <c r="G96" i="4"/>
  <c r="G132" i="4"/>
  <c r="G71" i="4"/>
  <c r="G83" i="4"/>
  <c r="G76" i="4"/>
  <c r="G43" i="4"/>
  <c r="G245" i="4"/>
  <c r="G192" i="4" l="1"/>
  <c r="G143" i="4" s="1"/>
  <c r="G196" i="4"/>
  <c r="G139" i="4"/>
  <c r="G86" i="4" l="1"/>
  <c r="G37" i="4" s="1"/>
  <c r="G90" i="4"/>
  <c r="G201" i="3"/>
  <c r="G200" i="3" s="1"/>
  <c r="G199" i="3"/>
  <c r="G198" i="3"/>
  <c r="G197" i="3"/>
  <c r="G196" i="3"/>
  <c r="G195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36" i="4" l="1"/>
  <c r="G194" i="3"/>
  <c r="H153" i="2" l="1"/>
  <c r="H152" i="2" s="1"/>
  <c r="H151" i="2"/>
  <c r="H150" i="2"/>
  <c r="H148" i="2"/>
  <c r="H147" i="2"/>
  <c r="H178" i="2"/>
  <c r="H177" i="2" s="1"/>
  <c r="H176" i="2"/>
  <c r="H175" i="2" s="1"/>
  <c r="H174" i="2"/>
  <c r="H173" i="2"/>
  <c r="H172" i="2"/>
  <c r="H171" i="2"/>
  <c r="H170" i="2"/>
  <c r="H169" i="2"/>
  <c r="H168" i="2"/>
  <c r="H166" i="2"/>
  <c r="H165" i="2" s="1"/>
  <c r="H164" i="2"/>
  <c r="H163" i="2" s="1"/>
  <c r="H162" i="2"/>
  <c r="H161" i="2" s="1"/>
  <c r="H160" i="2"/>
  <c r="H158" i="2"/>
  <c r="H157" i="2"/>
  <c r="H156" i="2"/>
  <c r="H155" i="2"/>
  <c r="H145" i="2"/>
  <c r="H144" i="2" s="1"/>
  <c r="H186" i="2"/>
  <c r="H185" i="2" s="1"/>
  <c r="H184" i="2"/>
  <c r="H183" i="2" s="1"/>
  <c r="H182" i="2"/>
  <c r="H181" i="2" s="1"/>
  <c r="H180" i="2"/>
  <c r="H179" i="2" s="1"/>
  <c r="H143" i="2"/>
  <c r="H142" i="2" s="1"/>
  <c r="H141" i="2"/>
  <c r="H140" i="2"/>
  <c r="H139" i="2"/>
  <c r="H138" i="2"/>
  <c r="H137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3" i="2"/>
  <c r="H92" i="2" s="1"/>
  <c r="H43" i="2"/>
  <c r="H42" i="2" s="1"/>
  <c r="H41" i="2"/>
  <c r="H40" i="2" s="1"/>
  <c r="H39" i="2"/>
  <c r="H38" i="2" s="1"/>
  <c r="H37" i="2"/>
  <c r="H36" i="2" s="1"/>
  <c r="H91" i="2"/>
  <c r="H89" i="2" s="1"/>
  <c r="H88" i="2"/>
  <c r="H87" i="2"/>
  <c r="H85" i="2"/>
  <c r="H84" i="2"/>
  <c r="H83" i="2"/>
  <c r="H81" i="2"/>
  <c r="H80" i="2"/>
  <c r="H78" i="2"/>
  <c r="H77" i="2"/>
  <c r="H76" i="2"/>
  <c r="H75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5" i="2"/>
  <c r="H44" i="2" s="1"/>
  <c r="H33" i="2" l="1"/>
  <c r="H82" i="2"/>
  <c r="H146" i="2"/>
  <c r="H154" i="2"/>
  <c r="H159" i="2"/>
  <c r="H46" i="2"/>
  <c r="H86" i="2"/>
  <c r="H136" i="2"/>
  <c r="H74" i="2"/>
  <c r="H95" i="2"/>
  <c r="H94" i="2" s="1"/>
  <c r="H167" i="2"/>
  <c r="H149" i="2"/>
  <c r="H79" i="2"/>
  <c r="H35" i="2"/>
  <c r="H32" i="2" l="1"/>
  <c r="H31" i="2" s="1"/>
</calcChain>
</file>

<file path=xl/sharedStrings.xml><?xml version="1.0" encoding="utf-8"?>
<sst xmlns="http://schemas.openxmlformats.org/spreadsheetml/2006/main" count="1918" uniqueCount="428">
  <si>
    <t>RINCIAN BELANJA SUB KEGIATAN</t>
  </si>
  <si>
    <t>SATUAN KERJA PERANGKAT DAERAH</t>
  </si>
  <si>
    <t>Urusan</t>
  </si>
  <si>
    <t xml:space="preserve">: </t>
  </si>
  <si>
    <t>URUSAN PEMERINTAHAN WAJIB YANG BERKAITAN DENGAN PELAYANAN DASAR</t>
  </si>
  <si>
    <t>Unit Organisasi</t>
  </si>
  <si>
    <t>DINAS KESEHATAN</t>
  </si>
  <si>
    <t>Sub Unit Organisasi</t>
  </si>
  <si>
    <t xml:space="preserve">:  </t>
  </si>
  <si>
    <t>Bidang Sumber Daya Kesehatan</t>
  </si>
  <si>
    <t>Program</t>
  </si>
  <si>
    <t>PROGRAM PEMENUHAN UPAYA KESEHATAN PERORANGAN DAN UPAYA  KESEHATAN MASYARAKAT</t>
  </si>
  <si>
    <t>Kegiatan</t>
  </si>
  <si>
    <t>Penyediaan Fasilitas Pelayanan Kesehatan untuk UKM dan UKP Kewenangan Daerah Kabupaten/Kota</t>
  </si>
  <si>
    <t>Sub Kegiatan</t>
  </si>
  <si>
    <t>Sumber Pendanaan</t>
  </si>
  <si>
    <t>PENDAPATAN ASLI DAERAH</t>
  </si>
  <si>
    <t>Lokasi Kegiatan</t>
  </si>
  <si>
    <t>Waktu Pelaksanaan</t>
  </si>
  <si>
    <t>Januari s.d Desember</t>
  </si>
  <si>
    <t>Kelompok Sasaran</t>
  </si>
  <si>
    <t xml:space="preserve">Rp. </t>
  </si>
  <si>
    <t>Indikator &amp; Tolok Ukur Kinerja Belanja</t>
  </si>
  <si>
    <t>Indikator</t>
  </si>
  <si>
    <t>Tolak Ukur Kinerja</t>
  </si>
  <si>
    <t>Target Kinerja</t>
  </si>
  <si>
    <t>Capaian Program</t>
  </si>
  <si>
    <t>Presentase ketersediaan gedung atau tempat pelayanan fasilitas kesehatan lanjutan pemerintah (rumah sakit)</t>
  </si>
  <si>
    <t>Masukan</t>
  </si>
  <si>
    <t>Dana yang dibutuhkan</t>
  </si>
  <si>
    <t>Keluaran</t>
  </si>
  <si>
    <t>Jumlah gedung rumah sakit umum daerah yang dibangun</t>
  </si>
  <si>
    <t>1 Unit</t>
  </si>
  <si>
    <t>Hasil</t>
  </si>
  <si>
    <t>Terpenuhinya fasilitas pelayanan kesehatan untuk UKM dan UKP kewenangan daerah kabupaten</t>
  </si>
  <si>
    <t>Rincian Belanja Sub Kegiatan</t>
  </si>
  <si>
    <t>Kode Rekening</t>
  </si>
  <si>
    <t>Uraian</t>
  </si>
  <si>
    <t>Rincian Perhitungan</t>
  </si>
  <si>
    <t>Koefisien</t>
  </si>
  <si>
    <t>Satuan</t>
  </si>
  <si>
    <t>Harga</t>
  </si>
  <si>
    <t>PPN</t>
  </si>
  <si>
    <t>Jumlah</t>
  </si>
  <si>
    <t>BELANJA DAERAH</t>
  </si>
  <si>
    <t>5.2</t>
  </si>
  <si>
    <t>BELANJA MODAL</t>
  </si>
  <si>
    <t>Belanja Modal Gedung dan Bangunan</t>
  </si>
  <si>
    <t>5.2.03.01</t>
  </si>
  <si>
    <t>Belanja Modal Bangunan Gedung</t>
  </si>
  <si>
    <t>5.2.03.01.01</t>
  </si>
  <si>
    <t>Belanja Modal Bangunan Gedung Tempat Kerja</t>
  </si>
  <si>
    <t>5.2.03.01.01.0006</t>
  </si>
  <si>
    <t>Paket</t>
  </si>
  <si>
    <t>Dus</t>
  </si>
  <si>
    <t>Buah</t>
  </si>
  <si>
    <t>Lusin</t>
  </si>
  <si>
    <t>Buku</t>
  </si>
  <si>
    <t>Rim</t>
  </si>
  <si>
    <t>Materai
Spesifikasi : Spesifikasi : Materai Rp. 10.000</t>
  </si>
  <si>
    <t>Pcs</t>
  </si>
  <si>
    <t>Orang/Hari</t>
  </si>
  <si>
    <t>Lembar</t>
  </si>
  <si>
    <t>Beban makanan dan minuman rapat Spesifikasi: Belanja konsumsi kegiatan rapat atau sejenisnya (makan)</t>
  </si>
  <si>
    <t>orang / kali</t>
  </si>
  <si>
    <t>Beban makanan dan minuman rapat Spesifikasi: Belanja konsumsi kegiatan rapat atau sejenisnya (Snack)</t>
  </si>
  <si>
    <t>Uang Harian Perjalanan Dinas Dalam Negeri ke Jawa Barat (luar kota)</t>
  </si>
  <si>
    <t>Jumlah 2025</t>
  </si>
  <si>
    <t>Jumlah 2026</t>
  </si>
  <si>
    <t>Foto Copy BW Volume 1 lembar ukuran F4</t>
  </si>
  <si>
    <t>Foto Copy BW Volume 1 lembar ukuran A4</t>
  </si>
  <si>
    <t>Soft Cover Warna Ukuran Dengan Ketebalan Sampai Dengan 1 (Satu) Rim</t>
  </si>
  <si>
    <t>Makanan dan minuman rapat
Spesifikasi : Belanja konsumsikegiatan rapat atau sejenisnya(snack)</t>
  </si>
  <si>
    <t>Orang/Kali</t>
  </si>
  <si>
    <t>Makanan dan minuman rapat
Spesifikasi : Belanja konsumsikegiatan rapat atau sejenisnya(makan)</t>
  </si>
  <si>
    <t>Materai</t>
  </si>
  <si>
    <t>Pack</t>
  </si>
  <si>
    <t>Stabilo Warna Hijau</t>
  </si>
  <si>
    <t>Stabilo Warna Merah Muda</t>
  </si>
  <si>
    <t>Isi staples No 10, isi 20 dus</t>
  </si>
  <si>
    <t>Spidol Papan Tulis, Warna Hitam</t>
  </si>
  <si>
    <t>Spidol Permanen, Warna Hitam</t>
  </si>
  <si>
    <t>Tinta Printer 664 Epson, warna Magenta</t>
  </si>
  <si>
    <t>Tinta Printer 664 Epson, warna biru</t>
  </si>
  <si>
    <t>Tinta Printer 664 Epson, warna hitam</t>
  </si>
  <si>
    <t>Tinta/Toner Printer	Tinta Printer Epson 664 Yellow</t>
  </si>
  <si>
    <t>Amplop, Spesifikasi :  Putih Polos, Nomor 90</t>
  </si>
  <si>
    <t>Amplop, Spesifikasi :  Putih Polos, Nomor 110</t>
  </si>
  <si>
    <t>Ballpoint, Spesifikasi :  Balliner, ukuran 0.8 mm</t>
  </si>
  <si>
    <t>Ballpoint, Spesifikasi :  Gel, ukuran 0.5 mm</t>
  </si>
  <si>
    <t>Binder Clip, Spesifikasi :  No. 105, warna hitam</t>
  </si>
  <si>
    <t>Binder Clip, Spesifikasi :  No. 107, warna hitam</t>
  </si>
  <si>
    <t>Binder Clip, Spesifikasi :  No. 260, Warna hitam</t>
  </si>
  <si>
    <t>Box File, Spesifikasi :  Bahan karton dilapisi plastik,</t>
  </si>
  <si>
    <t>Buku, Spesifikasi :  Folio bergaris, isi 100 Lembar</t>
  </si>
  <si>
    <t>Clip Paper, Spesifikasi :  Trigonal, No.1</t>
  </si>
  <si>
    <t>Clip Paper, Spesifikasi :  Trigonal, No.3</t>
  </si>
  <si>
    <t>Map, Spesifikasi :  Snelhekter, ukuran F4</t>
  </si>
  <si>
    <t>Map, Spesifikasi :  5002, isi 50 pcs</t>
  </si>
  <si>
    <t>Post It, Spesifikasi :  Sign here, isi 5 warna 50 lembar</t>
  </si>
  <si>
    <t>Post It, Spesifikasi :  Bahan kertas, isi 80 lembar 5</t>
  </si>
  <si>
    <t>Post It, Spesifikasi :  Sign here, bahan plastik, isi 140</t>
  </si>
  <si>
    <t>Stabilo, Spesifikasi :  Tube, warna hijau</t>
  </si>
  <si>
    <t>Stabilo, Spesifikasi :  Tube, warna merah muda</t>
  </si>
  <si>
    <t>Stabilo, Spesifikasi :  Tube, warna kuning</t>
  </si>
  <si>
    <t>Stabilo, Spesifikasi :  Tube, warna jingga</t>
  </si>
  <si>
    <t>Stabilo, Spesifikasi :  Pen, warna ungu</t>
  </si>
  <si>
    <t>Tipe Ex, Spesifikasi :  Correction Tape</t>
  </si>
  <si>
    <t>Lem, Spesifikasi :  Lem Stik Sedang, kemasan 21</t>
  </si>
  <si>
    <t>Isi staples, Spesifikasi :  Nomor 10, isi 20 dus</t>
  </si>
  <si>
    <t>Isi staples, Spesifikasi :  Nomor 3, isi 20 dus</t>
  </si>
  <si>
    <t>Spidol, Spesifikasi :  Whiteboard, warna hitam</t>
  </si>
  <si>
    <t>Spidol, Spesifikasi :  Permanen, warna hitam</t>
  </si>
  <si>
    <t>Foto Copy BW, Spesifikasi :  Volume 1 lembar, ukuran F4</t>
  </si>
  <si>
    <t>Soft Cover Warna
, Spesifikasi : Ukuran Dengan Ketebalan Sampai Dengan 1 (Satu) Rim</t>
  </si>
  <si>
    <t>Foto Copy BW, Spesifikasi :  Volume 1 lembar, ukuran A4</t>
  </si>
  <si>
    <t>Tinta Printer, Spesifikasi :  Epson 664, Black</t>
  </si>
  <si>
    <t>Tinta Printer, Spesifikasi :  Epson 664, Magenta</t>
  </si>
  <si>
    <t>Tinta Printer, Spesifikasi :  Epson 664, Cyan</t>
  </si>
  <si>
    <t>Tinta Printer, Spesifikasi :  Epson 664, Yellow</t>
  </si>
  <si>
    <t>Biaya transport perjalanan dinas antar kecamatan untuk Mobil &lt;2000cc, Spesifikasi : dari Cibinong ke Parung</t>
  </si>
  <si>
    <t>Biaya transport perjalanan dinas antar kecamatan untuk Mobil &gt;2000cc, Spesifikasi : dari Cibinong ke Parung</t>
  </si>
  <si>
    <t>Uang Harian Perjalanan Dinas Dalam Daerah, Spesifikasi : Perjalanan Dinas Dalam Daerah
Lebih dari 8 jam</t>
  </si>
  <si>
    <t>Orang / Hari</t>
  </si>
  <si>
    <t>Kertas HVS, Spesifikasi :  Ukuran F4 80 gram</t>
  </si>
  <si>
    <t>Kertas HVS, Spesifikasi :  Ukuran A4 80 gram</t>
  </si>
  <si>
    <t>Orang Bulan</t>
  </si>
  <si>
    <t>[-] Honorarium Tim Pelaksana Kegiatan dan Sekretariat Tim Pelaksana Kegiatan</t>
  </si>
  <si>
    <t>RINCIAN BELANJA SUB KEGIATAN SATUAN KERJA PERANGKAT DAERAH</t>
  </si>
  <si>
    <t>Urusan                                 :      1 URUSAN PEMERINTAHAN WAJIB YANG BERKAITAN DENGAN PELAYANAN DASAR</t>
  </si>
  <si>
    <t>Bidang Urusan                     :      1.02 URUSAN PEMERINTAHAN BIDANG KESEHATAN</t>
  </si>
  <si>
    <t>Unit Organisasi                    :      1.02.0.00.0.00.01.0000 DINAS KESEHATAN</t>
  </si>
  <si>
    <t>Sub Unit Organisasi            :      -</t>
  </si>
  <si>
    <t>Program                               :      1.02.02 PROGRAM PEMENUHAN UPAYA KESEHATAN PERORANGAN DAN UPAYA KESEHATAN MASYARAKAT</t>
  </si>
  <si>
    <t>Kegiatan                              :      1.02.02.2.01 Penyediaan Fasilitas Pelayanan Kesehatan untuk UKM dan UKP Kewenangan Daerah Kabupaten/Kota</t>
  </si>
  <si>
    <t>Sub Kegiatan                       :      1.02.02.2.01.0014 Pengadaan Alat Kesehatan/Alat Penunjang Medik Fasilitas Pelayanan Kesehatan</t>
  </si>
  <si>
    <t>SPM                                     :      -</t>
  </si>
  <si>
    <t>Jenis Layanan                     :      -</t>
  </si>
  <si>
    <t>Sumber Pendanaan            :      PENDAPATAN ASLI DAERAH (PAD)</t>
  </si>
  <si>
    <t>Lokasi                                  :      Kab. Bogor, Semua Kecamatan, Semua Kelurahan</t>
  </si>
  <si>
    <t>Waktu Pelaksanaan            :      Januari s.d Desember</t>
  </si>
  <si>
    <t>Kelompok Sasaran              :      Fasilitas kesehatan pemerintah Kab. Bogor</t>
  </si>
  <si>
    <t>APBD &amp; Pergeseran/Perubahan APBD</t>
  </si>
  <si>
    <t>Presentase ketersediaan alat kesehatan, alat kedokteran dan alat penunjang kesehatan di Fasilitas Kesehatan Tk.I pemerintah</t>
  </si>
  <si>
    <t>Jumlah Alat Kesehatan/Alat Penunjang Medik Fasilitas Pelayanan Kesehatan yang tersedia</t>
  </si>
  <si>
    <t>BELANJA OPERASI</t>
  </si>
  <si>
    <t>5.1.02</t>
  </si>
  <si>
    <t>Belanja Barang dan Jasa</t>
  </si>
  <si>
    <t>5.1.02.02</t>
  </si>
  <si>
    <t>Belanja Jasa</t>
  </si>
  <si>
    <t>5.1.02.01.01.0027</t>
  </si>
  <si>
    <t>Belanja Alat/Bahan untuk Kegiatan Kantor-Benda Pos</t>
  </si>
  <si>
    <t xml:space="preserve">5.1.02.01.01.0024 </t>
  </si>
  <si>
    <t>Belanja Alat/Bahan untuk Kegiatan Kantor-Alat Tulis Kantor</t>
  </si>
  <si>
    <t>Amplop Putih Polos, Nomor 90</t>
  </si>
  <si>
    <t>Amplop Putih Polos, Nomor 110</t>
  </si>
  <si>
    <t>Ballpoint Balliner, ukuran 0.8 mm</t>
  </si>
  <si>
    <t>Ballpoint Gel, ukuran 0.5 mm</t>
  </si>
  <si>
    <t>Binder Clip No. 105 warna hitam</t>
  </si>
  <si>
    <t>Binder Clip No. 107 warna hitam</t>
  </si>
  <si>
    <t>Binder Clip No. 260 warna hitam</t>
  </si>
  <si>
    <t>Box File Bahan karton dilapisi plastik, ukuran folio, lebar punggung 10 cm</t>
  </si>
  <si>
    <t>Buku Folio bergaris, isi 100 Lembar</t>
  </si>
  <si>
    <t>Clip Paper Trigonal, No.1</t>
  </si>
  <si>
    <t>Clip Paper Trigonal, No.3</t>
  </si>
  <si>
    <t>Map Snelhekter, ukuran F4</t>
  </si>
  <si>
    <t>Map 5002, isi 50 pcs</t>
  </si>
  <si>
    <t>Post It 5 Sign here, isi 5 warna 50 lembar</t>
  </si>
  <si>
    <t>Post It Bahan kertas, isi 80 lembar 5 warna</t>
  </si>
  <si>
    <t>Post It Sign here, bahan plastik, isi 140 lembar</t>
  </si>
  <si>
    <t>Stabilo Warna Kuning</t>
  </si>
  <si>
    <t>Stabilo Warna Jingga</t>
  </si>
  <si>
    <t>Stabilo Warna Ungu</t>
  </si>
  <si>
    <t>Tipe Ex Correction Tape</t>
  </si>
  <si>
    <t>Lem Lem Stik Sedang, kemasan 21 gram</t>
  </si>
  <si>
    <t>Isi staples No 20, isi 20 dus</t>
  </si>
  <si>
    <t xml:space="preserve">5.1.02.01.01.0029 </t>
  </si>
  <si>
    <t>Belanja Alat/Bahan untuk Kegiatan Kantor-Bahan Komputer</t>
  </si>
  <si>
    <t>5.1.02.01.01.0025</t>
  </si>
  <si>
    <t>Belanja Kertas dan Cover</t>
  </si>
  <si>
    <t>Kertas HVS F4 80 Grm</t>
  </si>
  <si>
    <t>Kertas HVS A4 80 grm</t>
  </si>
  <si>
    <t>5.1.02.01.01.0026</t>
  </si>
  <si>
    <t>Belanja Alat/Bahan untuk Kegiatan Kantor- Bahan Cetak</t>
  </si>
  <si>
    <t>5.1.02.01.01.0052</t>
  </si>
  <si>
    <t>Belanja Makanan dan Minuman Rapat</t>
  </si>
  <si>
    <t xml:space="preserve">5.1.02.02.01.0003 </t>
  </si>
  <si>
    <t>Honorarium Narasumber atau Pembahas, Moderator, Pembawa Acara, dan Panitia</t>
  </si>
  <si>
    <t>[-] Pertemuan Evaluasi ASPAK</t>
  </si>
  <si>
    <t>Honorarium Narasumber Profesional</t>
  </si>
  <si>
    <t>2 x 4</t>
  </si>
  <si>
    <t>Orang / Jam</t>
  </si>
  <si>
    <t>5.1.02.02.01</t>
  </si>
  <si>
    <t>Belanja Jasa Kantor</t>
  </si>
  <si>
    <t>5.1.02.02.01.0026</t>
  </si>
  <si>
    <t>Belanja Jasa Tenaga Administrasi</t>
  </si>
  <si>
    <t>Jasa Tenaga Rekruitmen S1 3 Orang x 12 Bulan</t>
  </si>
  <si>
    <t>3 x 12</t>
  </si>
  <si>
    <t>5.1.02.02.02.0006</t>
  </si>
  <si>
    <t>Belanja Iuran Jaminan Kecelakaan Kerja bagi Non ASN</t>
  </si>
  <si>
    <t>Iuran Jaminan Kecelakaan Kerja Non ASN
Spesifikasi : Iuran Jaminan Kecelakaan Kerja
Non ASN</t>
  </si>
  <si>
    <t>5.1.02.02.02.0007</t>
  </si>
  <si>
    <t>Belanja Iuran Jaminan Kematian bagi Non ASN</t>
  </si>
  <si>
    <t>Iuran Jaminan Kematian Kerja Non ASN
Spesifikasi : Iuran Jaminan Kecelakaan Kerja
Non ASN</t>
  </si>
  <si>
    <t>5.1.02.02.02.0005</t>
  </si>
  <si>
    <t>Belanja Iuran Jaminan Kesehatan bagi Non ASN</t>
  </si>
  <si>
    <t>Iuran Jaminan Kesehatan bagi Non ASN
Spesifikasi : Iuran Jaminan Kecelakaan Kerja
Non ASN</t>
  </si>
  <si>
    <t>5.1.02.02.15.0005</t>
  </si>
  <si>
    <t>Belanja Sewa Aset Tidak Berwujud-Software</t>
  </si>
  <si>
    <t>Belanja Sewa Pakai Aplikasi dan Sarana Penunjangnya</t>
  </si>
  <si>
    <t>5.1.02.04.01.0003</t>
  </si>
  <si>
    <t>Belanja Perjalanan Dinas Dalam Kota</t>
  </si>
  <si>
    <t>[-] Monitoring Evaluasi Sarana dan Prasarana Alat Kesehatan dan Monitoring Evaluasi Pendistribusian Barang</t>
  </si>
  <si>
    <t>Uang Harian Perjalanan Dinas Dalam Daerah</t>
  </si>
  <si>
    <t>Biaya transport perjalanan dinas antar kecamatan untuk Mobil &lt;2000cc dari Kecamatan dari Cibinong ke Babakan Madang</t>
  </si>
  <si>
    <t>Biaya transport perjalanan dinas antar kecamatan untuk Mobil &lt;2000cc dari Kecamatan dari Cibinong ke Bojonggede</t>
  </si>
  <si>
    <t>Biaya transport perjalanan dinas antar kecamatan untuk Mobil &lt;2000cc dari Kecamatan dari Cibinong ke Caringin</t>
  </si>
  <si>
    <t>Biaya transport perjalanan dinas antar kecamatan untuk Mobil &lt;2000cc dari Kecamatan dari Cibinong ke Cariu</t>
  </si>
  <si>
    <t>Biaya transport perjalanan dinas antar kecamatan untuk Mobil &lt;2000cc dari Kecamatan dari Cibinong ke Ciampea</t>
  </si>
  <si>
    <t>Biaya transport perjalanan dinas antar kecamatan untuk Mobil &lt;2000cc dari Kecamatan dari Cibinong ke Ciawi</t>
  </si>
  <si>
    <t>Biaya transport perjalanan dinas antar kecamatan untuk Mobil &lt;2000cc dari Kecamatan dari Cibinong ke Cibungbulang</t>
  </si>
  <si>
    <t>Biaya transport perjalanan dinas antar kecamatan untuk Mobil &lt;2000cc dari Kecamatan dari Cibinong ke Cigombong</t>
  </si>
  <si>
    <t>Biaya transport perjalanan dinas antar kecamatan untuk Mobil &lt;2000cc dari Kecamatan dari Cibinong ke Cigudeg</t>
  </si>
  <si>
    <t>Biaya transport perjalanan dinas antar kecamatan untuk Mobil &lt;2000cc dari Kecamatan dari Cibinong ke Cijeruk</t>
  </si>
  <si>
    <t>Biaya transport perjalanan dinas antar kecamatan untuk Mobil &lt;2000cc dari Kecamatan dari Cibinong ke Cileungsi</t>
  </si>
  <si>
    <t>Biaya transport perjalanan dinas antar kecamatan untuk Mobil &lt;2000cc dari Kecamatan dari Cibinong ke Ciomas</t>
  </si>
  <si>
    <t>Biaya transport perjalanan dinas antar kecamatan untuk Mobil &lt;2000cc dari Kecamatan dari Cibinong ke Cisarua</t>
  </si>
  <si>
    <t>Biaya transport perjalanan dinas antar kecamatan untuk Mobil &lt;2000cc dari Kecamatan dari Cibinong ke Ciseeng</t>
  </si>
  <si>
    <t>Biaya transport perjalanan dinas antar kecamatan untuk Mobil &lt;2000cc dari Kecamatan dari Cibinong ke Citeureup</t>
  </si>
  <si>
    <t>Biaya transport perjalanan dinas antar kecamatan untuk Mobil &lt;2000cc dari Kecamatan dari Cibinong ke Dramaga</t>
  </si>
  <si>
    <t>Biaya transport perjalanan dinas antar kecamatan untuk Mobil &lt;2000cc dari Kecamatan dari Cibinong ke Gunung Putri</t>
  </si>
  <si>
    <t>Biaya transport perjalanan dinas antar kecamatan untuk Mobil &lt;2000cc dari Kecamatan dari Cibinong ke Gunung Sindur</t>
  </si>
  <si>
    <t>Biaya transport perjalanan dinas antar kecamatan untuk Mobil &lt;2000cc dari Kecamatan dari Cibinong ke Jasinga</t>
  </si>
  <si>
    <t>Biaya transport perjalanan dinas antar kecamatan untuk Mobil &lt;2000cc dari Kecamatan dari Cibinong ke Jonggol</t>
  </si>
  <si>
    <t>Biaya transport perjalanan dinas antar kecamatan untuk Mobil &lt;2000cc dari Kecamatan dari Cibinong ke Kemang</t>
  </si>
  <si>
    <t>Biaya transport perjalanan dinas antar kecamatan untuk Mobil &lt;2000cc dari Kecamatan dari Cibinong ke Klapanunggal</t>
  </si>
  <si>
    <t>Biaya transport perjalanan dinas antar kecamatan untuk Mobil &lt;2000cc dari Kecamatan dari Cibinong ke Leuwiliang</t>
  </si>
  <si>
    <t>Biaya transport perjalanan dinas antar kecamatan untuk Mobil &lt;2000cc dari Kecamatan dari Cibinong ke Leuwisadeng</t>
  </si>
  <si>
    <t>Biaya transport perjalanan dinas antar kecamatan untuk Mobil &lt;2000cc dari Kecamatan dari Cibinong ke Megamendung</t>
  </si>
  <si>
    <t>Biaya transport perjalanan dinas antar kecamatan untuk Mobil &lt;2000cc dari Kecamatan dari Cibinong ke Nanggung</t>
  </si>
  <si>
    <t>Biaya transport perjalanan dinas antar kecamatan untuk Mobil &lt;2000cc dari Kecamatan dari Cibinong ke Pamijahan</t>
  </si>
  <si>
    <t>Biaya transport perjalanan dinas antar kecamatan untuk Mobil &lt;2000cc dari Kecamatan dari Cibinong ke Parung</t>
  </si>
  <si>
    <t>Biaya transport perjalanan dinas antar kecamatan untuk Mobil &lt;2000cc dari Kecamatan dari Cibinong ke Parung Panjang</t>
  </si>
  <si>
    <t>Biaya transport perjalanan dinas antar kecamatan untuk Mobil &lt;2000cc dari Kecamatan dari Cibinong ke Rancabungur</t>
  </si>
  <si>
    <t>Biaya transport perjalanan dinas antar kecamatan untuk Mobil &lt;2000cc dari Kecamatan dari Cibinong ke Rumpin</t>
  </si>
  <si>
    <t>Biaya transport perjalanan dinas antar kecamatan untuk Mobil &lt;2000cc dari Kecamatan dari Cibinong ke Sukajaya</t>
  </si>
  <si>
    <t>Biaya transport perjalanan dinas antar kecamatan untuk Mobil &lt;2000cc dari Kecamatan dari Cibinong ke Sukamakmur</t>
  </si>
  <si>
    <t>Biaya transport perjalanan dinas antar kecamatan untuk Mobil &lt;2000cc dari Kecamatan dari Cibinong ke Sukaraja</t>
  </si>
  <si>
    <t>Biaya transport perjalanan dinas antar kecamatan untuk Mobil &lt;2000cc dari Kecamatan dari Cibinong ke Tajurhalang</t>
  </si>
  <si>
    <t>Biaya transport perjalanan dinas antar kecamatan untuk Mobil &lt;2000cc dari Kecamatan dari Cibinong ke Tamansari</t>
  </si>
  <si>
    <t xml:space="preserve">Biaya transport perjalanan dinas antar kecamatan untuk Mobil &lt;2000cc dari Kecamatan dari Cibinong ke Tanjungsari	</t>
  </si>
  <si>
    <t>Biaya transport perjalanan dinas antar kecamatan untuk Mobil &lt;2000cc dari Kecamatan dari Cibinong ke Tenjo</t>
  </si>
  <si>
    <t>Biaya transport perjalanan dinas antar kecamatan untuk Mobil &lt;2000cc dari Kecamatan dari Cibinong ke Tenjolaya</t>
  </si>
  <si>
    <t xml:space="preserve">5.1.02.04.01.0005 </t>
  </si>
  <si>
    <t>Belanja Perjalanan Dinas Paket Meeting Luar Kota</t>
  </si>
  <si>
    <t>Biaya Transportasi Perjalanan Dinas Dalam Negeri dari Kabupaten Bogor ke Kota Bandung (one way)</t>
  </si>
  <si>
    <t>Biaya Transportasi Perjalanan Dinas Dalam Negeri dari Kabupaten Bogor ke Kota Bogor (one way)</t>
  </si>
  <si>
    <t>Uang Harian Perjalanan Dinas Dalam Negeri ke DKI Jakarta (luar kota)</t>
  </si>
  <si>
    <t>Biaya Transportasi Perjalanan Dinas Dalam Negeri dari Kabupaten Bogor ke DKI Jakarta (one way)</t>
  </si>
  <si>
    <t>5.1.02.02.01.0029</t>
  </si>
  <si>
    <t>Belanja Jasa Tenaga Ahli</t>
  </si>
  <si>
    <t>Tenaga Ahli Pendampingan/Asistensi unsur Akademisi
Spesifikasi : Pendidikan S-3</t>
  </si>
  <si>
    <t>5.2.02.07.01.0002</t>
  </si>
  <si>
    <t>Belanja Modal Alat Kedokteran Gigi</t>
  </si>
  <si>
    <t>Pengadaan Dental Unit</t>
  </si>
  <si>
    <t>Unit</t>
  </si>
  <si>
    <t xml:space="preserve">5.2.02.08.01.0055 </t>
  </si>
  <si>
    <t>Belanja Modal Laboratorium Hematologi dan Urinalisis</t>
  </si>
  <si>
    <t>Urine Analyzer
Spesifikasi : semi automated, Dimensi 300 mm x 300 mm x 180
mm, berat 6,5 kg</t>
  </si>
  <si>
    <t>5.2.02.08.01.0014</t>
  </si>
  <si>
    <t>Belanja Modal Alat Laboratorium Patologi</t>
  </si>
  <si>
    <t>Hematology Analyzer
Spesifikasi : Temperature 15°C - 30°C</t>
  </si>
  <si>
    <t xml:space="preserve">5.2.02.07.01.0016 </t>
  </si>
  <si>
    <t>Belanja Modal Alat Kedokteran Patalogi Anatomy</t>
  </si>
  <si>
    <t>Microscope
Spesifikasi : Head binocular, 360°C rotating, color temperature
6300K</t>
  </si>
  <si>
    <t xml:space="preserve">5.2.02.07.01.0014 </t>
  </si>
  <si>
    <t>Belanja Modal Alat Kedokteran Jantung</t>
  </si>
  <si>
    <t xml:space="preserve">5.2.02.08.01.0011 </t>
  </si>
  <si>
    <t>Belanja Modal Alat Laboratorium Umum</t>
  </si>
  <si>
    <t>Centrifuge</t>
  </si>
  <si>
    <t>Autoclave</t>
  </si>
  <si>
    <t>Fotometer</t>
  </si>
  <si>
    <t>5.2.02.07.01.0001</t>
  </si>
  <si>
    <t>Belanja Modal Alat Kedokteran Umum</t>
  </si>
  <si>
    <t>Examination Table
Spesifikasi : Dimensi 1860 mm x 620 mm x 750 mm</t>
  </si>
  <si>
    <t>5.2.02.07.01.0021</t>
  </si>
  <si>
    <t>Belanja Modal Alat Kedokteran Gawat Darurat</t>
  </si>
  <si>
    <t>Patien Strecher</t>
  </si>
  <si>
    <t>5.2.02.07.01.0004</t>
  </si>
  <si>
    <t>Belanja Modal Alat Kedokteran Bedah</t>
  </si>
  <si>
    <t>Emergency Trolley</t>
  </si>
  <si>
    <t xml:space="preserve">5.2.02.06.03.0047 </t>
  </si>
  <si>
    <t>Belanja Modal Sumber Tenaga</t>
  </si>
  <si>
    <t>Generator Set : spesifikasi Output power 50 KVA</t>
  </si>
  <si>
    <t>5.2.02.05.02.0001</t>
  </si>
  <si>
    <t>Belanja Modal Mebel</t>
  </si>
  <si>
    <t>Meja Rapat</t>
  </si>
  <si>
    <t>Kursi Kerja</t>
  </si>
  <si>
    <t>Kursi Tunggu 3 seater</t>
  </si>
  <si>
    <t>Kursi Rapat</t>
  </si>
  <si>
    <t>Meja Kerja</t>
  </si>
  <si>
    <t>Tempat Tidur
Spesifikasi : Dimensi 2190 mm x 1060 mm x 760 - 1060 mm,
manual 3 crank, beban maksimal pasien 170 kg</t>
  </si>
  <si>
    <t>Tempat Tidur
Spesifikasi : Dimensi 1700 mm x 700 mm x 100 mm, bahan
busa, untuk anak</t>
  </si>
  <si>
    <t xml:space="preserve">5.2.02.05.01.0004 </t>
  </si>
  <si>
    <t>Belanja Modal Alat Penyimpan Perlengkapan Kantor</t>
  </si>
  <si>
    <t>Lemari</t>
  </si>
  <si>
    <t>5.2.02.05.02.0004</t>
  </si>
  <si>
    <t>Belanja Modal Alat Pendingin</t>
  </si>
  <si>
    <t xml:space="preserve">Refrigerator </t>
  </si>
  <si>
    <t xml:space="preserve">Unit </t>
  </si>
  <si>
    <t>5.2.02.08.01.0012</t>
  </si>
  <si>
    <t>Belanja Modal Alat Laboratorium Mikrobiologi</t>
  </si>
  <si>
    <t>Mikropipette 10-100 ul</t>
  </si>
  <si>
    <t>Mikropipette 100-1000 ul</t>
  </si>
  <si>
    <t>5.1.02.03.02.0405</t>
  </si>
  <si>
    <t>Belanja Pemeliharaan Komputer-Komputer Unit-Personal Computer</t>
  </si>
  <si>
    <t>Pemeliharaan Komputer</t>
  </si>
  <si>
    <t>Unit/Tahun</t>
  </si>
  <si>
    <t>Pemeliharaan Notebook</t>
  </si>
  <si>
    <t xml:space="preserve">5.1.02.03.02.0409 </t>
  </si>
  <si>
    <t>Belanja Pemeliharaan Komputer-Peralatan Komputer-Peralatan Personal Computer</t>
  </si>
  <si>
    <t>Pemeliharaan Printer</t>
  </si>
  <si>
    <t>EKG Monitor</t>
  </si>
  <si>
    <t>Jumlah 2025                        :      Rp. 0,00</t>
  </si>
  <si>
    <t>Sub Kegiatan                       :      1.02.02.2.01.0002 Pembangunan Puskesmas</t>
  </si>
  <si>
    <t>Belanja Modal Bangunan Kesehatan</t>
  </si>
  <si>
    <t>5.1.02.02.05.0006</t>
  </si>
  <si>
    <t>[-] Beban Sewa Bangunan Kesehatan</t>
  </si>
  <si>
    <t>Bulan</t>
  </si>
  <si>
    <t>5.1.02.02.04.0037</t>
  </si>
  <si>
    <t>[-] Beban Sewa Kendaraan Bermotor Angkutan Barang</t>
  </si>
  <si>
    <t>Biaya Jasa Angkut</t>
  </si>
  <si>
    <t>Kali</t>
  </si>
  <si>
    <t>Honorarium tim pelaksana kegiatan (Penanggung Jawab) Spesifikasi : ditetapkan oleh Sekretaris Daerah - ASN di Luar Pemerintah Kabupaten Bogor, lintas vertikal, lembaga, kementerian, unsur desa, unsur masyarakat dan lain-lain</t>
  </si>
  <si>
    <t>Orang/Bulan</t>
  </si>
  <si>
    <r>
      <rPr>
        <sz val="9"/>
        <rFont val="Arial MT"/>
        <family val="2"/>
      </rPr>
      <t xml:space="preserve">Honorarium tim pelaksana kegiatan (Ketua) Spesifikasi : ditetapkan oleh Sekretaris
</t>
    </r>
    <r>
      <rPr>
        <sz val="9"/>
        <rFont val="Arial MT"/>
        <family val="2"/>
      </rPr>
      <t>Daerah - ASN di Luar Pemerintah Kabupaten Bogor, lintas vertikal, lembaga, kementerian, unsur desa, unsur masyarakat dan lain-lain</t>
    </r>
  </si>
  <si>
    <r>
      <rPr>
        <sz val="9"/>
        <rFont val="Arial MT"/>
        <family val="2"/>
      </rPr>
      <t xml:space="preserve">Honorarium tim pelaksana kegiatan (Anggota) Spesifikasi : ditetapkan oleh Sekretaris
</t>
    </r>
    <r>
      <rPr>
        <sz val="9"/>
        <rFont val="Arial MT"/>
        <family val="2"/>
      </rPr>
      <t>Daerah - ASN di Luar Pemerintah Kabupaten Bogor, lintas vertikal, lembaga, kementerian, unsur desa, unsur masyarakat dan lain-lain</t>
    </r>
  </si>
  <si>
    <t>Belanja Jasa Konsultansi Pengawasan Bangunan Tidak Sederhana dengan pagu pekerjaan konstruksi s.d. Rp8.250.000.000,00 Konsultansi Pengawasan tipe Bangunan Tidak Sederhana Luas /&gt; 500 m2</t>
  </si>
  <si>
    <t>1 m2 Pembangunan Gedung Puskesmas Spesifikasi : 2 lantai, luas antara 650 - 1300 m2</t>
  </si>
  <si>
    <t>M2</t>
  </si>
  <si>
    <t>Belanja Jasa Konsultan Perencana</t>
  </si>
  <si>
    <t>[ - ] Sewa Bangunan Gedung Puskesmas</t>
  </si>
  <si>
    <t>Jumlah 2025                       :      Rp. 0,00</t>
  </si>
  <si>
    <t>Sub Kegiatan                       :      1.02.02.2.01.0009 Rehabilitasi dan Pemeliharaan Puskesmas</t>
  </si>
  <si>
    <t>1 m2 Pembangunan Gedung Puskesmas Spesifikasi : 1 lantai, ≤ 650 m2</t>
  </si>
  <si>
    <t>1 x 6</t>
  </si>
  <si>
    <t>2 x 6</t>
  </si>
  <si>
    <t>10 x 6</t>
  </si>
  <si>
    <t>[-] Monitoring Evaluasi dan Monitoring Evaluasi Pembangunan</t>
  </si>
  <si>
    <t>[-] Belanja Makanan dan Minuman Rapat</t>
  </si>
  <si>
    <t>[-] Belanja Alat/Bahan untuk Kegiatan Kantor-Benda Pos</t>
  </si>
  <si>
    <t>5.1.02.01.01.0029</t>
  </si>
  <si>
    <t>[-]  Belanja Alat/Bahan untuk Kegiatan Kantor-Bahan Komputer</t>
  </si>
  <si>
    <t>[-] Belanja Alat/Bahan untuk Kegiatan Kantor- Bahan Cetak</t>
  </si>
  <si>
    <t>[-] Belanja Alat/Bahan untuk Kegiatan Kantor- Kertas dan Cover</t>
  </si>
  <si>
    <t>5.1.02.01.01.0024</t>
  </si>
  <si>
    <t>[-] Belanja Alat/Bahan untuk Kegiatan Kantor-Alat Tulis Kantor</t>
  </si>
  <si>
    <t xml:space="preserve"> 5.1.02.04.01.0003</t>
  </si>
  <si>
    <t>[-]  Belanja Perjalanan Dinas Dalam Kota</t>
  </si>
  <si>
    <t>5.1.02.03.02.0020</t>
  </si>
  <si>
    <t>[-]  Belanja Pemeliharaan Alat Besar-Alat Bantu-Feeder</t>
  </si>
  <si>
    <t xml:space="preserve"> Belanja Pemeliharaan Lift/Elevator
 Spesifikasi : Jasa perawatan berkala Lift/ Elevator: 1 (satu) kali
 dalam 3 (tiga) bulan, termasuk panggilan darurat, membersihkan,
 melumasi, dan menyetel peralatan</t>
  </si>
  <si>
    <t>unit/Tahun</t>
  </si>
  <si>
    <t xml:space="preserve"> 5.1.02.03.02.0023</t>
  </si>
  <si>
    <t>[-] Belanja Pemeliharaan Alat Besar-Alat Bantu-Pompa</t>
  </si>
  <si>
    <t xml:space="preserve"> 5.1.02.03.02.0121</t>
  </si>
  <si>
    <t>[-]  Belanja Pemeliharaan Alat Kantor dan Rumah Tangga-Alat Rumah Tangga-Alat Pendingin</t>
  </si>
  <si>
    <t xml:space="preserve"> Pemeliharaan Alat Pendingin
 Spesifikasi : Service Cuci AC System VRV - Ceiling Cassete type
 termasuk pembersihan evaporator, filter, pembersihan blower fan</t>
  </si>
  <si>
    <t>Pemeliharaan Alat Pendingin
 Spesifikasi : Service Cuci AC System VRV - indoor unit VRV (wall
 mounted) termasuk pembersihan evaporator, filter, pembersihan
 blower fan</t>
  </si>
  <si>
    <t>Pemeliharaan Alat Pendingin
 Spesifikasi : Service Cuci AC System VRV - Outdoor Unit termasuk
 pembersihan condensor, body luar dan dalam, pengecekan
 daya/tegangan, cek total Ampere, cek Ampere compressor, dan cek
 tekanan refrigerant</t>
  </si>
  <si>
    <t>#REVITALISASI PUSKESMAS SUKAMAKMUR KECAMATAN SUKAMAKMUR</t>
  </si>
  <si>
    <t>#RELOKASI PUSKESMAS CIBENING KECAMATAN PAMIJAHAN</t>
  </si>
  <si>
    <t>[-] Survey Musrenbang, Monitoring Evaluasi Pemeliharaan, Monitoring Evaluasi Puskesmas, Monitoring Penilaian Aset Bangunan Puskesmas</t>
  </si>
  <si>
    <t>5.1.02.04.001.00003</t>
  </si>
  <si>
    <t>Jumlah 2026                       :      Rp. 20.777.674.042</t>
  </si>
  <si>
    <t>Jumlah Pusat Kesehatan Masyarakat (Puskesmas) yang Dibangun</t>
  </si>
  <si>
    <t xml:space="preserve"> 2 Unit</t>
  </si>
  <si>
    <t>Meningkatnya akses pelayanan kesehatan dasar yang berkualitas bagi masyarakat</t>
  </si>
  <si>
    <t>Pemerintahan Kab. Bogor Tahun Anggaran 2027</t>
  </si>
  <si>
    <t>Jumlah 2026                       :      Rp. 7.185.770.099,-</t>
  </si>
  <si>
    <t>5.2.01.01</t>
  </si>
  <si>
    <t>5.2.01.01.001</t>
  </si>
  <si>
    <t>Belanja Modal Tanah</t>
  </si>
  <si>
    <t>Belanja Modal Tanah Persil</t>
  </si>
  <si>
    <t>Belanja Modal Tanah untuk Bangunan Tempat Kerja</t>
  </si>
  <si>
    <t>5.2.01.01.001.00004</t>
  </si>
  <si>
    <t>#Pengadaan Lahan Puskesmas Ciomas Kecamatan Cisarua</t>
  </si>
  <si>
    <t>#Pengadaan Lahan Puskesmas Cibeuteung Udik Kecamatan Ciseeng</t>
  </si>
  <si>
    <t>#Pengadaan Lahan Puskesmas Sadeng Pasar Kecamatan Leuwisadeng</t>
  </si>
  <si>
    <t>Indeks Pencapaian SPM Kesehatan (IP SPM)</t>
  </si>
  <si>
    <t>Jumlah Fasilitas Kesehatan Lainnya yang Dibangun</t>
  </si>
  <si>
    <t>Persentase puskesmas dengan SPA (Sarana Prasarana Alat Kesehatan) yang memenuhi standar</t>
  </si>
  <si>
    <t>Rehabilitasi dan Pemeliharaan Fasilitas Kesehatan Lainnya</t>
  </si>
  <si>
    <t>5.1</t>
  </si>
  <si>
    <t xml:space="preserve">5.1.02.01 </t>
  </si>
  <si>
    <t>Belanja Barang</t>
  </si>
  <si>
    <t>5.1.02.01.001</t>
  </si>
  <si>
    <t xml:space="preserve"> Belanja Barang Pakai Habis</t>
  </si>
  <si>
    <t>unit/kali</t>
  </si>
  <si>
    <t xml:space="preserve"> Pemeliharaan Mesin Pompa Air (GWT)
 Spesifikasi : Biaya pemeliharaan mesin pompa air di atas 5 tahun</t>
  </si>
  <si>
    <t xml:space="preserve"> Pemeliharaan Mesin Pompa Air (Hidran)
 Spesifikasi : Biaya pemeliharaan mesin pompa air di atas 5 tahun</t>
  </si>
  <si>
    <t>Jumlah 2027</t>
  </si>
  <si>
    <t>Rp. 210.484.000,-</t>
  </si>
  <si>
    <t>Jumlah 2027                        :      Rp. 31.134.460.000,-</t>
  </si>
  <si>
    <t>Rp. 207.390.218,-</t>
  </si>
  <si>
    <t>Jumlah 2026                        :      Rp.  5.796.101.351,-</t>
  </si>
  <si>
    <t>Jumlah 2027                        :      Rp. 12.960.185.000,-</t>
  </si>
  <si>
    <t>320 Unit</t>
  </si>
  <si>
    <t>Imuno Chemistry</t>
  </si>
  <si>
    <t>Jumlah 2027                        :      Rp. 5.845.158.000,00</t>
  </si>
  <si>
    <t>Jumlah 2026                       :      Rp. 1.845.158.000,00</t>
  </si>
  <si>
    <t>#REHABILITASI PUSKESMAS PEMBANTU MEKARJAYA KECAMATAN RUMPIN</t>
  </si>
  <si>
    <t>#REHABILITASI PUSKESMAS PEMBANTU PASIR EURIH KECAMATAN TAMANSARI</t>
  </si>
  <si>
    <t>[-] Belanja Perjalanan Dinas</t>
  </si>
  <si>
    <t>#REHABILITASI PUSKESMAS PEMBANTU PASIR TANJUNG KECAMATAN TANJUNGSARI</t>
  </si>
  <si>
    <t>#REHABILITASI PUSKESMAS PEMBANTU SUKARASA KECAMATAN TANJUNGSARI</t>
  </si>
  <si>
    <t>#REHABILITASI PUSKESMAS PEMBANTU PETIR KECAMATAN DRAMAGA</t>
  </si>
  <si>
    <t>#REHABILITASI PUSKESMAS PEMBANTU CIBATOK I KECAMATAN CIBUNGBULANG</t>
  </si>
  <si>
    <t>#REHABILITASI PUSKESMAS PEMBANTU CIKARAWANG KECAMATAN DRAMAGA</t>
  </si>
  <si>
    <t>#REHABILITASI PUSKESMAS PEMBANTU PADURENAN KECAMATAN GUNUNG SINDUR</t>
  </si>
  <si>
    <t>Rp. 5.845.158.000 ,-</t>
  </si>
  <si>
    <t>8 Unit</t>
  </si>
  <si>
    <t>Rp. 12.960.185.000 ,-</t>
  </si>
  <si>
    <t>210.484.000,-</t>
  </si>
  <si>
    <t>Jumlah 2027                       :      Rp. 3.157.552.000,-</t>
  </si>
  <si>
    <t>Rp. 31.134.460.000,-</t>
  </si>
  <si>
    <t>Rp. 3.157.552.000,-</t>
  </si>
  <si>
    <t>Pemerintah Kabupaten Bogor Tahun Anggaran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</si>
</sst>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0.0"/>
    <numFmt numFmtId="166" formatCode="m\.d\.yy;@"/>
    <numFmt numFmtId="167" formatCode="_-* #,##0.0000000_-;\-* #,##0.0000000_-;_-* &quot;-&quot;_-;_-@_-"/>
    <numFmt numFmtId="168" formatCode="0.000000000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name val="Calibri Light"/>
      <family val="2"/>
    </font>
    <font>
      <sz val="12"/>
      <name val="Calibri Light"/>
      <family val="2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name val="Arial"/>
      <family val="2"/>
    </font>
    <font>
      <sz val="11"/>
      <color rgb="FF000000"/>
      <name val="Calibri"/>
      <family val="2"/>
      <charset val="204"/>
    </font>
    <font>
      <sz val="9"/>
      <color rgb="FF000000"/>
      <name val="Arial"/>
      <family val="2"/>
    </font>
    <font>
      <sz val="11"/>
      <color rgb="FF67757C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9"/>
      <color rgb="FF181C3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0"/>
      <color theme="1"/>
      <name val="Arial MT"/>
    </font>
    <font>
      <b/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Times New Roman"/>
      <family val="1"/>
    </font>
    <font>
      <sz val="9"/>
      <name val="Arial MT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</cellStyleXfs>
  <cellXfs count="418">
    <xf numFmtId="0" fontId="0" fillId="0" borderId="0" xfId="0"/>
    <xf numFmtId="0" fontId="4" fillId="0" borderId="0" xfId="0" applyFont="1"/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5" fillId="0" borderId="12" xfId="0" applyFont="1" applyBorder="1" applyAlignment="1">
      <alignment horizontal="center" vertical="top"/>
    </xf>
    <xf numFmtId="0" fontId="6" fillId="0" borderId="12" xfId="0" applyFont="1" applyBorder="1" applyAlignment="1">
      <alignment horizontal="left" vertical="top"/>
    </xf>
    <xf numFmtId="9" fontId="6" fillId="0" borderId="12" xfId="0" applyNumberFormat="1" applyFont="1" applyBorder="1" applyAlignment="1">
      <alignment horizontal="left" vertical="top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top"/>
    </xf>
    <xf numFmtId="3" fontId="3" fillId="0" borderId="12" xfId="0" applyNumberFormat="1" applyFont="1" applyBorder="1" applyAlignment="1">
      <alignment vertical="top"/>
    </xf>
    <xf numFmtId="41" fontId="4" fillId="0" borderId="0" xfId="0" applyNumberFormat="1" applyFont="1"/>
    <xf numFmtId="0" fontId="4" fillId="2" borderId="0" xfId="0" applyFont="1" applyFill="1"/>
    <xf numFmtId="41" fontId="4" fillId="2" borderId="0" xfId="0" applyNumberFormat="1" applyFont="1" applyFill="1"/>
    <xf numFmtId="3" fontId="4" fillId="0" borderId="0" xfId="0" applyNumberFormat="1" applyFont="1"/>
    <xf numFmtId="3" fontId="7" fillId="0" borderId="0" xfId="2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3" applyNumberFormat="1" applyFont="1"/>
    <xf numFmtId="0" fontId="8" fillId="0" borderId="0" xfId="3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3" fontId="4" fillId="0" borderId="0" xfId="0" applyNumberFormat="1" applyFont="1" applyAlignment="1">
      <alignment vertical="top"/>
    </xf>
    <xf numFmtId="41" fontId="13" fillId="0" borderId="12" xfId="2" applyFont="1" applyBorder="1" applyAlignment="1">
      <alignment horizontal="center" vertical="center"/>
    </xf>
    <xf numFmtId="41" fontId="13" fillId="0" borderId="12" xfId="2" applyFont="1" applyBorder="1" applyAlignment="1">
      <alignment horizontal="center" vertical="top"/>
    </xf>
    <xf numFmtId="41" fontId="13" fillId="0" borderId="12" xfId="2" applyFont="1" applyBorder="1" applyAlignment="1">
      <alignment vertical="top"/>
    </xf>
    <xf numFmtId="41" fontId="13" fillId="0" borderId="12" xfId="2" applyFont="1" applyBorder="1" applyAlignment="1">
      <alignment horizontal="left" vertical="top"/>
    </xf>
    <xf numFmtId="41" fontId="14" fillId="2" borderId="12" xfId="2" applyFont="1" applyFill="1" applyBorder="1" applyAlignment="1">
      <alignment horizontal="center" vertical="top"/>
    </xf>
    <xf numFmtId="41" fontId="14" fillId="2" borderId="12" xfId="2" applyFont="1" applyFill="1" applyBorder="1" applyAlignment="1">
      <alignment horizontal="left" vertical="top"/>
    </xf>
    <xf numFmtId="41" fontId="14" fillId="0" borderId="12" xfId="2" applyFont="1" applyBorder="1" applyAlignment="1">
      <alignment horizontal="center" vertical="top"/>
    </xf>
    <xf numFmtId="41" fontId="14" fillId="0" borderId="12" xfId="2" applyFont="1" applyBorder="1" applyAlignment="1">
      <alignment horizontal="center" vertical="center"/>
    </xf>
    <xf numFmtId="41" fontId="14" fillId="0" borderId="12" xfId="2" applyFont="1" applyBorder="1" applyAlignment="1">
      <alignment vertical="top"/>
    </xf>
    <xf numFmtId="41" fontId="14" fillId="0" borderId="12" xfId="2" applyFont="1" applyBorder="1" applyAlignment="1">
      <alignment horizontal="left" vertical="top"/>
    </xf>
    <xf numFmtId="41" fontId="14" fillId="0" borderId="11" xfId="2" applyFont="1" applyBorder="1" applyAlignment="1">
      <alignment horizontal="center" vertical="top"/>
    </xf>
    <xf numFmtId="41" fontId="1" fillId="0" borderId="12" xfId="2" applyFont="1" applyBorder="1" applyAlignment="1">
      <alignment horizontal="left" vertical="top"/>
    </xf>
    <xf numFmtId="41" fontId="15" fillId="2" borderId="16" xfId="2" applyFont="1" applyFill="1" applyBorder="1" applyAlignment="1">
      <alignment horizontal="left" vertical="top" wrapText="1"/>
    </xf>
    <xf numFmtId="41" fontId="12" fillId="2" borderId="12" xfId="2" applyFont="1" applyFill="1" applyBorder="1" applyAlignment="1">
      <alignment horizontal="left" vertical="top"/>
    </xf>
    <xf numFmtId="41" fontId="1" fillId="0" borderId="12" xfId="2" applyFont="1" applyBorder="1" applyAlignment="1">
      <alignment horizontal="left" vertical="top" wrapText="1"/>
    </xf>
    <xf numFmtId="41" fontId="15" fillId="2" borderId="15" xfId="2" applyFont="1" applyFill="1" applyBorder="1" applyAlignment="1">
      <alignment horizontal="left" vertical="top" wrapText="1"/>
    </xf>
    <xf numFmtId="0" fontId="11" fillId="0" borderId="12" xfId="0" applyFont="1" applyBorder="1" applyAlignment="1">
      <alignment vertical="top" wrapText="1"/>
    </xf>
    <xf numFmtId="43" fontId="11" fillId="0" borderId="12" xfId="6" applyFont="1" applyBorder="1" applyAlignment="1">
      <alignment horizontal="left" vertical="top" wrapText="1"/>
    </xf>
    <xf numFmtId="41" fontId="13" fillId="2" borderId="12" xfId="2" applyFont="1" applyFill="1" applyBorder="1" applyAlignment="1">
      <alignment horizontal="left" vertical="top"/>
    </xf>
    <xf numFmtId="41" fontId="2" fillId="0" borderId="12" xfId="2" applyFont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8" fillId="2" borderId="0" xfId="0" applyFont="1" applyFill="1" applyAlignment="1">
      <alignment vertical="center"/>
    </xf>
    <xf numFmtId="0" fontId="21" fillId="2" borderId="12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left" vertical="center" wrapText="1"/>
    </xf>
    <xf numFmtId="0" fontId="23" fillId="2" borderId="10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vertical="center" wrapText="1"/>
    </xf>
    <xf numFmtId="41" fontId="23" fillId="2" borderId="12" xfId="0" applyNumberFormat="1" applyFont="1" applyFill="1" applyBorder="1" applyAlignment="1">
      <alignment horizontal="center" vertical="center"/>
    </xf>
    <xf numFmtId="41" fontId="18" fillId="2" borderId="0" xfId="0" applyNumberFormat="1" applyFont="1" applyFill="1" applyAlignment="1">
      <alignment vertical="center"/>
    </xf>
    <xf numFmtId="0" fontId="22" fillId="3" borderId="12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vertical="center" wrapText="1"/>
    </xf>
    <xf numFmtId="41" fontId="23" fillId="3" borderId="12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24" fillId="4" borderId="14" xfId="0" quotePrefix="1" applyFont="1" applyFill="1" applyBorder="1" applyAlignment="1">
      <alignment horizontal="left" vertical="center" wrapText="1"/>
    </xf>
    <xf numFmtId="0" fontId="23" fillId="4" borderId="12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left" vertical="center" wrapText="1"/>
    </xf>
    <xf numFmtId="41" fontId="23" fillId="4" borderId="12" xfId="0" applyNumberFormat="1" applyFont="1" applyFill="1" applyBorder="1" applyAlignment="1">
      <alignment horizontal="left" vertical="center"/>
    </xf>
    <xf numFmtId="0" fontId="21" fillId="4" borderId="0" xfId="0" applyFont="1" applyFill="1" applyAlignment="1">
      <alignment horizontal="left" vertical="center"/>
    </xf>
    <xf numFmtId="0" fontId="9" fillId="2" borderId="10" xfId="0" quotePrefix="1" applyFont="1" applyFill="1" applyBorder="1" applyAlignment="1">
      <alignment horizontal="left" vertical="center" wrapText="1"/>
    </xf>
    <xf numFmtId="0" fontId="9" fillId="2" borderId="14" xfId="0" quotePrefix="1" applyFont="1" applyFill="1" applyBorder="1" applyAlignment="1">
      <alignment horizontal="left" vertical="center" wrapText="1"/>
    </xf>
    <xf numFmtId="0" fontId="9" fillId="2" borderId="12" xfId="0" applyFont="1" applyFill="1" applyBorder="1" applyAlignment="1">
      <alignment horizontal="center" vertical="center" wrapText="1"/>
    </xf>
    <xf numFmtId="41" fontId="9" fillId="2" borderId="12" xfId="2" applyFont="1" applyFill="1" applyBorder="1" applyAlignment="1">
      <alignment horizontal="center" vertical="center" wrapText="1"/>
    </xf>
    <xf numFmtId="41" fontId="9" fillId="2" borderId="12" xfId="2" applyFont="1" applyFill="1" applyBorder="1" applyAlignment="1">
      <alignment horizontal="left" vertical="center" wrapText="1"/>
    </xf>
    <xf numFmtId="41" fontId="22" fillId="2" borderId="12" xfId="0" applyNumberFormat="1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1" fillId="4" borderId="14" xfId="0" quotePrefix="1" applyFont="1" applyFill="1" applyBorder="1" applyAlignment="1">
      <alignment horizontal="center" vertical="center" wrapText="1"/>
    </xf>
    <xf numFmtId="0" fontId="11" fillId="4" borderId="12" xfId="0" quotePrefix="1" applyFont="1" applyFill="1" applyBorder="1" applyAlignment="1">
      <alignment horizontal="left" vertical="center" wrapText="1"/>
    </xf>
    <xf numFmtId="41" fontId="24" fillId="4" borderId="11" xfId="0" quotePrefix="1" applyNumberFormat="1" applyFont="1" applyFill="1" applyBorder="1" applyAlignment="1">
      <alignment horizontal="left" vertical="center" wrapText="1"/>
    </xf>
    <xf numFmtId="0" fontId="18" fillId="4" borderId="0" xfId="0" applyFont="1" applyFill="1" applyAlignment="1">
      <alignment horizontal="left" vertical="center"/>
    </xf>
    <xf numFmtId="41" fontId="9" fillId="2" borderId="12" xfId="4" applyFont="1" applyFill="1" applyBorder="1" applyAlignment="1">
      <alignment horizontal="center" vertical="center" wrapText="1"/>
    </xf>
    <xf numFmtId="41" fontId="9" fillId="2" borderId="12" xfId="4" applyFont="1" applyFill="1" applyBorder="1" applyAlignment="1">
      <alignment horizontal="left" vertical="center" wrapText="1"/>
    </xf>
    <xf numFmtId="41" fontId="22" fillId="2" borderId="12" xfId="0" applyNumberFormat="1" applyFont="1" applyFill="1" applyBorder="1" applyAlignment="1">
      <alignment vertical="center"/>
    </xf>
    <xf numFmtId="41" fontId="25" fillId="4" borderId="11" xfId="0" applyNumberFormat="1" applyFont="1" applyFill="1" applyBorder="1" applyAlignment="1">
      <alignment vertical="center" wrapText="1"/>
    </xf>
    <xf numFmtId="0" fontId="18" fillId="4" borderId="0" xfId="0" applyFont="1" applyFill="1" applyAlignment="1">
      <alignment vertical="center"/>
    </xf>
    <xf numFmtId="41" fontId="23" fillId="4" borderId="12" xfId="0" applyNumberFormat="1" applyFont="1" applyFill="1" applyBorder="1" applyAlignment="1">
      <alignment vertical="center"/>
    </xf>
    <xf numFmtId="41" fontId="24" fillId="4" borderId="11" xfId="0" quotePrefix="1" applyNumberFormat="1" applyFont="1" applyFill="1" applyBorder="1" applyAlignment="1">
      <alignment vertical="center" wrapText="1"/>
    </xf>
    <xf numFmtId="0" fontId="24" fillId="4" borderId="14" xfId="0" quotePrefix="1" applyFont="1" applyFill="1" applyBorder="1" applyAlignment="1">
      <alignment vertical="center" wrapText="1"/>
    </xf>
    <xf numFmtId="0" fontId="11" fillId="4" borderId="12" xfId="0" quotePrefix="1" applyFont="1" applyFill="1" applyBorder="1" applyAlignment="1">
      <alignment vertical="center" wrapText="1"/>
    </xf>
    <xf numFmtId="41" fontId="23" fillId="4" borderId="12" xfId="0" applyNumberFormat="1" applyFont="1" applyFill="1" applyBorder="1" applyAlignment="1">
      <alignment horizontal="center" vertical="center"/>
    </xf>
    <xf numFmtId="0" fontId="21" fillId="4" borderId="0" xfId="0" applyFont="1" applyFill="1" applyAlignment="1">
      <alignment vertical="center"/>
    </xf>
    <xf numFmtId="0" fontId="24" fillId="2" borderId="10" xfId="0" quotePrefix="1" applyFont="1" applyFill="1" applyBorder="1" applyAlignment="1">
      <alignment horizontal="left" vertical="center" wrapText="1"/>
    </xf>
    <xf numFmtId="0" fontId="24" fillId="2" borderId="11" xfId="0" quotePrefix="1" applyFont="1" applyFill="1" applyBorder="1" applyAlignment="1">
      <alignment horizontal="left" vertical="center" wrapText="1"/>
    </xf>
    <xf numFmtId="0" fontId="25" fillId="2" borderId="12" xfId="0" applyFont="1" applyFill="1" applyBorder="1" applyAlignment="1">
      <alignment horizontal="center" vertical="center" wrapText="1"/>
    </xf>
    <xf numFmtId="41" fontId="25" fillId="2" borderId="12" xfId="2" applyFont="1" applyFill="1" applyBorder="1" applyAlignment="1">
      <alignment horizontal="center" vertical="center" wrapText="1"/>
    </xf>
    <xf numFmtId="41" fontId="25" fillId="2" borderId="12" xfId="2" applyFont="1" applyFill="1" applyBorder="1" applyAlignment="1">
      <alignment horizontal="left" vertical="center" wrapText="1"/>
    </xf>
    <xf numFmtId="0" fontId="21" fillId="2" borderId="0" xfId="0" applyFont="1" applyFill="1" applyAlignment="1">
      <alignment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4" xfId="0" applyFont="1" applyFill="1" applyBorder="1" applyAlignment="1">
      <alignment horizontal="left" vertical="center"/>
    </xf>
    <xf numFmtId="0" fontId="22" fillId="2" borderId="12" xfId="0" applyFont="1" applyFill="1" applyBorder="1" applyAlignment="1">
      <alignment vertical="center" wrapText="1"/>
    </xf>
    <xf numFmtId="164" fontId="22" fillId="2" borderId="12" xfId="1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22" fillId="2" borderId="12" xfId="0" applyFont="1" applyFill="1" applyBorder="1" applyAlignment="1">
      <alignment horizontal="center" vertical="center" wrapText="1"/>
    </xf>
    <xf numFmtId="41" fontId="23" fillId="2" borderId="12" xfId="0" applyNumberFormat="1" applyFont="1" applyFill="1" applyBorder="1" applyAlignment="1">
      <alignment vertical="center"/>
    </xf>
    <xf numFmtId="41" fontId="23" fillId="4" borderId="11" xfId="0" applyNumberFormat="1" applyFont="1" applyFill="1" applyBorder="1" applyAlignment="1">
      <alignment horizontal="left" vertical="center"/>
    </xf>
    <xf numFmtId="41" fontId="22" fillId="2" borderId="12" xfId="2" applyFont="1" applyFill="1" applyBorder="1" applyAlignment="1">
      <alignment horizontal="center" vertical="center"/>
    </xf>
    <xf numFmtId="41" fontId="24" fillId="4" borderId="11" xfId="0" applyNumberFormat="1" applyFont="1" applyFill="1" applyBorder="1" applyAlignment="1">
      <alignment vertical="center" wrapText="1"/>
    </xf>
    <xf numFmtId="0" fontId="9" fillId="2" borderId="12" xfId="0" applyFont="1" applyFill="1" applyBorder="1" applyAlignment="1">
      <alignment horizontal="center" vertical="center"/>
    </xf>
    <xf numFmtId="41" fontId="9" fillId="2" borderId="12" xfId="0" applyNumberFormat="1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18" fillId="2" borderId="0" xfId="0" applyFont="1" applyFill="1" applyAlignment="1">
      <alignment horizontal="center" vertical="center" wrapText="1"/>
    </xf>
    <xf numFmtId="0" fontId="28" fillId="2" borderId="0" xfId="0" quotePrefix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vertical="center" wrapText="1"/>
    </xf>
    <xf numFmtId="0" fontId="18" fillId="2" borderId="9" xfId="0" applyFont="1" applyFill="1" applyBorder="1" applyAlignment="1">
      <alignment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vertical="center" wrapText="1"/>
    </xf>
    <xf numFmtId="0" fontId="18" fillId="2" borderId="12" xfId="0" applyFont="1" applyFill="1" applyBorder="1" applyAlignment="1">
      <alignment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vertical="center" wrapText="1"/>
    </xf>
    <xf numFmtId="0" fontId="17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  <xf numFmtId="0" fontId="23" fillId="5" borderId="10" xfId="0" applyFont="1" applyFill="1" applyBorder="1" applyAlignment="1">
      <alignment horizontal="left" vertical="center"/>
    </xf>
    <xf numFmtId="0" fontId="23" fillId="5" borderId="11" xfId="0" applyFont="1" applyFill="1" applyBorder="1" applyAlignment="1">
      <alignment horizontal="left" vertical="center"/>
    </xf>
    <xf numFmtId="41" fontId="23" fillId="5" borderId="12" xfId="0" applyNumberFormat="1" applyFont="1" applyFill="1" applyBorder="1" applyAlignment="1">
      <alignment horizontal="left" vertical="center"/>
    </xf>
    <xf numFmtId="0" fontId="21" fillId="5" borderId="0" xfId="0" applyFont="1" applyFill="1" applyAlignment="1">
      <alignment horizontal="left" vertical="center"/>
    </xf>
    <xf numFmtId="0" fontId="11" fillId="5" borderId="10" xfId="0" quotePrefix="1" applyFont="1" applyFill="1" applyBorder="1" applyAlignment="1">
      <alignment horizontal="left" vertical="center" wrapText="1"/>
    </xf>
    <xf numFmtId="0" fontId="11" fillId="5" borderId="14" xfId="0" quotePrefix="1" applyFont="1" applyFill="1" applyBorder="1" applyAlignment="1">
      <alignment horizontal="left" vertical="center" wrapText="1"/>
    </xf>
    <xf numFmtId="0" fontId="22" fillId="5" borderId="12" xfId="0" applyFont="1" applyFill="1" applyBorder="1" applyAlignment="1">
      <alignment horizontal="center" vertical="center"/>
    </xf>
    <xf numFmtId="41" fontId="22" fillId="5" borderId="12" xfId="0" applyNumberFormat="1" applyFont="1" applyFill="1" applyBorder="1" applyAlignment="1">
      <alignment vertical="center"/>
    </xf>
    <xf numFmtId="0" fontId="18" fillId="5" borderId="0" xfId="0" applyFont="1" applyFill="1" applyAlignment="1">
      <alignment vertical="center"/>
    </xf>
    <xf numFmtId="41" fontId="23" fillId="5" borderId="12" xfId="0" applyNumberFormat="1" applyFont="1" applyFill="1" applyBorder="1" applyAlignment="1">
      <alignment vertical="center"/>
    </xf>
    <xf numFmtId="0" fontId="11" fillId="5" borderId="10" xfId="0" applyFont="1" applyFill="1" applyBorder="1" applyAlignment="1">
      <alignment horizontal="left" vertical="center" wrapText="1"/>
    </xf>
    <xf numFmtId="0" fontId="11" fillId="5" borderId="14" xfId="0" applyFont="1" applyFill="1" applyBorder="1" applyAlignment="1">
      <alignment horizontal="left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1" fillId="5" borderId="0" xfId="0" applyFont="1" applyFill="1" applyAlignment="1">
      <alignment vertical="center"/>
    </xf>
    <xf numFmtId="0" fontId="9" fillId="5" borderId="10" xfId="0" quotePrefix="1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41" fontId="24" fillId="5" borderId="11" xfId="0" applyNumberFormat="1" applyFont="1" applyFill="1" applyBorder="1" applyAlignment="1">
      <alignment vertical="center" wrapText="1"/>
    </xf>
    <xf numFmtId="41" fontId="23" fillId="5" borderId="8" xfId="0" applyNumberFormat="1" applyFont="1" applyFill="1" applyBorder="1" applyAlignment="1">
      <alignment vertical="center"/>
    </xf>
    <xf numFmtId="0" fontId="23" fillId="5" borderId="10" xfId="0" applyFont="1" applyFill="1" applyBorder="1" applyAlignment="1">
      <alignment vertical="center"/>
    </xf>
    <xf numFmtId="0" fontId="23" fillId="5" borderId="11" xfId="0" applyFont="1" applyFill="1" applyBorder="1" applyAlignment="1">
      <alignment vertical="center"/>
    </xf>
    <xf numFmtId="0" fontId="23" fillId="5" borderId="14" xfId="0" applyFont="1" applyFill="1" applyBorder="1" applyAlignment="1">
      <alignment vertical="center"/>
    </xf>
    <xf numFmtId="0" fontId="23" fillId="5" borderId="14" xfId="0" applyFont="1" applyFill="1" applyBorder="1" applyAlignment="1">
      <alignment vertical="center" wrapText="1"/>
    </xf>
    <xf numFmtId="41" fontId="23" fillId="5" borderId="14" xfId="0" applyNumberFormat="1" applyFont="1" applyFill="1" applyBorder="1" applyAlignment="1">
      <alignment vertical="center"/>
    </xf>
    <xf numFmtId="0" fontId="22" fillId="5" borderId="10" xfId="0" applyFont="1" applyFill="1" applyBorder="1" applyAlignment="1">
      <alignment horizontal="left" vertical="center"/>
    </xf>
    <xf numFmtId="0" fontId="22" fillId="5" borderId="7" xfId="0" applyFont="1" applyFill="1" applyBorder="1" applyAlignment="1">
      <alignment horizontal="left" vertical="center"/>
    </xf>
    <xf numFmtId="41" fontId="22" fillId="5" borderId="10" xfId="2" applyFont="1" applyFill="1" applyBorder="1" applyAlignment="1">
      <alignment horizontal="left" vertical="center"/>
    </xf>
    <xf numFmtId="41" fontId="22" fillId="5" borderId="11" xfId="2" applyFont="1" applyFill="1" applyBorder="1" applyAlignment="1">
      <alignment horizontal="left" vertical="center"/>
    </xf>
    <xf numFmtId="41" fontId="11" fillId="5" borderId="12" xfId="2" applyFont="1" applyFill="1" applyBorder="1" applyAlignment="1">
      <alignment horizontal="left" vertical="center" wrapText="1"/>
    </xf>
    <xf numFmtId="41" fontId="18" fillId="5" borderId="0" xfId="2" applyFont="1" applyFill="1" applyAlignment="1">
      <alignment vertical="center"/>
    </xf>
    <xf numFmtId="0" fontId="0" fillId="0" borderId="0" xfId="0" applyAlignment="1">
      <alignment horizontal="left" vertical="top"/>
    </xf>
    <xf numFmtId="42" fontId="0" fillId="0" borderId="0" xfId="0" applyNumberFormat="1" applyAlignment="1">
      <alignment horizontal="left" vertical="top"/>
    </xf>
    <xf numFmtId="0" fontId="25" fillId="6" borderId="12" xfId="0" applyFont="1" applyFill="1" applyBorder="1" applyAlignment="1">
      <alignment horizontal="left" vertical="top" wrapText="1"/>
    </xf>
    <xf numFmtId="42" fontId="25" fillId="6" borderId="12" xfId="0" applyNumberFormat="1" applyFont="1" applyFill="1" applyBorder="1" applyAlignment="1">
      <alignment horizontal="left" vertical="top" wrapText="1" indent="2"/>
    </xf>
    <xf numFmtId="0" fontId="0" fillId="6" borderId="0" xfId="0" applyFill="1" applyAlignment="1">
      <alignment horizontal="left" vertical="top"/>
    </xf>
    <xf numFmtId="41" fontId="24" fillId="2" borderId="12" xfId="0" applyNumberFormat="1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31" fillId="2" borderId="12" xfId="0" applyFont="1" applyFill="1" applyBorder="1" applyAlignment="1">
      <alignment horizontal="center" vertical="center" wrapText="1"/>
    </xf>
    <xf numFmtId="41" fontId="22" fillId="2" borderId="12" xfId="2" applyFont="1" applyFill="1" applyBorder="1" applyAlignment="1">
      <alignment vertical="center"/>
    </xf>
    <xf numFmtId="41" fontId="11" fillId="2" borderId="12" xfId="0" applyNumberFormat="1" applyFont="1" applyFill="1" applyBorder="1" applyAlignment="1">
      <alignment horizontal="left" vertical="center" wrapText="1"/>
    </xf>
    <xf numFmtId="1" fontId="24" fillId="0" borderId="10" xfId="0" applyNumberFormat="1" applyFont="1" applyBorder="1" applyAlignment="1">
      <alignment horizontal="left" vertical="top" shrinkToFit="1"/>
    </xf>
    <xf numFmtId="165" fontId="24" fillId="0" borderId="10" xfId="0" applyNumberFormat="1" applyFont="1" applyBorder="1" applyAlignment="1">
      <alignment horizontal="left" vertical="top" shrinkToFit="1"/>
    </xf>
    <xf numFmtId="166" fontId="24" fillId="0" borderId="10" xfId="0" applyNumberFormat="1" applyFont="1" applyBorder="1" applyAlignment="1">
      <alignment horizontal="left" vertical="top" shrinkToFit="1"/>
    </xf>
    <xf numFmtId="0" fontId="25" fillId="0" borderId="10" xfId="0" applyFont="1" applyBorder="1" applyAlignment="1">
      <alignment horizontal="left" vertical="top" wrapText="1"/>
    </xf>
    <xf numFmtId="0" fontId="32" fillId="2" borderId="12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top"/>
    </xf>
    <xf numFmtId="0" fontId="34" fillId="2" borderId="12" xfId="0" applyFont="1" applyFill="1" applyBorder="1" applyAlignment="1">
      <alignment horizontal="center" vertical="center" wrapText="1"/>
    </xf>
    <xf numFmtId="41" fontId="9" fillId="2" borderId="12" xfId="2" applyFont="1" applyFill="1" applyBorder="1" applyAlignment="1">
      <alignment vertical="center" wrapText="1"/>
    </xf>
    <xf numFmtId="0" fontId="32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1" fontId="9" fillId="0" borderId="12" xfId="2" applyFont="1" applyBorder="1" applyAlignment="1">
      <alignment horizontal="center" vertical="center" wrapText="1"/>
    </xf>
    <xf numFmtId="41" fontId="9" fillId="0" borderId="12" xfId="2" applyFont="1" applyBorder="1" applyAlignment="1">
      <alignment vertical="center" wrapText="1"/>
    </xf>
    <xf numFmtId="41" fontId="11" fillId="0" borderId="12" xfId="0" applyNumberFormat="1" applyFont="1" applyBorder="1" applyAlignment="1">
      <alignment horizontal="left" vertical="center" wrapText="1"/>
    </xf>
    <xf numFmtId="41" fontId="33" fillId="0" borderId="0" xfId="2" applyFont="1" applyAlignment="1">
      <alignment vertical="center"/>
    </xf>
    <xf numFmtId="0" fontId="33" fillId="0" borderId="0" xfId="0" applyFont="1" applyAlignment="1">
      <alignment vertical="center"/>
    </xf>
    <xf numFmtId="167" fontId="33" fillId="0" borderId="0" xfId="0" applyNumberFormat="1" applyFont="1" applyAlignment="1">
      <alignment horizontal="left" vertical="top"/>
    </xf>
    <xf numFmtId="0" fontId="23" fillId="7" borderId="12" xfId="0" applyFont="1" applyFill="1" applyBorder="1" applyAlignment="1">
      <alignment horizontal="left" vertical="top"/>
    </xf>
    <xf numFmtId="41" fontId="23" fillId="7" borderId="12" xfId="0" applyNumberFormat="1" applyFont="1" applyFill="1" applyBorder="1" applyAlignment="1">
      <alignment vertical="center"/>
    </xf>
    <xf numFmtId="0" fontId="24" fillId="7" borderId="12" xfId="0" applyFont="1" applyFill="1" applyBorder="1" applyAlignment="1">
      <alignment horizontal="center" vertical="center" wrapText="1"/>
    </xf>
    <xf numFmtId="41" fontId="24" fillId="7" borderId="12" xfId="0" applyNumberFormat="1" applyFont="1" applyFill="1" applyBorder="1" applyAlignment="1">
      <alignment horizontal="left" vertical="center" wrapText="1"/>
    </xf>
    <xf numFmtId="0" fontId="23" fillId="7" borderId="10" xfId="0" applyFont="1" applyFill="1" applyBorder="1" applyAlignment="1">
      <alignment horizontal="left" vertical="center"/>
    </xf>
    <xf numFmtId="41" fontId="23" fillId="7" borderId="11" xfId="0" applyNumberFormat="1" applyFont="1" applyFill="1" applyBorder="1" applyAlignment="1">
      <alignment horizontal="left" vertical="center"/>
    </xf>
    <xf numFmtId="0" fontId="25" fillId="7" borderId="10" xfId="0" applyFont="1" applyFill="1" applyBorder="1" applyAlignment="1">
      <alignment horizontal="left" vertical="top" wrapText="1"/>
    </xf>
    <xf numFmtId="41" fontId="23" fillId="7" borderId="12" xfId="0" applyNumberFormat="1" applyFont="1" applyFill="1" applyBorder="1" applyAlignment="1">
      <alignment horizontal="center" vertical="center"/>
    </xf>
    <xf numFmtId="41" fontId="14" fillId="2" borderId="3" xfId="2" applyFont="1" applyFill="1" applyBorder="1" applyAlignment="1">
      <alignment vertical="top" wrapText="1"/>
    </xf>
    <xf numFmtId="0" fontId="25" fillId="8" borderId="10" xfId="0" applyFont="1" applyFill="1" applyBorder="1" applyAlignment="1">
      <alignment horizontal="left" vertical="top" wrapText="1"/>
    </xf>
    <xf numFmtId="41" fontId="23" fillId="8" borderId="12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33" fillId="0" borderId="0" xfId="0" applyNumberFormat="1" applyFont="1" applyAlignment="1">
      <alignment horizontal="left" vertical="top"/>
    </xf>
    <xf numFmtId="168" fontId="33" fillId="0" borderId="0" xfId="0" applyNumberFormat="1" applyFont="1" applyAlignment="1">
      <alignment horizontal="left" vertical="top"/>
    </xf>
    <xf numFmtId="0" fontId="23" fillId="6" borderId="10" xfId="0" applyFont="1" applyFill="1" applyBorder="1" applyAlignment="1">
      <alignment horizontal="left" vertical="center"/>
    </xf>
    <xf numFmtId="41" fontId="23" fillId="6" borderId="12" xfId="0" applyNumberFormat="1" applyFont="1" applyFill="1" applyBorder="1" applyAlignment="1">
      <alignment vertical="center"/>
    </xf>
    <xf numFmtId="41" fontId="24" fillId="4" borderId="12" xfId="0" applyNumberFormat="1" applyFont="1" applyFill="1" applyBorder="1" applyAlignment="1">
      <alignment horizontal="left" vertical="center" wrapText="1"/>
    </xf>
    <xf numFmtId="41" fontId="22" fillId="2" borderId="12" xfId="0" applyNumberFormat="1" applyFont="1" applyFill="1" applyBorder="1" applyAlignment="1">
      <alignment horizontal="center" vertical="center"/>
    </xf>
    <xf numFmtId="0" fontId="14" fillId="0" borderId="12" xfId="2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41" fontId="1" fillId="0" borderId="12" xfId="2" applyFont="1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4" fillId="0" borderId="10" xfId="2" applyNumberFormat="1" applyFont="1" applyBorder="1" applyAlignment="1">
      <alignment horizontal="left" vertical="top"/>
    </xf>
    <xf numFmtId="0" fontId="1" fillId="0" borderId="12" xfId="2" applyNumberFormat="1" applyFont="1" applyBorder="1" applyAlignment="1">
      <alignment horizontal="left" vertical="top"/>
    </xf>
    <xf numFmtId="0" fontId="1" fillId="0" borderId="12" xfId="2" applyNumberFormat="1" applyFont="1" applyBorder="1" applyAlignment="1">
      <alignment horizontal="left"/>
    </xf>
    <xf numFmtId="0" fontId="14" fillId="2" borderId="12" xfId="2" applyNumberFormat="1" applyFont="1" applyFill="1" applyBorder="1" applyAlignment="1">
      <alignment horizontal="left" vertical="top"/>
    </xf>
    <xf numFmtId="1" fontId="6" fillId="0" borderId="12" xfId="2" applyNumberFormat="1" applyFont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42" fontId="0" fillId="2" borderId="0" xfId="0" applyNumberFormat="1" applyFill="1" applyAlignment="1">
      <alignment horizontal="left" vertical="top"/>
    </xf>
    <xf numFmtId="41" fontId="18" fillId="2" borderId="0" xfId="2" applyFont="1" applyFill="1" applyAlignment="1">
      <alignment vertical="center"/>
    </xf>
    <xf numFmtId="41" fontId="33" fillId="2" borderId="0" xfId="0" applyNumberFormat="1" applyFont="1" applyFill="1" applyAlignment="1">
      <alignment horizontal="left" vertical="top"/>
    </xf>
    <xf numFmtId="0" fontId="33" fillId="2" borderId="0" xfId="0" applyFont="1" applyFill="1" applyAlignment="1">
      <alignment horizontal="left" vertical="top"/>
    </xf>
    <xf numFmtId="0" fontId="9" fillId="2" borderId="12" xfId="0" applyFont="1" applyFill="1" applyBorder="1" applyAlignment="1">
      <alignment horizontal="left" vertical="center" wrapText="1"/>
    </xf>
    <xf numFmtId="0" fontId="23" fillId="6" borderId="10" xfId="0" applyFont="1" applyFill="1" applyBorder="1" applyAlignment="1">
      <alignment horizontal="left" vertical="center"/>
    </xf>
    <xf numFmtId="0" fontId="23" fillId="6" borderId="14" xfId="0" applyFont="1" applyFill="1" applyBorder="1" applyAlignment="1">
      <alignment horizontal="left" vertical="center"/>
    </xf>
    <xf numFmtId="0" fontId="23" fillId="6" borderId="11" xfId="0" applyFont="1" applyFill="1" applyBorder="1" applyAlignment="1">
      <alignment horizontal="left" vertical="center"/>
    </xf>
    <xf numFmtId="0" fontId="24" fillId="2" borderId="10" xfId="0" quotePrefix="1" applyFont="1" applyFill="1" applyBorder="1" applyAlignment="1">
      <alignment horizontal="left" vertical="center" wrapText="1"/>
    </xf>
    <xf numFmtId="0" fontId="24" fillId="2" borderId="14" xfId="0" quotePrefix="1" applyFont="1" applyFill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25" fillId="7" borderId="12" xfId="0" applyFont="1" applyFill="1" applyBorder="1" applyAlignment="1">
      <alignment horizontal="left" vertical="center" wrapText="1"/>
    </xf>
    <xf numFmtId="0" fontId="11" fillId="2" borderId="10" xfId="0" quotePrefix="1" applyFont="1" applyFill="1" applyBorder="1" applyAlignment="1">
      <alignment horizontal="left" vertical="center" wrapText="1"/>
    </xf>
    <xf numFmtId="0" fontId="11" fillId="2" borderId="14" xfId="0" quotePrefix="1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/>
    </xf>
    <xf numFmtId="0" fontId="23" fillId="4" borderId="14" xfId="0" applyFont="1" applyFill="1" applyBorder="1" applyAlignment="1">
      <alignment horizontal="left" vertical="center"/>
    </xf>
    <xf numFmtId="0" fontId="23" fillId="4" borderId="11" xfId="0" applyFont="1" applyFill="1" applyBorder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left" vertical="top" wrapText="1" indent="1"/>
    </xf>
    <xf numFmtId="0" fontId="25" fillId="7" borderId="10" xfId="0" applyFont="1" applyFill="1" applyBorder="1" applyAlignment="1">
      <alignment horizontal="left" vertical="center" wrapText="1"/>
    </xf>
    <xf numFmtId="0" fontId="25" fillId="7" borderId="14" xfId="0" applyFont="1" applyFill="1" applyBorder="1" applyAlignment="1">
      <alignment horizontal="left" vertical="center" wrapText="1"/>
    </xf>
    <xf numFmtId="0" fontId="25" fillId="7" borderId="11" xfId="0" applyFont="1" applyFill="1" applyBorder="1" applyAlignment="1">
      <alignment horizontal="left" vertical="center" wrapText="1"/>
    </xf>
    <xf numFmtId="0" fontId="30" fillId="0" borderId="7" xfId="0" applyFont="1" applyBorder="1" applyAlignment="1">
      <alignment horizontal="left" vertical="top" wrapText="1" indent="1"/>
    </xf>
    <xf numFmtId="41" fontId="18" fillId="2" borderId="0" xfId="0" applyNumberFormat="1" applyFont="1" applyFill="1" applyAlignment="1">
      <alignment horizontal="center" vertical="center"/>
    </xf>
    <xf numFmtId="0" fontId="0" fillId="2" borderId="12" xfId="0" applyFill="1" applyBorder="1" applyAlignment="1">
      <alignment horizontal="left" vertical="top" wrapText="1" indent="2"/>
    </xf>
    <xf numFmtId="0" fontId="24" fillId="4" borderId="10" xfId="0" quotePrefix="1" applyFont="1" applyFill="1" applyBorder="1" applyAlignment="1">
      <alignment horizontal="left" vertical="center" wrapText="1"/>
    </xf>
    <xf numFmtId="0" fontId="24" fillId="4" borderId="14" xfId="0" quotePrefix="1" applyFont="1" applyFill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/>
    </xf>
    <xf numFmtId="0" fontId="25" fillId="4" borderId="12" xfId="0" applyFont="1" applyFill="1" applyBorder="1" applyAlignment="1">
      <alignment horizontal="left" vertical="center" wrapText="1"/>
    </xf>
    <xf numFmtId="0" fontId="34" fillId="2" borderId="12" xfId="0" applyFont="1" applyFill="1" applyBorder="1" applyAlignment="1">
      <alignment horizontal="left" vertical="top" wrapText="1" indent="2"/>
    </xf>
    <xf numFmtId="0" fontId="25" fillId="8" borderId="10" xfId="0" applyFont="1" applyFill="1" applyBorder="1" applyAlignment="1">
      <alignment horizontal="left" vertical="top" wrapText="1"/>
    </xf>
    <xf numFmtId="0" fontId="25" fillId="8" borderId="14" xfId="0" applyFont="1" applyFill="1" applyBorder="1" applyAlignment="1">
      <alignment horizontal="left" vertical="top" wrapText="1"/>
    </xf>
    <xf numFmtId="0" fontId="25" fillId="8" borderId="11" xfId="0" applyFont="1" applyFill="1" applyBorder="1" applyAlignment="1">
      <alignment horizontal="left" vertical="top" wrapText="1"/>
    </xf>
    <xf numFmtId="0" fontId="24" fillId="4" borderId="11" xfId="0" quotePrefix="1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5" xfId="0" applyFont="1" applyBorder="1" applyAlignment="1">
      <alignment horizontal="left" vertical="center" wrapText="1"/>
    </xf>
    <xf numFmtId="0" fontId="25" fillId="4" borderId="10" xfId="0" applyFont="1" applyFill="1" applyBorder="1" applyAlignment="1">
      <alignment horizontal="left" vertical="center" wrapText="1"/>
    </xf>
    <xf numFmtId="0" fontId="25" fillId="4" borderId="14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left" vertical="center" wrapText="1"/>
    </xf>
    <xf numFmtId="9" fontId="22" fillId="2" borderId="12" xfId="0" applyNumberFormat="1" applyFont="1" applyFill="1" applyBorder="1" applyAlignment="1">
      <alignment horizontal="left" vertical="center" wrapText="1"/>
    </xf>
    <xf numFmtId="0" fontId="25" fillId="6" borderId="12" xfId="0" applyFont="1" applyFill="1" applyBorder="1" applyAlignment="1">
      <alignment horizontal="left" vertical="top" wrapText="1"/>
    </xf>
    <xf numFmtId="0" fontId="25" fillId="7" borderId="10" xfId="0" applyFont="1" applyFill="1" applyBorder="1" applyAlignment="1">
      <alignment horizontal="left" vertical="top" wrapText="1"/>
    </xf>
    <xf numFmtId="0" fontId="25" fillId="7" borderId="14" xfId="0" applyFont="1" applyFill="1" applyBorder="1" applyAlignment="1">
      <alignment horizontal="left" vertical="top" wrapText="1"/>
    </xf>
    <xf numFmtId="0" fontId="25" fillId="7" borderId="11" xfId="0" applyFont="1" applyFill="1" applyBorder="1" applyAlignment="1">
      <alignment horizontal="left" vertical="top" wrapText="1"/>
    </xf>
    <xf numFmtId="0" fontId="25" fillId="0" borderId="12" xfId="0" applyFont="1" applyBorder="1" applyAlignment="1">
      <alignment horizontal="left" vertical="top" wrapText="1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41" fontId="15" fillId="2" borderId="20" xfId="2" applyFont="1" applyFill="1" applyBorder="1" applyAlignment="1">
      <alignment horizontal="left" vertical="top" wrapText="1"/>
    </xf>
    <xf numFmtId="41" fontId="15" fillId="2" borderId="21" xfId="2" applyFont="1" applyFill="1" applyBorder="1" applyAlignment="1">
      <alignment horizontal="left" vertical="top" wrapText="1"/>
    </xf>
    <xf numFmtId="41" fontId="15" fillId="2" borderId="26" xfId="2" applyFont="1" applyFill="1" applyBorder="1" applyAlignment="1">
      <alignment horizontal="left" vertical="top" wrapText="1"/>
    </xf>
    <xf numFmtId="41" fontId="1" fillId="0" borderId="12" xfId="2" applyFont="1" applyBorder="1" applyAlignment="1">
      <alignment horizontal="left"/>
    </xf>
    <xf numFmtId="41" fontId="1" fillId="0" borderId="12" xfId="2" applyFont="1" applyBorder="1" applyAlignment="1">
      <alignment horizontal="left" vertical="top"/>
    </xf>
    <xf numFmtId="41" fontId="1" fillId="0" borderId="10" xfId="2" applyFont="1" applyBorder="1" applyAlignment="1">
      <alignment horizontal="left" vertical="center" wrapText="1"/>
    </xf>
    <xf numFmtId="41" fontId="1" fillId="0" borderId="14" xfId="2" applyFont="1" applyBorder="1" applyAlignment="1">
      <alignment horizontal="left" vertical="center" wrapText="1"/>
    </xf>
    <xf numFmtId="41" fontId="1" fillId="0" borderId="11" xfId="2" applyFont="1" applyBorder="1" applyAlignment="1">
      <alignment horizontal="left" vertical="center" wrapText="1"/>
    </xf>
    <xf numFmtId="41" fontId="15" fillId="2" borderId="22" xfId="2" applyFont="1" applyFill="1" applyBorder="1" applyAlignment="1">
      <alignment horizontal="left" vertical="top" wrapText="1"/>
    </xf>
    <xf numFmtId="41" fontId="2" fillId="0" borderId="12" xfId="2" applyFont="1" applyBorder="1" applyAlignment="1">
      <alignment horizontal="left" vertical="top"/>
    </xf>
    <xf numFmtId="41" fontId="2" fillId="0" borderId="10" xfId="2" applyFont="1" applyBorder="1" applyAlignment="1">
      <alignment horizontal="left" vertical="center" wrapText="1"/>
    </xf>
    <xf numFmtId="41" fontId="2" fillId="0" borderId="14" xfId="2" applyFont="1" applyBorder="1" applyAlignment="1">
      <alignment horizontal="left" vertical="center" wrapText="1"/>
    </xf>
    <xf numFmtId="41" fontId="2" fillId="0" borderId="11" xfId="2" applyFont="1" applyBorder="1" applyAlignment="1">
      <alignment horizontal="left" vertical="center" wrapText="1"/>
    </xf>
    <xf numFmtId="41" fontId="15" fillId="2" borderId="17" xfId="2" applyFont="1" applyFill="1" applyBorder="1" applyAlignment="1">
      <alignment horizontal="left" vertical="top" wrapText="1"/>
    </xf>
    <xf numFmtId="41" fontId="15" fillId="2" borderId="18" xfId="2" applyFont="1" applyFill="1" applyBorder="1" applyAlignment="1">
      <alignment horizontal="left" vertical="top" wrapText="1"/>
    </xf>
    <xf numFmtId="41" fontId="15" fillId="2" borderId="19" xfId="2" applyFont="1" applyFill="1" applyBorder="1" applyAlignment="1">
      <alignment horizontal="left" vertical="top" wrapText="1"/>
    </xf>
    <xf numFmtId="41" fontId="15" fillId="2" borderId="23" xfId="2" applyFont="1" applyFill="1" applyBorder="1" applyAlignment="1">
      <alignment horizontal="left" vertical="top" wrapText="1"/>
    </xf>
    <xf numFmtId="41" fontId="15" fillId="2" borderId="24" xfId="2" applyFont="1" applyFill="1" applyBorder="1" applyAlignment="1">
      <alignment horizontal="left" vertical="top" wrapText="1"/>
    </xf>
    <xf numFmtId="41" fontId="15" fillId="2" borderId="25" xfId="2" applyFont="1" applyFill="1" applyBorder="1" applyAlignment="1">
      <alignment horizontal="left" vertical="top" wrapText="1"/>
    </xf>
    <xf numFmtId="41" fontId="15" fillId="2" borderId="10" xfId="2" applyFont="1" applyFill="1" applyBorder="1" applyAlignment="1">
      <alignment horizontal="left" vertical="top" wrapText="1"/>
    </xf>
    <xf numFmtId="41" fontId="15" fillId="2" borderId="14" xfId="2" applyFont="1" applyFill="1" applyBorder="1" applyAlignment="1">
      <alignment horizontal="left" vertical="top" wrapText="1"/>
    </xf>
    <xf numFmtId="41" fontId="15" fillId="2" borderId="11" xfId="2" applyFont="1" applyFill="1" applyBorder="1" applyAlignment="1">
      <alignment horizontal="left" vertical="top" wrapText="1"/>
    </xf>
    <xf numFmtId="41" fontId="15" fillId="2" borderId="28" xfId="2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41" fontId="14" fillId="0" borderId="10" xfId="2" applyFont="1" applyBorder="1" applyAlignment="1">
      <alignment horizontal="left" vertical="top" wrapText="1"/>
    </xf>
    <xf numFmtId="41" fontId="14" fillId="0" borderId="14" xfId="2" applyFont="1" applyBorder="1" applyAlignment="1">
      <alignment horizontal="left" vertical="top" wrapText="1"/>
    </xf>
    <xf numFmtId="41" fontId="14" fillId="0" borderId="11" xfId="2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top"/>
    </xf>
    <xf numFmtId="0" fontId="14" fillId="0" borderId="12" xfId="2" applyNumberFormat="1" applyFont="1" applyBorder="1" applyAlignment="1">
      <alignment horizontal="left" vertical="top"/>
    </xf>
    <xf numFmtId="41" fontId="13" fillId="0" borderId="10" xfId="2" applyFont="1" applyBorder="1" applyAlignment="1">
      <alignment horizontal="left" vertical="top"/>
    </xf>
    <xf numFmtId="41" fontId="13" fillId="0" borderId="14" xfId="2" applyFont="1" applyBorder="1" applyAlignment="1">
      <alignment horizontal="left" vertical="top"/>
    </xf>
    <xf numFmtId="41" fontId="13" fillId="0" borderId="11" xfId="2" applyFont="1" applyBorder="1" applyAlignment="1">
      <alignment horizontal="left" vertical="top"/>
    </xf>
    <xf numFmtId="41" fontId="14" fillId="0" borderId="10" xfId="2" applyFont="1" applyBorder="1" applyAlignment="1">
      <alignment horizontal="left" vertical="top"/>
    </xf>
    <xf numFmtId="41" fontId="14" fillId="0" borderId="14" xfId="2" applyFont="1" applyBorder="1" applyAlignment="1">
      <alignment horizontal="left" vertical="top"/>
    </xf>
    <xf numFmtId="41" fontId="14" fillId="0" borderId="11" xfId="2" applyFont="1" applyBorder="1" applyAlignment="1">
      <alignment horizontal="left" vertical="top"/>
    </xf>
    <xf numFmtId="41" fontId="13" fillId="0" borderId="10" xfId="2" applyFont="1" applyBorder="1" applyAlignment="1">
      <alignment horizontal="left" vertical="top" wrapText="1"/>
    </xf>
    <xf numFmtId="41" fontId="13" fillId="0" borderId="14" xfId="2" applyFont="1" applyBorder="1" applyAlignment="1">
      <alignment horizontal="left" vertical="top" wrapText="1"/>
    </xf>
    <xf numFmtId="41" fontId="13" fillId="0" borderId="11" xfId="2" applyFont="1" applyBorder="1" applyAlignment="1">
      <alignment horizontal="left" vertical="top" wrapText="1"/>
    </xf>
    <xf numFmtId="41" fontId="14" fillId="2" borderId="1" xfId="2" applyFont="1" applyFill="1" applyBorder="1" applyAlignment="1">
      <alignment horizontal="center" vertical="top" wrapText="1"/>
    </xf>
    <xf numFmtId="41" fontId="14" fillId="2" borderId="2" xfId="2" applyFont="1" applyFill="1" applyBorder="1" applyAlignment="1">
      <alignment horizontal="center" vertical="top" wrapText="1"/>
    </xf>
    <xf numFmtId="41" fontId="14" fillId="2" borderId="3" xfId="2" applyFont="1" applyFill="1" applyBorder="1" applyAlignment="1">
      <alignment horizontal="center" vertical="top" wrapText="1"/>
    </xf>
    <xf numFmtId="41" fontId="14" fillId="2" borderId="10" xfId="2" applyFont="1" applyFill="1" applyBorder="1" applyAlignment="1">
      <alignment horizontal="left" vertical="top" wrapText="1"/>
    </xf>
    <xf numFmtId="41" fontId="14" fillId="2" borderId="14" xfId="2" applyFont="1" applyFill="1" applyBorder="1" applyAlignment="1">
      <alignment horizontal="left" vertical="top" wrapText="1"/>
    </xf>
    <xf numFmtId="41" fontId="14" fillId="2" borderId="11" xfId="2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4" fillId="0" borderId="10" xfId="0" applyFont="1" applyBorder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41" fontId="13" fillId="2" borderId="10" xfId="2" applyFont="1" applyFill="1" applyBorder="1" applyAlignment="1">
      <alignment horizontal="left" vertical="center" wrapText="1"/>
    </xf>
    <xf numFmtId="41" fontId="13" fillId="2" borderId="14" xfId="2" applyFont="1" applyFill="1" applyBorder="1" applyAlignment="1">
      <alignment horizontal="left" vertical="center" wrapText="1"/>
    </xf>
    <xf numFmtId="41" fontId="13" fillId="2" borderId="11" xfId="2" applyFont="1" applyFill="1" applyBorder="1" applyAlignment="1">
      <alignment horizontal="left" vertical="center" wrapText="1"/>
    </xf>
    <xf numFmtId="41" fontId="15" fillId="2" borderId="27" xfId="2" applyFont="1" applyFill="1" applyBorder="1" applyAlignment="1">
      <alignment horizontal="left" vertical="top" wrapText="1"/>
    </xf>
    <xf numFmtId="41" fontId="1" fillId="0" borderId="12" xfId="2" applyFont="1" applyBorder="1" applyAlignment="1">
      <alignment horizontal="center" vertical="top"/>
    </xf>
    <xf numFmtId="0" fontId="11" fillId="0" borderId="10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41" fontId="1" fillId="0" borderId="12" xfId="2" applyFont="1" applyBorder="1" applyAlignment="1">
      <alignment horizontal="center"/>
    </xf>
    <xf numFmtId="41" fontId="13" fillId="2" borderId="10" xfId="2" applyFont="1" applyFill="1" applyBorder="1" applyAlignment="1">
      <alignment horizontal="left" vertical="top" wrapText="1"/>
    </xf>
    <xf numFmtId="41" fontId="13" fillId="2" borderId="14" xfId="2" applyFont="1" applyFill="1" applyBorder="1" applyAlignment="1">
      <alignment horizontal="left" vertical="top" wrapText="1"/>
    </xf>
    <xf numFmtId="41" fontId="13" fillId="2" borderId="11" xfId="2" applyFont="1" applyFill="1" applyBorder="1" applyAlignment="1">
      <alignment horizontal="left" vertical="top" wrapText="1"/>
    </xf>
    <xf numFmtId="0" fontId="30" fillId="0" borderId="0" xfId="0" applyFont="1" applyAlignment="1">
      <alignment horizontal="left" vertical="center" wrapText="1"/>
    </xf>
    <xf numFmtId="0" fontId="23" fillId="5" borderId="10" xfId="0" applyFont="1" applyFill="1" applyBorder="1" applyAlignment="1">
      <alignment horizontal="left" vertical="center"/>
    </xf>
    <xf numFmtId="0" fontId="23" fillId="5" borderId="11" xfId="0" applyFont="1" applyFill="1" applyBorder="1" applyAlignment="1">
      <alignment horizontal="left" vertical="center"/>
    </xf>
    <xf numFmtId="0" fontId="26" fillId="5" borderId="10" xfId="0" applyFont="1" applyFill="1" applyBorder="1" applyAlignment="1">
      <alignment horizontal="left" vertical="center"/>
    </xf>
    <xf numFmtId="0" fontId="26" fillId="5" borderId="14" xfId="0" applyFont="1" applyFill="1" applyBorder="1" applyAlignment="1">
      <alignment horizontal="left" vertical="center"/>
    </xf>
    <xf numFmtId="0" fontId="26" fillId="5" borderId="11" xfId="0" applyFont="1" applyFill="1" applyBorder="1" applyAlignment="1">
      <alignment horizontal="left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24" fillId="4" borderId="10" xfId="0" applyFont="1" applyFill="1" applyBorder="1" applyAlignment="1">
      <alignment horizontal="left" vertical="center" wrapText="1"/>
    </xf>
    <xf numFmtId="0" fontId="24" fillId="4" borderId="14" xfId="0" applyFont="1" applyFill="1" applyBorder="1" applyAlignment="1">
      <alignment horizontal="left" vertical="center" wrapText="1"/>
    </xf>
    <xf numFmtId="0" fontId="24" fillId="4" borderId="11" xfId="0" applyFont="1" applyFill="1" applyBorder="1" applyAlignment="1">
      <alignment horizontal="left" vertical="center" wrapText="1"/>
    </xf>
    <xf numFmtId="0" fontId="24" fillId="5" borderId="10" xfId="0" applyFont="1" applyFill="1" applyBorder="1" applyAlignment="1">
      <alignment horizontal="left" vertical="center" wrapText="1"/>
    </xf>
    <xf numFmtId="0" fontId="24" fillId="5" borderId="14" xfId="0" applyFont="1" applyFill="1" applyBorder="1" applyAlignment="1">
      <alignment horizontal="left" vertical="center" wrapText="1"/>
    </xf>
    <xf numFmtId="0" fontId="24" fillId="5" borderId="11" xfId="0" applyFont="1" applyFill="1" applyBorder="1" applyAlignment="1">
      <alignment horizontal="left" vertical="center" wrapText="1"/>
    </xf>
    <xf numFmtId="0" fontId="22" fillId="5" borderId="12" xfId="0" applyFont="1" applyFill="1" applyBorder="1" applyAlignment="1">
      <alignment horizontal="left" vertical="center"/>
    </xf>
    <xf numFmtId="0" fontId="23" fillId="5" borderId="14" xfId="0" applyFont="1" applyFill="1" applyBorder="1" applyAlignment="1">
      <alignment horizontal="left" vertical="center"/>
    </xf>
    <xf numFmtId="0" fontId="24" fillId="5" borderId="10" xfId="0" quotePrefix="1" applyFont="1" applyFill="1" applyBorder="1" applyAlignment="1">
      <alignment horizontal="left" vertical="center" wrapText="1"/>
    </xf>
    <xf numFmtId="0" fontId="24" fillId="5" borderId="14" xfId="0" quotePrefix="1" applyFont="1" applyFill="1" applyBorder="1" applyAlignment="1">
      <alignment horizontal="left" vertical="center" wrapText="1"/>
    </xf>
    <xf numFmtId="0" fontId="24" fillId="5" borderId="11" xfId="0" quotePrefix="1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24" fillId="5" borderId="10" xfId="0" quotePrefix="1" applyFont="1" applyFill="1" applyBorder="1" applyAlignment="1">
      <alignment vertical="center" wrapText="1"/>
    </xf>
    <xf numFmtId="0" fontId="24" fillId="5" borderId="14" xfId="0" quotePrefix="1" applyFont="1" applyFill="1" applyBorder="1" applyAlignment="1">
      <alignment vertical="center" wrapText="1"/>
    </xf>
    <xf numFmtId="0" fontId="11" fillId="5" borderId="12" xfId="0" quotePrefix="1" applyFont="1" applyFill="1" applyBorder="1" applyAlignment="1">
      <alignment horizontal="left" vertical="center" wrapText="1"/>
    </xf>
    <xf numFmtId="0" fontId="11" fillId="5" borderId="10" xfId="0" quotePrefix="1" applyFont="1" applyFill="1" applyBorder="1" applyAlignment="1">
      <alignment horizontal="left" vertical="center" wrapText="1"/>
    </xf>
    <xf numFmtId="0" fontId="11" fillId="5" borderId="14" xfId="0" quotePrefix="1" applyFont="1" applyFill="1" applyBorder="1" applyAlignment="1">
      <alignment horizontal="left" vertical="center" wrapText="1"/>
    </xf>
    <xf numFmtId="0" fontId="11" fillId="2" borderId="11" xfId="0" quotePrefix="1" applyFont="1" applyFill="1" applyBorder="1" applyAlignment="1">
      <alignment horizontal="left" vertical="center" wrapText="1"/>
    </xf>
    <xf numFmtId="0" fontId="22" fillId="5" borderId="10" xfId="0" applyFont="1" applyFill="1" applyBorder="1" applyAlignment="1">
      <alignment vertical="center"/>
    </xf>
    <xf numFmtId="0" fontId="22" fillId="5" borderId="11" xfId="0" applyFont="1" applyFill="1" applyBorder="1" applyAlignment="1">
      <alignment vertical="center"/>
    </xf>
    <xf numFmtId="0" fontId="22" fillId="5" borderId="10" xfId="0" applyFont="1" applyFill="1" applyBorder="1" applyAlignment="1">
      <alignment horizontal="left" vertical="center" wrapText="1"/>
    </xf>
    <xf numFmtId="0" fontId="22" fillId="5" borderId="11" xfId="0" applyFont="1" applyFill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23" fillId="4" borderId="12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center" vertical="center"/>
    </xf>
    <xf numFmtId="41" fontId="11" fillId="5" borderId="10" xfId="2" applyFont="1" applyFill="1" applyBorder="1" applyAlignment="1">
      <alignment horizontal="left" vertical="center" wrapText="1"/>
    </xf>
    <xf numFmtId="41" fontId="11" fillId="5" borderId="11" xfId="2" applyFont="1" applyFill="1" applyBorder="1" applyAlignment="1">
      <alignment horizontal="left" vertical="center" wrapText="1"/>
    </xf>
    <xf numFmtId="0" fontId="25" fillId="4" borderId="11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23" fillId="2" borderId="14" xfId="0" applyFont="1" applyFill="1" applyBorder="1" applyAlignment="1">
      <alignment horizontal="left" vertical="center"/>
    </xf>
    <xf numFmtId="0" fontId="23" fillId="3" borderId="10" xfId="0" applyFont="1" applyFill="1" applyBorder="1" applyAlignment="1">
      <alignment horizontal="left" vertical="center"/>
    </xf>
    <xf numFmtId="0" fontId="23" fillId="3" borderId="11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</cellXfs>
  <cellStyles count="7">
    <cellStyle name="Comma" xfId="1" builtinId="3"/>
    <cellStyle name="Comma [0]" xfId="2" builtinId="6"/>
    <cellStyle name="Comma [0] 2" xfId="4" xr:uid="{F9100408-30B9-426A-AC02-706F60BACF33}"/>
    <cellStyle name="Comma 2" xfId="6" xr:uid="{4E0EC508-DE85-4963-89EC-F0691AB31390}"/>
    <cellStyle name="Normal" xfId="0" builtinId="0"/>
    <cellStyle name="Normal 2" xfId="5" xr:uid="{8A09DCF5-1EED-433A-8678-3C15C9BC45F1}"/>
    <cellStyle name="Normal 2 2" xfId="3" xr:uid="{7947911D-4EE8-4472-96DC-E7AFC5671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1FE17-A99A-4C13-A606-C45419D5A8E5}">
  <sheetPr>
    <tabColor rgb="FF92D050"/>
  </sheetPr>
  <dimension ref="A1:CA432"/>
  <sheetViews>
    <sheetView tabSelected="1" topLeftCell="B136" zoomScale="85" zoomScaleNormal="85" workbookViewId="0">
      <selection activeCell="E23" sqref="E23:G23"/>
    </sheetView>
  </sheetViews>
  <sheetFormatPr defaultColWidth="9.140625" defaultRowHeight="15"/>
  <cols>
    <col min="1" max="1" width="21.7109375" style="44" customWidth="1"/>
    <col min="2" max="2" width="36.5703125" style="44" customWidth="1"/>
    <col min="3" max="3" width="27.28515625" style="44" customWidth="1"/>
    <col min="4" max="4" width="14.42578125" style="109" customWidth="1"/>
    <col min="5" max="5" width="14" style="110" customWidth="1"/>
    <col min="6" max="6" width="21.28515625" style="44" customWidth="1"/>
    <col min="7" max="7" width="29.7109375" style="44" customWidth="1"/>
    <col min="8" max="8" width="22.42578125" style="44" customWidth="1"/>
    <col min="9" max="16384" width="9.140625" style="44"/>
  </cols>
  <sheetData>
    <row r="1" spans="1:79" s="43" customFormat="1" ht="57.2" customHeight="1">
      <c r="A1" s="242" t="s">
        <v>128</v>
      </c>
      <c r="B1" s="243"/>
      <c r="C1" s="243"/>
      <c r="D1" s="243"/>
      <c r="E1" s="243"/>
      <c r="F1" s="243"/>
      <c r="G1" s="244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</row>
    <row r="2" spans="1:79" s="43" customFormat="1" ht="36.6" customHeight="1">
      <c r="A2" s="245" t="s">
        <v>378</v>
      </c>
      <c r="B2" s="246"/>
      <c r="C2" s="246"/>
      <c r="D2" s="246"/>
      <c r="E2" s="246"/>
      <c r="F2" s="246"/>
      <c r="G2" s="24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</row>
    <row r="3" spans="1:79" s="43" customFormat="1" ht="14.25" customHeight="1">
      <c r="A3" s="248" t="s">
        <v>129</v>
      </c>
      <c r="B3" s="249"/>
      <c r="C3" s="249"/>
      <c r="D3" s="249"/>
      <c r="E3" s="249"/>
      <c r="F3" s="249"/>
      <c r="G3" s="250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7"/>
      <c r="BY3" s="117"/>
      <c r="BZ3" s="117"/>
      <c r="CA3" s="117"/>
    </row>
    <row r="4" spans="1:79" s="43" customFormat="1" ht="14.25" customHeight="1">
      <c r="A4" s="248" t="s">
        <v>130</v>
      </c>
      <c r="B4" s="249"/>
      <c r="C4" s="249"/>
      <c r="D4" s="249"/>
      <c r="E4" s="249"/>
      <c r="F4" s="249"/>
      <c r="G4" s="250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</row>
    <row r="5" spans="1:79" s="43" customFormat="1" ht="14.25" customHeight="1">
      <c r="A5" s="248" t="s">
        <v>131</v>
      </c>
      <c r="B5" s="249"/>
      <c r="C5" s="249"/>
      <c r="D5" s="249"/>
      <c r="E5" s="249"/>
      <c r="F5" s="249"/>
      <c r="G5" s="250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</row>
    <row r="6" spans="1:79" s="43" customFormat="1" ht="14.25" customHeight="1">
      <c r="A6" s="248" t="s">
        <v>132</v>
      </c>
      <c r="B6" s="249"/>
      <c r="C6" s="249"/>
      <c r="D6" s="249"/>
      <c r="E6" s="249"/>
      <c r="F6" s="249"/>
      <c r="G6" s="250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</row>
    <row r="7" spans="1:79" s="148" customFormat="1" ht="14.25" customHeight="1">
      <c r="A7" s="225" t="s">
        <v>133</v>
      </c>
      <c r="B7" s="225"/>
      <c r="C7" s="225"/>
      <c r="D7" s="225"/>
      <c r="E7" s="225"/>
      <c r="F7" s="225"/>
    </row>
    <row r="8" spans="1:79" s="148" customFormat="1" ht="14.25" customHeight="1">
      <c r="A8" s="225" t="s">
        <v>134</v>
      </c>
      <c r="B8" s="225"/>
      <c r="C8" s="225"/>
      <c r="D8" s="225"/>
      <c r="E8" s="225"/>
      <c r="F8" s="225"/>
    </row>
    <row r="9" spans="1:79" s="148" customFormat="1" ht="14.25" customHeight="1">
      <c r="A9" s="225" t="s">
        <v>324</v>
      </c>
      <c r="B9" s="225"/>
      <c r="C9" s="225"/>
      <c r="D9" s="225"/>
      <c r="E9" s="225"/>
      <c r="F9" s="225"/>
    </row>
    <row r="10" spans="1:79" s="148" customFormat="1" ht="14.25" customHeight="1">
      <c r="A10" s="225" t="s">
        <v>136</v>
      </c>
      <c r="B10" s="225"/>
      <c r="C10" s="225"/>
      <c r="D10" s="225"/>
      <c r="E10" s="225"/>
      <c r="F10" s="225"/>
    </row>
    <row r="11" spans="1:79" s="148" customFormat="1" ht="14.25" customHeight="1">
      <c r="A11" s="225" t="s">
        <v>137</v>
      </c>
      <c r="B11" s="225"/>
      <c r="C11" s="225"/>
      <c r="D11" s="225"/>
      <c r="E11" s="225"/>
      <c r="F11" s="225"/>
    </row>
    <row r="12" spans="1:79" s="148" customFormat="1" ht="14.25" customHeight="1">
      <c r="A12" s="225" t="s">
        <v>138</v>
      </c>
      <c r="B12" s="225"/>
      <c r="C12" s="225"/>
      <c r="D12" s="225"/>
      <c r="E12" s="225"/>
      <c r="F12" s="225"/>
    </row>
    <row r="13" spans="1:79" s="148" customFormat="1" ht="14.25" customHeight="1">
      <c r="A13" s="225" t="s">
        <v>139</v>
      </c>
      <c r="B13" s="225"/>
      <c r="C13" s="225"/>
      <c r="D13" s="225"/>
      <c r="E13" s="225"/>
      <c r="F13" s="225"/>
    </row>
    <row r="14" spans="1:79" s="148" customFormat="1" ht="14.25" customHeight="1">
      <c r="A14" s="225" t="s">
        <v>140</v>
      </c>
      <c r="B14" s="225"/>
      <c r="C14" s="225"/>
      <c r="D14" s="225"/>
      <c r="E14" s="225"/>
      <c r="F14" s="225"/>
    </row>
    <row r="15" spans="1:79" s="148" customFormat="1" ht="14.25" customHeight="1">
      <c r="A15" s="225" t="s">
        <v>141</v>
      </c>
      <c r="B15" s="225"/>
      <c r="C15" s="225"/>
      <c r="D15" s="225"/>
      <c r="E15" s="225"/>
      <c r="F15" s="225"/>
    </row>
    <row r="16" spans="1:79" s="148" customFormat="1" ht="14.25" customHeight="1">
      <c r="A16" s="225" t="s">
        <v>342</v>
      </c>
      <c r="B16" s="225"/>
      <c r="C16" s="225"/>
      <c r="D16" s="225"/>
      <c r="E16" s="225"/>
      <c r="F16" s="225"/>
    </row>
    <row r="17" spans="1:8" s="148" customFormat="1" ht="14.25" customHeight="1">
      <c r="A17" s="225" t="s">
        <v>374</v>
      </c>
      <c r="B17" s="225"/>
      <c r="C17" s="225"/>
      <c r="D17" s="225"/>
      <c r="E17" s="225"/>
      <c r="F17" s="225"/>
      <c r="G17" s="149"/>
    </row>
    <row r="18" spans="1:8" s="148" customFormat="1" ht="14.25" customHeight="1">
      <c r="A18" s="229" t="s">
        <v>403</v>
      </c>
      <c r="B18" s="229"/>
      <c r="C18" s="229"/>
      <c r="D18" s="229"/>
      <c r="E18" s="229"/>
      <c r="F18" s="229"/>
      <c r="G18" s="149"/>
    </row>
    <row r="19" spans="1:8" ht="60.75" customHeight="1">
      <c r="A19" s="253" t="s">
        <v>142</v>
      </c>
      <c r="B19" s="254"/>
      <c r="C19" s="254"/>
      <c r="D19" s="254"/>
      <c r="E19" s="254"/>
      <c r="F19" s="254"/>
      <c r="G19" s="255"/>
    </row>
    <row r="20" spans="1:8" ht="26.25" customHeight="1">
      <c r="A20" s="256" t="s">
        <v>22</v>
      </c>
      <c r="B20" s="256"/>
      <c r="C20" s="256"/>
      <c r="D20" s="256"/>
      <c r="E20" s="256"/>
      <c r="F20" s="256"/>
      <c r="G20" s="256"/>
    </row>
    <row r="21" spans="1:8" ht="18.75" customHeight="1">
      <c r="A21" s="45" t="s">
        <v>23</v>
      </c>
      <c r="B21" s="257" t="s">
        <v>24</v>
      </c>
      <c r="C21" s="257"/>
      <c r="D21" s="257"/>
      <c r="E21" s="257" t="s">
        <v>25</v>
      </c>
      <c r="F21" s="257"/>
      <c r="G21" s="257"/>
    </row>
    <row r="22" spans="1:8" ht="36" customHeight="1">
      <c r="A22" s="46" t="s">
        <v>26</v>
      </c>
      <c r="B22" s="258" t="s">
        <v>143</v>
      </c>
      <c r="C22" s="258"/>
      <c r="D22" s="258"/>
      <c r="E22" s="259">
        <v>0.64</v>
      </c>
      <c r="F22" s="259"/>
      <c r="G22" s="259"/>
    </row>
    <row r="23" spans="1:8" ht="27" customHeight="1">
      <c r="A23" s="46" t="s">
        <v>28</v>
      </c>
      <c r="B23" s="258" t="s">
        <v>29</v>
      </c>
      <c r="C23" s="258"/>
      <c r="D23" s="258"/>
      <c r="E23" s="258" t="s">
        <v>425</v>
      </c>
      <c r="F23" s="258"/>
      <c r="G23" s="258"/>
    </row>
    <row r="24" spans="1:8" ht="39.75" customHeight="1">
      <c r="A24" s="46" t="s">
        <v>30</v>
      </c>
      <c r="B24" s="258" t="s">
        <v>375</v>
      </c>
      <c r="C24" s="258"/>
      <c r="D24" s="258"/>
      <c r="E24" s="258" t="s">
        <v>376</v>
      </c>
      <c r="F24" s="258"/>
      <c r="G24" s="258"/>
    </row>
    <row r="25" spans="1:8" ht="34.5" customHeight="1">
      <c r="A25" s="46" t="s">
        <v>33</v>
      </c>
      <c r="B25" s="258" t="s">
        <v>377</v>
      </c>
      <c r="C25" s="258"/>
      <c r="D25" s="258"/>
      <c r="E25" s="259">
        <v>1</v>
      </c>
      <c r="F25" s="259"/>
      <c r="G25" s="259"/>
    </row>
    <row r="26" spans="1:8">
      <c r="A26" s="265" t="s">
        <v>35</v>
      </c>
      <c r="B26" s="266"/>
      <c r="C26" s="266"/>
      <c r="D26" s="266"/>
      <c r="E26" s="266"/>
      <c r="F26" s="266"/>
      <c r="G26" s="267"/>
    </row>
    <row r="27" spans="1:8">
      <c r="A27" s="268"/>
      <c r="B27" s="269"/>
      <c r="C27" s="269"/>
      <c r="D27" s="269"/>
      <c r="E27" s="269"/>
      <c r="F27" s="269"/>
      <c r="G27" s="270"/>
    </row>
    <row r="28" spans="1:8">
      <c r="A28" s="271"/>
      <c r="B28" s="272"/>
      <c r="C28" s="272"/>
      <c r="D28" s="272"/>
      <c r="E28" s="272"/>
      <c r="F28" s="272"/>
      <c r="G28" s="273"/>
    </row>
    <row r="29" spans="1:8" ht="30.75" customHeight="1">
      <c r="A29" s="274" t="s">
        <v>36</v>
      </c>
      <c r="B29" s="274" t="s">
        <v>37</v>
      </c>
      <c r="C29" s="276"/>
      <c r="D29" s="278" t="s">
        <v>38</v>
      </c>
      <c r="E29" s="279"/>
      <c r="F29" s="279"/>
      <c r="G29" s="48"/>
    </row>
    <row r="30" spans="1:8" ht="30.75" customHeight="1">
      <c r="A30" s="275"/>
      <c r="B30" s="275"/>
      <c r="C30" s="277"/>
      <c r="D30" s="48" t="s">
        <v>39</v>
      </c>
      <c r="E30" s="49" t="s">
        <v>40</v>
      </c>
      <c r="F30" s="48" t="s">
        <v>41</v>
      </c>
      <c r="G30" s="48" t="s">
        <v>43</v>
      </c>
    </row>
    <row r="31" spans="1:8" ht="22.5" customHeight="1">
      <c r="A31" s="158">
        <v>5</v>
      </c>
      <c r="B31" s="264" t="s">
        <v>44</v>
      </c>
      <c r="C31" s="264"/>
      <c r="D31" s="264"/>
      <c r="E31" s="264"/>
      <c r="F31" s="264"/>
      <c r="G31" s="54">
        <f>G36+G151+G194+G200+G202+G204</f>
        <v>31134459999.599998</v>
      </c>
      <c r="H31" s="55"/>
    </row>
    <row r="32" spans="1:8" ht="31.5" customHeight="1">
      <c r="A32" s="159" t="s">
        <v>45</v>
      </c>
      <c r="B32" s="264" t="s">
        <v>46</v>
      </c>
      <c r="C32" s="264"/>
      <c r="D32" s="264"/>
      <c r="E32" s="264"/>
      <c r="F32" s="264"/>
      <c r="G32" s="191">
        <f>G33</f>
        <v>31032559999.599998</v>
      </c>
    </row>
    <row r="33" spans="1:79" s="59" customFormat="1" ht="30.75" customHeight="1">
      <c r="A33" s="160">
        <v>37743</v>
      </c>
      <c r="B33" s="264" t="s">
        <v>47</v>
      </c>
      <c r="C33" s="264"/>
      <c r="D33" s="264"/>
      <c r="E33" s="264"/>
      <c r="F33" s="264"/>
      <c r="G33" s="191">
        <f>G34</f>
        <v>31032559999.599998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</row>
    <row r="34" spans="1:79" ht="30.75" customHeight="1">
      <c r="A34" s="161" t="s">
        <v>48</v>
      </c>
      <c r="B34" s="264" t="s">
        <v>49</v>
      </c>
      <c r="C34" s="264"/>
      <c r="D34" s="264"/>
      <c r="E34" s="264"/>
      <c r="F34" s="264"/>
      <c r="G34" s="191">
        <f>G35</f>
        <v>31032559999.599998</v>
      </c>
    </row>
    <row r="35" spans="1:79" ht="30.75" customHeight="1">
      <c r="A35" s="161" t="s">
        <v>50</v>
      </c>
      <c r="B35" s="264" t="s">
        <v>51</v>
      </c>
      <c r="C35" s="264"/>
      <c r="D35" s="264"/>
      <c r="E35" s="264"/>
      <c r="F35" s="264"/>
      <c r="G35" s="191">
        <f>G36</f>
        <v>31032559999.599998</v>
      </c>
    </row>
    <row r="36" spans="1:79" s="152" customFormat="1" ht="30.75" customHeight="1">
      <c r="A36" s="150" t="s">
        <v>52</v>
      </c>
      <c r="B36" s="260" t="s">
        <v>325</v>
      </c>
      <c r="C36" s="260"/>
      <c r="D36" s="260"/>
      <c r="E36" s="260"/>
      <c r="F36" s="260"/>
      <c r="G36" s="151">
        <f>G37+G94</f>
        <v>31032559999.599998</v>
      </c>
    </row>
    <row r="37" spans="1:79" s="185" customFormat="1" ht="19.5" customHeight="1">
      <c r="A37" s="183"/>
      <c r="B37" s="238" t="s">
        <v>370</v>
      </c>
      <c r="C37" s="239"/>
      <c r="D37" s="239"/>
      <c r="E37" s="239"/>
      <c r="F37" s="240"/>
      <c r="G37" s="184">
        <f>G38+G39+G40+G41+G45+G47+G75+G80+G83+G87+G90</f>
        <v>15669200850</v>
      </c>
    </row>
    <row r="38" spans="1:79" s="172" customFormat="1" ht="57.75" customHeight="1">
      <c r="A38" s="166"/>
      <c r="B38" s="234" t="s">
        <v>337</v>
      </c>
      <c r="C38" s="234"/>
      <c r="D38" s="167">
        <v>1</v>
      </c>
      <c r="E38" s="168" t="s">
        <v>53</v>
      </c>
      <c r="F38" s="169">
        <v>705337200</v>
      </c>
      <c r="G38" s="170">
        <f>D38*F38</f>
        <v>705337200</v>
      </c>
      <c r="H38" s="171"/>
    </row>
    <row r="39" spans="1:79" s="163" customFormat="1" ht="57.75" customHeight="1">
      <c r="A39" s="166"/>
      <c r="B39" s="235" t="s">
        <v>338</v>
      </c>
      <c r="C39" s="235"/>
      <c r="D39" s="167">
        <v>1790</v>
      </c>
      <c r="E39" s="168" t="s">
        <v>339</v>
      </c>
      <c r="F39" s="169">
        <v>8218600</v>
      </c>
      <c r="G39" s="157">
        <f>D39*F39</f>
        <v>14711294000</v>
      </c>
      <c r="H39" s="187"/>
      <c r="J39" s="173"/>
    </row>
    <row r="40" spans="1:79" s="163" customFormat="1" ht="57.75" customHeight="1">
      <c r="A40" s="162"/>
      <c r="B40" s="208" t="s">
        <v>340</v>
      </c>
      <c r="C40" s="208"/>
      <c r="D40" s="167">
        <v>1</v>
      </c>
      <c r="E40" s="68" t="s">
        <v>53</v>
      </c>
      <c r="F40" s="165">
        <v>126750000</v>
      </c>
      <c r="G40" s="170">
        <f t="shared" ref="G40" si="0">D40*F40</f>
        <v>126750000</v>
      </c>
    </row>
    <row r="41" spans="1:79" s="163" customFormat="1" ht="33.75" customHeight="1">
      <c r="A41" s="162"/>
      <c r="B41" s="236" t="s">
        <v>127</v>
      </c>
      <c r="C41" s="236"/>
      <c r="D41" s="236"/>
      <c r="E41" s="236"/>
      <c r="F41" s="236"/>
      <c r="G41" s="153">
        <f>SUM(G42:G44)</f>
        <v>42000000</v>
      </c>
    </row>
    <row r="42" spans="1:79" s="163" customFormat="1" ht="63" customHeight="1">
      <c r="A42" s="162"/>
      <c r="B42" s="237" t="s">
        <v>333</v>
      </c>
      <c r="C42" s="231"/>
      <c r="D42" s="67" t="s">
        <v>345</v>
      </c>
      <c r="E42" s="164" t="s">
        <v>334</v>
      </c>
      <c r="F42" s="165">
        <v>700000</v>
      </c>
      <c r="G42" s="157">
        <f>1*6*F42</f>
        <v>4200000</v>
      </c>
      <c r="H42" s="186">
        <f>H40/F40</f>
        <v>0</v>
      </c>
    </row>
    <row r="43" spans="1:79" s="163" customFormat="1" ht="64.5" customHeight="1">
      <c r="A43" s="162"/>
      <c r="B43" s="231" t="s">
        <v>335</v>
      </c>
      <c r="C43" s="231"/>
      <c r="D43" s="67" t="s">
        <v>346</v>
      </c>
      <c r="E43" s="164" t="s">
        <v>334</v>
      </c>
      <c r="F43" s="165">
        <v>650000</v>
      </c>
      <c r="G43" s="157">
        <f>2*6*F43</f>
        <v>7800000</v>
      </c>
    </row>
    <row r="44" spans="1:79" s="163" customFormat="1" ht="64.5" customHeight="1">
      <c r="A44" s="162"/>
      <c r="B44" s="231" t="s">
        <v>336</v>
      </c>
      <c r="C44" s="231"/>
      <c r="D44" s="67" t="s">
        <v>347</v>
      </c>
      <c r="E44" s="164" t="s">
        <v>334</v>
      </c>
      <c r="F44" s="165">
        <v>500000</v>
      </c>
      <c r="G44" s="157">
        <f>10*6*F44</f>
        <v>30000000</v>
      </c>
    </row>
    <row r="45" spans="1:79" s="64" customFormat="1" ht="30.75" customHeight="1">
      <c r="A45" s="50"/>
      <c r="B45" s="232" t="s">
        <v>151</v>
      </c>
      <c r="C45" s="241"/>
      <c r="D45" s="61"/>
      <c r="E45" s="62"/>
      <c r="F45" s="63"/>
      <c r="G45" s="63">
        <f>SUM(G46)</f>
        <v>1000000</v>
      </c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</row>
    <row r="46" spans="1:79" s="71" customFormat="1" ht="30.75" customHeight="1">
      <c r="A46" s="50"/>
      <c r="B46" s="65" t="s">
        <v>75</v>
      </c>
      <c r="C46" s="66"/>
      <c r="D46" s="67">
        <v>100</v>
      </c>
      <c r="E46" s="68" t="s">
        <v>60</v>
      </c>
      <c r="F46" s="69">
        <v>10000</v>
      </c>
      <c r="G46" s="70">
        <f>D46*F46</f>
        <v>1000000</v>
      </c>
    </row>
    <row r="47" spans="1:79" s="75" customFormat="1" ht="30.75" customHeight="1">
      <c r="A47" s="50"/>
      <c r="B47" s="232" t="s">
        <v>153</v>
      </c>
      <c r="C47" s="233"/>
      <c r="D47" s="72"/>
      <c r="E47" s="60"/>
      <c r="F47" s="73"/>
      <c r="G47" s="74">
        <f>SUM(G48:G74)</f>
        <v>6156400</v>
      </c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</row>
    <row r="48" spans="1:79" ht="23.25" customHeight="1">
      <c r="A48" s="50"/>
      <c r="B48" s="208" t="s">
        <v>154</v>
      </c>
      <c r="C48" s="208"/>
      <c r="D48" s="67">
        <v>2</v>
      </c>
      <c r="E48" s="76" t="s">
        <v>54</v>
      </c>
      <c r="F48" s="77">
        <v>29100</v>
      </c>
      <c r="G48" s="78">
        <f t="shared" ref="G48:G74" si="1">D48*F48</f>
        <v>58200</v>
      </c>
    </row>
    <row r="49" spans="1:7" ht="23.25" customHeight="1">
      <c r="A49" s="50"/>
      <c r="B49" s="208" t="s">
        <v>155</v>
      </c>
      <c r="C49" s="208"/>
      <c r="D49" s="67">
        <v>1</v>
      </c>
      <c r="E49" s="76" t="s">
        <v>54</v>
      </c>
      <c r="F49" s="77">
        <v>37300</v>
      </c>
      <c r="G49" s="78">
        <f t="shared" si="1"/>
        <v>37300</v>
      </c>
    </row>
    <row r="50" spans="1:7" ht="23.25" customHeight="1">
      <c r="A50" s="50"/>
      <c r="B50" s="208" t="s">
        <v>156</v>
      </c>
      <c r="C50" s="208"/>
      <c r="D50" s="67">
        <v>1</v>
      </c>
      <c r="E50" s="76" t="s">
        <v>56</v>
      </c>
      <c r="F50" s="77">
        <v>283500</v>
      </c>
      <c r="G50" s="78">
        <f t="shared" si="1"/>
        <v>283500</v>
      </c>
    </row>
    <row r="51" spans="1:7" ht="23.25" customHeight="1">
      <c r="A51" s="50"/>
      <c r="B51" s="208" t="s">
        <v>157</v>
      </c>
      <c r="C51" s="208"/>
      <c r="D51" s="67">
        <v>1</v>
      </c>
      <c r="E51" s="76" t="s">
        <v>56</v>
      </c>
      <c r="F51" s="77">
        <v>55650</v>
      </c>
      <c r="G51" s="78">
        <f t="shared" si="1"/>
        <v>55650</v>
      </c>
    </row>
    <row r="52" spans="1:7" ht="23.25" customHeight="1">
      <c r="A52" s="50"/>
      <c r="B52" s="208" t="s">
        <v>158</v>
      </c>
      <c r="C52" s="208"/>
      <c r="D52" s="67">
        <v>3</v>
      </c>
      <c r="E52" s="76" t="s">
        <v>54</v>
      </c>
      <c r="F52" s="77">
        <v>4725</v>
      </c>
      <c r="G52" s="78">
        <f t="shared" si="1"/>
        <v>14175</v>
      </c>
    </row>
    <row r="53" spans="1:7" ht="23.25" customHeight="1">
      <c r="A53" s="50"/>
      <c r="B53" s="208" t="s">
        <v>159</v>
      </c>
      <c r="C53" s="208"/>
      <c r="D53" s="67">
        <v>3</v>
      </c>
      <c r="E53" s="76" t="s">
        <v>54</v>
      </c>
      <c r="F53" s="77">
        <v>14700</v>
      </c>
      <c r="G53" s="78">
        <f t="shared" si="1"/>
        <v>44100</v>
      </c>
    </row>
    <row r="54" spans="1:7" ht="23.25" customHeight="1">
      <c r="A54" s="50"/>
      <c r="B54" s="208" t="s">
        <v>160</v>
      </c>
      <c r="C54" s="208"/>
      <c r="D54" s="67">
        <v>3</v>
      </c>
      <c r="E54" s="76" t="s">
        <v>54</v>
      </c>
      <c r="F54" s="77">
        <v>53500</v>
      </c>
      <c r="G54" s="78">
        <f t="shared" si="1"/>
        <v>160500</v>
      </c>
    </row>
    <row r="55" spans="1:7" ht="23.25" customHeight="1">
      <c r="A55" s="50"/>
      <c r="B55" s="208" t="s">
        <v>161</v>
      </c>
      <c r="C55" s="208"/>
      <c r="D55" s="67">
        <v>10</v>
      </c>
      <c r="E55" s="76" t="s">
        <v>55</v>
      </c>
      <c r="F55" s="77">
        <v>60775</v>
      </c>
      <c r="G55" s="78">
        <f t="shared" si="1"/>
        <v>607750</v>
      </c>
    </row>
    <row r="56" spans="1:7" ht="23.25" customHeight="1">
      <c r="A56" s="50"/>
      <c r="B56" s="208" t="s">
        <v>162</v>
      </c>
      <c r="C56" s="208"/>
      <c r="D56" s="67">
        <v>2</v>
      </c>
      <c r="E56" s="76" t="s">
        <v>57</v>
      </c>
      <c r="F56" s="77">
        <v>22200</v>
      </c>
      <c r="G56" s="78">
        <f t="shared" si="1"/>
        <v>44400</v>
      </c>
    </row>
    <row r="57" spans="1:7" ht="23.25" customHeight="1">
      <c r="A57" s="50"/>
      <c r="B57" s="208" t="s">
        <v>163</v>
      </c>
      <c r="C57" s="208"/>
      <c r="D57" s="67">
        <v>5</v>
      </c>
      <c r="E57" s="76" t="s">
        <v>54</v>
      </c>
      <c r="F57" s="77">
        <v>44100</v>
      </c>
      <c r="G57" s="78">
        <f t="shared" si="1"/>
        <v>220500</v>
      </c>
    </row>
    <row r="58" spans="1:7" ht="23.25" customHeight="1">
      <c r="A58" s="50"/>
      <c r="B58" s="208" t="s">
        <v>164</v>
      </c>
      <c r="C58" s="208"/>
      <c r="D58" s="67">
        <v>5</v>
      </c>
      <c r="E58" s="76" t="s">
        <v>54</v>
      </c>
      <c r="F58" s="77">
        <v>37275</v>
      </c>
      <c r="G58" s="78">
        <f t="shared" si="1"/>
        <v>186375</v>
      </c>
    </row>
    <row r="59" spans="1:7" ht="23.25" customHeight="1">
      <c r="A59" s="50"/>
      <c r="B59" s="208" t="s">
        <v>165</v>
      </c>
      <c r="C59" s="208"/>
      <c r="D59" s="67">
        <v>50</v>
      </c>
      <c r="E59" s="76" t="s">
        <v>55</v>
      </c>
      <c r="F59" s="77">
        <v>9800</v>
      </c>
      <c r="G59" s="78">
        <f t="shared" si="1"/>
        <v>490000</v>
      </c>
    </row>
    <row r="60" spans="1:7" ht="23.25" customHeight="1">
      <c r="A60" s="50"/>
      <c r="B60" s="208" t="s">
        <v>166</v>
      </c>
      <c r="C60" s="208"/>
      <c r="D60" s="67">
        <v>20</v>
      </c>
      <c r="E60" s="76" t="s">
        <v>54</v>
      </c>
      <c r="F60" s="77">
        <v>130200</v>
      </c>
      <c r="G60" s="78">
        <f t="shared" si="1"/>
        <v>2604000</v>
      </c>
    </row>
    <row r="61" spans="1:7" ht="23.25" customHeight="1">
      <c r="A61" s="50"/>
      <c r="B61" s="208" t="s">
        <v>167</v>
      </c>
      <c r="C61" s="208"/>
      <c r="D61" s="67">
        <v>4</v>
      </c>
      <c r="E61" s="76" t="s">
        <v>76</v>
      </c>
      <c r="F61" s="77">
        <v>34175</v>
      </c>
      <c r="G61" s="78">
        <f t="shared" si="1"/>
        <v>136700</v>
      </c>
    </row>
    <row r="62" spans="1:7" ht="23.25" customHeight="1">
      <c r="A62" s="50"/>
      <c r="B62" s="208" t="s">
        <v>168</v>
      </c>
      <c r="C62" s="208"/>
      <c r="D62" s="67">
        <v>4</v>
      </c>
      <c r="E62" s="76" t="s">
        <v>76</v>
      </c>
      <c r="F62" s="77">
        <v>28875</v>
      </c>
      <c r="G62" s="78">
        <f t="shared" si="1"/>
        <v>115500</v>
      </c>
    </row>
    <row r="63" spans="1:7" ht="23.25" customHeight="1">
      <c r="A63" s="50"/>
      <c r="B63" s="208" t="s">
        <v>169</v>
      </c>
      <c r="C63" s="208"/>
      <c r="D63" s="67">
        <v>4</v>
      </c>
      <c r="E63" s="76" t="s">
        <v>76</v>
      </c>
      <c r="F63" s="77">
        <v>20175</v>
      </c>
      <c r="G63" s="78">
        <f t="shared" si="1"/>
        <v>80700</v>
      </c>
    </row>
    <row r="64" spans="1:7" ht="23.25" customHeight="1">
      <c r="A64" s="50"/>
      <c r="B64" s="208" t="s">
        <v>77</v>
      </c>
      <c r="C64" s="208"/>
      <c r="D64" s="67">
        <v>2</v>
      </c>
      <c r="E64" s="76" t="s">
        <v>55</v>
      </c>
      <c r="F64" s="77">
        <v>15000</v>
      </c>
      <c r="G64" s="78">
        <f t="shared" si="1"/>
        <v>30000</v>
      </c>
    </row>
    <row r="65" spans="1:79" ht="23.25" customHeight="1">
      <c r="A65" s="50"/>
      <c r="B65" s="208" t="s">
        <v>78</v>
      </c>
      <c r="C65" s="208"/>
      <c r="D65" s="67">
        <v>1</v>
      </c>
      <c r="E65" s="76" t="s">
        <v>55</v>
      </c>
      <c r="F65" s="77">
        <v>20900</v>
      </c>
      <c r="G65" s="78">
        <f t="shared" si="1"/>
        <v>20900</v>
      </c>
    </row>
    <row r="66" spans="1:79" ht="23.25" customHeight="1">
      <c r="A66" s="50"/>
      <c r="B66" s="208" t="s">
        <v>170</v>
      </c>
      <c r="C66" s="208"/>
      <c r="D66" s="67">
        <v>1</v>
      </c>
      <c r="E66" s="76" t="s">
        <v>55</v>
      </c>
      <c r="F66" s="77">
        <v>20800</v>
      </c>
      <c r="G66" s="78">
        <f t="shared" si="1"/>
        <v>20800</v>
      </c>
    </row>
    <row r="67" spans="1:79" ht="23.25" customHeight="1">
      <c r="A67" s="50"/>
      <c r="B67" s="208" t="s">
        <v>171</v>
      </c>
      <c r="C67" s="208"/>
      <c r="D67" s="67">
        <v>1</v>
      </c>
      <c r="E67" s="76" t="s">
        <v>55</v>
      </c>
      <c r="F67" s="77">
        <v>10500</v>
      </c>
      <c r="G67" s="78">
        <f t="shared" si="1"/>
        <v>10500</v>
      </c>
    </row>
    <row r="68" spans="1:79" ht="23.25" customHeight="1">
      <c r="A68" s="50"/>
      <c r="B68" s="208" t="s">
        <v>172</v>
      </c>
      <c r="C68" s="208"/>
      <c r="D68" s="67">
        <v>1</v>
      </c>
      <c r="E68" s="76" t="s">
        <v>55</v>
      </c>
      <c r="F68" s="77">
        <v>11000</v>
      </c>
      <c r="G68" s="78">
        <f t="shared" si="1"/>
        <v>11000</v>
      </c>
    </row>
    <row r="69" spans="1:79" ht="23.25" customHeight="1">
      <c r="A69" s="50"/>
      <c r="B69" s="208" t="s">
        <v>173</v>
      </c>
      <c r="C69" s="208"/>
      <c r="D69" s="67">
        <v>2</v>
      </c>
      <c r="E69" s="76" t="s">
        <v>60</v>
      </c>
      <c r="F69" s="77">
        <v>13650</v>
      </c>
      <c r="G69" s="78">
        <f t="shared" si="1"/>
        <v>27300</v>
      </c>
    </row>
    <row r="70" spans="1:79" ht="23.25" customHeight="1">
      <c r="A70" s="50"/>
      <c r="B70" s="208" t="s">
        <v>174</v>
      </c>
      <c r="C70" s="208"/>
      <c r="D70" s="67">
        <v>2</v>
      </c>
      <c r="E70" s="76" t="s">
        <v>55</v>
      </c>
      <c r="F70" s="77">
        <v>20325</v>
      </c>
      <c r="G70" s="78">
        <f t="shared" si="1"/>
        <v>40650</v>
      </c>
    </row>
    <row r="71" spans="1:79" ht="23.25" customHeight="1">
      <c r="A71" s="50"/>
      <c r="B71" s="208" t="s">
        <v>79</v>
      </c>
      <c r="C71" s="208"/>
      <c r="D71" s="67">
        <v>3</v>
      </c>
      <c r="E71" s="76" t="s">
        <v>76</v>
      </c>
      <c r="F71" s="77">
        <v>157725</v>
      </c>
      <c r="G71" s="78">
        <f t="shared" si="1"/>
        <v>473175</v>
      </c>
    </row>
    <row r="72" spans="1:79" ht="23.25" customHeight="1">
      <c r="A72" s="50"/>
      <c r="B72" s="208" t="s">
        <v>175</v>
      </c>
      <c r="C72" s="208"/>
      <c r="D72" s="67">
        <v>2</v>
      </c>
      <c r="E72" s="76" t="s">
        <v>76</v>
      </c>
      <c r="F72" s="77">
        <v>164850</v>
      </c>
      <c r="G72" s="78">
        <f t="shared" si="1"/>
        <v>329700</v>
      </c>
    </row>
    <row r="73" spans="1:79" ht="23.25" customHeight="1">
      <c r="A73" s="50"/>
      <c r="B73" s="208" t="s">
        <v>80</v>
      </c>
      <c r="C73" s="208"/>
      <c r="D73" s="67">
        <v>1</v>
      </c>
      <c r="E73" s="76" t="s">
        <v>55</v>
      </c>
      <c r="F73" s="77">
        <v>27300</v>
      </c>
      <c r="G73" s="78">
        <f t="shared" si="1"/>
        <v>27300</v>
      </c>
    </row>
    <row r="74" spans="1:79" ht="23.25" customHeight="1">
      <c r="A74" s="50"/>
      <c r="B74" s="208" t="s">
        <v>81</v>
      </c>
      <c r="C74" s="208"/>
      <c r="D74" s="67">
        <v>1</v>
      </c>
      <c r="E74" s="76" t="s">
        <v>55</v>
      </c>
      <c r="F74" s="77">
        <v>25725</v>
      </c>
      <c r="G74" s="78">
        <f t="shared" si="1"/>
        <v>25725</v>
      </c>
    </row>
    <row r="75" spans="1:79" s="80" customFormat="1" ht="23.25" customHeight="1">
      <c r="A75" s="50"/>
      <c r="B75" s="251" t="s">
        <v>177</v>
      </c>
      <c r="C75" s="252"/>
      <c r="D75" s="252"/>
      <c r="E75" s="252"/>
      <c r="F75" s="252"/>
      <c r="G75" s="79">
        <f>SUM(G76:G79)</f>
        <v>2992500</v>
      </c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</row>
    <row r="76" spans="1:79" ht="23.25" customHeight="1">
      <c r="A76" s="50"/>
      <c r="B76" s="208" t="s">
        <v>82</v>
      </c>
      <c r="C76" s="208"/>
      <c r="D76" s="67">
        <v>3</v>
      </c>
      <c r="E76" s="68" t="s">
        <v>55</v>
      </c>
      <c r="F76" s="69">
        <v>157500</v>
      </c>
      <c r="G76" s="78">
        <f>D76*F76</f>
        <v>472500</v>
      </c>
    </row>
    <row r="77" spans="1:79" ht="23.25" customHeight="1">
      <c r="A77" s="50"/>
      <c r="B77" s="208" t="s">
        <v>83</v>
      </c>
      <c r="C77" s="208"/>
      <c r="D77" s="67">
        <v>3</v>
      </c>
      <c r="E77" s="68" t="s">
        <v>55</v>
      </c>
      <c r="F77" s="69">
        <v>157500</v>
      </c>
      <c r="G77" s="78">
        <f>D77*F77</f>
        <v>472500</v>
      </c>
    </row>
    <row r="78" spans="1:79" ht="23.25" customHeight="1">
      <c r="A78" s="50"/>
      <c r="B78" s="208" t="s">
        <v>84</v>
      </c>
      <c r="C78" s="208"/>
      <c r="D78" s="67">
        <v>10</v>
      </c>
      <c r="E78" s="68" t="s">
        <v>55</v>
      </c>
      <c r="F78" s="69">
        <v>157500</v>
      </c>
      <c r="G78" s="78">
        <f>D78*F78</f>
        <v>1575000</v>
      </c>
    </row>
    <row r="79" spans="1:79" ht="23.25" customHeight="1">
      <c r="A79" s="50"/>
      <c r="B79" s="208" t="s">
        <v>85</v>
      </c>
      <c r="C79" s="208"/>
      <c r="D79" s="67">
        <v>3</v>
      </c>
      <c r="E79" s="68" t="s">
        <v>55</v>
      </c>
      <c r="F79" s="69">
        <v>157500</v>
      </c>
      <c r="G79" s="78">
        <f>D79*F79</f>
        <v>472500</v>
      </c>
    </row>
    <row r="80" spans="1:79" s="80" customFormat="1" ht="23.25" customHeight="1">
      <c r="A80" s="50"/>
      <c r="B80" s="232" t="s">
        <v>179</v>
      </c>
      <c r="C80" s="233"/>
      <c r="D80" s="233"/>
      <c r="E80" s="233"/>
      <c r="F80" s="241"/>
      <c r="G80" s="81">
        <f>SUM(G81:G82)</f>
        <v>7166250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</row>
    <row r="81" spans="1:79" ht="23.25" customHeight="1">
      <c r="A81" s="50"/>
      <c r="B81" s="208" t="s">
        <v>180</v>
      </c>
      <c r="C81" s="208"/>
      <c r="D81" s="67">
        <v>50</v>
      </c>
      <c r="E81" s="68" t="s">
        <v>58</v>
      </c>
      <c r="F81" s="69">
        <v>96600</v>
      </c>
      <c r="G81" s="78">
        <f>D81*F81</f>
        <v>4830000</v>
      </c>
    </row>
    <row r="82" spans="1:79" ht="23.25" customHeight="1">
      <c r="A82" s="50"/>
      <c r="B82" s="208" t="s">
        <v>181</v>
      </c>
      <c r="C82" s="208"/>
      <c r="D82" s="67">
        <v>25</v>
      </c>
      <c r="E82" s="68" t="s">
        <v>58</v>
      </c>
      <c r="F82" s="69">
        <v>93450</v>
      </c>
      <c r="G82" s="78">
        <f>D82*F82</f>
        <v>2336250</v>
      </c>
    </row>
    <row r="83" spans="1:79" s="80" customFormat="1" ht="23.25" customHeight="1">
      <c r="A83" s="50"/>
      <c r="B83" s="232" t="s">
        <v>183</v>
      </c>
      <c r="C83" s="233"/>
      <c r="D83" s="233"/>
      <c r="E83" s="233"/>
      <c r="F83" s="241"/>
      <c r="G83" s="82">
        <f>SUM(G84:G86)</f>
        <v>19004500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</row>
    <row r="84" spans="1:79" ht="23.25" customHeight="1">
      <c r="A84" s="50"/>
      <c r="B84" s="208" t="s">
        <v>69</v>
      </c>
      <c r="C84" s="208"/>
      <c r="D84" s="67">
        <v>23300</v>
      </c>
      <c r="E84" s="68" t="s">
        <v>62</v>
      </c>
      <c r="F84" s="69">
        <v>350</v>
      </c>
      <c r="G84" s="78">
        <f>D84*F84</f>
        <v>8155000</v>
      </c>
    </row>
    <row r="85" spans="1:79" ht="23.25" customHeight="1">
      <c r="A85" s="50"/>
      <c r="B85" s="208" t="s">
        <v>70</v>
      </c>
      <c r="C85" s="208"/>
      <c r="D85" s="67">
        <v>11250</v>
      </c>
      <c r="E85" s="68" t="s">
        <v>62</v>
      </c>
      <c r="F85" s="69">
        <v>350</v>
      </c>
      <c r="G85" s="78">
        <f>D85*F85</f>
        <v>3937500</v>
      </c>
    </row>
    <row r="86" spans="1:79" ht="32.25" customHeight="1">
      <c r="A86" s="50"/>
      <c r="B86" s="208" t="s">
        <v>71</v>
      </c>
      <c r="C86" s="208"/>
      <c r="D86" s="67">
        <v>96</v>
      </c>
      <c r="E86" s="68" t="s">
        <v>57</v>
      </c>
      <c r="F86" s="69">
        <v>72000</v>
      </c>
      <c r="G86" s="78">
        <f>D86*F86</f>
        <v>6912000</v>
      </c>
    </row>
    <row r="87" spans="1:79" s="80" customFormat="1" ht="23.25" customHeight="1">
      <c r="A87" s="50"/>
      <c r="B87" s="232" t="s">
        <v>185</v>
      </c>
      <c r="C87" s="233"/>
      <c r="D87" s="72"/>
      <c r="E87" s="83"/>
      <c r="F87" s="84"/>
      <c r="G87" s="82">
        <f>SUM(G88:G89)</f>
        <v>6750000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</row>
    <row r="88" spans="1:79" ht="36" customHeight="1">
      <c r="A88" s="50"/>
      <c r="B88" s="218" t="s">
        <v>72</v>
      </c>
      <c r="C88" s="219"/>
      <c r="D88" s="67">
        <v>150</v>
      </c>
      <c r="E88" s="68" t="s">
        <v>73</v>
      </c>
      <c r="F88" s="69">
        <v>30000</v>
      </c>
      <c r="G88" s="78">
        <f>D88*F88</f>
        <v>4500000</v>
      </c>
    </row>
    <row r="89" spans="1:79" ht="35.25" customHeight="1">
      <c r="A89" s="50"/>
      <c r="B89" s="218" t="s">
        <v>74</v>
      </c>
      <c r="C89" s="219"/>
      <c r="D89" s="67">
        <v>150</v>
      </c>
      <c r="E89" s="68" t="s">
        <v>73</v>
      </c>
      <c r="F89" s="69">
        <v>15000</v>
      </c>
      <c r="G89" s="78">
        <f>D89*F89</f>
        <v>2250000</v>
      </c>
    </row>
    <row r="90" spans="1:79" s="80" customFormat="1" ht="35.1" customHeight="1">
      <c r="A90" s="50"/>
      <c r="B90" s="220" t="s">
        <v>211</v>
      </c>
      <c r="C90" s="221"/>
      <c r="D90" s="221"/>
      <c r="E90" s="221"/>
      <c r="F90" s="222"/>
      <c r="G90" s="81">
        <f>SUM(G91)</f>
        <v>40750000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</row>
    <row r="91" spans="1:79" ht="35.1" customHeight="1">
      <c r="A91" s="50"/>
      <c r="B91" s="212" t="s">
        <v>348</v>
      </c>
      <c r="C91" s="213"/>
      <c r="D91" s="52"/>
      <c r="E91" s="49"/>
      <c r="F91" s="78"/>
      <c r="G91" s="100">
        <f>SUM(G92:G93)</f>
        <v>40750000</v>
      </c>
    </row>
    <row r="92" spans="1:79" ht="35.1" customHeight="1">
      <c r="A92" s="50"/>
      <c r="B92" s="208" t="s">
        <v>213</v>
      </c>
      <c r="C92" s="208"/>
      <c r="D92" s="67">
        <v>200</v>
      </c>
      <c r="E92" s="68" t="s">
        <v>61</v>
      </c>
      <c r="F92" s="69">
        <v>170000</v>
      </c>
      <c r="G92" s="78">
        <f t="shared" ref="G92:G93" si="2">D92*F92</f>
        <v>34000000</v>
      </c>
    </row>
    <row r="93" spans="1:79" ht="35.1" customHeight="1">
      <c r="A93" s="50"/>
      <c r="B93" s="208" t="s">
        <v>214</v>
      </c>
      <c r="C93" s="208"/>
      <c r="D93" s="52">
        <v>50</v>
      </c>
      <c r="E93" s="68" t="s">
        <v>73</v>
      </c>
      <c r="F93" s="78">
        <v>135000</v>
      </c>
      <c r="G93" s="78">
        <f t="shared" si="2"/>
        <v>6750000</v>
      </c>
    </row>
    <row r="94" spans="1:79" ht="19.5" customHeight="1">
      <c r="A94" s="180"/>
      <c r="B94" s="261" t="s">
        <v>371</v>
      </c>
      <c r="C94" s="262"/>
      <c r="D94" s="262"/>
      <c r="E94" s="262"/>
      <c r="F94" s="263"/>
      <c r="G94" s="181">
        <f>G95+G96+G97+G102+G104+G132+G137+G140+G144+G147</f>
        <v>15363359149.599998</v>
      </c>
    </row>
    <row r="95" spans="1:79" s="172" customFormat="1" ht="57.75" customHeight="1">
      <c r="A95" s="166"/>
      <c r="B95" s="234" t="s">
        <v>337</v>
      </c>
      <c r="C95" s="234"/>
      <c r="D95" s="167">
        <v>1</v>
      </c>
      <c r="E95" s="168" t="s">
        <v>53</v>
      </c>
      <c r="F95" s="169">
        <f>639453000-2232</f>
        <v>639450768</v>
      </c>
      <c r="G95" s="170">
        <f>D95*F95</f>
        <v>639450768</v>
      </c>
      <c r="H95" s="171"/>
    </row>
    <row r="96" spans="1:79" s="163" customFormat="1" ht="57.75" customHeight="1">
      <c r="A96" s="166"/>
      <c r="B96" s="235" t="s">
        <v>338</v>
      </c>
      <c r="C96" s="235"/>
      <c r="D96" s="167">
        <v>1770.9559999999999</v>
      </c>
      <c r="E96" s="168" t="s">
        <v>339</v>
      </c>
      <c r="F96" s="169">
        <v>8218600</v>
      </c>
      <c r="G96" s="157">
        <f>D96*F96</f>
        <v>14554778981.599998</v>
      </c>
      <c r="H96" s="187"/>
      <c r="J96" s="173"/>
    </row>
    <row r="97" spans="1:79" s="163" customFormat="1" ht="57.75" customHeight="1">
      <c r="A97" s="162"/>
      <c r="B97" s="208" t="s">
        <v>340</v>
      </c>
      <c r="C97" s="208"/>
      <c r="D97" s="167">
        <v>1</v>
      </c>
      <c r="E97" s="68" t="s">
        <v>53</v>
      </c>
      <c r="F97" s="165">
        <f>416645000*20%</f>
        <v>83329000</v>
      </c>
      <c r="G97" s="170">
        <f t="shared" ref="G97" si="3">D97*F97</f>
        <v>83329000</v>
      </c>
    </row>
    <row r="98" spans="1:79" s="163" customFormat="1" ht="33.75" customHeight="1">
      <c r="A98" s="162"/>
      <c r="B98" s="236" t="s">
        <v>127</v>
      </c>
      <c r="C98" s="236"/>
      <c r="D98" s="236"/>
      <c r="E98" s="236"/>
      <c r="F98" s="236"/>
      <c r="G98" s="190">
        <f>SUM(G99:G101)</f>
        <v>42000000</v>
      </c>
    </row>
    <row r="99" spans="1:79" s="163" customFormat="1" ht="63" customHeight="1">
      <c r="A99" s="162"/>
      <c r="B99" s="237" t="s">
        <v>333</v>
      </c>
      <c r="C99" s="231"/>
      <c r="D99" s="67" t="s">
        <v>345</v>
      </c>
      <c r="E99" s="164" t="s">
        <v>334</v>
      </c>
      <c r="F99" s="165">
        <v>700000</v>
      </c>
      <c r="G99" s="157">
        <f>1*6*F99</f>
        <v>4200000</v>
      </c>
      <c r="H99" s="186">
        <f>H97/F97</f>
        <v>0</v>
      </c>
    </row>
    <row r="100" spans="1:79" s="163" customFormat="1" ht="64.5" customHeight="1">
      <c r="A100" s="162"/>
      <c r="B100" s="231" t="s">
        <v>335</v>
      </c>
      <c r="C100" s="231"/>
      <c r="D100" s="67" t="s">
        <v>346</v>
      </c>
      <c r="E100" s="164" t="s">
        <v>334</v>
      </c>
      <c r="F100" s="165">
        <v>650000</v>
      </c>
      <c r="G100" s="157">
        <f>2*6*F100</f>
        <v>7800000</v>
      </c>
    </row>
    <row r="101" spans="1:79" s="163" customFormat="1" ht="64.5" customHeight="1">
      <c r="A101" s="162"/>
      <c r="B101" s="231" t="s">
        <v>336</v>
      </c>
      <c r="C101" s="231"/>
      <c r="D101" s="67" t="s">
        <v>347</v>
      </c>
      <c r="E101" s="164" t="s">
        <v>334</v>
      </c>
      <c r="F101" s="165">
        <v>500000</v>
      </c>
      <c r="G101" s="157">
        <f>10*6*F101</f>
        <v>30000000</v>
      </c>
    </row>
    <row r="102" spans="1:79" s="64" customFormat="1" ht="30.75" customHeight="1">
      <c r="A102" s="50"/>
      <c r="B102" s="232" t="s">
        <v>151</v>
      </c>
      <c r="C102" s="241"/>
      <c r="D102" s="61"/>
      <c r="E102" s="62"/>
      <c r="F102" s="63"/>
      <c r="G102" s="63">
        <f>SUM(G103)</f>
        <v>1000000</v>
      </c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18"/>
      <c r="BK102" s="118"/>
      <c r="BL102" s="118"/>
      <c r="BM102" s="118"/>
      <c r="BN102" s="118"/>
      <c r="BO102" s="118"/>
      <c r="BP102" s="118"/>
      <c r="BQ102" s="118"/>
      <c r="BR102" s="118"/>
      <c r="BS102" s="118"/>
      <c r="BT102" s="118"/>
      <c r="BU102" s="118"/>
      <c r="BV102" s="118"/>
      <c r="BW102" s="118"/>
      <c r="BX102" s="118"/>
      <c r="BY102" s="118"/>
      <c r="BZ102" s="118"/>
      <c r="CA102" s="118"/>
    </row>
    <row r="103" spans="1:79" s="71" customFormat="1" ht="30.75" customHeight="1">
      <c r="A103" s="50"/>
      <c r="B103" s="65" t="s">
        <v>75</v>
      </c>
      <c r="C103" s="66"/>
      <c r="D103" s="67">
        <v>100</v>
      </c>
      <c r="E103" s="68" t="s">
        <v>60</v>
      </c>
      <c r="F103" s="69">
        <v>10000</v>
      </c>
      <c r="G103" s="70">
        <f>D103*F103</f>
        <v>1000000</v>
      </c>
    </row>
    <row r="104" spans="1:79" s="75" customFormat="1" ht="30.75" customHeight="1">
      <c r="A104" s="50"/>
      <c r="B104" s="232" t="s">
        <v>153</v>
      </c>
      <c r="C104" s="233"/>
      <c r="D104" s="72"/>
      <c r="E104" s="60"/>
      <c r="F104" s="73"/>
      <c r="G104" s="74">
        <f>SUM(G105:G131)</f>
        <v>4854400</v>
      </c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</row>
    <row r="105" spans="1:79" ht="23.25" customHeight="1">
      <c r="A105" s="50"/>
      <c r="B105" s="208" t="s">
        <v>154</v>
      </c>
      <c r="C105" s="208"/>
      <c r="D105" s="67">
        <v>2</v>
      </c>
      <c r="E105" s="76" t="s">
        <v>54</v>
      </c>
      <c r="F105" s="77">
        <v>29100</v>
      </c>
      <c r="G105" s="78">
        <f t="shared" ref="G105:G131" si="4">D105*F105</f>
        <v>58200</v>
      </c>
    </row>
    <row r="106" spans="1:79" ht="23.25" customHeight="1">
      <c r="A106" s="50"/>
      <c r="B106" s="208" t="s">
        <v>155</v>
      </c>
      <c r="C106" s="208"/>
      <c r="D106" s="67">
        <v>1</v>
      </c>
      <c r="E106" s="76" t="s">
        <v>54</v>
      </c>
      <c r="F106" s="77">
        <v>37300</v>
      </c>
      <c r="G106" s="78">
        <f t="shared" si="4"/>
        <v>37300</v>
      </c>
    </row>
    <row r="107" spans="1:79" ht="23.25" customHeight="1">
      <c r="A107" s="50"/>
      <c r="B107" s="208" t="s">
        <v>156</v>
      </c>
      <c r="C107" s="208"/>
      <c r="D107" s="67">
        <v>1</v>
      </c>
      <c r="E107" s="76" t="s">
        <v>56</v>
      </c>
      <c r="F107" s="77">
        <v>283500</v>
      </c>
      <c r="G107" s="78">
        <f t="shared" si="4"/>
        <v>283500</v>
      </c>
    </row>
    <row r="108" spans="1:79" ht="23.25" customHeight="1">
      <c r="A108" s="50"/>
      <c r="B108" s="208" t="s">
        <v>157</v>
      </c>
      <c r="C108" s="208"/>
      <c r="D108" s="67">
        <v>1</v>
      </c>
      <c r="E108" s="76" t="s">
        <v>56</v>
      </c>
      <c r="F108" s="77">
        <v>55650</v>
      </c>
      <c r="G108" s="78">
        <f t="shared" si="4"/>
        <v>55650</v>
      </c>
    </row>
    <row r="109" spans="1:79" ht="23.25" customHeight="1">
      <c r="A109" s="50"/>
      <c r="B109" s="208" t="s">
        <v>158</v>
      </c>
      <c r="C109" s="208"/>
      <c r="D109" s="67">
        <v>3</v>
      </c>
      <c r="E109" s="76" t="s">
        <v>54</v>
      </c>
      <c r="F109" s="77">
        <v>4725</v>
      </c>
      <c r="G109" s="78">
        <f t="shared" si="4"/>
        <v>14175</v>
      </c>
    </row>
    <row r="110" spans="1:79" ht="23.25" customHeight="1">
      <c r="A110" s="50"/>
      <c r="B110" s="208" t="s">
        <v>159</v>
      </c>
      <c r="C110" s="208"/>
      <c r="D110" s="67">
        <v>3</v>
      </c>
      <c r="E110" s="76" t="s">
        <v>54</v>
      </c>
      <c r="F110" s="77">
        <v>14700</v>
      </c>
      <c r="G110" s="78">
        <f t="shared" si="4"/>
        <v>44100</v>
      </c>
    </row>
    <row r="111" spans="1:79" ht="23.25" customHeight="1">
      <c r="A111" s="50"/>
      <c r="B111" s="208" t="s">
        <v>160</v>
      </c>
      <c r="C111" s="208"/>
      <c r="D111" s="67">
        <v>3</v>
      </c>
      <c r="E111" s="76" t="s">
        <v>54</v>
      </c>
      <c r="F111" s="77">
        <v>53500</v>
      </c>
      <c r="G111" s="78">
        <f t="shared" si="4"/>
        <v>160500</v>
      </c>
    </row>
    <row r="112" spans="1:79" ht="23.25" customHeight="1">
      <c r="A112" s="50"/>
      <c r="B112" s="208" t="s">
        <v>161</v>
      </c>
      <c r="C112" s="208"/>
      <c r="D112" s="67">
        <v>10</v>
      </c>
      <c r="E112" s="76" t="s">
        <v>55</v>
      </c>
      <c r="F112" s="77">
        <v>60775</v>
      </c>
      <c r="G112" s="78">
        <f t="shared" si="4"/>
        <v>607750</v>
      </c>
    </row>
    <row r="113" spans="1:7" ht="23.25" customHeight="1">
      <c r="A113" s="50"/>
      <c r="B113" s="208" t="s">
        <v>162</v>
      </c>
      <c r="C113" s="208"/>
      <c r="D113" s="67">
        <v>2</v>
      </c>
      <c r="E113" s="76" t="s">
        <v>57</v>
      </c>
      <c r="F113" s="77">
        <v>22200</v>
      </c>
      <c r="G113" s="78">
        <f t="shared" si="4"/>
        <v>44400</v>
      </c>
    </row>
    <row r="114" spans="1:7" ht="23.25" customHeight="1">
      <c r="A114" s="50"/>
      <c r="B114" s="208" t="s">
        <v>163</v>
      </c>
      <c r="C114" s="208"/>
      <c r="D114" s="67">
        <v>5</v>
      </c>
      <c r="E114" s="76" t="s">
        <v>54</v>
      </c>
      <c r="F114" s="77">
        <v>44100</v>
      </c>
      <c r="G114" s="78">
        <f t="shared" si="4"/>
        <v>220500</v>
      </c>
    </row>
    <row r="115" spans="1:7" ht="23.25" customHeight="1">
      <c r="A115" s="50"/>
      <c r="B115" s="208" t="s">
        <v>164</v>
      </c>
      <c r="C115" s="208"/>
      <c r="D115" s="67">
        <v>5</v>
      </c>
      <c r="E115" s="76" t="s">
        <v>54</v>
      </c>
      <c r="F115" s="77">
        <v>37275</v>
      </c>
      <c r="G115" s="78">
        <f t="shared" si="4"/>
        <v>186375</v>
      </c>
    </row>
    <row r="116" spans="1:7" ht="23.25" customHeight="1">
      <c r="A116" s="50"/>
      <c r="B116" s="208" t="s">
        <v>165</v>
      </c>
      <c r="C116" s="208"/>
      <c r="D116" s="67">
        <v>50</v>
      </c>
      <c r="E116" s="76" t="s">
        <v>55</v>
      </c>
      <c r="F116" s="77">
        <v>9800</v>
      </c>
      <c r="G116" s="78">
        <f t="shared" si="4"/>
        <v>490000</v>
      </c>
    </row>
    <row r="117" spans="1:7" ht="23.25" customHeight="1">
      <c r="A117" s="50"/>
      <c r="B117" s="208" t="s">
        <v>166</v>
      </c>
      <c r="C117" s="208"/>
      <c r="D117" s="67">
        <v>10</v>
      </c>
      <c r="E117" s="76" t="s">
        <v>54</v>
      </c>
      <c r="F117" s="77">
        <v>130200</v>
      </c>
      <c r="G117" s="78">
        <f t="shared" si="4"/>
        <v>1302000</v>
      </c>
    </row>
    <row r="118" spans="1:7" ht="23.25" customHeight="1">
      <c r="A118" s="50"/>
      <c r="B118" s="208" t="s">
        <v>167</v>
      </c>
      <c r="C118" s="208"/>
      <c r="D118" s="67">
        <v>4</v>
      </c>
      <c r="E118" s="76" t="s">
        <v>76</v>
      </c>
      <c r="F118" s="77">
        <v>34175</v>
      </c>
      <c r="G118" s="78">
        <f t="shared" si="4"/>
        <v>136700</v>
      </c>
    </row>
    <row r="119" spans="1:7" ht="23.25" customHeight="1">
      <c r="A119" s="50"/>
      <c r="B119" s="208" t="s">
        <v>168</v>
      </c>
      <c r="C119" s="208"/>
      <c r="D119" s="67">
        <v>4</v>
      </c>
      <c r="E119" s="76" t="s">
        <v>76</v>
      </c>
      <c r="F119" s="77">
        <v>28875</v>
      </c>
      <c r="G119" s="78">
        <f t="shared" si="4"/>
        <v>115500</v>
      </c>
    </row>
    <row r="120" spans="1:7" ht="23.25" customHeight="1">
      <c r="A120" s="50"/>
      <c r="B120" s="208" t="s">
        <v>169</v>
      </c>
      <c r="C120" s="208"/>
      <c r="D120" s="67">
        <v>4</v>
      </c>
      <c r="E120" s="76" t="s">
        <v>76</v>
      </c>
      <c r="F120" s="77">
        <v>20175</v>
      </c>
      <c r="G120" s="78">
        <f t="shared" si="4"/>
        <v>80700</v>
      </c>
    </row>
    <row r="121" spans="1:7" ht="23.25" customHeight="1">
      <c r="A121" s="50"/>
      <c r="B121" s="208" t="s">
        <v>77</v>
      </c>
      <c r="C121" s="208"/>
      <c r="D121" s="67">
        <v>2</v>
      </c>
      <c r="E121" s="76" t="s">
        <v>55</v>
      </c>
      <c r="F121" s="77">
        <v>15000</v>
      </c>
      <c r="G121" s="78">
        <f t="shared" si="4"/>
        <v>30000</v>
      </c>
    </row>
    <row r="122" spans="1:7" ht="23.25" customHeight="1">
      <c r="A122" s="50"/>
      <c r="B122" s="208" t="s">
        <v>78</v>
      </c>
      <c r="C122" s="208"/>
      <c r="D122" s="67">
        <v>1</v>
      </c>
      <c r="E122" s="76" t="s">
        <v>55</v>
      </c>
      <c r="F122" s="77">
        <v>20900</v>
      </c>
      <c r="G122" s="78">
        <f t="shared" si="4"/>
        <v>20900</v>
      </c>
    </row>
    <row r="123" spans="1:7" ht="23.25" customHeight="1">
      <c r="A123" s="50"/>
      <c r="B123" s="208" t="s">
        <v>170</v>
      </c>
      <c r="C123" s="208"/>
      <c r="D123" s="67">
        <v>1</v>
      </c>
      <c r="E123" s="76" t="s">
        <v>55</v>
      </c>
      <c r="F123" s="77">
        <v>20800</v>
      </c>
      <c r="G123" s="78">
        <f t="shared" si="4"/>
        <v>20800</v>
      </c>
    </row>
    <row r="124" spans="1:7" ht="23.25" customHeight="1">
      <c r="A124" s="50"/>
      <c r="B124" s="208" t="s">
        <v>171</v>
      </c>
      <c r="C124" s="208"/>
      <c r="D124" s="67">
        <v>1</v>
      </c>
      <c r="E124" s="76" t="s">
        <v>55</v>
      </c>
      <c r="F124" s="77">
        <v>10500</v>
      </c>
      <c r="G124" s="78">
        <f t="shared" si="4"/>
        <v>10500</v>
      </c>
    </row>
    <row r="125" spans="1:7" ht="23.25" customHeight="1">
      <c r="A125" s="50"/>
      <c r="B125" s="208" t="s">
        <v>172</v>
      </c>
      <c r="C125" s="208"/>
      <c r="D125" s="67">
        <v>1</v>
      </c>
      <c r="E125" s="76" t="s">
        <v>55</v>
      </c>
      <c r="F125" s="77">
        <v>11000</v>
      </c>
      <c r="G125" s="78">
        <f t="shared" si="4"/>
        <v>11000</v>
      </c>
    </row>
    <row r="126" spans="1:7" ht="23.25" customHeight="1">
      <c r="A126" s="50"/>
      <c r="B126" s="208" t="s">
        <v>173</v>
      </c>
      <c r="C126" s="208"/>
      <c r="D126" s="67">
        <v>2</v>
      </c>
      <c r="E126" s="76" t="s">
        <v>60</v>
      </c>
      <c r="F126" s="77">
        <v>13650</v>
      </c>
      <c r="G126" s="78">
        <f t="shared" si="4"/>
        <v>27300</v>
      </c>
    </row>
    <row r="127" spans="1:7" ht="23.25" customHeight="1">
      <c r="A127" s="50"/>
      <c r="B127" s="208" t="s">
        <v>174</v>
      </c>
      <c r="C127" s="208"/>
      <c r="D127" s="67">
        <v>2</v>
      </c>
      <c r="E127" s="76" t="s">
        <v>55</v>
      </c>
      <c r="F127" s="77">
        <v>20325</v>
      </c>
      <c r="G127" s="78">
        <f t="shared" si="4"/>
        <v>40650</v>
      </c>
    </row>
    <row r="128" spans="1:7" ht="23.25" customHeight="1">
      <c r="A128" s="50"/>
      <c r="B128" s="208" t="s">
        <v>79</v>
      </c>
      <c r="C128" s="208"/>
      <c r="D128" s="67">
        <v>3</v>
      </c>
      <c r="E128" s="76" t="s">
        <v>76</v>
      </c>
      <c r="F128" s="77">
        <v>157725</v>
      </c>
      <c r="G128" s="78">
        <f t="shared" si="4"/>
        <v>473175</v>
      </c>
    </row>
    <row r="129" spans="1:79" ht="23.25" customHeight="1">
      <c r="A129" s="50"/>
      <c r="B129" s="208" t="s">
        <v>175</v>
      </c>
      <c r="C129" s="208"/>
      <c r="D129" s="67">
        <v>2</v>
      </c>
      <c r="E129" s="76" t="s">
        <v>76</v>
      </c>
      <c r="F129" s="77">
        <v>164850</v>
      </c>
      <c r="G129" s="78">
        <f t="shared" si="4"/>
        <v>329700</v>
      </c>
    </row>
    <row r="130" spans="1:79" ht="23.25" customHeight="1">
      <c r="A130" s="50"/>
      <c r="B130" s="208" t="s">
        <v>80</v>
      </c>
      <c r="C130" s="208"/>
      <c r="D130" s="67">
        <v>1</v>
      </c>
      <c r="E130" s="76" t="s">
        <v>55</v>
      </c>
      <c r="F130" s="77">
        <v>27300</v>
      </c>
      <c r="G130" s="78">
        <f t="shared" si="4"/>
        <v>27300</v>
      </c>
    </row>
    <row r="131" spans="1:79" ht="23.25" customHeight="1">
      <c r="A131" s="50"/>
      <c r="B131" s="208" t="s">
        <v>81</v>
      </c>
      <c r="C131" s="208"/>
      <c r="D131" s="67">
        <v>1</v>
      </c>
      <c r="E131" s="76" t="s">
        <v>55</v>
      </c>
      <c r="F131" s="77">
        <v>25725</v>
      </c>
      <c r="G131" s="78">
        <f t="shared" si="4"/>
        <v>25725</v>
      </c>
    </row>
    <row r="132" spans="1:79" s="80" customFormat="1" ht="23.25" customHeight="1">
      <c r="A132" s="50"/>
      <c r="B132" s="251" t="s">
        <v>177</v>
      </c>
      <c r="C132" s="252"/>
      <c r="D132" s="252"/>
      <c r="E132" s="252"/>
      <c r="F132" s="252"/>
      <c r="G132" s="79">
        <f>SUM(G133:G136)</f>
        <v>2992500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</row>
    <row r="133" spans="1:79" ht="23.25" customHeight="1">
      <c r="A133" s="50"/>
      <c r="B133" s="208" t="s">
        <v>82</v>
      </c>
      <c r="C133" s="208"/>
      <c r="D133" s="67">
        <v>3</v>
      </c>
      <c r="E133" s="68" t="s">
        <v>55</v>
      </c>
      <c r="F133" s="69">
        <v>157500</v>
      </c>
      <c r="G133" s="78">
        <f>D133*F133</f>
        <v>472500</v>
      </c>
    </row>
    <row r="134" spans="1:79" ht="23.25" customHeight="1">
      <c r="A134" s="50"/>
      <c r="B134" s="208" t="s">
        <v>83</v>
      </c>
      <c r="C134" s="208"/>
      <c r="D134" s="67">
        <v>3</v>
      </c>
      <c r="E134" s="68" t="s">
        <v>55</v>
      </c>
      <c r="F134" s="69">
        <v>157500</v>
      </c>
      <c r="G134" s="78">
        <f>D134*F134</f>
        <v>472500</v>
      </c>
    </row>
    <row r="135" spans="1:79" ht="23.25" customHeight="1">
      <c r="A135" s="50"/>
      <c r="B135" s="208" t="s">
        <v>84</v>
      </c>
      <c r="C135" s="208"/>
      <c r="D135" s="67">
        <v>10</v>
      </c>
      <c r="E135" s="68" t="s">
        <v>55</v>
      </c>
      <c r="F135" s="69">
        <v>157500</v>
      </c>
      <c r="G135" s="78">
        <f>D135*F135</f>
        <v>1575000</v>
      </c>
    </row>
    <row r="136" spans="1:79" ht="23.25" customHeight="1">
      <c r="A136" s="50"/>
      <c r="B136" s="208" t="s">
        <v>85</v>
      </c>
      <c r="C136" s="208"/>
      <c r="D136" s="67">
        <v>3</v>
      </c>
      <c r="E136" s="68" t="s">
        <v>55</v>
      </c>
      <c r="F136" s="69">
        <v>157500</v>
      </c>
      <c r="G136" s="78">
        <f>D136*F136</f>
        <v>472500</v>
      </c>
    </row>
    <row r="137" spans="1:79" s="80" customFormat="1" ht="23.25" customHeight="1">
      <c r="A137" s="50"/>
      <c r="B137" s="232" t="s">
        <v>179</v>
      </c>
      <c r="C137" s="233"/>
      <c r="D137" s="233"/>
      <c r="E137" s="233"/>
      <c r="F137" s="241"/>
      <c r="G137" s="81">
        <f>SUM(G138:G139)</f>
        <v>6699000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</row>
    <row r="138" spans="1:79" ht="23.25" customHeight="1">
      <c r="A138" s="50"/>
      <c r="B138" s="208" t="s">
        <v>180</v>
      </c>
      <c r="C138" s="208"/>
      <c r="D138" s="67">
        <v>50</v>
      </c>
      <c r="E138" s="68" t="s">
        <v>58</v>
      </c>
      <c r="F138" s="69">
        <v>96600</v>
      </c>
      <c r="G138" s="78">
        <f>D138*F138</f>
        <v>4830000</v>
      </c>
    </row>
    <row r="139" spans="1:79" ht="23.25" customHeight="1">
      <c r="A139" s="50"/>
      <c r="B139" s="208" t="s">
        <v>181</v>
      </c>
      <c r="C139" s="208"/>
      <c r="D139" s="67">
        <v>20</v>
      </c>
      <c r="E139" s="68" t="s">
        <v>58</v>
      </c>
      <c r="F139" s="69">
        <v>93450</v>
      </c>
      <c r="G139" s="78">
        <f>D139*F139</f>
        <v>1869000</v>
      </c>
    </row>
    <row r="140" spans="1:79" s="80" customFormat="1" ht="23.25" customHeight="1">
      <c r="A140" s="50"/>
      <c r="B140" s="232" t="s">
        <v>183</v>
      </c>
      <c r="C140" s="233"/>
      <c r="D140" s="233"/>
      <c r="E140" s="233"/>
      <c r="F140" s="241"/>
      <c r="G140" s="82">
        <f>SUM(G141:G143)</f>
        <v>19004500</v>
      </c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</row>
    <row r="141" spans="1:79" ht="23.25" customHeight="1">
      <c r="A141" s="50"/>
      <c r="B141" s="208" t="s">
        <v>69</v>
      </c>
      <c r="C141" s="208"/>
      <c r="D141" s="67">
        <v>23300</v>
      </c>
      <c r="E141" s="68" t="s">
        <v>62</v>
      </c>
      <c r="F141" s="69">
        <v>350</v>
      </c>
      <c r="G141" s="78">
        <f>D141*F141</f>
        <v>8155000</v>
      </c>
    </row>
    <row r="142" spans="1:79" ht="23.25" customHeight="1">
      <c r="A142" s="50"/>
      <c r="B142" s="208" t="s">
        <v>70</v>
      </c>
      <c r="C142" s="208"/>
      <c r="D142" s="67">
        <v>11250</v>
      </c>
      <c r="E142" s="68" t="s">
        <v>62</v>
      </c>
      <c r="F142" s="69">
        <v>350</v>
      </c>
      <c r="G142" s="78">
        <f>D142*F142</f>
        <v>3937500</v>
      </c>
    </row>
    <row r="143" spans="1:79" ht="32.25" customHeight="1">
      <c r="A143" s="50"/>
      <c r="B143" s="208" t="s">
        <v>71</v>
      </c>
      <c r="C143" s="208"/>
      <c r="D143" s="67">
        <v>96</v>
      </c>
      <c r="E143" s="68" t="s">
        <v>57</v>
      </c>
      <c r="F143" s="69">
        <v>72000</v>
      </c>
      <c r="G143" s="78">
        <f>D143*F143</f>
        <v>6912000</v>
      </c>
    </row>
    <row r="144" spans="1:79" s="80" customFormat="1" ht="23.25" customHeight="1">
      <c r="A144" s="50"/>
      <c r="B144" s="232" t="s">
        <v>185</v>
      </c>
      <c r="C144" s="233"/>
      <c r="D144" s="72"/>
      <c r="E144" s="83"/>
      <c r="F144" s="84"/>
      <c r="G144" s="82">
        <f>SUM(G145:G146)</f>
        <v>6750000</v>
      </c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</row>
    <row r="145" spans="1:79" ht="36" customHeight="1">
      <c r="A145" s="50"/>
      <c r="B145" s="218" t="s">
        <v>72</v>
      </c>
      <c r="C145" s="219"/>
      <c r="D145" s="67">
        <v>150</v>
      </c>
      <c r="E145" s="68" t="s">
        <v>73</v>
      </c>
      <c r="F145" s="69">
        <v>30000</v>
      </c>
      <c r="G145" s="78">
        <f>D145*F145</f>
        <v>4500000</v>
      </c>
    </row>
    <row r="146" spans="1:79" ht="35.25" customHeight="1">
      <c r="A146" s="50"/>
      <c r="B146" s="218" t="s">
        <v>74</v>
      </c>
      <c r="C146" s="219"/>
      <c r="D146" s="67">
        <v>150</v>
      </c>
      <c r="E146" s="68" t="s">
        <v>73</v>
      </c>
      <c r="F146" s="69">
        <v>15000</v>
      </c>
      <c r="G146" s="78">
        <f>D146*F146</f>
        <v>2250000</v>
      </c>
    </row>
    <row r="147" spans="1:79" s="80" customFormat="1" ht="35.1" customHeight="1">
      <c r="A147" s="50"/>
      <c r="B147" s="220" t="s">
        <v>211</v>
      </c>
      <c r="C147" s="221"/>
      <c r="D147" s="221"/>
      <c r="E147" s="221"/>
      <c r="F147" s="222"/>
      <c r="G147" s="81">
        <f>SUM(G148)</f>
        <v>44500000</v>
      </c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</row>
    <row r="148" spans="1:79" ht="35.1" customHeight="1">
      <c r="A148" s="50"/>
      <c r="B148" s="212" t="s">
        <v>348</v>
      </c>
      <c r="C148" s="213"/>
      <c r="D148" s="52"/>
      <c r="E148" s="49"/>
      <c r="F148" s="78"/>
      <c r="G148" s="100">
        <f>SUM(G149:G150)</f>
        <v>44500000</v>
      </c>
    </row>
    <row r="149" spans="1:79" ht="35.1" customHeight="1">
      <c r="A149" s="50"/>
      <c r="B149" s="208" t="s">
        <v>213</v>
      </c>
      <c r="C149" s="208"/>
      <c r="D149" s="67">
        <v>200</v>
      </c>
      <c r="E149" s="68" t="s">
        <v>61</v>
      </c>
      <c r="F149" s="69">
        <v>170000</v>
      </c>
      <c r="G149" s="78">
        <f t="shared" ref="G149:G150" si="5">D149*F149</f>
        <v>34000000</v>
      </c>
    </row>
    <row r="150" spans="1:79" ht="35.1" customHeight="1">
      <c r="A150" s="50"/>
      <c r="B150" s="208" t="s">
        <v>240</v>
      </c>
      <c r="C150" s="208"/>
      <c r="D150" s="52">
        <v>50</v>
      </c>
      <c r="E150" s="68" t="s">
        <v>73</v>
      </c>
      <c r="F150" s="78">
        <v>210000</v>
      </c>
      <c r="G150" s="78">
        <f t="shared" si="5"/>
        <v>10500000</v>
      </c>
    </row>
    <row r="151" spans="1:79" s="80" customFormat="1" ht="35.1" customHeight="1">
      <c r="A151" s="188" t="s">
        <v>373</v>
      </c>
      <c r="B151" s="209" t="s">
        <v>211</v>
      </c>
      <c r="C151" s="210"/>
      <c r="D151" s="210"/>
      <c r="E151" s="210"/>
      <c r="F151" s="211"/>
      <c r="G151" s="189">
        <f>SUM(G152)</f>
        <v>43700000</v>
      </c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</row>
    <row r="152" spans="1:79" ht="38.25" customHeight="1">
      <c r="A152" s="50"/>
      <c r="B152" s="212" t="s">
        <v>372</v>
      </c>
      <c r="C152" s="213"/>
      <c r="D152" s="52"/>
      <c r="E152" s="49"/>
      <c r="F152" s="78"/>
      <c r="G152" s="100">
        <f>SUM(G153:G154)</f>
        <v>43700000</v>
      </c>
    </row>
    <row r="153" spans="1:79" ht="35.1" customHeight="1">
      <c r="A153" s="50"/>
      <c r="B153" s="208" t="s">
        <v>213</v>
      </c>
      <c r="C153" s="208"/>
      <c r="D153" s="67">
        <v>250</v>
      </c>
      <c r="E153" s="68" t="s">
        <v>61</v>
      </c>
      <c r="F153" s="69">
        <v>170000</v>
      </c>
      <c r="G153" s="78">
        <f t="shared" ref="G153:G154" si="6">D153*F153</f>
        <v>42500000</v>
      </c>
    </row>
    <row r="154" spans="1:79" ht="35.1" customHeight="1">
      <c r="A154" s="50"/>
      <c r="B154" s="208" t="s">
        <v>247</v>
      </c>
      <c r="C154" s="208"/>
      <c r="D154" s="52">
        <v>10</v>
      </c>
      <c r="E154" s="68" t="s">
        <v>73</v>
      </c>
      <c r="F154" s="78">
        <v>120000</v>
      </c>
      <c r="G154" s="78">
        <f t="shared" si="6"/>
        <v>1200000</v>
      </c>
    </row>
    <row r="155" spans="1:79" ht="35.1" customHeight="1">
      <c r="A155" s="50"/>
      <c r="B155" s="208" t="s">
        <v>218</v>
      </c>
      <c r="C155" s="208"/>
      <c r="D155" s="67">
        <v>10</v>
      </c>
      <c r="E155" s="68" t="s">
        <v>73</v>
      </c>
      <c r="F155" s="78">
        <v>145000</v>
      </c>
      <c r="G155" s="78">
        <f t="shared" ref="G155" si="7">D155*F155</f>
        <v>1450000</v>
      </c>
    </row>
    <row r="156" spans="1:79" ht="35.1" customHeight="1">
      <c r="A156" s="50"/>
      <c r="B156" s="208" t="s">
        <v>215</v>
      </c>
      <c r="C156" s="208"/>
      <c r="D156" s="67">
        <v>10</v>
      </c>
      <c r="E156" s="68" t="s">
        <v>73</v>
      </c>
      <c r="F156" s="78">
        <v>90000</v>
      </c>
      <c r="G156" s="78">
        <f t="shared" ref="G156:G199" si="8">D156*F156</f>
        <v>900000</v>
      </c>
    </row>
    <row r="157" spans="1:79" ht="35.1" customHeight="1">
      <c r="A157" s="50"/>
      <c r="B157" s="208" t="s">
        <v>216</v>
      </c>
      <c r="C157" s="208"/>
      <c r="D157" s="52">
        <v>10</v>
      </c>
      <c r="E157" s="68" t="s">
        <v>73</v>
      </c>
      <c r="F157" s="78">
        <v>185000</v>
      </c>
      <c r="G157" s="78">
        <f t="shared" si="8"/>
        <v>1850000</v>
      </c>
    </row>
    <row r="158" spans="1:79" ht="35.1" customHeight="1">
      <c r="A158" s="50"/>
      <c r="B158" s="208" t="s">
        <v>217</v>
      </c>
      <c r="C158" s="208"/>
      <c r="D158" s="52">
        <v>10</v>
      </c>
      <c r="E158" s="68" t="s">
        <v>73</v>
      </c>
      <c r="F158" s="78">
        <v>200000</v>
      </c>
      <c r="G158" s="78">
        <f t="shared" si="8"/>
        <v>2000000</v>
      </c>
    </row>
    <row r="159" spans="1:79" ht="35.1" customHeight="1">
      <c r="A159" s="50"/>
      <c r="B159" s="208" t="s">
        <v>218</v>
      </c>
      <c r="C159" s="208"/>
      <c r="D159" s="67">
        <v>10</v>
      </c>
      <c r="E159" s="68" t="s">
        <v>73</v>
      </c>
      <c r="F159" s="78">
        <v>145000</v>
      </c>
      <c r="G159" s="78">
        <f t="shared" si="8"/>
        <v>1450000</v>
      </c>
    </row>
    <row r="160" spans="1:79" ht="35.1" customHeight="1">
      <c r="A160" s="50"/>
      <c r="B160" s="208" t="s">
        <v>219</v>
      </c>
      <c r="C160" s="208"/>
      <c r="D160" s="52">
        <v>10</v>
      </c>
      <c r="E160" s="68" t="s">
        <v>73</v>
      </c>
      <c r="F160" s="78">
        <v>180000</v>
      </c>
      <c r="G160" s="78">
        <f t="shared" si="8"/>
        <v>1800000</v>
      </c>
    </row>
    <row r="161" spans="1:7" ht="35.1" customHeight="1">
      <c r="A161" s="50"/>
      <c r="B161" s="208" t="s">
        <v>220</v>
      </c>
      <c r="C161" s="208"/>
      <c r="D161" s="52">
        <v>10</v>
      </c>
      <c r="E161" s="68" t="s">
        <v>73</v>
      </c>
      <c r="F161" s="78">
        <v>160000</v>
      </c>
      <c r="G161" s="78">
        <f t="shared" si="8"/>
        <v>1600000</v>
      </c>
    </row>
    <row r="162" spans="1:7" ht="35.1" customHeight="1">
      <c r="A162" s="50"/>
      <c r="B162" s="208" t="s">
        <v>221</v>
      </c>
      <c r="C162" s="208"/>
      <c r="D162" s="67">
        <v>10</v>
      </c>
      <c r="E162" s="68" t="s">
        <v>73</v>
      </c>
      <c r="F162" s="78">
        <v>185000</v>
      </c>
      <c r="G162" s="78">
        <f t="shared" si="8"/>
        <v>1850000</v>
      </c>
    </row>
    <row r="163" spans="1:7" ht="35.1" customHeight="1">
      <c r="A163" s="50"/>
      <c r="B163" s="208" t="s">
        <v>222</v>
      </c>
      <c r="C163" s="208"/>
      <c r="D163" s="52">
        <v>10</v>
      </c>
      <c r="E163" s="68" t="s">
        <v>73</v>
      </c>
      <c r="F163" s="78">
        <v>210000</v>
      </c>
      <c r="G163" s="78">
        <f t="shared" si="8"/>
        <v>2100000</v>
      </c>
    </row>
    <row r="164" spans="1:7" ht="35.1" customHeight="1">
      <c r="A164" s="50"/>
      <c r="B164" s="208" t="s">
        <v>223</v>
      </c>
      <c r="C164" s="208"/>
      <c r="D164" s="52">
        <v>10</v>
      </c>
      <c r="E164" s="68" t="s">
        <v>73</v>
      </c>
      <c r="F164" s="78">
        <v>160000</v>
      </c>
      <c r="G164" s="78">
        <f t="shared" si="8"/>
        <v>1600000</v>
      </c>
    </row>
    <row r="165" spans="1:7" ht="35.1" customHeight="1">
      <c r="A165" s="50"/>
      <c r="B165" s="208" t="s">
        <v>224</v>
      </c>
      <c r="C165" s="208"/>
      <c r="D165" s="67">
        <v>10</v>
      </c>
      <c r="E165" s="68" t="s">
        <v>73</v>
      </c>
      <c r="F165" s="78">
        <v>140000</v>
      </c>
      <c r="G165" s="78">
        <f t="shared" si="8"/>
        <v>1400000</v>
      </c>
    </row>
    <row r="166" spans="1:7" ht="35.1" customHeight="1">
      <c r="A166" s="50"/>
      <c r="B166" s="208" t="s">
        <v>225</v>
      </c>
      <c r="C166" s="208"/>
      <c r="D166" s="52">
        <v>10</v>
      </c>
      <c r="E166" s="68" t="s">
        <v>73</v>
      </c>
      <c r="F166" s="78">
        <v>125000</v>
      </c>
      <c r="G166" s="78">
        <f t="shared" si="8"/>
        <v>1250000</v>
      </c>
    </row>
    <row r="167" spans="1:7" ht="35.1" customHeight="1">
      <c r="A167" s="50"/>
      <c r="B167" s="208" t="s">
        <v>226</v>
      </c>
      <c r="C167" s="208"/>
      <c r="D167" s="52">
        <v>10</v>
      </c>
      <c r="E167" s="68" t="s">
        <v>73</v>
      </c>
      <c r="F167" s="78">
        <v>185000</v>
      </c>
      <c r="G167" s="78">
        <f t="shared" si="8"/>
        <v>1850000</v>
      </c>
    </row>
    <row r="168" spans="1:7" ht="35.1" customHeight="1">
      <c r="A168" s="50"/>
      <c r="B168" s="208" t="s">
        <v>227</v>
      </c>
      <c r="C168" s="208"/>
      <c r="D168" s="67">
        <v>10</v>
      </c>
      <c r="E168" s="68" t="s">
        <v>73</v>
      </c>
      <c r="F168" s="78">
        <v>140000</v>
      </c>
      <c r="G168" s="78">
        <f t="shared" si="8"/>
        <v>1400000</v>
      </c>
    </row>
    <row r="169" spans="1:7" ht="35.1" customHeight="1">
      <c r="A169" s="50"/>
      <c r="B169" s="208" t="s">
        <v>228</v>
      </c>
      <c r="C169" s="208"/>
      <c r="D169" s="52">
        <v>10</v>
      </c>
      <c r="E169" s="68" t="s">
        <v>73</v>
      </c>
      <c r="F169" s="78">
        <v>95000</v>
      </c>
      <c r="G169" s="78">
        <f t="shared" si="8"/>
        <v>950000</v>
      </c>
    </row>
    <row r="170" spans="1:7" ht="35.1" customHeight="1">
      <c r="A170" s="50"/>
      <c r="B170" s="208" t="s">
        <v>229</v>
      </c>
      <c r="C170" s="208"/>
      <c r="D170" s="52">
        <v>10</v>
      </c>
      <c r="E170" s="68" t="s">
        <v>73</v>
      </c>
      <c r="F170" s="78">
        <v>140000</v>
      </c>
      <c r="G170" s="78">
        <f t="shared" si="8"/>
        <v>1400000</v>
      </c>
    </row>
    <row r="171" spans="1:7" ht="35.1" customHeight="1">
      <c r="A171" s="50"/>
      <c r="B171" s="208" t="s">
        <v>230</v>
      </c>
      <c r="C171" s="208"/>
      <c r="D171" s="67">
        <v>10</v>
      </c>
      <c r="E171" s="68" t="s">
        <v>73</v>
      </c>
      <c r="F171" s="78">
        <v>365000</v>
      </c>
      <c r="G171" s="78">
        <f t="shared" si="8"/>
        <v>3650000</v>
      </c>
    </row>
    <row r="172" spans="1:7" ht="35.1" customHeight="1">
      <c r="A172" s="50"/>
      <c r="B172" s="208" t="s">
        <v>231</v>
      </c>
      <c r="C172" s="208"/>
      <c r="D172" s="52">
        <v>10</v>
      </c>
      <c r="E172" s="68" t="s">
        <v>73</v>
      </c>
      <c r="F172" s="78">
        <v>145000</v>
      </c>
      <c r="G172" s="78">
        <f t="shared" si="8"/>
        <v>1450000</v>
      </c>
    </row>
    <row r="173" spans="1:7" ht="35.1" customHeight="1">
      <c r="A173" s="50"/>
      <c r="B173" s="208" t="s">
        <v>232</v>
      </c>
      <c r="C173" s="208"/>
      <c r="D173" s="52">
        <v>10</v>
      </c>
      <c r="E173" s="68" t="s">
        <v>73</v>
      </c>
      <c r="F173" s="78">
        <v>245000</v>
      </c>
      <c r="G173" s="78">
        <f t="shared" si="8"/>
        <v>2450000</v>
      </c>
    </row>
    <row r="174" spans="1:7" ht="35.1" customHeight="1">
      <c r="A174" s="50"/>
      <c r="B174" s="208" t="s">
        <v>233</v>
      </c>
      <c r="C174" s="208"/>
      <c r="D174" s="67">
        <v>10</v>
      </c>
      <c r="E174" s="68" t="s">
        <v>73</v>
      </c>
      <c r="F174" s="78">
        <v>165000</v>
      </c>
      <c r="G174" s="78">
        <f t="shared" si="8"/>
        <v>1650000</v>
      </c>
    </row>
    <row r="175" spans="1:7" ht="35.1" customHeight="1">
      <c r="A175" s="50"/>
      <c r="B175" s="208" t="s">
        <v>234</v>
      </c>
      <c r="C175" s="208"/>
      <c r="D175" s="52">
        <v>10</v>
      </c>
      <c r="E175" s="68" t="s">
        <v>73</v>
      </c>
      <c r="F175" s="78">
        <v>115000</v>
      </c>
      <c r="G175" s="78">
        <f t="shared" si="8"/>
        <v>1150000</v>
      </c>
    </row>
    <row r="176" spans="1:7" ht="35.1" customHeight="1">
      <c r="A176" s="50"/>
      <c r="B176" s="208" t="s">
        <v>235</v>
      </c>
      <c r="C176" s="208"/>
      <c r="D176" s="52">
        <v>10</v>
      </c>
      <c r="E176" s="68" t="s">
        <v>73</v>
      </c>
      <c r="F176" s="78">
        <v>120000</v>
      </c>
      <c r="G176" s="78">
        <f t="shared" si="8"/>
        <v>1200000</v>
      </c>
    </row>
    <row r="177" spans="1:7" ht="35.1" customHeight="1">
      <c r="A177" s="50"/>
      <c r="B177" s="208" t="s">
        <v>236</v>
      </c>
      <c r="C177" s="208"/>
      <c r="D177" s="67">
        <v>10</v>
      </c>
      <c r="E177" s="68" t="s">
        <v>73</v>
      </c>
      <c r="F177" s="78">
        <v>210000</v>
      </c>
      <c r="G177" s="78">
        <f t="shared" si="8"/>
        <v>2100000</v>
      </c>
    </row>
    <row r="178" spans="1:7" ht="35.1" customHeight="1">
      <c r="A178" s="50"/>
      <c r="B178" s="208" t="s">
        <v>237</v>
      </c>
      <c r="C178" s="208"/>
      <c r="D178" s="52">
        <v>10</v>
      </c>
      <c r="E178" s="68" t="s">
        <v>73</v>
      </c>
      <c r="F178" s="78">
        <v>220000</v>
      </c>
      <c r="G178" s="78">
        <f t="shared" si="8"/>
        <v>2200000</v>
      </c>
    </row>
    <row r="179" spans="1:7" ht="35.1" customHeight="1">
      <c r="A179" s="50"/>
      <c r="B179" s="208" t="s">
        <v>238</v>
      </c>
      <c r="C179" s="208"/>
      <c r="D179" s="52">
        <v>10</v>
      </c>
      <c r="E179" s="68" t="s">
        <v>73</v>
      </c>
      <c r="F179" s="78">
        <v>160000</v>
      </c>
      <c r="G179" s="78">
        <f t="shared" si="8"/>
        <v>1600000</v>
      </c>
    </row>
    <row r="180" spans="1:7" ht="35.1" customHeight="1">
      <c r="A180" s="50"/>
      <c r="B180" s="208" t="s">
        <v>239</v>
      </c>
      <c r="C180" s="208"/>
      <c r="D180" s="67">
        <v>10</v>
      </c>
      <c r="E180" s="68" t="s">
        <v>73</v>
      </c>
      <c r="F180" s="78">
        <v>255000</v>
      </c>
      <c r="G180" s="78">
        <f t="shared" si="8"/>
        <v>2550000</v>
      </c>
    </row>
    <row r="181" spans="1:7" ht="35.1" customHeight="1">
      <c r="A181" s="50"/>
      <c r="B181" s="208" t="s">
        <v>240</v>
      </c>
      <c r="C181" s="208"/>
      <c r="D181" s="52">
        <v>10</v>
      </c>
      <c r="E181" s="68" t="s">
        <v>73</v>
      </c>
      <c r="F181" s="78">
        <v>210000</v>
      </c>
      <c r="G181" s="78">
        <f t="shared" si="8"/>
        <v>2100000</v>
      </c>
    </row>
    <row r="182" spans="1:7" ht="35.1" customHeight="1">
      <c r="A182" s="50"/>
      <c r="B182" s="208" t="s">
        <v>241</v>
      </c>
      <c r="C182" s="208"/>
      <c r="D182" s="52">
        <v>10</v>
      </c>
      <c r="E182" s="68" t="s">
        <v>73</v>
      </c>
      <c r="F182" s="78">
        <v>130000</v>
      </c>
      <c r="G182" s="78">
        <f t="shared" si="8"/>
        <v>1300000</v>
      </c>
    </row>
    <row r="183" spans="1:7" ht="35.1" customHeight="1">
      <c r="A183" s="50"/>
      <c r="B183" s="208" t="s">
        <v>242</v>
      </c>
      <c r="C183" s="208"/>
      <c r="D183" s="67">
        <v>10</v>
      </c>
      <c r="E183" s="68" t="s">
        <v>73</v>
      </c>
      <c r="F183" s="78">
        <v>205000</v>
      </c>
      <c r="G183" s="78">
        <f t="shared" si="8"/>
        <v>2050000</v>
      </c>
    </row>
    <row r="184" spans="1:7" ht="35.1" customHeight="1">
      <c r="A184" s="50"/>
      <c r="B184" s="208" t="s">
        <v>243</v>
      </c>
      <c r="C184" s="208"/>
      <c r="D184" s="52">
        <v>10</v>
      </c>
      <c r="E184" s="68" t="s">
        <v>73</v>
      </c>
      <c r="F184" s="78">
        <v>125000</v>
      </c>
      <c r="G184" s="78">
        <f t="shared" si="8"/>
        <v>1250000</v>
      </c>
    </row>
    <row r="185" spans="1:7" ht="35.1" customHeight="1">
      <c r="A185" s="50"/>
      <c r="B185" s="208" t="s">
        <v>244</v>
      </c>
      <c r="C185" s="208"/>
      <c r="D185" s="52">
        <v>10</v>
      </c>
      <c r="E185" s="68" t="s">
        <v>73</v>
      </c>
      <c r="F185" s="78">
        <v>170000</v>
      </c>
      <c r="G185" s="78">
        <f t="shared" si="8"/>
        <v>1700000</v>
      </c>
    </row>
    <row r="186" spans="1:7" ht="35.1" customHeight="1">
      <c r="A186" s="50"/>
      <c r="B186" s="208" t="s">
        <v>245</v>
      </c>
      <c r="C186" s="208"/>
      <c r="D186" s="67">
        <v>10</v>
      </c>
      <c r="E186" s="68" t="s">
        <v>73</v>
      </c>
      <c r="F186" s="78">
        <v>255000</v>
      </c>
      <c r="G186" s="78">
        <f t="shared" si="8"/>
        <v>2550000</v>
      </c>
    </row>
    <row r="187" spans="1:7" ht="35.1" customHeight="1">
      <c r="A187" s="50"/>
      <c r="B187" s="208" t="s">
        <v>246</v>
      </c>
      <c r="C187" s="208"/>
      <c r="D187" s="52">
        <v>10</v>
      </c>
      <c r="E187" s="68" t="s">
        <v>73</v>
      </c>
      <c r="F187" s="78">
        <v>175000</v>
      </c>
      <c r="G187" s="78">
        <f t="shared" si="8"/>
        <v>1750000</v>
      </c>
    </row>
    <row r="188" spans="1:7" ht="35.1" customHeight="1">
      <c r="A188" s="50"/>
      <c r="B188" s="208" t="s">
        <v>247</v>
      </c>
      <c r="C188" s="208"/>
      <c r="D188" s="52">
        <v>10</v>
      </c>
      <c r="E188" s="68" t="s">
        <v>73</v>
      </c>
      <c r="F188" s="78">
        <v>120000</v>
      </c>
      <c r="G188" s="78">
        <f t="shared" si="8"/>
        <v>1200000</v>
      </c>
    </row>
    <row r="189" spans="1:7" ht="35.1" customHeight="1">
      <c r="A189" s="50"/>
      <c r="B189" s="208" t="s">
        <v>248</v>
      </c>
      <c r="C189" s="208"/>
      <c r="D189" s="67">
        <v>10</v>
      </c>
      <c r="E189" s="68" t="s">
        <v>73</v>
      </c>
      <c r="F189" s="78">
        <v>100000</v>
      </c>
      <c r="G189" s="78">
        <f t="shared" si="8"/>
        <v>1000000</v>
      </c>
    </row>
    <row r="190" spans="1:7" ht="35.1" customHeight="1">
      <c r="A190" s="50"/>
      <c r="B190" s="208" t="s">
        <v>249</v>
      </c>
      <c r="C190" s="208"/>
      <c r="D190" s="52">
        <v>10</v>
      </c>
      <c r="E190" s="68" t="s">
        <v>73</v>
      </c>
      <c r="F190" s="78">
        <v>165000</v>
      </c>
      <c r="G190" s="78">
        <f t="shared" si="8"/>
        <v>1650000</v>
      </c>
    </row>
    <row r="191" spans="1:7" ht="35.1" customHeight="1">
      <c r="A191" s="50"/>
      <c r="B191" s="208" t="s">
        <v>250</v>
      </c>
      <c r="C191" s="208"/>
      <c r="D191" s="52">
        <v>10</v>
      </c>
      <c r="E191" s="68" t="s">
        <v>73</v>
      </c>
      <c r="F191" s="78">
        <v>220000</v>
      </c>
      <c r="G191" s="78">
        <f t="shared" si="8"/>
        <v>2200000</v>
      </c>
    </row>
    <row r="192" spans="1:7" ht="35.1" customHeight="1">
      <c r="A192" s="50"/>
      <c r="B192" s="208" t="s">
        <v>251</v>
      </c>
      <c r="C192" s="208"/>
      <c r="D192" s="67">
        <v>10</v>
      </c>
      <c r="E192" s="68" t="s">
        <v>73</v>
      </c>
      <c r="F192" s="78">
        <v>320000</v>
      </c>
      <c r="G192" s="78">
        <f t="shared" si="8"/>
        <v>3200000</v>
      </c>
    </row>
    <row r="193" spans="1:79" ht="35.1" customHeight="1">
      <c r="A193" s="50"/>
      <c r="B193" s="208" t="s">
        <v>252</v>
      </c>
      <c r="C193" s="208"/>
      <c r="D193" s="52">
        <v>10</v>
      </c>
      <c r="E193" s="68" t="s">
        <v>73</v>
      </c>
      <c r="F193" s="78">
        <v>165000</v>
      </c>
      <c r="G193" s="78">
        <f t="shared" si="8"/>
        <v>1650000</v>
      </c>
    </row>
    <row r="194" spans="1:79" s="64" customFormat="1" ht="35.1" customHeight="1">
      <c r="A194" s="178" t="s">
        <v>253</v>
      </c>
      <c r="B194" s="226" t="s">
        <v>254</v>
      </c>
      <c r="C194" s="227"/>
      <c r="D194" s="227"/>
      <c r="E194" s="227"/>
      <c r="F194" s="228"/>
      <c r="G194" s="179">
        <f>SUM(G195:G199)</f>
        <v>17200000</v>
      </c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18"/>
      <c r="AV194" s="118"/>
      <c r="AW194" s="118"/>
      <c r="AX194" s="118"/>
      <c r="AY194" s="118"/>
      <c r="AZ194" s="118"/>
      <c r="BA194" s="118"/>
      <c r="BB194" s="118"/>
      <c r="BC194" s="118"/>
      <c r="BD194" s="118"/>
      <c r="BE194" s="118"/>
      <c r="BF194" s="118"/>
      <c r="BG194" s="118"/>
      <c r="BH194" s="118"/>
      <c r="BI194" s="118"/>
      <c r="BJ194" s="118"/>
      <c r="BK194" s="118"/>
      <c r="BL194" s="118"/>
      <c r="BM194" s="118"/>
      <c r="BN194" s="118"/>
      <c r="BO194" s="118"/>
      <c r="BP194" s="118"/>
      <c r="BQ194" s="118"/>
      <c r="BR194" s="118"/>
      <c r="BS194" s="118"/>
      <c r="BT194" s="118"/>
      <c r="BU194" s="118"/>
      <c r="BV194" s="118"/>
      <c r="BW194" s="118"/>
      <c r="BX194" s="118"/>
      <c r="BY194" s="118"/>
      <c r="BZ194" s="118"/>
      <c r="CA194" s="118"/>
    </row>
    <row r="195" spans="1:79" ht="35.1" customHeight="1">
      <c r="A195" s="50"/>
      <c r="B195" s="214" t="s">
        <v>66</v>
      </c>
      <c r="C195" s="216"/>
      <c r="D195" s="52">
        <v>20</v>
      </c>
      <c r="E195" s="68" t="s">
        <v>123</v>
      </c>
      <c r="F195" s="78">
        <v>430000</v>
      </c>
      <c r="G195" s="78">
        <f t="shared" si="8"/>
        <v>8600000</v>
      </c>
    </row>
    <row r="196" spans="1:79" ht="35.1" customHeight="1">
      <c r="A196" s="50"/>
      <c r="B196" s="214" t="s">
        <v>255</v>
      </c>
      <c r="C196" s="215"/>
      <c r="D196" s="52">
        <v>5</v>
      </c>
      <c r="E196" s="68" t="s">
        <v>73</v>
      </c>
      <c r="F196" s="78">
        <v>185000</v>
      </c>
      <c r="G196" s="78">
        <f t="shared" si="8"/>
        <v>925000</v>
      </c>
    </row>
    <row r="197" spans="1:79" ht="35.1" customHeight="1">
      <c r="A197" s="50"/>
      <c r="B197" s="214" t="s">
        <v>256</v>
      </c>
      <c r="C197" s="215"/>
      <c r="D197" s="52">
        <v>5</v>
      </c>
      <c r="E197" s="68" t="s">
        <v>73</v>
      </c>
      <c r="F197" s="78">
        <v>175000</v>
      </c>
      <c r="G197" s="78">
        <f t="shared" si="8"/>
        <v>875000</v>
      </c>
    </row>
    <row r="198" spans="1:79" ht="35.1" customHeight="1">
      <c r="A198" s="50"/>
      <c r="B198" s="214" t="s">
        <v>257</v>
      </c>
      <c r="C198" s="216"/>
      <c r="D198" s="52">
        <v>10</v>
      </c>
      <c r="E198" s="68" t="s">
        <v>123</v>
      </c>
      <c r="F198" s="78">
        <v>530000</v>
      </c>
      <c r="G198" s="78">
        <f t="shared" si="8"/>
        <v>5300000</v>
      </c>
    </row>
    <row r="199" spans="1:79" ht="35.1" customHeight="1">
      <c r="A199" s="50"/>
      <c r="B199" s="214" t="s">
        <v>258</v>
      </c>
      <c r="C199" s="215"/>
      <c r="D199" s="52">
        <v>5</v>
      </c>
      <c r="E199" s="68" t="s">
        <v>73</v>
      </c>
      <c r="F199" s="78">
        <v>300000</v>
      </c>
      <c r="G199" s="78">
        <f t="shared" si="8"/>
        <v>1500000</v>
      </c>
    </row>
    <row r="200" spans="1:79" s="86" customFormat="1" ht="35.1" customHeight="1">
      <c r="A200" s="174" t="s">
        <v>259</v>
      </c>
      <c r="B200" s="217" t="s">
        <v>260</v>
      </c>
      <c r="C200" s="217"/>
      <c r="D200" s="217"/>
      <c r="E200" s="217"/>
      <c r="F200" s="175"/>
      <c r="G200" s="175">
        <f>SUM(G201)</f>
        <v>12000000</v>
      </c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92"/>
      <c r="BE200" s="92"/>
      <c r="BF200" s="92"/>
      <c r="BG200" s="92"/>
      <c r="BH200" s="92"/>
      <c r="BI200" s="92"/>
      <c r="BJ200" s="92"/>
      <c r="BK200" s="92"/>
      <c r="BL200" s="92"/>
      <c r="BM200" s="92"/>
      <c r="BN200" s="92"/>
      <c r="BO200" s="92"/>
      <c r="BP200" s="92"/>
      <c r="BQ200" s="92"/>
      <c r="BR200" s="92"/>
      <c r="BS200" s="92"/>
      <c r="BT200" s="92"/>
      <c r="BU200" s="92"/>
      <c r="BV200" s="92"/>
      <c r="BW200" s="92"/>
      <c r="BX200" s="92"/>
      <c r="BY200" s="92"/>
      <c r="BZ200" s="92"/>
      <c r="CA200" s="92"/>
    </row>
    <row r="201" spans="1:79" ht="35.1" customHeight="1">
      <c r="A201" s="47"/>
      <c r="B201" s="214" t="s">
        <v>261</v>
      </c>
      <c r="C201" s="215"/>
      <c r="D201" s="52">
        <v>3</v>
      </c>
      <c r="E201" s="68" t="s">
        <v>123</v>
      </c>
      <c r="F201" s="102">
        <v>4000000</v>
      </c>
      <c r="G201" s="68">
        <f>D201*F201</f>
        <v>12000000</v>
      </c>
    </row>
    <row r="202" spans="1:79" s="154" customFormat="1" ht="24.75" customHeight="1">
      <c r="A202" s="176" t="s">
        <v>326</v>
      </c>
      <c r="B202" s="217" t="s">
        <v>327</v>
      </c>
      <c r="C202" s="217"/>
      <c r="D202" s="217"/>
      <c r="E202" s="217"/>
      <c r="F202" s="217"/>
      <c r="G202" s="177">
        <f>SUM(G203)</f>
        <v>24000000</v>
      </c>
    </row>
    <row r="203" spans="1:79" s="148" customFormat="1" ht="33.75" customHeight="1">
      <c r="A203" s="155"/>
      <c r="B203" s="208" t="s">
        <v>341</v>
      </c>
      <c r="C203" s="208"/>
      <c r="D203" s="52">
        <v>8</v>
      </c>
      <c r="E203" s="102" t="s">
        <v>328</v>
      </c>
      <c r="F203" s="156">
        <v>3000000</v>
      </c>
      <c r="G203" s="157">
        <f>D203*F203</f>
        <v>24000000</v>
      </c>
    </row>
    <row r="204" spans="1:79" s="148" customFormat="1" ht="33.75" customHeight="1">
      <c r="A204" s="176" t="s">
        <v>329</v>
      </c>
      <c r="B204" s="217" t="s">
        <v>330</v>
      </c>
      <c r="C204" s="217"/>
      <c r="D204" s="217"/>
      <c r="E204" s="217"/>
      <c r="F204" s="217"/>
      <c r="G204" s="177">
        <f>G205</f>
        <v>5000000</v>
      </c>
    </row>
    <row r="205" spans="1:79" s="148" customFormat="1" ht="33.75" customHeight="1">
      <c r="A205" s="155"/>
      <c r="B205" s="208" t="s">
        <v>331</v>
      </c>
      <c r="C205" s="208"/>
      <c r="D205" s="52">
        <v>2</v>
      </c>
      <c r="E205" s="102" t="s">
        <v>332</v>
      </c>
      <c r="F205" s="156">
        <v>2500000</v>
      </c>
      <c r="G205" s="157">
        <f>D205*F205</f>
        <v>5000000</v>
      </c>
    </row>
    <row r="206" spans="1:79" ht="24.75" customHeight="1">
      <c r="A206" s="107"/>
      <c r="B206" s="108"/>
      <c r="C206" s="108"/>
      <c r="E206" s="107"/>
      <c r="F206" s="55"/>
      <c r="G206" s="55"/>
    </row>
    <row r="207" spans="1:79" ht="33.75" customHeight="1">
      <c r="A207" s="107"/>
      <c r="B207" s="108"/>
      <c r="C207" s="108"/>
      <c r="E207" s="107"/>
      <c r="F207" s="230"/>
      <c r="G207" s="230"/>
    </row>
    <row r="208" spans="1:79" ht="33.75" customHeight="1">
      <c r="F208" s="224"/>
      <c r="G208" s="224"/>
    </row>
    <row r="209" spans="1:7" ht="33.75" customHeight="1"/>
    <row r="213" spans="1:7" ht="15.75">
      <c r="F213" s="223"/>
      <c r="G213" s="223"/>
    </row>
    <row r="214" spans="1:7" ht="15.75">
      <c r="F214" s="224"/>
      <c r="G214" s="224"/>
    </row>
    <row r="216" spans="1:7">
      <c r="A216" s="111"/>
      <c r="B216" s="111"/>
      <c r="C216" s="111"/>
      <c r="D216" s="112"/>
      <c r="E216" s="113"/>
      <c r="F216" s="111"/>
      <c r="G216" s="111"/>
    </row>
    <row r="217" spans="1:7">
      <c r="A217" s="114"/>
      <c r="B217" s="114"/>
      <c r="C217" s="114"/>
      <c r="D217" s="115"/>
      <c r="E217" s="116"/>
      <c r="F217" s="114"/>
      <c r="G217" s="114"/>
    </row>
    <row r="218" spans="1:7">
      <c r="A218" s="114"/>
      <c r="B218" s="114"/>
      <c r="C218" s="114"/>
      <c r="D218" s="115"/>
      <c r="E218" s="116"/>
      <c r="F218" s="114"/>
      <c r="G218" s="114"/>
    </row>
    <row r="219" spans="1:7">
      <c r="A219" s="114"/>
      <c r="B219" s="114"/>
      <c r="C219" s="114"/>
      <c r="D219" s="115"/>
      <c r="E219" s="116"/>
      <c r="F219" s="114"/>
      <c r="G219" s="114"/>
    </row>
    <row r="220" spans="1:7">
      <c r="A220" s="114"/>
      <c r="B220" s="114"/>
      <c r="C220" s="114"/>
      <c r="D220" s="115"/>
      <c r="E220" s="116"/>
      <c r="F220" s="114"/>
      <c r="G220" s="114"/>
    </row>
    <row r="221" spans="1:7">
      <c r="A221" s="114"/>
      <c r="B221" s="114"/>
      <c r="C221" s="114"/>
      <c r="D221" s="115"/>
      <c r="E221" s="116"/>
      <c r="F221" s="114"/>
      <c r="G221" s="114"/>
    </row>
    <row r="222" spans="1:7">
      <c r="A222" s="114"/>
      <c r="B222" s="114"/>
      <c r="C222" s="114"/>
      <c r="D222" s="115"/>
      <c r="E222" s="116"/>
      <c r="F222" s="114"/>
      <c r="G222" s="114"/>
    </row>
    <row r="223" spans="1:7">
      <c r="A223" s="114"/>
      <c r="B223" s="114"/>
      <c r="C223" s="114"/>
      <c r="D223" s="115"/>
      <c r="E223" s="116"/>
      <c r="F223" s="114"/>
      <c r="G223" s="114"/>
    </row>
    <row r="224" spans="1:7">
      <c r="A224" s="114"/>
      <c r="B224" s="114"/>
      <c r="C224" s="114"/>
      <c r="D224" s="115"/>
      <c r="E224" s="116"/>
      <c r="F224" s="114"/>
      <c r="G224" s="114"/>
    </row>
    <row r="225" spans="1:7">
      <c r="A225" s="114"/>
      <c r="B225" s="114"/>
      <c r="C225" s="114"/>
      <c r="D225" s="115"/>
      <c r="E225" s="116"/>
      <c r="F225" s="114"/>
      <c r="G225" s="114"/>
    </row>
    <row r="226" spans="1:7">
      <c r="A226" s="114"/>
      <c r="B226" s="114"/>
      <c r="C226" s="114"/>
      <c r="D226" s="115"/>
      <c r="E226" s="116"/>
      <c r="F226" s="114"/>
      <c r="G226" s="114"/>
    </row>
    <row r="227" spans="1:7">
      <c r="A227" s="114"/>
      <c r="B227" s="114"/>
      <c r="C227" s="114"/>
      <c r="D227" s="115"/>
      <c r="E227" s="116"/>
      <c r="F227" s="114"/>
      <c r="G227" s="114"/>
    </row>
    <row r="228" spans="1:7">
      <c r="A228" s="114"/>
      <c r="B228" s="114"/>
      <c r="C228" s="114"/>
      <c r="D228" s="115"/>
      <c r="E228" s="116"/>
      <c r="F228" s="114"/>
      <c r="G228" s="114"/>
    </row>
    <row r="229" spans="1:7">
      <c r="A229" s="114"/>
      <c r="B229" s="114"/>
      <c r="C229" s="114"/>
      <c r="D229" s="115"/>
      <c r="E229" s="116"/>
      <c r="F229" s="114"/>
      <c r="G229" s="114"/>
    </row>
    <row r="230" spans="1:7">
      <c r="A230" s="114"/>
      <c r="B230" s="114"/>
      <c r="C230" s="114"/>
      <c r="D230" s="115"/>
      <c r="E230" s="116"/>
      <c r="F230" s="114"/>
      <c r="G230" s="114"/>
    </row>
    <row r="231" spans="1:7">
      <c r="A231" s="114"/>
      <c r="B231" s="114"/>
      <c r="C231" s="114"/>
      <c r="D231" s="115"/>
      <c r="E231" s="116"/>
      <c r="F231" s="114"/>
      <c r="G231" s="114"/>
    </row>
    <row r="232" spans="1:7">
      <c r="A232" s="114"/>
      <c r="B232" s="114"/>
      <c r="C232" s="114"/>
      <c r="D232" s="115"/>
      <c r="E232" s="116"/>
      <c r="F232" s="114"/>
      <c r="G232" s="114"/>
    </row>
    <row r="233" spans="1:7">
      <c r="A233" s="114"/>
      <c r="B233" s="114"/>
      <c r="C233" s="114"/>
      <c r="D233" s="115"/>
      <c r="E233" s="116"/>
      <c r="F233" s="114"/>
      <c r="G233" s="114"/>
    </row>
    <row r="234" spans="1:7">
      <c r="A234" s="114"/>
      <c r="B234" s="114"/>
      <c r="C234" s="114"/>
      <c r="D234" s="115"/>
      <c r="E234" s="116"/>
      <c r="F234" s="114"/>
      <c r="G234" s="114"/>
    </row>
    <row r="235" spans="1:7">
      <c r="A235" s="114"/>
      <c r="B235" s="114"/>
      <c r="C235" s="114"/>
      <c r="D235" s="115"/>
      <c r="E235" s="116"/>
      <c r="F235" s="114"/>
      <c r="G235" s="114"/>
    </row>
    <row r="236" spans="1:7">
      <c r="A236" s="114"/>
      <c r="B236" s="114"/>
      <c r="C236" s="114"/>
      <c r="D236" s="115"/>
      <c r="E236" s="116"/>
      <c r="F236" s="114"/>
      <c r="G236" s="114"/>
    </row>
    <row r="237" spans="1:7">
      <c r="A237" s="114"/>
      <c r="B237" s="114"/>
      <c r="C237" s="114"/>
      <c r="D237" s="115"/>
      <c r="E237" s="116"/>
      <c r="F237" s="114"/>
      <c r="G237" s="114"/>
    </row>
    <row r="238" spans="1:7">
      <c r="A238" s="114"/>
      <c r="B238" s="114"/>
      <c r="C238" s="114"/>
      <c r="D238" s="115"/>
      <c r="E238" s="116"/>
      <c r="F238" s="114"/>
      <c r="G238" s="114"/>
    </row>
    <row r="239" spans="1:7">
      <c r="A239" s="114"/>
      <c r="B239" s="114"/>
      <c r="C239" s="114"/>
      <c r="D239" s="115"/>
      <c r="E239" s="116"/>
      <c r="F239" s="114"/>
      <c r="G239" s="114"/>
    </row>
    <row r="240" spans="1:7">
      <c r="A240" s="114"/>
      <c r="B240" s="114"/>
      <c r="C240" s="114"/>
      <c r="D240" s="115"/>
      <c r="E240" s="116"/>
      <c r="F240" s="114"/>
      <c r="G240" s="114"/>
    </row>
    <row r="241" spans="1:7">
      <c r="A241" s="114"/>
      <c r="B241" s="114"/>
      <c r="C241" s="114"/>
      <c r="D241" s="115"/>
      <c r="E241" s="116"/>
      <c r="F241" s="114"/>
      <c r="G241" s="114"/>
    </row>
    <row r="242" spans="1:7">
      <c r="A242" s="114"/>
      <c r="B242" s="114"/>
      <c r="C242" s="114"/>
      <c r="D242" s="115"/>
      <c r="E242" s="116"/>
      <c r="F242" s="114"/>
      <c r="G242" s="114"/>
    </row>
    <row r="243" spans="1:7">
      <c r="A243" s="114"/>
      <c r="B243" s="114"/>
      <c r="C243" s="114"/>
      <c r="D243" s="115"/>
      <c r="E243" s="116"/>
      <c r="F243" s="114"/>
      <c r="G243" s="114"/>
    </row>
    <row r="244" spans="1:7">
      <c r="A244" s="114"/>
      <c r="B244" s="114"/>
      <c r="C244" s="114"/>
      <c r="D244" s="115"/>
      <c r="E244" s="116"/>
      <c r="F244" s="114"/>
      <c r="G244" s="114"/>
    </row>
    <row r="245" spans="1:7">
      <c r="A245" s="114"/>
      <c r="B245" s="114"/>
      <c r="C245" s="114"/>
      <c r="D245" s="115"/>
      <c r="E245" s="116"/>
      <c r="F245" s="114"/>
      <c r="G245" s="114"/>
    </row>
    <row r="246" spans="1:7">
      <c r="A246" s="114"/>
      <c r="B246" s="114"/>
      <c r="C246" s="114"/>
      <c r="D246" s="115"/>
      <c r="E246" s="116"/>
      <c r="F246" s="114"/>
      <c r="G246" s="114"/>
    </row>
    <row r="247" spans="1:7">
      <c r="A247" s="114"/>
      <c r="B247" s="114"/>
      <c r="C247" s="114"/>
      <c r="D247" s="115"/>
      <c r="E247" s="116"/>
      <c r="F247" s="114"/>
      <c r="G247" s="114"/>
    </row>
    <row r="248" spans="1:7">
      <c r="A248" s="114"/>
      <c r="B248" s="114"/>
      <c r="C248" s="114"/>
      <c r="D248" s="115"/>
      <c r="E248" s="116"/>
      <c r="F248" s="114"/>
      <c r="G248" s="114"/>
    </row>
    <row r="249" spans="1:7">
      <c r="A249" s="114"/>
      <c r="B249" s="114"/>
      <c r="C249" s="114"/>
      <c r="D249" s="115"/>
      <c r="E249" s="116"/>
      <c r="F249" s="114"/>
      <c r="G249" s="114"/>
    </row>
    <row r="250" spans="1:7">
      <c r="A250" s="114"/>
      <c r="B250" s="114"/>
      <c r="C250" s="114"/>
      <c r="D250" s="115"/>
      <c r="E250" s="116"/>
      <c r="F250" s="114"/>
      <c r="G250" s="114"/>
    </row>
    <row r="251" spans="1:7">
      <c r="A251" s="114"/>
      <c r="B251" s="114"/>
      <c r="C251" s="114"/>
      <c r="D251" s="115"/>
      <c r="E251" s="116"/>
      <c r="F251" s="114"/>
      <c r="G251" s="114"/>
    </row>
    <row r="252" spans="1:7">
      <c r="A252" s="114"/>
      <c r="B252" s="114"/>
      <c r="C252" s="114"/>
      <c r="D252" s="115"/>
      <c r="E252" s="116"/>
      <c r="F252" s="114"/>
      <c r="G252" s="114"/>
    </row>
    <row r="253" spans="1:7">
      <c r="A253" s="114"/>
      <c r="B253" s="114"/>
      <c r="C253" s="114"/>
      <c r="D253" s="115"/>
      <c r="E253" s="116"/>
      <c r="F253" s="114"/>
      <c r="G253" s="114"/>
    </row>
    <row r="254" spans="1:7">
      <c r="A254" s="114"/>
      <c r="B254" s="114"/>
      <c r="C254" s="114"/>
      <c r="D254" s="115"/>
      <c r="E254" s="116"/>
      <c r="F254" s="114"/>
      <c r="G254" s="114"/>
    </row>
    <row r="255" spans="1:7">
      <c r="A255" s="114"/>
      <c r="B255" s="114"/>
      <c r="C255" s="114"/>
      <c r="D255" s="115"/>
      <c r="E255" s="116"/>
      <c r="F255" s="114"/>
      <c r="G255" s="114"/>
    </row>
    <row r="256" spans="1:7">
      <c r="A256" s="114"/>
      <c r="B256" s="114"/>
      <c r="C256" s="114"/>
      <c r="D256" s="115"/>
      <c r="E256" s="116"/>
      <c r="F256" s="114"/>
      <c r="G256" s="114"/>
    </row>
    <row r="257" spans="1:7">
      <c r="A257" s="114"/>
      <c r="B257" s="114"/>
      <c r="C257" s="114"/>
      <c r="D257" s="115"/>
      <c r="E257" s="116"/>
      <c r="F257" s="114"/>
      <c r="G257" s="114"/>
    </row>
    <row r="258" spans="1:7">
      <c r="A258" s="114"/>
      <c r="B258" s="114"/>
      <c r="C258" s="114"/>
      <c r="D258" s="115"/>
      <c r="E258" s="116"/>
      <c r="F258" s="114"/>
      <c r="G258" s="114"/>
    </row>
    <row r="259" spans="1:7">
      <c r="A259" s="114"/>
      <c r="B259" s="114"/>
      <c r="C259" s="114"/>
      <c r="D259" s="115"/>
      <c r="E259" s="116"/>
      <c r="F259" s="114"/>
      <c r="G259" s="114"/>
    </row>
    <row r="260" spans="1:7">
      <c r="A260" s="114"/>
      <c r="B260" s="114"/>
      <c r="C260" s="114"/>
      <c r="D260" s="115"/>
      <c r="E260" s="116"/>
      <c r="F260" s="114"/>
      <c r="G260" s="114"/>
    </row>
    <row r="261" spans="1:7">
      <c r="A261" s="114"/>
      <c r="B261" s="114"/>
      <c r="C261" s="114"/>
      <c r="D261" s="115"/>
      <c r="E261" s="116"/>
      <c r="F261" s="114"/>
      <c r="G261" s="114"/>
    </row>
    <row r="262" spans="1:7">
      <c r="A262" s="114"/>
      <c r="B262" s="114"/>
      <c r="C262" s="114"/>
      <c r="D262" s="115"/>
      <c r="E262" s="116"/>
      <c r="F262" s="114"/>
      <c r="G262" s="114"/>
    </row>
    <row r="263" spans="1:7">
      <c r="A263" s="114"/>
      <c r="B263" s="114"/>
      <c r="C263" s="114"/>
      <c r="D263" s="115"/>
      <c r="E263" s="116"/>
      <c r="F263" s="114"/>
      <c r="G263" s="114"/>
    </row>
    <row r="264" spans="1:7">
      <c r="A264" s="114"/>
      <c r="B264" s="114"/>
      <c r="C264" s="114"/>
      <c r="D264" s="115"/>
      <c r="E264" s="116"/>
      <c r="F264" s="114"/>
      <c r="G264" s="114"/>
    </row>
    <row r="265" spans="1:7">
      <c r="A265" s="114"/>
      <c r="B265" s="114"/>
      <c r="C265" s="114"/>
      <c r="D265" s="115"/>
      <c r="E265" s="116"/>
      <c r="F265" s="114"/>
      <c r="G265" s="114"/>
    </row>
    <row r="266" spans="1:7">
      <c r="A266" s="114"/>
      <c r="B266" s="114"/>
      <c r="C266" s="114"/>
      <c r="D266" s="115"/>
      <c r="E266" s="116"/>
      <c r="F266" s="114"/>
      <c r="G266" s="114"/>
    </row>
    <row r="267" spans="1:7">
      <c r="A267" s="114"/>
      <c r="B267" s="114"/>
      <c r="C267" s="114"/>
      <c r="D267" s="115"/>
      <c r="E267" s="116"/>
      <c r="F267" s="114"/>
      <c r="G267" s="114"/>
    </row>
    <row r="268" spans="1:7">
      <c r="A268" s="114"/>
      <c r="B268" s="114"/>
      <c r="C268" s="114"/>
      <c r="D268" s="115"/>
      <c r="E268" s="116"/>
      <c r="F268" s="114"/>
      <c r="G268" s="114"/>
    </row>
    <row r="269" spans="1:7">
      <c r="A269" s="114"/>
      <c r="B269" s="114"/>
      <c r="C269" s="114"/>
      <c r="D269" s="115"/>
      <c r="E269" s="116"/>
      <c r="F269" s="114"/>
      <c r="G269" s="114"/>
    </row>
    <row r="270" spans="1:7">
      <c r="A270" s="114"/>
      <c r="B270" s="114"/>
      <c r="C270" s="114"/>
      <c r="D270" s="115"/>
      <c r="E270" s="116"/>
      <c r="F270" s="114"/>
      <c r="G270" s="114"/>
    </row>
    <row r="271" spans="1:7">
      <c r="A271" s="114"/>
      <c r="B271" s="114"/>
      <c r="C271" s="114"/>
      <c r="D271" s="115"/>
      <c r="E271" s="116"/>
      <c r="F271" s="114"/>
      <c r="G271" s="114"/>
    </row>
    <row r="272" spans="1:7">
      <c r="A272" s="114"/>
      <c r="B272" s="114"/>
      <c r="C272" s="114"/>
      <c r="D272" s="115"/>
      <c r="E272" s="116"/>
      <c r="F272" s="114"/>
      <c r="G272" s="114"/>
    </row>
    <row r="273" spans="1:7">
      <c r="A273" s="114"/>
      <c r="B273" s="114"/>
      <c r="C273" s="114"/>
      <c r="D273" s="115"/>
      <c r="E273" s="116"/>
      <c r="F273" s="114"/>
      <c r="G273" s="114"/>
    </row>
    <row r="274" spans="1:7">
      <c r="A274" s="114"/>
      <c r="B274" s="114"/>
      <c r="C274" s="114"/>
      <c r="D274" s="115"/>
      <c r="E274" s="116"/>
      <c r="F274" s="114"/>
      <c r="G274" s="114"/>
    </row>
    <row r="275" spans="1:7">
      <c r="A275" s="114"/>
      <c r="B275" s="114"/>
      <c r="C275" s="114"/>
      <c r="D275" s="115"/>
      <c r="E275" s="116"/>
      <c r="F275" s="114"/>
      <c r="G275" s="114"/>
    </row>
    <row r="276" spans="1:7">
      <c r="A276" s="114"/>
      <c r="B276" s="114"/>
      <c r="C276" s="114"/>
      <c r="D276" s="115"/>
      <c r="E276" s="116"/>
      <c r="F276" s="114"/>
      <c r="G276" s="114"/>
    </row>
    <row r="277" spans="1:7">
      <c r="A277" s="114"/>
      <c r="B277" s="114"/>
      <c r="C277" s="114"/>
      <c r="D277" s="115"/>
      <c r="E277" s="116"/>
      <c r="F277" s="114"/>
      <c r="G277" s="114"/>
    </row>
    <row r="278" spans="1:7">
      <c r="A278" s="114"/>
      <c r="B278" s="114"/>
      <c r="C278" s="114"/>
      <c r="D278" s="115"/>
      <c r="E278" s="116"/>
      <c r="F278" s="114"/>
      <c r="G278" s="114"/>
    </row>
    <row r="279" spans="1:7">
      <c r="A279" s="114"/>
      <c r="B279" s="114"/>
      <c r="C279" s="114"/>
      <c r="D279" s="115"/>
      <c r="E279" s="116"/>
      <c r="F279" s="114"/>
      <c r="G279" s="114"/>
    </row>
    <row r="280" spans="1:7">
      <c r="A280" s="114"/>
      <c r="B280" s="114"/>
      <c r="C280" s="114"/>
      <c r="D280" s="115"/>
      <c r="E280" s="116"/>
      <c r="F280" s="114"/>
      <c r="G280" s="114"/>
    </row>
    <row r="281" spans="1:7">
      <c r="A281" s="114"/>
      <c r="B281" s="114"/>
      <c r="C281" s="114"/>
      <c r="D281" s="115"/>
      <c r="E281" s="116"/>
      <c r="F281" s="114"/>
      <c r="G281" s="114"/>
    </row>
    <row r="282" spans="1:7">
      <c r="A282" s="114"/>
      <c r="B282" s="114"/>
      <c r="C282" s="114"/>
      <c r="D282" s="115"/>
      <c r="E282" s="116"/>
      <c r="F282" s="114"/>
      <c r="G282" s="114"/>
    </row>
    <row r="283" spans="1:7">
      <c r="A283" s="114"/>
      <c r="B283" s="114"/>
      <c r="C283" s="114"/>
      <c r="D283" s="115"/>
      <c r="E283" s="116"/>
      <c r="F283" s="114"/>
      <c r="G283" s="114"/>
    </row>
    <row r="284" spans="1:7">
      <c r="A284" s="114"/>
      <c r="B284" s="114"/>
      <c r="C284" s="114"/>
      <c r="D284" s="115"/>
      <c r="E284" s="116"/>
      <c r="F284" s="114"/>
      <c r="G284" s="114"/>
    </row>
    <row r="285" spans="1:7">
      <c r="A285" s="114"/>
      <c r="B285" s="114"/>
      <c r="C285" s="114"/>
      <c r="D285" s="115"/>
      <c r="E285" s="116"/>
      <c r="F285" s="114"/>
      <c r="G285" s="114"/>
    </row>
    <row r="286" spans="1:7">
      <c r="A286" s="114"/>
      <c r="B286" s="114"/>
      <c r="C286" s="114"/>
      <c r="D286" s="115"/>
      <c r="E286" s="116"/>
      <c r="F286" s="114"/>
      <c r="G286" s="114"/>
    </row>
    <row r="287" spans="1:7">
      <c r="A287" s="114"/>
      <c r="B287" s="114"/>
      <c r="C287" s="114"/>
      <c r="D287" s="115"/>
      <c r="E287" s="116"/>
      <c r="F287" s="114"/>
      <c r="G287" s="114"/>
    </row>
    <row r="288" spans="1:7">
      <c r="A288" s="114"/>
      <c r="B288" s="114"/>
      <c r="C288" s="114"/>
      <c r="D288" s="115"/>
      <c r="E288" s="116"/>
      <c r="F288" s="114"/>
      <c r="G288" s="114"/>
    </row>
    <row r="289" spans="1:7">
      <c r="A289" s="114"/>
      <c r="B289" s="114"/>
      <c r="C289" s="114"/>
      <c r="D289" s="115"/>
      <c r="E289" s="116"/>
      <c r="F289" s="114"/>
      <c r="G289" s="114"/>
    </row>
    <row r="290" spans="1:7">
      <c r="A290" s="114"/>
      <c r="B290" s="114"/>
      <c r="C290" s="114"/>
      <c r="D290" s="115"/>
      <c r="E290" s="116"/>
      <c r="F290" s="114"/>
      <c r="G290" s="114"/>
    </row>
    <row r="291" spans="1:7">
      <c r="A291" s="114"/>
      <c r="B291" s="114"/>
      <c r="C291" s="114"/>
      <c r="D291" s="115"/>
      <c r="E291" s="116"/>
      <c r="F291" s="114"/>
      <c r="G291" s="114"/>
    </row>
    <row r="292" spans="1:7">
      <c r="A292" s="114"/>
      <c r="B292" s="114"/>
      <c r="C292" s="114"/>
      <c r="D292" s="115"/>
      <c r="E292" s="116"/>
      <c r="F292" s="114"/>
      <c r="G292" s="114"/>
    </row>
    <row r="293" spans="1:7">
      <c r="A293" s="114"/>
      <c r="B293" s="114"/>
      <c r="C293" s="114"/>
      <c r="D293" s="115"/>
      <c r="E293" s="116"/>
      <c r="F293" s="114"/>
      <c r="G293" s="114"/>
    </row>
    <row r="294" spans="1:7">
      <c r="A294" s="114"/>
      <c r="B294" s="114"/>
      <c r="C294" s="114"/>
      <c r="D294" s="115"/>
      <c r="E294" s="116"/>
      <c r="F294" s="114"/>
      <c r="G294" s="114"/>
    </row>
    <row r="295" spans="1:7">
      <c r="A295" s="114"/>
      <c r="B295" s="114"/>
      <c r="C295" s="114"/>
      <c r="D295" s="115"/>
      <c r="E295" s="116"/>
      <c r="F295" s="114"/>
      <c r="G295" s="114"/>
    </row>
    <row r="296" spans="1:7">
      <c r="A296" s="114"/>
      <c r="B296" s="114"/>
      <c r="C296" s="114"/>
      <c r="D296" s="115"/>
      <c r="E296" s="116"/>
      <c r="F296" s="114"/>
      <c r="G296" s="114"/>
    </row>
    <row r="297" spans="1:7">
      <c r="A297" s="114"/>
      <c r="B297" s="114"/>
      <c r="C297" s="114"/>
      <c r="D297" s="115"/>
      <c r="E297" s="116"/>
      <c r="F297" s="114"/>
      <c r="G297" s="114"/>
    </row>
    <row r="298" spans="1:7">
      <c r="A298" s="114"/>
      <c r="B298" s="114"/>
      <c r="C298" s="114"/>
      <c r="D298" s="115"/>
      <c r="E298" s="116"/>
      <c r="F298" s="114"/>
      <c r="G298" s="114"/>
    </row>
    <row r="299" spans="1:7">
      <c r="A299" s="114"/>
      <c r="B299" s="114"/>
      <c r="C299" s="114"/>
      <c r="D299" s="115"/>
      <c r="E299" s="116"/>
      <c r="F299" s="114"/>
      <c r="G299" s="114"/>
    </row>
    <row r="300" spans="1:7">
      <c r="A300" s="114"/>
      <c r="B300" s="114"/>
      <c r="C300" s="114"/>
      <c r="D300" s="115"/>
      <c r="E300" s="116"/>
      <c r="F300" s="114"/>
      <c r="G300" s="114"/>
    </row>
    <row r="301" spans="1:7">
      <c r="A301" s="114"/>
      <c r="B301" s="114"/>
      <c r="C301" s="114"/>
      <c r="D301" s="115"/>
      <c r="E301" s="116"/>
      <c r="F301" s="114"/>
      <c r="G301" s="114"/>
    </row>
    <row r="302" spans="1:7">
      <c r="A302" s="114"/>
      <c r="B302" s="114"/>
      <c r="C302" s="114"/>
      <c r="D302" s="115"/>
      <c r="E302" s="116"/>
      <c r="F302" s="114"/>
      <c r="G302" s="114"/>
    </row>
    <row r="303" spans="1:7">
      <c r="A303" s="114"/>
      <c r="B303" s="114"/>
      <c r="C303" s="114"/>
      <c r="D303" s="115"/>
      <c r="E303" s="116"/>
      <c r="F303" s="114"/>
      <c r="G303" s="114"/>
    </row>
    <row r="304" spans="1:7">
      <c r="A304" s="114"/>
      <c r="B304" s="114"/>
      <c r="C304" s="114"/>
      <c r="D304" s="115"/>
      <c r="E304" s="116"/>
      <c r="F304" s="114"/>
      <c r="G304" s="114"/>
    </row>
    <row r="305" spans="1:7">
      <c r="A305" s="114"/>
      <c r="B305" s="114"/>
      <c r="C305" s="114"/>
      <c r="D305" s="115"/>
      <c r="E305" s="116"/>
      <c r="F305" s="114"/>
      <c r="G305" s="114"/>
    </row>
    <row r="306" spans="1:7">
      <c r="A306" s="114"/>
      <c r="B306" s="114"/>
      <c r="C306" s="114"/>
      <c r="D306" s="115"/>
      <c r="E306" s="116"/>
      <c r="F306" s="114"/>
      <c r="G306" s="114"/>
    </row>
    <row r="307" spans="1:7">
      <c r="A307" s="114"/>
      <c r="B307" s="114"/>
      <c r="C307" s="114"/>
      <c r="D307" s="115"/>
      <c r="E307" s="116"/>
      <c r="F307" s="114"/>
      <c r="G307" s="114"/>
    </row>
    <row r="308" spans="1:7">
      <c r="A308" s="114"/>
      <c r="B308" s="114"/>
      <c r="C308" s="114"/>
      <c r="D308" s="115"/>
      <c r="E308" s="116"/>
      <c r="F308" s="114"/>
      <c r="G308" s="114"/>
    </row>
    <row r="309" spans="1:7">
      <c r="A309" s="114"/>
      <c r="B309" s="114"/>
      <c r="C309" s="114"/>
      <c r="D309" s="115"/>
      <c r="E309" s="116"/>
      <c r="F309" s="114"/>
      <c r="G309" s="114"/>
    </row>
    <row r="310" spans="1:7">
      <c r="A310" s="114"/>
      <c r="B310" s="114"/>
      <c r="C310" s="114"/>
      <c r="D310" s="115"/>
      <c r="E310" s="116"/>
      <c r="F310" s="114"/>
      <c r="G310" s="114"/>
    </row>
    <row r="311" spans="1:7">
      <c r="A311" s="114"/>
      <c r="B311" s="114"/>
      <c r="C311" s="114"/>
      <c r="D311" s="115"/>
      <c r="E311" s="116"/>
      <c r="F311" s="114"/>
      <c r="G311" s="114"/>
    </row>
    <row r="312" spans="1:7">
      <c r="A312" s="114"/>
      <c r="B312" s="114"/>
      <c r="C312" s="114"/>
      <c r="D312" s="115"/>
      <c r="E312" s="116"/>
      <c r="F312" s="114"/>
      <c r="G312" s="114"/>
    </row>
    <row r="313" spans="1:7">
      <c r="A313" s="114"/>
      <c r="B313" s="114"/>
      <c r="C313" s="114"/>
      <c r="D313" s="115"/>
      <c r="E313" s="116"/>
      <c r="F313" s="114"/>
      <c r="G313" s="114"/>
    </row>
    <row r="314" spans="1:7">
      <c r="A314" s="114"/>
      <c r="B314" s="114"/>
      <c r="C314" s="114"/>
      <c r="D314" s="115"/>
      <c r="E314" s="116"/>
      <c r="F314" s="114"/>
      <c r="G314" s="114"/>
    </row>
    <row r="315" spans="1:7">
      <c r="A315" s="114"/>
      <c r="B315" s="114"/>
      <c r="C315" s="114"/>
      <c r="D315" s="115"/>
      <c r="E315" s="116"/>
      <c r="F315" s="114"/>
      <c r="G315" s="114"/>
    </row>
    <row r="316" spans="1:7">
      <c r="A316" s="114"/>
      <c r="B316" s="114"/>
      <c r="C316" s="114"/>
      <c r="D316" s="115"/>
      <c r="E316" s="116"/>
      <c r="F316" s="114"/>
      <c r="G316" s="114"/>
    </row>
    <row r="317" spans="1:7">
      <c r="A317" s="114"/>
      <c r="B317" s="114"/>
      <c r="C317" s="114"/>
      <c r="D317" s="115"/>
      <c r="E317" s="116"/>
      <c r="F317" s="114"/>
      <c r="G317" s="114"/>
    </row>
    <row r="318" spans="1:7">
      <c r="A318" s="114"/>
      <c r="B318" s="114"/>
      <c r="C318" s="114"/>
      <c r="D318" s="115"/>
      <c r="E318" s="116"/>
      <c r="F318" s="114"/>
      <c r="G318" s="114"/>
    </row>
    <row r="319" spans="1:7">
      <c r="A319" s="114"/>
      <c r="B319" s="114"/>
      <c r="C319" s="114"/>
      <c r="D319" s="115"/>
      <c r="E319" s="116"/>
      <c r="F319" s="114"/>
      <c r="G319" s="114"/>
    </row>
    <row r="320" spans="1:7">
      <c r="A320" s="114"/>
      <c r="B320" s="114"/>
      <c r="C320" s="114"/>
      <c r="D320" s="115"/>
      <c r="E320" s="116"/>
      <c r="F320" s="114"/>
      <c r="G320" s="114"/>
    </row>
    <row r="321" spans="1:7">
      <c r="A321" s="114"/>
      <c r="B321" s="114"/>
      <c r="C321" s="114"/>
      <c r="D321" s="115"/>
      <c r="E321" s="116"/>
      <c r="F321" s="114"/>
      <c r="G321" s="114"/>
    </row>
    <row r="322" spans="1:7">
      <c r="A322" s="114"/>
      <c r="B322" s="114"/>
      <c r="C322" s="114"/>
      <c r="D322" s="115"/>
      <c r="E322" s="116"/>
      <c r="F322" s="114"/>
      <c r="G322" s="114"/>
    </row>
    <row r="323" spans="1:7">
      <c r="A323" s="114"/>
      <c r="B323" s="114"/>
      <c r="C323" s="114"/>
      <c r="D323" s="115"/>
      <c r="E323" s="116"/>
      <c r="F323" s="114"/>
      <c r="G323" s="114"/>
    </row>
    <row r="324" spans="1:7">
      <c r="A324" s="114"/>
      <c r="B324" s="114"/>
      <c r="C324" s="114"/>
      <c r="D324" s="115"/>
      <c r="E324" s="116"/>
      <c r="F324" s="114"/>
      <c r="G324" s="114"/>
    </row>
    <row r="325" spans="1:7">
      <c r="A325" s="114"/>
      <c r="B325" s="114"/>
      <c r="C325" s="114"/>
      <c r="D325" s="115"/>
      <c r="E325" s="116"/>
      <c r="F325" s="114"/>
      <c r="G325" s="114"/>
    </row>
    <row r="326" spans="1:7">
      <c r="A326" s="114"/>
      <c r="B326" s="114"/>
      <c r="C326" s="114"/>
      <c r="D326" s="115"/>
      <c r="E326" s="116"/>
      <c r="F326" s="114"/>
      <c r="G326" s="114"/>
    </row>
    <row r="327" spans="1:7">
      <c r="A327" s="114"/>
      <c r="B327" s="114"/>
      <c r="C327" s="114"/>
      <c r="D327" s="115"/>
      <c r="E327" s="116"/>
      <c r="F327" s="114"/>
      <c r="G327" s="114"/>
    </row>
    <row r="328" spans="1:7">
      <c r="A328" s="114"/>
      <c r="B328" s="114"/>
      <c r="C328" s="114"/>
      <c r="D328" s="115"/>
      <c r="E328" s="116"/>
      <c r="F328" s="114"/>
      <c r="G328" s="114"/>
    </row>
    <row r="329" spans="1:7">
      <c r="A329" s="114"/>
      <c r="B329" s="114"/>
      <c r="C329" s="114"/>
      <c r="D329" s="115"/>
      <c r="E329" s="116"/>
      <c r="F329" s="114"/>
      <c r="G329" s="114"/>
    </row>
    <row r="330" spans="1:7">
      <c r="A330" s="114"/>
      <c r="B330" s="114"/>
      <c r="C330" s="114"/>
      <c r="D330" s="115"/>
      <c r="E330" s="116"/>
      <c r="F330" s="114"/>
      <c r="G330" s="114"/>
    </row>
    <row r="331" spans="1:7">
      <c r="A331" s="114"/>
      <c r="B331" s="114"/>
      <c r="C331" s="114"/>
      <c r="D331" s="115"/>
      <c r="E331" s="116"/>
      <c r="F331" s="114"/>
      <c r="G331" s="114"/>
    </row>
    <row r="332" spans="1:7">
      <c r="A332" s="114"/>
      <c r="B332" s="114"/>
      <c r="C332" s="114"/>
      <c r="D332" s="115"/>
      <c r="E332" s="116"/>
      <c r="F332" s="114"/>
      <c r="G332" s="114"/>
    </row>
    <row r="333" spans="1:7">
      <c r="A333" s="114"/>
      <c r="B333" s="114"/>
      <c r="C333" s="114"/>
      <c r="D333" s="115"/>
      <c r="E333" s="116"/>
      <c r="F333" s="114"/>
      <c r="G333" s="114"/>
    </row>
    <row r="334" spans="1:7">
      <c r="A334" s="114"/>
      <c r="B334" s="114"/>
      <c r="C334" s="114"/>
      <c r="D334" s="115"/>
      <c r="E334" s="116"/>
      <c r="F334" s="114"/>
      <c r="G334" s="114"/>
    </row>
    <row r="335" spans="1:7">
      <c r="A335" s="114"/>
      <c r="B335" s="114"/>
      <c r="C335" s="114"/>
      <c r="D335" s="115"/>
      <c r="E335" s="116"/>
      <c r="F335" s="114"/>
      <c r="G335" s="114"/>
    </row>
    <row r="336" spans="1:7">
      <c r="A336" s="114"/>
      <c r="B336" s="114"/>
      <c r="C336" s="114"/>
      <c r="D336" s="115"/>
      <c r="E336" s="116"/>
      <c r="F336" s="114"/>
      <c r="G336" s="114"/>
    </row>
    <row r="337" spans="1:7">
      <c r="A337" s="114"/>
      <c r="B337" s="114"/>
      <c r="C337" s="114"/>
      <c r="D337" s="115"/>
      <c r="E337" s="116"/>
      <c r="F337" s="114"/>
      <c r="G337" s="114"/>
    </row>
    <row r="338" spans="1:7">
      <c r="A338" s="114"/>
      <c r="B338" s="114"/>
      <c r="C338" s="114"/>
      <c r="D338" s="115"/>
      <c r="E338" s="116"/>
      <c r="F338" s="114"/>
      <c r="G338" s="114"/>
    </row>
    <row r="339" spans="1:7">
      <c r="A339" s="114"/>
      <c r="B339" s="114"/>
      <c r="C339" s="114"/>
      <c r="D339" s="115"/>
      <c r="E339" s="116"/>
      <c r="F339" s="114"/>
      <c r="G339" s="114"/>
    </row>
    <row r="340" spans="1:7">
      <c r="A340" s="114"/>
      <c r="B340" s="114"/>
      <c r="C340" s="114"/>
      <c r="D340" s="115"/>
      <c r="E340" s="116"/>
      <c r="F340" s="114"/>
      <c r="G340" s="114"/>
    </row>
    <row r="341" spans="1:7">
      <c r="A341" s="114"/>
      <c r="B341" s="114"/>
      <c r="C341" s="114"/>
      <c r="D341" s="115"/>
      <c r="E341" s="116"/>
      <c r="F341" s="114"/>
      <c r="G341" s="114"/>
    </row>
    <row r="342" spans="1:7">
      <c r="A342" s="114"/>
      <c r="B342" s="114"/>
      <c r="C342" s="114"/>
      <c r="D342" s="115"/>
      <c r="E342" s="116"/>
      <c r="F342" s="114"/>
      <c r="G342" s="114"/>
    </row>
    <row r="343" spans="1:7">
      <c r="A343" s="114"/>
      <c r="B343" s="114"/>
      <c r="C343" s="114"/>
      <c r="D343" s="115"/>
      <c r="E343" s="116"/>
      <c r="F343" s="114"/>
      <c r="G343" s="114"/>
    </row>
    <row r="344" spans="1:7">
      <c r="A344" s="114"/>
      <c r="B344" s="114"/>
      <c r="C344" s="114"/>
      <c r="D344" s="115"/>
      <c r="E344" s="116"/>
      <c r="F344" s="114"/>
      <c r="G344" s="114"/>
    </row>
    <row r="345" spans="1:7">
      <c r="A345" s="114"/>
      <c r="B345" s="114"/>
      <c r="C345" s="114"/>
      <c r="D345" s="115"/>
      <c r="E345" s="116"/>
      <c r="F345" s="114"/>
      <c r="G345" s="114"/>
    </row>
    <row r="346" spans="1:7">
      <c r="A346" s="114"/>
      <c r="B346" s="114"/>
      <c r="C346" s="114"/>
      <c r="D346" s="115"/>
      <c r="E346" s="116"/>
      <c r="F346" s="114"/>
      <c r="G346" s="114"/>
    </row>
    <row r="347" spans="1:7">
      <c r="A347" s="114"/>
      <c r="B347" s="114"/>
      <c r="C347" s="114"/>
      <c r="D347" s="115"/>
      <c r="E347" s="116"/>
      <c r="F347" s="114"/>
      <c r="G347" s="114"/>
    </row>
    <row r="348" spans="1:7">
      <c r="A348" s="114"/>
      <c r="B348" s="114"/>
      <c r="C348" s="114"/>
      <c r="D348" s="115"/>
      <c r="E348" s="116"/>
      <c r="F348" s="114"/>
      <c r="G348" s="114"/>
    </row>
    <row r="349" spans="1:7">
      <c r="A349" s="114"/>
      <c r="B349" s="114"/>
      <c r="C349" s="114"/>
      <c r="D349" s="115"/>
      <c r="E349" s="116"/>
      <c r="F349" s="114"/>
      <c r="G349" s="114"/>
    </row>
    <row r="350" spans="1:7">
      <c r="A350" s="114"/>
      <c r="B350" s="114"/>
      <c r="C350" s="114"/>
      <c r="D350" s="115"/>
      <c r="E350" s="116"/>
      <c r="F350" s="114"/>
      <c r="G350" s="114"/>
    </row>
    <row r="351" spans="1:7">
      <c r="A351" s="114"/>
      <c r="B351" s="114"/>
      <c r="C351" s="114"/>
      <c r="D351" s="115"/>
      <c r="E351" s="116"/>
      <c r="F351" s="114"/>
      <c r="G351" s="114"/>
    </row>
    <row r="352" spans="1:7">
      <c r="A352" s="114"/>
      <c r="B352" s="114"/>
      <c r="C352" s="114"/>
      <c r="D352" s="115"/>
      <c r="E352" s="116"/>
      <c r="F352" s="114"/>
      <c r="G352" s="114"/>
    </row>
    <row r="353" spans="1:7">
      <c r="A353" s="114"/>
      <c r="B353" s="114"/>
      <c r="C353" s="114"/>
      <c r="D353" s="115"/>
      <c r="E353" s="116"/>
      <c r="F353" s="114"/>
      <c r="G353" s="114"/>
    </row>
    <row r="354" spans="1:7">
      <c r="A354" s="114"/>
      <c r="B354" s="114"/>
      <c r="C354" s="114"/>
      <c r="D354" s="115"/>
      <c r="E354" s="116"/>
      <c r="F354" s="114"/>
      <c r="G354" s="114"/>
    </row>
    <row r="355" spans="1:7">
      <c r="A355" s="114"/>
      <c r="B355" s="114"/>
      <c r="C355" s="114"/>
      <c r="D355" s="115"/>
      <c r="E355" s="116"/>
      <c r="F355" s="114"/>
      <c r="G355" s="114"/>
    </row>
    <row r="356" spans="1:7">
      <c r="A356" s="114"/>
      <c r="B356" s="114"/>
      <c r="C356" s="114"/>
      <c r="D356" s="115"/>
      <c r="E356" s="116"/>
      <c r="F356" s="114"/>
      <c r="G356" s="114"/>
    </row>
    <row r="357" spans="1:7">
      <c r="A357" s="114"/>
      <c r="B357" s="114"/>
      <c r="C357" s="114"/>
      <c r="D357" s="115"/>
      <c r="E357" s="116"/>
      <c r="F357" s="114"/>
      <c r="G357" s="114"/>
    </row>
    <row r="358" spans="1:7">
      <c r="A358" s="114"/>
      <c r="B358" s="114"/>
      <c r="C358" s="114"/>
      <c r="D358" s="115"/>
      <c r="E358" s="116"/>
      <c r="F358" s="114"/>
      <c r="G358" s="114"/>
    </row>
    <row r="359" spans="1:7">
      <c r="A359" s="114"/>
      <c r="B359" s="114"/>
      <c r="C359" s="114"/>
      <c r="D359" s="115"/>
      <c r="E359" s="116"/>
      <c r="F359" s="114"/>
      <c r="G359" s="114"/>
    </row>
    <row r="360" spans="1:7">
      <c r="A360" s="114"/>
      <c r="B360" s="114"/>
      <c r="C360" s="114"/>
      <c r="D360" s="115"/>
      <c r="E360" s="116"/>
      <c r="F360" s="114"/>
      <c r="G360" s="114"/>
    </row>
    <row r="361" spans="1:7">
      <c r="A361" s="114"/>
      <c r="B361" s="114"/>
      <c r="C361" s="114"/>
      <c r="D361" s="115"/>
      <c r="E361" s="116"/>
      <c r="F361" s="114"/>
      <c r="G361" s="114"/>
    </row>
    <row r="362" spans="1:7">
      <c r="A362" s="114"/>
      <c r="B362" s="114"/>
      <c r="C362" s="114"/>
      <c r="D362" s="115"/>
      <c r="E362" s="116"/>
      <c r="F362" s="114"/>
      <c r="G362" s="114"/>
    </row>
    <row r="363" spans="1:7">
      <c r="A363" s="114"/>
      <c r="B363" s="114"/>
      <c r="C363" s="114"/>
      <c r="D363" s="115"/>
      <c r="E363" s="116"/>
      <c r="F363" s="114"/>
      <c r="G363" s="114"/>
    </row>
    <row r="364" spans="1:7">
      <c r="A364" s="114"/>
      <c r="B364" s="114"/>
      <c r="C364" s="114"/>
      <c r="D364" s="115"/>
      <c r="E364" s="116"/>
      <c r="F364" s="114"/>
      <c r="G364" s="114"/>
    </row>
    <row r="365" spans="1:7">
      <c r="A365" s="114"/>
      <c r="B365" s="114"/>
      <c r="C365" s="114"/>
      <c r="D365" s="115"/>
      <c r="E365" s="116"/>
      <c r="F365" s="114"/>
      <c r="G365" s="114"/>
    </row>
    <row r="366" spans="1:7">
      <c r="A366" s="114"/>
      <c r="B366" s="114"/>
      <c r="C366" s="114"/>
      <c r="D366" s="115"/>
      <c r="E366" s="116"/>
      <c r="F366" s="114"/>
      <c r="G366" s="114"/>
    </row>
    <row r="367" spans="1:7">
      <c r="A367" s="114"/>
      <c r="B367" s="114"/>
      <c r="C367" s="114"/>
      <c r="D367" s="115"/>
      <c r="E367" s="116"/>
      <c r="F367" s="114"/>
      <c r="G367" s="114"/>
    </row>
    <row r="368" spans="1:7">
      <c r="A368" s="114"/>
      <c r="B368" s="114"/>
      <c r="C368" s="114"/>
      <c r="D368" s="115"/>
      <c r="E368" s="116"/>
      <c r="F368" s="114"/>
      <c r="G368" s="114"/>
    </row>
    <row r="369" spans="1:7">
      <c r="A369" s="114"/>
      <c r="B369" s="114"/>
      <c r="C369" s="114"/>
      <c r="D369" s="115"/>
      <c r="E369" s="116"/>
      <c r="F369" s="114"/>
      <c r="G369" s="114"/>
    </row>
    <row r="370" spans="1:7">
      <c r="A370" s="114"/>
      <c r="B370" s="114"/>
      <c r="C370" s="114"/>
      <c r="D370" s="115"/>
      <c r="E370" s="116"/>
      <c r="F370" s="114"/>
      <c r="G370" s="114"/>
    </row>
    <row r="371" spans="1:7">
      <c r="A371" s="114"/>
      <c r="B371" s="114"/>
      <c r="C371" s="114"/>
      <c r="D371" s="115"/>
      <c r="E371" s="116"/>
      <c r="F371" s="114"/>
      <c r="G371" s="114"/>
    </row>
    <row r="372" spans="1:7">
      <c r="A372" s="114"/>
      <c r="B372" s="114"/>
      <c r="C372" s="114"/>
      <c r="D372" s="115"/>
      <c r="E372" s="116"/>
      <c r="F372" s="114"/>
      <c r="G372" s="114"/>
    </row>
    <row r="373" spans="1:7">
      <c r="A373" s="114"/>
      <c r="B373" s="114"/>
      <c r="C373" s="114"/>
      <c r="D373" s="115"/>
      <c r="E373" s="116"/>
      <c r="F373" s="114"/>
      <c r="G373" s="114"/>
    </row>
    <row r="374" spans="1:7">
      <c r="A374" s="114"/>
      <c r="B374" s="114"/>
      <c r="C374" s="114"/>
      <c r="D374" s="115"/>
      <c r="E374" s="116"/>
      <c r="F374" s="114"/>
      <c r="G374" s="114"/>
    </row>
    <row r="375" spans="1:7">
      <c r="A375" s="114"/>
      <c r="B375" s="114"/>
      <c r="C375" s="114"/>
      <c r="D375" s="115"/>
      <c r="E375" s="116"/>
      <c r="F375" s="114"/>
      <c r="G375" s="114"/>
    </row>
    <row r="376" spans="1:7">
      <c r="A376" s="114"/>
      <c r="B376" s="114"/>
      <c r="C376" s="114"/>
      <c r="D376" s="115"/>
      <c r="E376" s="116"/>
      <c r="F376" s="114"/>
      <c r="G376" s="114"/>
    </row>
    <row r="377" spans="1:7">
      <c r="A377" s="114"/>
      <c r="B377" s="114"/>
      <c r="C377" s="114"/>
      <c r="D377" s="115"/>
      <c r="E377" s="116"/>
      <c r="F377" s="114"/>
      <c r="G377" s="114"/>
    </row>
    <row r="378" spans="1:7">
      <c r="A378" s="114"/>
      <c r="B378" s="114"/>
      <c r="C378" s="114"/>
      <c r="D378" s="115"/>
      <c r="E378" s="116"/>
      <c r="F378" s="114"/>
      <c r="G378" s="114"/>
    </row>
    <row r="379" spans="1:7">
      <c r="A379" s="114"/>
      <c r="B379" s="114"/>
      <c r="C379" s="114"/>
      <c r="D379" s="115"/>
      <c r="E379" s="116"/>
      <c r="F379" s="114"/>
      <c r="G379" s="114"/>
    </row>
    <row r="380" spans="1:7">
      <c r="A380" s="114"/>
      <c r="B380" s="114"/>
      <c r="C380" s="114"/>
      <c r="D380" s="115"/>
      <c r="E380" s="116"/>
      <c r="F380" s="114"/>
      <c r="G380" s="114"/>
    </row>
    <row r="381" spans="1:7">
      <c r="A381" s="114"/>
      <c r="B381" s="114"/>
      <c r="C381" s="114"/>
      <c r="D381" s="115"/>
      <c r="E381" s="116"/>
      <c r="F381" s="114"/>
      <c r="G381" s="114"/>
    </row>
    <row r="382" spans="1:7">
      <c r="A382" s="114"/>
      <c r="B382" s="114"/>
      <c r="C382" s="114"/>
      <c r="D382" s="115"/>
      <c r="E382" s="116"/>
      <c r="F382" s="114"/>
      <c r="G382" s="114"/>
    </row>
    <row r="383" spans="1:7">
      <c r="A383" s="114"/>
      <c r="B383" s="114"/>
      <c r="C383" s="114"/>
      <c r="D383" s="115"/>
      <c r="E383" s="116"/>
      <c r="F383" s="114"/>
      <c r="G383" s="114"/>
    </row>
    <row r="384" spans="1:7">
      <c r="A384" s="114"/>
      <c r="B384" s="114"/>
      <c r="C384" s="114"/>
      <c r="D384" s="115"/>
      <c r="E384" s="116"/>
      <c r="F384" s="114"/>
      <c r="G384" s="114"/>
    </row>
    <row r="385" spans="1:7">
      <c r="A385" s="114"/>
      <c r="B385" s="114"/>
      <c r="C385" s="114"/>
      <c r="D385" s="115"/>
      <c r="E385" s="116"/>
      <c r="F385" s="114"/>
      <c r="G385" s="114"/>
    </row>
    <row r="386" spans="1:7">
      <c r="A386" s="114"/>
      <c r="B386" s="114"/>
      <c r="C386" s="114"/>
      <c r="D386" s="115"/>
      <c r="E386" s="116"/>
      <c r="F386" s="114"/>
      <c r="G386" s="114"/>
    </row>
    <row r="387" spans="1:7">
      <c r="A387" s="114"/>
      <c r="B387" s="114"/>
      <c r="C387" s="114"/>
      <c r="D387" s="115"/>
      <c r="E387" s="116"/>
      <c r="F387" s="114"/>
      <c r="G387" s="114"/>
    </row>
    <row r="388" spans="1:7">
      <c r="A388" s="114"/>
      <c r="B388" s="114"/>
      <c r="C388" s="114"/>
      <c r="D388" s="115"/>
      <c r="E388" s="116"/>
      <c r="F388" s="114"/>
      <c r="G388" s="114"/>
    </row>
    <row r="389" spans="1:7">
      <c r="A389" s="114"/>
      <c r="B389" s="114"/>
      <c r="C389" s="114"/>
      <c r="D389" s="115"/>
      <c r="E389" s="116"/>
      <c r="F389" s="114"/>
      <c r="G389" s="114"/>
    </row>
    <row r="390" spans="1:7">
      <c r="A390" s="114"/>
      <c r="B390" s="114"/>
      <c r="C390" s="114"/>
      <c r="D390" s="115"/>
      <c r="E390" s="116"/>
      <c r="F390" s="114"/>
      <c r="G390" s="114"/>
    </row>
    <row r="391" spans="1:7">
      <c r="A391" s="114"/>
      <c r="B391" s="114"/>
      <c r="C391" s="114"/>
      <c r="D391" s="115"/>
      <c r="E391" s="116"/>
      <c r="F391" s="114"/>
      <c r="G391" s="114"/>
    </row>
    <row r="392" spans="1:7">
      <c r="A392" s="114"/>
      <c r="B392" s="114"/>
      <c r="C392" s="114"/>
      <c r="D392" s="115"/>
      <c r="E392" s="116"/>
      <c r="F392" s="114"/>
      <c r="G392" s="114"/>
    </row>
    <row r="393" spans="1:7">
      <c r="A393" s="114"/>
      <c r="B393" s="114"/>
      <c r="C393" s="114"/>
      <c r="D393" s="115"/>
      <c r="E393" s="116"/>
      <c r="F393" s="114"/>
      <c r="G393" s="114"/>
    </row>
    <row r="394" spans="1:7">
      <c r="A394" s="114"/>
      <c r="B394" s="114"/>
      <c r="C394" s="114"/>
      <c r="D394" s="115"/>
      <c r="E394" s="116"/>
      <c r="F394" s="114"/>
      <c r="G394" s="114"/>
    </row>
    <row r="395" spans="1:7">
      <c r="A395" s="114"/>
      <c r="B395" s="114"/>
      <c r="C395" s="114"/>
      <c r="D395" s="115"/>
      <c r="E395" s="116"/>
      <c r="F395" s="114"/>
      <c r="G395" s="114"/>
    </row>
    <row r="396" spans="1:7">
      <c r="A396" s="114"/>
      <c r="B396" s="114"/>
      <c r="C396" s="114"/>
      <c r="D396" s="115"/>
      <c r="E396" s="116"/>
      <c r="F396" s="114"/>
      <c r="G396" s="114"/>
    </row>
    <row r="397" spans="1:7">
      <c r="A397" s="114"/>
      <c r="B397" s="114"/>
      <c r="C397" s="114"/>
      <c r="D397" s="115"/>
      <c r="E397" s="116"/>
      <c r="F397" s="114"/>
      <c r="G397" s="114"/>
    </row>
    <row r="398" spans="1:7">
      <c r="A398" s="114"/>
      <c r="B398" s="114"/>
      <c r="C398" s="114"/>
      <c r="D398" s="115"/>
      <c r="E398" s="116"/>
      <c r="F398" s="114"/>
      <c r="G398" s="114"/>
    </row>
    <row r="399" spans="1:7">
      <c r="A399" s="114"/>
      <c r="B399" s="114"/>
      <c r="C399" s="114"/>
      <c r="D399" s="115"/>
      <c r="E399" s="116"/>
      <c r="F399" s="114"/>
      <c r="G399" s="114"/>
    </row>
    <row r="400" spans="1:7">
      <c r="A400" s="114"/>
      <c r="B400" s="114"/>
      <c r="C400" s="114"/>
      <c r="D400" s="115"/>
      <c r="E400" s="116"/>
      <c r="F400" s="114"/>
      <c r="G400" s="114"/>
    </row>
    <row r="401" spans="1:7">
      <c r="A401" s="114"/>
      <c r="B401" s="114"/>
      <c r="C401" s="114"/>
      <c r="D401" s="115"/>
      <c r="E401" s="116"/>
      <c r="F401" s="114"/>
      <c r="G401" s="114"/>
    </row>
    <row r="402" spans="1:7">
      <c r="A402" s="114"/>
      <c r="B402" s="114"/>
      <c r="C402" s="114"/>
      <c r="D402" s="115"/>
      <c r="E402" s="116"/>
      <c r="F402" s="114"/>
      <c r="G402" s="114"/>
    </row>
    <row r="403" spans="1:7">
      <c r="A403" s="114"/>
      <c r="B403" s="114"/>
      <c r="C403" s="114"/>
      <c r="D403" s="115"/>
      <c r="E403" s="116"/>
      <c r="F403" s="114"/>
      <c r="G403" s="114"/>
    </row>
    <row r="404" spans="1:7">
      <c r="A404" s="114"/>
      <c r="B404" s="114"/>
      <c r="C404" s="114"/>
      <c r="D404" s="115"/>
      <c r="E404" s="116"/>
      <c r="F404" s="114"/>
      <c r="G404" s="114"/>
    </row>
    <row r="405" spans="1:7">
      <c r="A405" s="114"/>
      <c r="B405" s="114"/>
      <c r="C405" s="114"/>
      <c r="D405" s="115"/>
      <c r="E405" s="116"/>
      <c r="F405" s="114"/>
      <c r="G405" s="114"/>
    </row>
    <row r="406" spans="1:7">
      <c r="A406" s="114"/>
      <c r="B406" s="114"/>
      <c r="C406" s="114"/>
      <c r="D406" s="115"/>
      <c r="E406" s="116"/>
      <c r="F406" s="114"/>
      <c r="G406" s="114"/>
    </row>
    <row r="407" spans="1:7">
      <c r="A407" s="114"/>
      <c r="B407" s="114"/>
      <c r="C407" s="114"/>
      <c r="D407" s="115"/>
      <c r="E407" s="116"/>
      <c r="F407" s="114"/>
      <c r="G407" s="114"/>
    </row>
    <row r="408" spans="1:7">
      <c r="A408" s="114"/>
      <c r="B408" s="114"/>
      <c r="C408" s="114"/>
      <c r="D408" s="115"/>
      <c r="E408" s="116"/>
      <c r="F408" s="114"/>
      <c r="G408" s="114"/>
    </row>
    <row r="409" spans="1:7">
      <c r="A409" s="114"/>
      <c r="B409" s="114"/>
      <c r="C409" s="114"/>
      <c r="D409" s="115"/>
      <c r="E409" s="116"/>
      <c r="F409" s="114"/>
      <c r="G409" s="114"/>
    </row>
    <row r="410" spans="1:7">
      <c r="A410" s="114"/>
      <c r="B410" s="114"/>
      <c r="C410" s="114"/>
      <c r="D410" s="115"/>
      <c r="E410" s="116"/>
      <c r="F410" s="114"/>
      <c r="G410" s="114"/>
    </row>
    <row r="411" spans="1:7">
      <c r="A411" s="114"/>
      <c r="B411" s="114"/>
      <c r="C411" s="114"/>
      <c r="D411" s="115"/>
      <c r="E411" s="116"/>
      <c r="F411" s="114"/>
      <c r="G411" s="114"/>
    </row>
    <row r="412" spans="1:7">
      <c r="A412" s="114"/>
      <c r="B412" s="114"/>
      <c r="C412" s="114"/>
      <c r="D412" s="115"/>
      <c r="E412" s="116"/>
      <c r="F412" s="114"/>
      <c r="G412" s="114"/>
    </row>
    <row r="413" spans="1:7">
      <c r="A413" s="114"/>
      <c r="B413" s="114"/>
      <c r="C413" s="114"/>
      <c r="D413" s="115"/>
      <c r="E413" s="116"/>
      <c r="F413" s="114"/>
      <c r="G413" s="114"/>
    </row>
    <row r="414" spans="1:7">
      <c r="A414" s="114"/>
      <c r="B414" s="114"/>
      <c r="C414" s="114"/>
      <c r="D414" s="115"/>
      <c r="E414" s="116"/>
      <c r="F414" s="114"/>
      <c r="G414" s="114"/>
    </row>
    <row r="415" spans="1:7">
      <c r="A415" s="114"/>
      <c r="B415" s="114"/>
      <c r="C415" s="114"/>
      <c r="D415" s="115"/>
      <c r="E415" s="116"/>
      <c r="F415" s="114"/>
      <c r="G415" s="114"/>
    </row>
    <row r="416" spans="1:7">
      <c r="A416" s="114"/>
      <c r="B416" s="114"/>
      <c r="C416" s="114"/>
      <c r="D416" s="115"/>
      <c r="E416" s="116"/>
      <c r="F416" s="114"/>
      <c r="G416" s="114"/>
    </row>
    <row r="417" spans="1:7">
      <c r="A417" s="114"/>
      <c r="B417" s="114"/>
      <c r="C417" s="114"/>
      <c r="D417" s="115"/>
      <c r="E417" s="116"/>
      <c r="F417" s="114"/>
      <c r="G417" s="114"/>
    </row>
    <row r="418" spans="1:7">
      <c r="A418" s="114"/>
      <c r="B418" s="114"/>
      <c r="C418" s="114"/>
      <c r="D418" s="115"/>
      <c r="E418" s="116"/>
      <c r="F418" s="114"/>
      <c r="G418" s="114"/>
    </row>
    <row r="419" spans="1:7">
      <c r="A419" s="114"/>
      <c r="B419" s="114"/>
      <c r="C419" s="114"/>
      <c r="D419" s="115"/>
      <c r="E419" s="116"/>
      <c r="F419" s="114"/>
      <c r="G419" s="114"/>
    </row>
    <row r="420" spans="1:7">
      <c r="A420" s="114"/>
      <c r="B420" s="114"/>
      <c r="C420" s="114"/>
      <c r="D420" s="115"/>
      <c r="E420" s="116"/>
      <c r="F420" s="114"/>
      <c r="G420" s="114"/>
    </row>
    <row r="421" spans="1:7">
      <c r="A421" s="114"/>
      <c r="B421" s="114"/>
      <c r="C421" s="114"/>
      <c r="D421" s="115"/>
      <c r="E421" s="116"/>
      <c r="F421" s="114"/>
      <c r="G421" s="114"/>
    </row>
    <row r="422" spans="1:7">
      <c r="A422" s="114"/>
      <c r="B422" s="114"/>
      <c r="C422" s="114"/>
      <c r="D422" s="115"/>
      <c r="E422" s="116"/>
      <c r="F422" s="114"/>
      <c r="G422" s="114"/>
    </row>
    <row r="423" spans="1:7">
      <c r="A423" s="114"/>
      <c r="B423" s="114"/>
      <c r="C423" s="114"/>
      <c r="D423" s="115"/>
      <c r="E423" s="116"/>
      <c r="F423" s="114"/>
      <c r="G423" s="114"/>
    </row>
    <row r="424" spans="1:7">
      <c r="A424" s="114"/>
      <c r="B424" s="114"/>
      <c r="C424" s="114"/>
      <c r="D424" s="115"/>
      <c r="E424" s="116"/>
      <c r="F424" s="114"/>
      <c r="G424" s="114"/>
    </row>
    <row r="425" spans="1:7">
      <c r="A425" s="114"/>
      <c r="B425" s="114"/>
      <c r="C425" s="114"/>
      <c r="D425" s="115"/>
      <c r="E425" s="116"/>
      <c r="F425" s="114"/>
      <c r="G425" s="114"/>
    </row>
    <row r="426" spans="1:7">
      <c r="A426" s="114"/>
      <c r="B426" s="114"/>
      <c r="C426" s="114"/>
      <c r="D426" s="115"/>
      <c r="E426" s="116"/>
      <c r="F426" s="114"/>
      <c r="G426" s="114"/>
    </row>
    <row r="427" spans="1:7">
      <c r="A427" s="114"/>
      <c r="B427" s="114"/>
      <c r="C427" s="114"/>
      <c r="D427" s="115"/>
      <c r="E427" s="116"/>
      <c r="F427" s="114"/>
      <c r="G427" s="114"/>
    </row>
    <row r="428" spans="1:7">
      <c r="A428" s="114"/>
      <c r="B428" s="114"/>
      <c r="C428" s="114"/>
      <c r="D428" s="115"/>
      <c r="E428" s="116"/>
      <c r="F428" s="114"/>
      <c r="G428" s="114"/>
    </row>
    <row r="429" spans="1:7">
      <c r="A429" s="114"/>
      <c r="B429" s="114"/>
      <c r="C429" s="114"/>
      <c r="D429" s="115"/>
      <c r="E429" s="116"/>
      <c r="F429" s="114"/>
      <c r="G429" s="114"/>
    </row>
    <row r="430" spans="1:7">
      <c r="A430" s="114"/>
      <c r="B430" s="114"/>
      <c r="C430" s="114"/>
      <c r="D430" s="115"/>
      <c r="E430" s="116"/>
      <c r="F430" s="114"/>
      <c r="G430" s="114"/>
    </row>
    <row r="431" spans="1:7">
      <c r="A431" s="114"/>
      <c r="B431" s="114"/>
      <c r="C431" s="114"/>
      <c r="D431" s="115"/>
      <c r="E431" s="116"/>
      <c r="F431" s="114"/>
      <c r="G431" s="114"/>
    </row>
    <row r="432" spans="1:7">
      <c r="A432" s="114"/>
      <c r="B432" s="114"/>
      <c r="C432" s="114"/>
      <c r="D432" s="115"/>
      <c r="E432" s="116"/>
      <c r="F432" s="114"/>
      <c r="G432" s="114"/>
    </row>
  </sheetData>
  <mergeCells count="211">
    <mergeCell ref="B142:C142"/>
    <mergeCell ref="B143:C143"/>
    <mergeCell ref="B144:C144"/>
    <mergeCell ref="B145:C145"/>
    <mergeCell ref="B146:C146"/>
    <mergeCell ref="B147:F147"/>
    <mergeCell ref="B148:C148"/>
    <mergeCell ref="B149:C149"/>
    <mergeCell ref="B150:C150"/>
    <mergeCell ref="B125:C125"/>
    <mergeCell ref="B126:C126"/>
    <mergeCell ref="B127:C127"/>
    <mergeCell ref="B128:C128"/>
    <mergeCell ref="B129:C129"/>
    <mergeCell ref="B130:C130"/>
    <mergeCell ref="B131:C131"/>
    <mergeCell ref="B132:F132"/>
    <mergeCell ref="B133:C133"/>
    <mergeCell ref="B134:C134"/>
    <mergeCell ref="B135:C135"/>
    <mergeCell ref="B136:C136"/>
    <mergeCell ref="B137:F137"/>
    <mergeCell ref="B138:C138"/>
    <mergeCell ref="B139:C139"/>
    <mergeCell ref="B140:F140"/>
    <mergeCell ref="B141:C141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94:F94"/>
    <mergeCell ref="B102:C102"/>
    <mergeCell ref="B104:C104"/>
    <mergeCell ref="B105:C105"/>
    <mergeCell ref="B106:C106"/>
    <mergeCell ref="B107:C107"/>
    <mergeCell ref="B33:F33"/>
    <mergeCell ref="B25:D25"/>
    <mergeCell ref="E25:G25"/>
    <mergeCell ref="A26:G28"/>
    <mergeCell ref="A29:A30"/>
    <mergeCell ref="B29:C30"/>
    <mergeCell ref="D29:F29"/>
    <mergeCell ref="B34:F34"/>
    <mergeCell ref="B35:F35"/>
    <mergeCell ref="B31:F31"/>
    <mergeCell ref="B32:F32"/>
    <mergeCell ref="B57:C57"/>
    <mergeCell ref="B58:C58"/>
    <mergeCell ref="B59:C59"/>
    <mergeCell ref="B60:C60"/>
    <mergeCell ref="B61:C61"/>
    <mergeCell ref="B62:C62"/>
    <mergeCell ref="B79:C79"/>
    <mergeCell ref="B80:F80"/>
    <mergeCell ref="B81:C81"/>
    <mergeCell ref="B82:C82"/>
    <mergeCell ref="B83:F83"/>
    <mergeCell ref="B84:C84"/>
    <mergeCell ref="B63:C63"/>
    <mergeCell ref="A19:G19"/>
    <mergeCell ref="A20:G20"/>
    <mergeCell ref="B21:D21"/>
    <mergeCell ref="E21:G21"/>
    <mergeCell ref="B22:D22"/>
    <mergeCell ref="E22:G22"/>
    <mergeCell ref="B36:F36"/>
    <mergeCell ref="B23:D23"/>
    <mergeCell ref="E23:G23"/>
    <mergeCell ref="B24:D24"/>
    <mergeCell ref="E24:G24"/>
    <mergeCell ref="B52:C52"/>
    <mergeCell ref="B53:C53"/>
    <mergeCell ref="B54:C54"/>
    <mergeCell ref="B55:C55"/>
    <mergeCell ref="B56:C56"/>
    <mergeCell ref="B70:C70"/>
    <mergeCell ref="B71:C71"/>
    <mergeCell ref="B72:C72"/>
    <mergeCell ref="B73:C73"/>
    <mergeCell ref="B74:C74"/>
    <mergeCell ref="B75:F75"/>
    <mergeCell ref="B76:C76"/>
    <mergeCell ref="B77:C77"/>
    <mergeCell ref="B78:C78"/>
    <mergeCell ref="B68:C68"/>
    <mergeCell ref="B69:C69"/>
    <mergeCell ref="A12:F12"/>
    <mergeCell ref="A1:G1"/>
    <mergeCell ref="A2:G2"/>
    <mergeCell ref="A3:G3"/>
    <mergeCell ref="A4:G4"/>
    <mergeCell ref="A5:G5"/>
    <mergeCell ref="A6:G6"/>
    <mergeCell ref="A13:F13"/>
    <mergeCell ref="A14:F14"/>
    <mergeCell ref="A15:F15"/>
    <mergeCell ref="A16:F16"/>
    <mergeCell ref="B47:C47"/>
    <mergeCell ref="B48:C48"/>
    <mergeCell ref="B49:C49"/>
    <mergeCell ref="B50:C50"/>
    <mergeCell ref="B51:C51"/>
    <mergeCell ref="B64:C64"/>
    <mergeCell ref="B65:C65"/>
    <mergeCell ref="B66:C66"/>
    <mergeCell ref="B67:C67"/>
    <mergeCell ref="B37:F37"/>
    <mergeCell ref="B38:C38"/>
    <mergeCell ref="B39:C39"/>
    <mergeCell ref="B40:C40"/>
    <mergeCell ref="B41:F41"/>
    <mergeCell ref="B42:C42"/>
    <mergeCell ref="B43:C43"/>
    <mergeCell ref="B44:C44"/>
    <mergeCell ref="B45:C45"/>
    <mergeCell ref="B85:C85"/>
    <mergeCell ref="B86:C86"/>
    <mergeCell ref="B87:C87"/>
    <mergeCell ref="B88:C88"/>
    <mergeCell ref="B95:C95"/>
    <mergeCell ref="B96:C96"/>
    <mergeCell ref="B97:C97"/>
    <mergeCell ref="B98:F98"/>
    <mergeCell ref="B99:C99"/>
    <mergeCell ref="B101:C101"/>
    <mergeCell ref="B183:C183"/>
    <mergeCell ref="B184:C184"/>
    <mergeCell ref="B180:C180"/>
    <mergeCell ref="B181:C181"/>
    <mergeCell ref="B182:C182"/>
    <mergeCell ref="B177:C177"/>
    <mergeCell ref="B178:C178"/>
    <mergeCell ref="B179:C179"/>
    <mergeCell ref="B174:C174"/>
    <mergeCell ref="B175:C175"/>
    <mergeCell ref="B176:C176"/>
    <mergeCell ref="B171:C171"/>
    <mergeCell ref="B172:C172"/>
    <mergeCell ref="B173:C173"/>
    <mergeCell ref="B168:C168"/>
    <mergeCell ref="B169:C169"/>
    <mergeCell ref="B170:C170"/>
    <mergeCell ref="B165:C165"/>
    <mergeCell ref="B166:C166"/>
    <mergeCell ref="B167:C167"/>
    <mergeCell ref="B161:C161"/>
    <mergeCell ref="B156:C156"/>
    <mergeCell ref="B157:C157"/>
    <mergeCell ref="B89:C89"/>
    <mergeCell ref="B90:F90"/>
    <mergeCell ref="B91:C91"/>
    <mergeCell ref="B92:C92"/>
    <mergeCell ref="B93:C93"/>
    <mergeCell ref="F213:G213"/>
    <mergeCell ref="F214:G214"/>
    <mergeCell ref="A7:F7"/>
    <mergeCell ref="A8:F8"/>
    <mergeCell ref="A9:F9"/>
    <mergeCell ref="A10:F10"/>
    <mergeCell ref="A11:F11"/>
    <mergeCell ref="B155:C155"/>
    <mergeCell ref="B205:C205"/>
    <mergeCell ref="B203:C203"/>
    <mergeCell ref="B202:F202"/>
    <mergeCell ref="B204:F204"/>
    <mergeCell ref="B193:C193"/>
    <mergeCell ref="B194:F194"/>
    <mergeCell ref="A17:F17"/>
    <mergeCell ref="A18:F18"/>
    <mergeCell ref="F207:G207"/>
    <mergeCell ref="F208:G208"/>
    <mergeCell ref="B100:C100"/>
    <mergeCell ref="B201:C201"/>
    <mergeCell ref="B198:C198"/>
    <mergeCell ref="B199:C199"/>
    <mergeCell ref="B200:E200"/>
    <mergeCell ref="B195:C195"/>
    <mergeCell ref="B196:C196"/>
    <mergeCell ref="B197:C197"/>
    <mergeCell ref="B192:C192"/>
    <mergeCell ref="B189:C189"/>
    <mergeCell ref="B190:C190"/>
    <mergeCell ref="B191:C191"/>
    <mergeCell ref="B186:C186"/>
    <mergeCell ref="B187:C187"/>
    <mergeCell ref="B188:C188"/>
    <mergeCell ref="B162:C162"/>
    <mergeCell ref="B163:C163"/>
    <mergeCell ref="B164:C164"/>
    <mergeCell ref="B151:F151"/>
    <mergeCell ref="B152:C152"/>
    <mergeCell ref="B153:C153"/>
    <mergeCell ref="B154:C154"/>
    <mergeCell ref="B185:C185"/>
    <mergeCell ref="B158:C158"/>
    <mergeCell ref="B159:C159"/>
    <mergeCell ref="B160:C1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9355-221E-42E6-BF4C-E483CEE78891}">
  <sheetPr>
    <tabColor rgb="FF92D050"/>
  </sheetPr>
  <dimension ref="A1:CA330"/>
  <sheetViews>
    <sheetView zoomScale="85" zoomScaleNormal="85" workbookViewId="0">
      <selection activeCell="E24" sqref="E24:G24"/>
    </sheetView>
  </sheetViews>
  <sheetFormatPr defaultColWidth="9.140625" defaultRowHeight="15"/>
  <cols>
    <col min="1" max="1" width="21.7109375" style="44" customWidth="1"/>
    <col min="2" max="2" width="36.5703125" style="44" customWidth="1"/>
    <col min="3" max="3" width="27.28515625" style="44" customWidth="1"/>
    <col min="4" max="4" width="14.42578125" style="109" customWidth="1"/>
    <col min="5" max="5" width="14" style="110" customWidth="1"/>
    <col min="6" max="6" width="21.28515625" style="44" customWidth="1"/>
    <col min="7" max="7" width="29.7109375" style="44" customWidth="1"/>
    <col min="8" max="8" width="18" style="44" customWidth="1"/>
    <col min="9" max="16384" width="9.140625" style="44"/>
  </cols>
  <sheetData>
    <row r="1" spans="1:79" s="43" customFormat="1" ht="57.2" customHeight="1">
      <c r="A1" s="242" t="s">
        <v>128</v>
      </c>
      <c r="B1" s="243"/>
      <c r="C1" s="243"/>
      <c r="D1" s="243"/>
      <c r="E1" s="243"/>
      <c r="F1" s="243"/>
      <c r="G1" s="244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</row>
    <row r="2" spans="1:79" s="43" customFormat="1" ht="36.6" customHeight="1">
      <c r="A2" s="245" t="s">
        <v>378</v>
      </c>
      <c r="B2" s="246"/>
      <c r="C2" s="246"/>
      <c r="D2" s="246"/>
      <c r="E2" s="246"/>
      <c r="F2" s="246"/>
      <c r="G2" s="24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</row>
    <row r="3" spans="1:79" s="43" customFormat="1" ht="14.25" customHeight="1">
      <c r="A3" s="248" t="s">
        <v>129</v>
      </c>
      <c r="B3" s="249"/>
      <c r="C3" s="249"/>
      <c r="D3" s="249"/>
      <c r="E3" s="249"/>
      <c r="F3" s="249"/>
      <c r="G3" s="250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7"/>
      <c r="BY3" s="117"/>
      <c r="BZ3" s="117"/>
      <c r="CA3" s="117"/>
    </row>
    <row r="4" spans="1:79" s="43" customFormat="1" ht="14.25" customHeight="1">
      <c r="A4" s="248" t="s">
        <v>130</v>
      </c>
      <c r="B4" s="249"/>
      <c r="C4" s="249"/>
      <c r="D4" s="249"/>
      <c r="E4" s="249"/>
      <c r="F4" s="249"/>
      <c r="G4" s="250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</row>
    <row r="5" spans="1:79" s="43" customFormat="1" ht="14.25" customHeight="1">
      <c r="A5" s="248" t="s">
        <v>131</v>
      </c>
      <c r="B5" s="249"/>
      <c r="C5" s="249"/>
      <c r="D5" s="249"/>
      <c r="E5" s="249"/>
      <c r="F5" s="249"/>
      <c r="G5" s="250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</row>
    <row r="6" spans="1:79" s="43" customFormat="1" ht="14.25" customHeight="1">
      <c r="A6" s="248" t="s">
        <v>132</v>
      </c>
      <c r="B6" s="249"/>
      <c r="C6" s="249"/>
      <c r="D6" s="249"/>
      <c r="E6" s="249"/>
      <c r="F6" s="249"/>
      <c r="G6" s="250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</row>
    <row r="7" spans="1:79" s="148" customFormat="1" ht="14.25" customHeight="1">
      <c r="A7" s="225" t="s">
        <v>133</v>
      </c>
      <c r="B7" s="225"/>
      <c r="C7" s="225"/>
      <c r="D7" s="225"/>
      <c r="E7" s="225"/>
      <c r="F7" s="225"/>
      <c r="H7" s="203"/>
      <c r="I7" s="203"/>
      <c r="J7" s="203"/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  <c r="AA7" s="203"/>
      <c r="AB7" s="203"/>
      <c r="AC7" s="203"/>
      <c r="AD7" s="203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3"/>
      <c r="AP7" s="203"/>
      <c r="AQ7" s="203"/>
      <c r="AR7" s="203"/>
      <c r="AS7" s="203"/>
      <c r="AT7" s="203"/>
      <c r="AU7" s="203"/>
      <c r="AV7" s="203"/>
      <c r="AW7" s="203"/>
      <c r="AX7" s="203"/>
      <c r="AY7" s="203"/>
    </row>
    <row r="8" spans="1:79" s="148" customFormat="1" ht="14.25" customHeight="1">
      <c r="A8" s="225" t="s">
        <v>134</v>
      </c>
      <c r="B8" s="225"/>
      <c r="C8" s="225"/>
      <c r="D8" s="225"/>
      <c r="E8" s="225"/>
      <c r="F8" s="225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  <c r="AA8" s="203"/>
      <c r="AB8" s="203"/>
      <c r="AC8" s="203"/>
      <c r="AD8" s="203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3"/>
      <c r="AT8" s="203"/>
      <c r="AU8" s="203"/>
      <c r="AV8" s="203"/>
      <c r="AW8" s="203"/>
      <c r="AX8" s="203"/>
      <c r="AY8" s="203"/>
    </row>
    <row r="9" spans="1:79" s="148" customFormat="1" ht="14.25" customHeight="1">
      <c r="A9" s="225" t="s">
        <v>324</v>
      </c>
      <c r="B9" s="225"/>
      <c r="C9" s="225"/>
      <c r="D9" s="225"/>
      <c r="E9" s="225"/>
      <c r="F9" s="225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  <c r="AA9" s="203"/>
      <c r="AB9" s="203"/>
      <c r="AC9" s="203"/>
      <c r="AD9" s="203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3"/>
      <c r="AT9" s="203"/>
      <c r="AU9" s="203"/>
      <c r="AV9" s="203"/>
      <c r="AW9" s="203"/>
      <c r="AX9" s="203"/>
      <c r="AY9" s="203"/>
    </row>
    <row r="10" spans="1:79" s="148" customFormat="1" ht="14.25" customHeight="1">
      <c r="A10" s="225" t="s">
        <v>136</v>
      </c>
      <c r="B10" s="225"/>
      <c r="C10" s="225"/>
      <c r="D10" s="225"/>
      <c r="E10" s="225"/>
      <c r="F10" s="225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3"/>
      <c r="AT10" s="203"/>
      <c r="AU10" s="203"/>
      <c r="AV10" s="203"/>
      <c r="AW10" s="203"/>
      <c r="AX10" s="203"/>
      <c r="AY10" s="203"/>
    </row>
    <row r="11" spans="1:79" s="148" customFormat="1" ht="14.25" customHeight="1">
      <c r="A11" s="225" t="s">
        <v>137</v>
      </c>
      <c r="B11" s="225"/>
      <c r="C11" s="225"/>
      <c r="D11" s="225"/>
      <c r="E11" s="225"/>
      <c r="F11" s="225"/>
      <c r="H11" s="203"/>
      <c r="I11" s="203"/>
      <c r="J11" s="203"/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3"/>
      <c r="AX11" s="203"/>
      <c r="AY11" s="203"/>
    </row>
    <row r="12" spans="1:79" s="148" customFormat="1" ht="14.25" customHeight="1">
      <c r="A12" s="225" t="s">
        <v>138</v>
      </c>
      <c r="B12" s="225"/>
      <c r="C12" s="225"/>
      <c r="D12" s="225"/>
      <c r="E12" s="225"/>
      <c r="F12" s="225"/>
      <c r="H12" s="203"/>
      <c r="I12" s="203"/>
      <c r="J12" s="203"/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  <c r="AA12" s="203"/>
      <c r="AB12" s="203"/>
      <c r="AC12" s="203"/>
      <c r="AD12" s="203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3"/>
      <c r="AT12" s="203"/>
      <c r="AU12" s="203"/>
      <c r="AV12" s="203"/>
      <c r="AW12" s="203"/>
      <c r="AX12" s="203"/>
      <c r="AY12" s="203"/>
    </row>
    <row r="13" spans="1:79" s="148" customFormat="1" ht="14.25" customHeight="1">
      <c r="A13" s="225" t="s">
        <v>139</v>
      </c>
      <c r="B13" s="225"/>
      <c r="C13" s="225"/>
      <c r="D13" s="225"/>
      <c r="E13" s="225"/>
      <c r="F13" s="225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</row>
    <row r="14" spans="1:79" s="148" customFormat="1" ht="14.25" customHeight="1">
      <c r="A14" s="225" t="s">
        <v>140</v>
      </c>
      <c r="B14" s="225"/>
      <c r="C14" s="225"/>
      <c r="D14" s="225"/>
      <c r="E14" s="225"/>
      <c r="F14" s="225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</row>
    <row r="15" spans="1:79" s="148" customFormat="1" ht="14.25" customHeight="1">
      <c r="A15" s="225" t="s">
        <v>141</v>
      </c>
      <c r="B15" s="225"/>
      <c r="C15" s="225"/>
      <c r="D15" s="225"/>
      <c r="E15" s="225"/>
      <c r="F15" s="225"/>
      <c r="H15" s="203"/>
      <c r="I15" s="203"/>
      <c r="J15" s="203"/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</row>
    <row r="16" spans="1:79" s="148" customFormat="1" ht="14.25" customHeight="1">
      <c r="A16" s="225" t="s">
        <v>342</v>
      </c>
      <c r="B16" s="225"/>
      <c r="C16" s="225"/>
      <c r="D16" s="225"/>
      <c r="E16" s="225"/>
      <c r="F16" s="225"/>
      <c r="H16" s="203"/>
      <c r="I16" s="203"/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3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</row>
    <row r="17" spans="1:51" s="148" customFormat="1" ht="14.25" customHeight="1">
      <c r="A17" s="225" t="s">
        <v>379</v>
      </c>
      <c r="B17" s="225"/>
      <c r="C17" s="225"/>
      <c r="D17" s="225"/>
      <c r="E17" s="225"/>
      <c r="F17" s="225"/>
      <c r="G17" s="149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</row>
    <row r="18" spans="1:51" s="148" customFormat="1" ht="14.25" customHeight="1">
      <c r="A18" s="229" t="s">
        <v>424</v>
      </c>
      <c r="B18" s="229"/>
      <c r="C18" s="229"/>
      <c r="D18" s="229"/>
      <c r="E18" s="229"/>
      <c r="F18" s="229"/>
      <c r="G18" s="149"/>
      <c r="H18" s="203"/>
      <c r="I18" s="203"/>
      <c r="J18" s="203"/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  <c r="AA18" s="203"/>
      <c r="AB18" s="203"/>
      <c r="AC18" s="203"/>
      <c r="AD18" s="203"/>
      <c r="AE18" s="203"/>
      <c r="AF18" s="203"/>
      <c r="AG18" s="203"/>
      <c r="AH18" s="203"/>
      <c r="AI18" s="203"/>
      <c r="AJ18" s="203"/>
      <c r="AK18" s="203"/>
      <c r="AL18" s="203"/>
      <c r="AM18" s="203"/>
      <c r="AN18" s="203"/>
      <c r="AO18" s="203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</row>
    <row r="19" spans="1:51" ht="60.75" customHeight="1">
      <c r="A19" s="253" t="s">
        <v>142</v>
      </c>
      <c r="B19" s="254"/>
      <c r="C19" s="254"/>
      <c r="D19" s="254"/>
      <c r="E19" s="254"/>
      <c r="F19" s="254"/>
      <c r="G19" s="255"/>
    </row>
    <row r="20" spans="1:51" ht="26.25" customHeight="1">
      <c r="A20" s="256" t="s">
        <v>22</v>
      </c>
      <c r="B20" s="256"/>
      <c r="C20" s="256"/>
      <c r="D20" s="256"/>
      <c r="E20" s="256"/>
      <c r="F20" s="256"/>
      <c r="G20" s="256"/>
    </row>
    <row r="21" spans="1:51" ht="18.75" customHeight="1">
      <c r="A21" s="45" t="s">
        <v>23</v>
      </c>
      <c r="B21" s="257" t="s">
        <v>24</v>
      </c>
      <c r="C21" s="257"/>
      <c r="D21" s="257"/>
      <c r="E21" s="257" t="s">
        <v>25</v>
      </c>
      <c r="F21" s="257"/>
      <c r="G21" s="257"/>
    </row>
    <row r="22" spans="1:51" ht="36" customHeight="1">
      <c r="A22" s="46" t="s">
        <v>26</v>
      </c>
      <c r="B22" s="258" t="s">
        <v>389</v>
      </c>
      <c r="C22" s="258"/>
      <c r="D22" s="258"/>
      <c r="E22" s="259">
        <v>0.72</v>
      </c>
      <c r="F22" s="259"/>
      <c r="G22" s="259"/>
    </row>
    <row r="23" spans="1:51" ht="27" customHeight="1">
      <c r="A23" s="46" t="s">
        <v>28</v>
      </c>
      <c r="B23" s="258" t="s">
        <v>29</v>
      </c>
      <c r="C23" s="258"/>
      <c r="D23" s="258"/>
      <c r="E23" s="258" t="s">
        <v>426</v>
      </c>
      <c r="F23" s="258"/>
      <c r="G23" s="258"/>
    </row>
    <row r="24" spans="1:51" ht="39.75" customHeight="1">
      <c r="A24" s="46" t="s">
        <v>30</v>
      </c>
      <c r="B24" s="258" t="s">
        <v>390</v>
      </c>
      <c r="C24" s="258"/>
      <c r="D24" s="258"/>
      <c r="E24" s="258">
        <v>3</v>
      </c>
      <c r="F24" s="258"/>
      <c r="G24" s="258"/>
    </row>
    <row r="25" spans="1:51" ht="34.5" customHeight="1">
      <c r="A25" s="46" t="s">
        <v>33</v>
      </c>
      <c r="B25" s="258" t="s">
        <v>391</v>
      </c>
      <c r="C25" s="258"/>
      <c r="D25" s="258"/>
      <c r="E25" s="259">
        <v>1</v>
      </c>
      <c r="F25" s="259"/>
      <c r="G25" s="259"/>
    </row>
    <row r="26" spans="1:51">
      <c r="A26" s="265" t="s">
        <v>35</v>
      </c>
      <c r="B26" s="266"/>
      <c r="C26" s="266"/>
      <c r="D26" s="266"/>
      <c r="E26" s="266"/>
      <c r="F26" s="266"/>
      <c r="G26" s="267"/>
    </row>
    <row r="27" spans="1:51">
      <c r="A27" s="268"/>
      <c r="B27" s="269"/>
      <c r="C27" s="269"/>
      <c r="D27" s="269"/>
      <c r="E27" s="269"/>
      <c r="F27" s="269"/>
      <c r="G27" s="270"/>
    </row>
    <row r="28" spans="1:51">
      <c r="A28" s="271"/>
      <c r="B28" s="272"/>
      <c r="C28" s="272"/>
      <c r="D28" s="272"/>
      <c r="E28" s="272"/>
      <c r="F28" s="272"/>
      <c r="G28" s="273"/>
    </row>
    <row r="29" spans="1:51" ht="30.75" customHeight="1">
      <c r="A29" s="274" t="s">
        <v>36</v>
      </c>
      <c r="B29" s="274" t="s">
        <v>37</v>
      </c>
      <c r="C29" s="276"/>
      <c r="D29" s="278" t="s">
        <v>38</v>
      </c>
      <c r="E29" s="279"/>
      <c r="F29" s="279"/>
      <c r="G29" s="48"/>
    </row>
    <row r="30" spans="1:51" ht="30.75" customHeight="1">
      <c r="A30" s="275"/>
      <c r="B30" s="275"/>
      <c r="C30" s="277"/>
      <c r="D30" s="48" t="s">
        <v>39</v>
      </c>
      <c r="E30" s="49" t="s">
        <v>40</v>
      </c>
      <c r="F30" s="48" t="s">
        <v>41</v>
      </c>
      <c r="G30" s="48" t="s">
        <v>43</v>
      </c>
    </row>
    <row r="31" spans="1:51" ht="22.5" customHeight="1">
      <c r="A31" s="158">
        <v>5</v>
      </c>
      <c r="B31" s="264" t="s">
        <v>44</v>
      </c>
      <c r="C31" s="264"/>
      <c r="D31" s="264"/>
      <c r="E31" s="264"/>
      <c r="F31" s="264"/>
      <c r="G31" s="54">
        <f>G32</f>
        <v>3157552000</v>
      </c>
    </row>
    <row r="32" spans="1:51" ht="31.5" customHeight="1">
      <c r="A32" s="159" t="s">
        <v>45</v>
      </c>
      <c r="B32" s="264" t="s">
        <v>46</v>
      </c>
      <c r="C32" s="264"/>
      <c r="D32" s="264"/>
      <c r="E32" s="264"/>
      <c r="F32" s="264"/>
      <c r="G32" s="54">
        <f>G33</f>
        <v>3157552000</v>
      </c>
    </row>
    <row r="33" spans="1:79" s="59" customFormat="1" ht="30.75" customHeight="1">
      <c r="A33" s="160">
        <v>37013</v>
      </c>
      <c r="B33" s="264" t="s">
        <v>382</v>
      </c>
      <c r="C33" s="264"/>
      <c r="D33" s="264"/>
      <c r="E33" s="264"/>
      <c r="F33" s="264"/>
      <c r="G33" s="54">
        <f>G34</f>
        <v>3157552000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</row>
    <row r="34" spans="1:79" ht="30.75" customHeight="1">
      <c r="A34" s="161" t="s">
        <v>380</v>
      </c>
      <c r="B34" s="264" t="s">
        <v>382</v>
      </c>
      <c r="C34" s="264"/>
      <c r="D34" s="264"/>
      <c r="E34" s="264"/>
      <c r="F34" s="264"/>
      <c r="G34" s="54">
        <f>G35</f>
        <v>3157552000</v>
      </c>
    </row>
    <row r="35" spans="1:79" ht="30.75" customHeight="1">
      <c r="A35" s="161" t="s">
        <v>381</v>
      </c>
      <c r="B35" s="264" t="s">
        <v>383</v>
      </c>
      <c r="C35" s="264"/>
      <c r="D35" s="264"/>
      <c r="E35" s="264"/>
      <c r="F35" s="264"/>
      <c r="G35" s="54">
        <f>G36</f>
        <v>3157552000</v>
      </c>
    </row>
    <row r="36" spans="1:79" s="152" customFormat="1" ht="30.75" customHeight="1">
      <c r="A36" s="150" t="s">
        <v>385</v>
      </c>
      <c r="B36" s="260" t="s">
        <v>384</v>
      </c>
      <c r="C36" s="260"/>
      <c r="D36" s="260"/>
      <c r="E36" s="260"/>
      <c r="F36" s="260"/>
      <c r="G36" s="151">
        <f>G37+G39+G41+G43+G45+G73+G78+G81+G85+G88+G94+G98</f>
        <v>3157552000</v>
      </c>
      <c r="H36" s="204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3"/>
      <c r="AU36" s="203"/>
      <c r="AV36" s="203"/>
      <c r="AW36" s="203"/>
      <c r="AX36" s="203"/>
      <c r="AY36" s="203"/>
    </row>
    <row r="37" spans="1:79" s="185" customFormat="1" ht="19.5" customHeight="1">
      <c r="A37" s="183"/>
      <c r="B37" s="238" t="s">
        <v>386</v>
      </c>
      <c r="C37" s="239"/>
      <c r="D37" s="239"/>
      <c r="E37" s="239"/>
      <c r="F37" s="240"/>
      <c r="G37" s="184">
        <f>G38+G43+G45+G73+G78+G81+G85+G88</f>
        <v>788380849</v>
      </c>
      <c r="H37" s="205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</row>
    <row r="38" spans="1:79" s="163" customFormat="1" ht="18.75" customHeight="1">
      <c r="A38" s="162"/>
      <c r="B38" s="208" t="s">
        <v>384</v>
      </c>
      <c r="C38" s="208"/>
      <c r="D38" s="167">
        <v>1</v>
      </c>
      <c r="E38" s="68" t="s">
        <v>53</v>
      </c>
      <c r="F38" s="165">
        <v>727117849</v>
      </c>
      <c r="G38" s="170">
        <f>F38</f>
        <v>727117849</v>
      </c>
      <c r="H38" s="206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7"/>
      <c r="AO38" s="207"/>
      <c r="AP38" s="207"/>
      <c r="AQ38" s="207"/>
      <c r="AR38" s="207"/>
      <c r="AS38" s="207"/>
      <c r="AT38" s="207"/>
      <c r="AU38" s="207"/>
      <c r="AV38" s="207"/>
      <c r="AW38" s="207"/>
      <c r="AX38" s="207"/>
      <c r="AY38" s="207"/>
    </row>
    <row r="39" spans="1:79" s="185" customFormat="1" ht="19.5" customHeight="1">
      <c r="A39" s="183"/>
      <c r="B39" s="238" t="s">
        <v>387</v>
      </c>
      <c r="C39" s="239"/>
      <c r="D39" s="239"/>
      <c r="E39" s="239"/>
      <c r="F39" s="240"/>
      <c r="G39" s="184">
        <f>G40+G45+G47+G75+G80+G83+G87+G90</f>
        <v>925665239</v>
      </c>
      <c r="H39" s="205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</row>
    <row r="40" spans="1:79" s="163" customFormat="1" ht="20.25" customHeight="1">
      <c r="A40" s="162"/>
      <c r="B40" s="208" t="s">
        <v>384</v>
      </c>
      <c r="C40" s="208"/>
      <c r="D40" s="167">
        <v>1</v>
      </c>
      <c r="E40" s="68" t="s">
        <v>53</v>
      </c>
      <c r="F40" s="165">
        <v>886046939</v>
      </c>
      <c r="G40" s="170">
        <f>F40</f>
        <v>886046939</v>
      </c>
      <c r="H40" s="206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7"/>
      <c r="AO40" s="207"/>
      <c r="AP40" s="207"/>
      <c r="AQ40" s="207"/>
      <c r="AR40" s="207"/>
      <c r="AS40" s="207"/>
      <c r="AT40" s="207"/>
      <c r="AU40" s="207"/>
      <c r="AV40" s="207"/>
      <c r="AW40" s="207"/>
      <c r="AX40" s="207"/>
      <c r="AY40" s="207"/>
    </row>
    <row r="41" spans="1:79" s="185" customFormat="1" ht="19.5" customHeight="1">
      <c r="A41" s="183"/>
      <c r="B41" s="238" t="s">
        <v>388</v>
      </c>
      <c r="C41" s="239"/>
      <c r="D41" s="239"/>
      <c r="E41" s="239"/>
      <c r="F41" s="240"/>
      <c r="G41" s="184">
        <f>G42+G47+G49+G77+G82+G85+G89+G94</f>
        <v>1327342912</v>
      </c>
      <c r="H41" s="205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</row>
    <row r="42" spans="1:79" s="163" customFormat="1" ht="23.25" customHeight="1">
      <c r="A42" s="162"/>
      <c r="B42" s="208" t="s">
        <v>384</v>
      </c>
      <c r="C42" s="208"/>
      <c r="D42" s="167">
        <v>1</v>
      </c>
      <c r="E42" s="68" t="s">
        <v>53</v>
      </c>
      <c r="F42" s="165">
        <v>1241852462</v>
      </c>
      <c r="G42" s="170">
        <f>F42</f>
        <v>1241852462</v>
      </c>
      <c r="H42" s="206"/>
      <c r="I42" s="207"/>
      <c r="J42" s="207"/>
      <c r="K42" s="20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</row>
    <row r="43" spans="1:79" s="64" customFormat="1" ht="30.75" customHeight="1">
      <c r="A43" s="50"/>
      <c r="B43" s="232" t="s">
        <v>151</v>
      </c>
      <c r="C43" s="241"/>
      <c r="D43" s="61"/>
      <c r="E43" s="62"/>
      <c r="F43" s="63"/>
      <c r="G43" s="63">
        <f>SUM(G44)</f>
        <v>450000</v>
      </c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  <c r="AU43" s="118"/>
      <c r="AV43" s="118"/>
      <c r="AW43" s="118"/>
      <c r="AX43" s="118"/>
      <c r="AY43" s="118"/>
      <c r="AZ43" s="118"/>
      <c r="BA43" s="118"/>
      <c r="BB43" s="118"/>
      <c r="BC43" s="118"/>
      <c r="BD43" s="118"/>
      <c r="BE43" s="118"/>
      <c r="BF43" s="118"/>
      <c r="BG43" s="118"/>
      <c r="BH43" s="118"/>
      <c r="BI43" s="118"/>
      <c r="BJ43" s="118"/>
      <c r="BK43" s="118"/>
      <c r="BL43" s="118"/>
      <c r="BM43" s="118"/>
      <c r="BN43" s="118"/>
      <c r="BO43" s="118"/>
      <c r="BP43" s="118"/>
      <c r="BQ43" s="118"/>
      <c r="BR43" s="118"/>
      <c r="BS43" s="118"/>
      <c r="BT43" s="118"/>
      <c r="BU43" s="118"/>
      <c r="BV43" s="118"/>
      <c r="BW43" s="118"/>
      <c r="BX43" s="118"/>
      <c r="BY43" s="118"/>
      <c r="BZ43" s="118"/>
      <c r="CA43" s="118"/>
    </row>
    <row r="44" spans="1:79" s="71" customFormat="1" ht="30.75" customHeight="1">
      <c r="A44" s="50"/>
      <c r="B44" s="65" t="s">
        <v>75</v>
      </c>
      <c r="C44" s="66"/>
      <c r="D44" s="67">
        <v>45</v>
      </c>
      <c r="E44" s="68" t="s">
        <v>60</v>
      </c>
      <c r="F44" s="69">
        <v>10000</v>
      </c>
      <c r="G44" s="70">
        <f>D44*F44</f>
        <v>450000</v>
      </c>
    </row>
    <row r="45" spans="1:79" s="75" customFormat="1" ht="30.75" customHeight="1">
      <c r="A45" s="50"/>
      <c r="B45" s="232" t="s">
        <v>153</v>
      </c>
      <c r="C45" s="233"/>
      <c r="D45" s="72"/>
      <c r="E45" s="60"/>
      <c r="F45" s="73"/>
      <c r="G45" s="74">
        <f>SUM(G46:G72)</f>
        <v>6056750</v>
      </c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</row>
    <row r="46" spans="1:79" ht="23.25" customHeight="1">
      <c r="A46" s="50"/>
      <c r="B46" s="208" t="s">
        <v>154</v>
      </c>
      <c r="C46" s="208"/>
      <c r="D46" s="67">
        <v>2</v>
      </c>
      <c r="E46" s="76" t="s">
        <v>54</v>
      </c>
      <c r="F46" s="77">
        <v>29100</v>
      </c>
      <c r="G46" s="78">
        <f>D46*F46</f>
        <v>58200</v>
      </c>
    </row>
    <row r="47" spans="1:79" ht="23.25" customHeight="1">
      <c r="A47" s="50"/>
      <c r="B47" s="208" t="s">
        <v>155</v>
      </c>
      <c r="C47" s="208"/>
      <c r="D47" s="67">
        <v>1</v>
      </c>
      <c r="E47" s="76" t="s">
        <v>54</v>
      </c>
      <c r="F47" s="77">
        <v>37300</v>
      </c>
      <c r="G47" s="78">
        <f t="shared" ref="G47:G72" si="0">D47*F47</f>
        <v>37300</v>
      </c>
    </row>
    <row r="48" spans="1:79" ht="23.25" customHeight="1">
      <c r="A48" s="50"/>
      <c r="B48" s="208" t="s">
        <v>156</v>
      </c>
      <c r="C48" s="208"/>
      <c r="D48" s="67">
        <v>3</v>
      </c>
      <c r="E48" s="76" t="s">
        <v>56</v>
      </c>
      <c r="F48" s="77">
        <v>283500</v>
      </c>
      <c r="G48" s="78">
        <f t="shared" si="0"/>
        <v>850500</v>
      </c>
    </row>
    <row r="49" spans="1:7" ht="23.25" customHeight="1">
      <c r="A49" s="50"/>
      <c r="B49" s="208" t="s">
        <v>157</v>
      </c>
      <c r="C49" s="208"/>
      <c r="D49" s="67">
        <v>1</v>
      </c>
      <c r="E49" s="76" t="s">
        <v>56</v>
      </c>
      <c r="F49" s="77">
        <v>55650</v>
      </c>
      <c r="G49" s="78">
        <f t="shared" si="0"/>
        <v>55650</v>
      </c>
    </row>
    <row r="50" spans="1:7" ht="23.25" customHeight="1">
      <c r="A50" s="50"/>
      <c r="B50" s="208" t="s">
        <v>158</v>
      </c>
      <c r="C50" s="208"/>
      <c r="D50" s="67">
        <v>4</v>
      </c>
      <c r="E50" s="76" t="s">
        <v>54</v>
      </c>
      <c r="F50" s="77">
        <v>4725</v>
      </c>
      <c r="G50" s="78">
        <f>D50*F50</f>
        <v>18900</v>
      </c>
    </row>
    <row r="51" spans="1:7" ht="23.25" customHeight="1">
      <c r="A51" s="50"/>
      <c r="B51" s="208" t="s">
        <v>159</v>
      </c>
      <c r="C51" s="208"/>
      <c r="D51" s="67">
        <v>1</v>
      </c>
      <c r="E51" s="76" t="s">
        <v>54</v>
      </c>
      <c r="F51" s="77">
        <v>14700</v>
      </c>
      <c r="G51" s="78">
        <f t="shared" si="0"/>
        <v>14700</v>
      </c>
    </row>
    <row r="52" spans="1:7" ht="23.25" customHeight="1">
      <c r="A52" s="50"/>
      <c r="B52" s="208" t="s">
        <v>160</v>
      </c>
      <c r="C52" s="208"/>
      <c r="D52" s="67">
        <v>1</v>
      </c>
      <c r="E52" s="76" t="s">
        <v>54</v>
      </c>
      <c r="F52" s="77">
        <v>53500</v>
      </c>
      <c r="G52" s="78">
        <f t="shared" si="0"/>
        <v>53500</v>
      </c>
    </row>
    <row r="53" spans="1:7" ht="23.25" customHeight="1">
      <c r="A53" s="50"/>
      <c r="B53" s="208" t="s">
        <v>161</v>
      </c>
      <c r="C53" s="208"/>
      <c r="D53" s="67">
        <v>25</v>
      </c>
      <c r="E53" s="76" t="s">
        <v>55</v>
      </c>
      <c r="F53" s="77">
        <v>60775</v>
      </c>
      <c r="G53" s="78">
        <f t="shared" si="0"/>
        <v>1519375</v>
      </c>
    </row>
    <row r="54" spans="1:7" ht="23.25" customHeight="1">
      <c r="A54" s="50"/>
      <c r="B54" s="208" t="s">
        <v>162</v>
      </c>
      <c r="C54" s="208"/>
      <c r="D54" s="67">
        <v>1</v>
      </c>
      <c r="E54" s="76" t="s">
        <v>57</v>
      </c>
      <c r="F54" s="77">
        <v>22200</v>
      </c>
      <c r="G54" s="78">
        <f t="shared" si="0"/>
        <v>22200</v>
      </c>
    </row>
    <row r="55" spans="1:7" ht="23.25" customHeight="1">
      <c r="A55" s="50"/>
      <c r="B55" s="208" t="s">
        <v>163</v>
      </c>
      <c r="C55" s="208"/>
      <c r="D55" s="67">
        <v>2</v>
      </c>
      <c r="E55" s="76" t="s">
        <v>54</v>
      </c>
      <c r="F55" s="77">
        <v>44100</v>
      </c>
      <c r="G55" s="78">
        <f t="shared" si="0"/>
        <v>88200</v>
      </c>
    </row>
    <row r="56" spans="1:7" ht="23.25" customHeight="1">
      <c r="A56" s="50"/>
      <c r="B56" s="208" t="s">
        <v>164</v>
      </c>
      <c r="C56" s="208"/>
      <c r="D56" s="67">
        <v>2</v>
      </c>
      <c r="E56" s="76" t="s">
        <v>54</v>
      </c>
      <c r="F56" s="77">
        <v>37275</v>
      </c>
      <c r="G56" s="78">
        <f t="shared" si="0"/>
        <v>74550</v>
      </c>
    </row>
    <row r="57" spans="1:7" ht="23.25" customHeight="1">
      <c r="A57" s="50"/>
      <c r="B57" s="208" t="s">
        <v>165</v>
      </c>
      <c r="C57" s="208"/>
      <c r="D57" s="67">
        <v>30</v>
      </c>
      <c r="E57" s="76" t="s">
        <v>55</v>
      </c>
      <c r="F57" s="77">
        <v>9800</v>
      </c>
      <c r="G57" s="78">
        <f t="shared" si="0"/>
        <v>294000</v>
      </c>
    </row>
    <row r="58" spans="1:7" ht="23.25" customHeight="1">
      <c r="A58" s="50"/>
      <c r="B58" s="208" t="s">
        <v>166</v>
      </c>
      <c r="C58" s="208"/>
      <c r="D58" s="67">
        <v>6</v>
      </c>
      <c r="E58" s="76" t="s">
        <v>54</v>
      </c>
      <c r="F58" s="77">
        <v>130200</v>
      </c>
      <c r="G58" s="78">
        <f>D58*F58</f>
        <v>781200</v>
      </c>
    </row>
    <row r="59" spans="1:7" ht="23.25" customHeight="1">
      <c r="A59" s="50"/>
      <c r="B59" s="208" t="s">
        <v>167</v>
      </c>
      <c r="C59" s="208"/>
      <c r="D59" s="67">
        <v>5</v>
      </c>
      <c r="E59" s="76" t="s">
        <v>76</v>
      </c>
      <c r="F59" s="77">
        <v>34175</v>
      </c>
      <c r="G59" s="78">
        <f t="shared" si="0"/>
        <v>170875</v>
      </c>
    </row>
    <row r="60" spans="1:7" ht="23.25" customHeight="1">
      <c r="A60" s="50"/>
      <c r="B60" s="208" t="s">
        <v>168</v>
      </c>
      <c r="C60" s="208"/>
      <c r="D60" s="67">
        <v>1</v>
      </c>
      <c r="E60" s="76" t="s">
        <v>76</v>
      </c>
      <c r="F60" s="77">
        <v>28875</v>
      </c>
      <c r="G60" s="78">
        <f t="shared" si="0"/>
        <v>28875</v>
      </c>
    </row>
    <row r="61" spans="1:7" ht="23.25" customHeight="1">
      <c r="A61" s="50"/>
      <c r="B61" s="208" t="s">
        <v>169</v>
      </c>
      <c r="C61" s="208"/>
      <c r="D61" s="67">
        <v>3</v>
      </c>
      <c r="E61" s="76" t="s">
        <v>76</v>
      </c>
      <c r="F61" s="77">
        <v>20175</v>
      </c>
      <c r="G61" s="78">
        <f t="shared" si="0"/>
        <v>60525</v>
      </c>
    </row>
    <row r="62" spans="1:7" ht="23.25" customHeight="1">
      <c r="A62" s="50"/>
      <c r="B62" s="208" t="s">
        <v>77</v>
      </c>
      <c r="C62" s="208"/>
      <c r="D62" s="67">
        <v>1</v>
      </c>
      <c r="E62" s="76" t="s">
        <v>55</v>
      </c>
      <c r="F62" s="77">
        <v>15000</v>
      </c>
      <c r="G62" s="78">
        <f t="shared" si="0"/>
        <v>15000</v>
      </c>
    </row>
    <row r="63" spans="1:7" ht="23.25" customHeight="1">
      <c r="A63" s="50"/>
      <c r="B63" s="214" t="s">
        <v>78</v>
      </c>
      <c r="C63" s="215"/>
      <c r="D63" s="67">
        <v>2</v>
      </c>
      <c r="E63" s="76" t="s">
        <v>55</v>
      </c>
      <c r="F63" s="77">
        <v>20900</v>
      </c>
      <c r="G63" s="78">
        <f t="shared" si="0"/>
        <v>41800</v>
      </c>
    </row>
    <row r="64" spans="1:7" ht="23.25" customHeight="1">
      <c r="A64" s="50"/>
      <c r="B64" s="208" t="s">
        <v>170</v>
      </c>
      <c r="C64" s="208"/>
      <c r="D64" s="67">
        <v>1</v>
      </c>
      <c r="E64" s="76" t="s">
        <v>55</v>
      </c>
      <c r="F64" s="77">
        <v>20800</v>
      </c>
      <c r="G64" s="78">
        <f t="shared" si="0"/>
        <v>20800</v>
      </c>
    </row>
    <row r="65" spans="1:79" ht="23.25" customHeight="1">
      <c r="A65" s="50"/>
      <c r="B65" s="208" t="s">
        <v>171</v>
      </c>
      <c r="C65" s="208"/>
      <c r="D65" s="67">
        <v>1</v>
      </c>
      <c r="E65" s="76" t="s">
        <v>55</v>
      </c>
      <c r="F65" s="77">
        <v>10500</v>
      </c>
      <c r="G65" s="78">
        <f t="shared" si="0"/>
        <v>10500</v>
      </c>
    </row>
    <row r="66" spans="1:79" ht="23.25" customHeight="1">
      <c r="A66" s="50"/>
      <c r="B66" s="208" t="s">
        <v>172</v>
      </c>
      <c r="C66" s="208"/>
      <c r="D66" s="67">
        <v>1</v>
      </c>
      <c r="E66" s="76" t="s">
        <v>55</v>
      </c>
      <c r="F66" s="77">
        <v>11000</v>
      </c>
      <c r="G66" s="78">
        <f t="shared" si="0"/>
        <v>11000</v>
      </c>
    </row>
    <row r="67" spans="1:79" ht="23.25" customHeight="1">
      <c r="A67" s="50"/>
      <c r="B67" s="208" t="s">
        <v>173</v>
      </c>
      <c r="C67" s="208"/>
      <c r="D67" s="67">
        <v>1</v>
      </c>
      <c r="E67" s="76" t="s">
        <v>60</v>
      </c>
      <c r="F67" s="77">
        <v>13650</v>
      </c>
      <c r="G67" s="78">
        <f t="shared" si="0"/>
        <v>13650</v>
      </c>
    </row>
    <row r="68" spans="1:79" ht="23.25" customHeight="1">
      <c r="A68" s="50"/>
      <c r="B68" s="208" t="s">
        <v>174</v>
      </c>
      <c r="C68" s="208"/>
      <c r="D68" s="67">
        <v>1</v>
      </c>
      <c r="E68" s="76" t="s">
        <v>55</v>
      </c>
      <c r="F68" s="77">
        <v>20325</v>
      </c>
      <c r="G68" s="78">
        <f t="shared" si="0"/>
        <v>20325</v>
      </c>
    </row>
    <row r="69" spans="1:79" ht="23.25" customHeight="1">
      <c r="A69" s="50"/>
      <c r="B69" s="208" t="s">
        <v>79</v>
      </c>
      <c r="C69" s="208"/>
      <c r="D69" s="67">
        <v>10</v>
      </c>
      <c r="E69" s="76" t="s">
        <v>76</v>
      </c>
      <c r="F69" s="77">
        <v>157725</v>
      </c>
      <c r="G69" s="78">
        <f t="shared" si="0"/>
        <v>1577250</v>
      </c>
    </row>
    <row r="70" spans="1:79" ht="23.25" customHeight="1">
      <c r="A70" s="50"/>
      <c r="B70" s="208" t="s">
        <v>175</v>
      </c>
      <c r="C70" s="208"/>
      <c r="D70" s="67">
        <v>1</v>
      </c>
      <c r="E70" s="76" t="s">
        <v>76</v>
      </c>
      <c r="F70" s="77">
        <v>164850</v>
      </c>
      <c r="G70" s="78">
        <f t="shared" si="0"/>
        <v>164850</v>
      </c>
    </row>
    <row r="71" spans="1:79" ht="23.25" customHeight="1">
      <c r="A71" s="50"/>
      <c r="B71" s="208" t="s">
        <v>80</v>
      </c>
      <c r="C71" s="208"/>
      <c r="D71" s="67">
        <v>1</v>
      </c>
      <c r="E71" s="76" t="s">
        <v>55</v>
      </c>
      <c r="F71" s="77">
        <v>27300</v>
      </c>
      <c r="G71" s="78">
        <f t="shared" si="0"/>
        <v>27300</v>
      </c>
    </row>
    <row r="72" spans="1:79" ht="23.25" customHeight="1">
      <c r="A72" s="50"/>
      <c r="B72" s="208" t="s">
        <v>81</v>
      </c>
      <c r="C72" s="208"/>
      <c r="D72" s="67">
        <v>1</v>
      </c>
      <c r="E72" s="76" t="s">
        <v>55</v>
      </c>
      <c r="F72" s="77">
        <v>25725</v>
      </c>
      <c r="G72" s="78">
        <f t="shared" si="0"/>
        <v>25725</v>
      </c>
    </row>
    <row r="73" spans="1:79" s="80" customFormat="1" ht="23.25" customHeight="1">
      <c r="A73" s="50"/>
      <c r="B73" s="251" t="s">
        <v>177</v>
      </c>
      <c r="C73" s="252"/>
      <c r="D73" s="252"/>
      <c r="E73" s="252"/>
      <c r="F73" s="252"/>
      <c r="G73" s="79">
        <f>SUM(G74:G77)</f>
        <v>2992500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</row>
    <row r="74" spans="1:79" ht="23.25" customHeight="1">
      <c r="A74" s="50"/>
      <c r="B74" s="208" t="s">
        <v>82</v>
      </c>
      <c r="C74" s="208"/>
      <c r="D74" s="67">
        <v>3</v>
      </c>
      <c r="E74" s="68" t="s">
        <v>55</v>
      </c>
      <c r="F74" s="69">
        <v>157500</v>
      </c>
      <c r="G74" s="78">
        <f>D74*F74</f>
        <v>472500</v>
      </c>
    </row>
    <row r="75" spans="1:79" ht="23.25" customHeight="1">
      <c r="A75" s="50"/>
      <c r="B75" s="208" t="s">
        <v>83</v>
      </c>
      <c r="C75" s="208"/>
      <c r="D75" s="67">
        <v>3</v>
      </c>
      <c r="E75" s="68" t="s">
        <v>55</v>
      </c>
      <c r="F75" s="69">
        <v>157500</v>
      </c>
      <c r="G75" s="78">
        <f>D75*F75</f>
        <v>472500</v>
      </c>
    </row>
    <row r="76" spans="1:79" ht="23.25" customHeight="1">
      <c r="A76" s="50"/>
      <c r="B76" s="208" t="s">
        <v>84</v>
      </c>
      <c r="C76" s="208"/>
      <c r="D76" s="67">
        <v>10</v>
      </c>
      <c r="E76" s="68" t="s">
        <v>55</v>
      </c>
      <c r="F76" s="69">
        <v>157500</v>
      </c>
      <c r="G76" s="78">
        <f>D76*F76</f>
        <v>1575000</v>
      </c>
    </row>
    <row r="77" spans="1:79" ht="23.25" customHeight="1">
      <c r="A77" s="50"/>
      <c r="B77" s="208" t="s">
        <v>85</v>
      </c>
      <c r="C77" s="208"/>
      <c r="D77" s="67">
        <v>3</v>
      </c>
      <c r="E77" s="68" t="s">
        <v>55</v>
      </c>
      <c r="F77" s="69">
        <v>157500</v>
      </c>
      <c r="G77" s="78">
        <f>D77*F77</f>
        <v>472500</v>
      </c>
    </row>
    <row r="78" spans="1:79" s="80" customFormat="1" ht="23.25" customHeight="1">
      <c r="A78" s="50"/>
      <c r="B78" s="232" t="s">
        <v>179</v>
      </c>
      <c r="C78" s="233"/>
      <c r="D78" s="233"/>
      <c r="E78" s="233"/>
      <c r="F78" s="241"/>
      <c r="G78" s="81">
        <f>SUM(G79:G80)</f>
        <v>4299750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</row>
    <row r="79" spans="1:79" ht="23.25" customHeight="1">
      <c r="A79" s="50"/>
      <c r="B79" s="208" t="s">
        <v>180</v>
      </c>
      <c r="C79" s="208"/>
      <c r="D79" s="67">
        <v>30</v>
      </c>
      <c r="E79" s="68" t="s">
        <v>58</v>
      </c>
      <c r="F79" s="69">
        <v>96600</v>
      </c>
      <c r="G79" s="78">
        <f>D79*F79</f>
        <v>2898000</v>
      </c>
    </row>
    <row r="80" spans="1:79" ht="23.25" customHeight="1">
      <c r="A80" s="50"/>
      <c r="B80" s="208" t="s">
        <v>181</v>
      </c>
      <c r="C80" s="208"/>
      <c r="D80" s="67">
        <v>15</v>
      </c>
      <c r="E80" s="68" t="s">
        <v>58</v>
      </c>
      <c r="F80" s="69">
        <v>93450</v>
      </c>
      <c r="G80" s="78">
        <f>D80*F80</f>
        <v>1401750</v>
      </c>
    </row>
    <row r="81" spans="1:79" s="80" customFormat="1" ht="23.25" customHeight="1">
      <c r="A81" s="50"/>
      <c r="B81" s="232" t="s">
        <v>183</v>
      </c>
      <c r="C81" s="233"/>
      <c r="D81" s="233"/>
      <c r="E81" s="233"/>
      <c r="F81" s="241"/>
      <c r="G81" s="82">
        <f>SUM(G82:G84)</f>
        <v>10839000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</row>
    <row r="82" spans="1:79" ht="23.25" customHeight="1">
      <c r="A82" s="50"/>
      <c r="B82" s="208" t="s">
        <v>69</v>
      </c>
      <c r="C82" s="208"/>
      <c r="D82" s="67">
        <v>18000</v>
      </c>
      <c r="E82" s="68" t="s">
        <v>62</v>
      </c>
      <c r="F82" s="69">
        <v>350</v>
      </c>
      <c r="G82" s="78">
        <f>D82*F82</f>
        <v>6300000</v>
      </c>
    </row>
    <row r="83" spans="1:79" ht="23.25" customHeight="1">
      <c r="A83" s="50"/>
      <c r="B83" s="208" t="s">
        <v>70</v>
      </c>
      <c r="C83" s="208"/>
      <c r="D83" s="67">
        <v>10500</v>
      </c>
      <c r="E83" s="68" t="s">
        <v>62</v>
      </c>
      <c r="F83" s="69">
        <v>350</v>
      </c>
      <c r="G83" s="78">
        <f>D83*F83</f>
        <v>3675000</v>
      </c>
    </row>
    <row r="84" spans="1:79" ht="32.25" customHeight="1">
      <c r="A84" s="50"/>
      <c r="B84" s="208" t="s">
        <v>71</v>
      </c>
      <c r="C84" s="208"/>
      <c r="D84" s="67">
        <v>12</v>
      </c>
      <c r="E84" s="68" t="s">
        <v>57</v>
      </c>
      <c r="F84" s="69">
        <v>72000</v>
      </c>
      <c r="G84" s="78">
        <f>D84*F84</f>
        <v>864000</v>
      </c>
    </row>
    <row r="85" spans="1:79" s="80" customFormat="1" ht="23.25" customHeight="1">
      <c r="A85" s="50"/>
      <c r="B85" s="232" t="s">
        <v>185</v>
      </c>
      <c r="C85" s="233"/>
      <c r="D85" s="72"/>
      <c r="E85" s="83"/>
      <c r="F85" s="84"/>
      <c r="G85" s="82">
        <f>SUM(G86:G87)</f>
        <v>7425000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</row>
    <row r="86" spans="1:79" ht="36" customHeight="1">
      <c r="A86" s="50"/>
      <c r="B86" s="218" t="s">
        <v>72</v>
      </c>
      <c r="C86" s="219"/>
      <c r="D86" s="67">
        <v>150</v>
      </c>
      <c r="E86" s="68" t="s">
        <v>73</v>
      </c>
      <c r="F86" s="69">
        <v>33000</v>
      </c>
      <c r="G86" s="78">
        <f>D86*F86</f>
        <v>4950000</v>
      </c>
    </row>
    <row r="87" spans="1:79" ht="35.25" customHeight="1">
      <c r="A87" s="50"/>
      <c r="B87" s="218" t="s">
        <v>74</v>
      </c>
      <c r="C87" s="219"/>
      <c r="D87" s="67">
        <v>150</v>
      </c>
      <c r="E87" s="68" t="s">
        <v>73</v>
      </c>
      <c r="F87" s="69">
        <v>16500</v>
      </c>
      <c r="G87" s="78">
        <f>D87*F87</f>
        <v>2475000</v>
      </c>
    </row>
    <row r="88" spans="1:79" s="80" customFormat="1" ht="35.1" customHeight="1">
      <c r="A88" s="50"/>
      <c r="B88" s="220" t="s">
        <v>211</v>
      </c>
      <c r="C88" s="221"/>
      <c r="D88" s="221"/>
      <c r="E88" s="221"/>
      <c r="F88" s="222"/>
      <c r="G88" s="81">
        <f>SUM(G89)</f>
        <v>29200000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</row>
    <row r="89" spans="1:79" ht="35.1" customHeight="1">
      <c r="A89" s="50"/>
      <c r="B89" s="212" t="s">
        <v>348</v>
      </c>
      <c r="C89" s="213"/>
      <c r="D89" s="52"/>
      <c r="E89" s="49"/>
      <c r="F89" s="78"/>
      <c r="G89" s="100">
        <f>SUM(G90:G91)</f>
        <v>29200000</v>
      </c>
    </row>
    <row r="90" spans="1:79" ht="35.1" customHeight="1">
      <c r="A90" s="50"/>
      <c r="B90" s="208" t="s">
        <v>213</v>
      </c>
      <c r="C90" s="208"/>
      <c r="D90" s="67">
        <v>150</v>
      </c>
      <c r="E90" s="68" t="s">
        <v>61</v>
      </c>
      <c r="F90" s="69">
        <v>170000</v>
      </c>
      <c r="G90" s="78">
        <f t="shared" ref="G90:G91" si="1">D90*F90</f>
        <v>25500000</v>
      </c>
    </row>
    <row r="91" spans="1:79" ht="35.1" customHeight="1">
      <c r="A91" s="50"/>
      <c r="B91" s="208" t="s">
        <v>226</v>
      </c>
      <c r="C91" s="208"/>
      <c r="D91" s="52">
        <v>20</v>
      </c>
      <c r="E91" s="68" t="s">
        <v>73</v>
      </c>
      <c r="F91" s="78">
        <v>185000</v>
      </c>
      <c r="G91" s="78">
        <f t="shared" si="1"/>
        <v>3700000</v>
      </c>
    </row>
    <row r="92" spans="1:79" ht="35.1" customHeight="1">
      <c r="A92" s="50"/>
      <c r="B92" s="208" t="s">
        <v>237</v>
      </c>
      <c r="C92" s="208"/>
      <c r="D92" s="52">
        <v>20</v>
      </c>
      <c r="E92" s="68" t="s">
        <v>73</v>
      </c>
      <c r="F92" s="78">
        <v>220000</v>
      </c>
      <c r="G92" s="78">
        <f t="shared" ref="G92:G93" si="2">D92*F92</f>
        <v>4400000</v>
      </c>
    </row>
    <row r="93" spans="1:79" ht="35.1" customHeight="1">
      <c r="A93" s="50"/>
      <c r="B93" s="208" t="s">
        <v>227</v>
      </c>
      <c r="C93" s="208"/>
      <c r="D93" s="67">
        <v>20</v>
      </c>
      <c r="E93" s="68" t="s">
        <v>73</v>
      </c>
      <c r="F93" s="78">
        <v>140000</v>
      </c>
      <c r="G93" s="78">
        <f t="shared" si="2"/>
        <v>2800000</v>
      </c>
    </row>
    <row r="94" spans="1:79" s="163" customFormat="1" ht="33.75" customHeight="1">
      <c r="A94" s="162"/>
      <c r="B94" s="236" t="s">
        <v>127</v>
      </c>
      <c r="C94" s="236"/>
      <c r="D94" s="236"/>
      <c r="E94" s="236"/>
      <c r="F94" s="236"/>
      <c r="G94" s="153">
        <f>SUM(G95:G97)</f>
        <v>42000000</v>
      </c>
      <c r="H94" s="206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  <c r="AQ94" s="207"/>
      <c r="AR94" s="207"/>
      <c r="AS94" s="207"/>
      <c r="AT94" s="207"/>
      <c r="AU94" s="207"/>
      <c r="AV94" s="207"/>
      <c r="AW94" s="207"/>
      <c r="AX94" s="207"/>
      <c r="AY94" s="207"/>
    </row>
    <row r="95" spans="1:79" s="163" customFormat="1" ht="63" customHeight="1">
      <c r="A95" s="162"/>
      <c r="B95" s="237" t="s">
        <v>333</v>
      </c>
      <c r="C95" s="231"/>
      <c r="D95" s="67" t="s">
        <v>345</v>
      </c>
      <c r="E95" s="164" t="s">
        <v>334</v>
      </c>
      <c r="F95" s="165">
        <v>700000</v>
      </c>
      <c r="G95" s="157">
        <f>1*6*F95</f>
        <v>4200000</v>
      </c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</row>
    <row r="96" spans="1:79" s="163" customFormat="1" ht="64.5" customHeight="1">
      <c r="A96" s="162"/>
      <c r="B96" s="231" t="s">
        <v>335</v>
      </c>
      <c r="C96" s="231"/>
      <c r="D96" s="67" t="s">
        <v>346</v>
      </c>
      <c r="E96" s="164" t="s">
        <v>334</v>
      </c>
      <c r="F96" s="165">
        <v>650000</v>
      </c>
      <c r="G96" s="157">
        <f>2*6*F96</f>
        <v>7800000</v>
      </c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  <c r="AQ96" s="207"/>
      <c r="AR96" s="207"/>
      <c r="AS96" s="207"/>
      <c r="AT96" s="207"/>
      <c r="AU96" s="207"/>
      <c r="AV96" s="207"/>
      <c r="AW96" s="207"/>
      <c r="AX96" s="207"/>
      <c r="AY96" s="207"/>
    </row>
    <row r="97" spans="1:79" s="163" customFormat="1" ht="64.5" customHeight="1">
      <c r="A97" s="162"/>
      <c r="B97" s="231" t="s">
        <v>336</v>
      </c>
      <c r="C97" s="231"/>
      <c r="D97" s="67" t="s">
        <v>347</v>
      </c>
      <c r="E97" s="164" t="s">
        <v>334</v>
      </c>
      <c r="F97" s="165">
        <v>500000</v>
      </c>
      <c r="G97" s="157">
        <f>10*6*F97</f>
        <v>30000000</v>
      </c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/>
      <c r="AS97" s="207"/>
      <c r="AT97" s="207"/>
      <c r="AU97" s="207"/>
      <c r="AV97" s="207"/>
      <c r="AW97" s="207"/>
      <c r="AX97" s="207"/>
      <c r="AY97" s="207"/>
    </row>
    <row r="98" spans="1:79" s="64" customFormat="1" ht="35.1" customHeight="1">
      <c r="A98" s="178" t="s">
        <v>253</v>
      </c>
      <c r="B98" s="226" t="s">
        <v>254</v>
      </c>
      <c r="C98" s="227"/>
      <c r="D98" s="227"/>
      <c r="E98" s="227"/>
      <c r="F98" s="228"/>
      <c r="G98" s="179">
        <f>SUM(G99:G103)</f>
        <v>12900000</v>
      </c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  <c r="AH98" s="118"/>
      <c r="AI98" s="118"/>
      <c r="AJ98" s="118"/>
      <c r="AK98" s="118"/>
      <c r="AL98" s="118"/>
      <c r="AM98" s="118"/>
      <c r="AN98" s="118"/>
      <c r="AO98" s="118"/>
      <c r="AP98" s="118"/>
      <c r="AQ98" s="118"/>
      <c r="AR98" s="118"/>
      <c r="AS98" s="118"/>
      <c r="AT98" s="118"/>
      <c r="AU98" s="118"/>
      <c r="AV98" s="118"/>
      <c r="AW98" s="118"/>
      <c r="AX98" s="118"/>
      <c r="AY98" s="118"/>
      <c r="AZ98" s="118"/>
      <c r="BA98" s="118"/>
      <c r="BB98" s="118"/>
      <c r="BC98" s="118"/>
      <c r="BD98" s="118"/>
      <c r="BE98" s="118"/>
      <c r="BF98" s="118"/>
      <c r="BG98" s="118"/>
      <c r="BH98" s="118"/>
      <c r="BI98" s="118"/>
      <c r="BJ98" s="118"/>
      <c r="BK98" s="118"/>
      <c r="BL98" s="118"/>
      <c r="BM98" s="118"/>
      <c r="BN98" s="118"/>
      <c r="BO98" s="118"/>
      <c r="BP98" s="118"/>
      <c r="BQ98" s="118"/>
      <c r="BR98" s="118"/>
      <c r="BS98" s="118"/>
      <c r="BT98" s="118"/>
      <c r="BU98" s="118"/>
      <c r="BV98" s="118"/>
      <c r="BW98" s="118"/>
      <c r="BX98" s="118"/>
      <c r="BY98" s="118"/>
      <c r="BZ98" s="118"/>
      <c r="CA98" s="118"/>
    </row>
    <row r="99" spans="1:79" ht="35.1" customHeight="1">
      <c r="A99" s="50"/>
      <c r="B99" s="214" t="s">
        <v>66</v>
      </c>
      <c r="C99" s="216"/>
      <c r="D99" s="52">
        <v>10</v>
      </c>
      <c r="E99" s="68" t="s">
        <v>123</v>
      </c>
      <c r="F99" s="78">
        <v>430000</v>
      </c>
      <c r="G99" s="78">
        <f t="shared" ref="G99:G103" si="3">D99*F99</f>
        <v>4300000</v>
      </c>
    </row>
    <row r="100" spans="1:79" ht="35.1" customHeight="1">
      <c r="A100" s="50"/>
      <c r="B100" s="214" t="s">
        <v>255</v>
      </c>
      <c r="C100" s="215"/>
      <c r="D100" s="52">
        <v>5</v>
      </c>
      <c r="E100" s="68" t="s">
        <v>73</v>
      </c>
      <c r="F100" s="78">
        <v>185000</v>
      </c>
      <c r="G100" s="78">
        <f t="shared" si="3"/>
        <v>925000</v>
      </c>
    </row>
    <row r="101" spans="1:79" ht="35.1" customHeight="1">
      <c r="A101" s="50"/>
      <c r="B101" s="214" t="s">
        <v>256</v>
      </c>
      <c r="C101" s="215"/>
      <c r="D101" s="52">
        <v>5</v>
      </c>
      <c r="E101" s="68" t="s">
        <v>73</v>
      </c>
      <c r="F101" s="78">
        <v>175000</v>
      </c>
      <c r="G101" s="78">
        <f t="shared" si="3"/>
        <v>875000</v>
      </c>
    </row>
    <row r="102" spans="1:79" ht="35.1" customHeight="1">
      <c r="A102" s="50"/>
      <c r="B102" s="214" t="s">
        <v>257</v>
      </c>
      <c r="C102" s="216"/>
      <c r="D102" s="52">
        <v>10</v>
      </c>
      <c r="E102" s="68" t="s">
        <v>123</v>
      </c>
      <c r="F102" s="78">
        <v>530000</v>
      </c>
      <c r="G102" s="78">
        <f t="shared" si="3"/>
        <v>5300000</v>
      </c>
    </row>
    <row r="103" spans="1:79" ht="35.1" customHeight="1">
      <c r="A103" s="50"/>
      <c r="B103" s="214" t="s">
        <v>258</v>
      </c>
      <c r="C103" s="215"/>
      <c r="D103" s="52">
        <v>5</v>
      </c>
      <c r="E103" s="68" t="s">
        <v>73</v>
      </c>
      <c r="F103" s="78">
        <v>300000</v>
      </c>
      <c r="G103" s="78">
        <f t="shared" si="3"/>
        <v>1500000</v>
      </c>
    </row>
    <row r="104" spans="1:79" ht="24.75" customHeight="1">
      <c r="A104" s="107"/>
      <c r="B104" s="108"/>
      <c r="C104" s="108"/>
      <c r="E104" s="107"/>
      <c r="F104" s="55"/>
      <c r="G104" s="55"/>
    </row>
    <row r="105" spans="1:79" ht="33.75" customHeight="1">
      <c r="A105" s="107"/>
      <c r="B105" s="108"/>
      <c r="C105" s="108"/>
      <c r="E105" s="107"/>
      <c r="F105" s="230"/>
      <c r="G105" s="230"/>
    </row>
    <row r="106" spans="1:79" ht="33.75" customHeight="1">
      <c r="F106" s="224"/>
      <c r="G106" s="224"/>
    </row>
    <row r="107" spans="1:79" ht="33.75" customHeight="1"/>
    <row r="111" spans="1:79" ht="15.75">
      <c r="F111" s="223"/>
      <c r="G111" s="223"/>
    </row>
    <row r="112" spans="1:79" ht="15.75">
      <c r="F112" s="224"/>
      <c r="G112" s="224"/>
    </row>
    <row r="114" spans="1:7">
      <c r="A114" s="111"/>
      <c r="B114" s="111"/>
      <c r="C114" s="111"/>
      <c r="D114" s="112"/>
      <c r="E114" s="113"/>
      <c r="F114" s="111"/>
      <c r="G114" s="111"/>
    </row>
    <row r="115" spans="1:7">
      <c r="A115" s="114"/>
      <c r="B115" s="114"/>
      <c r="C115" s="114"/>
      <c r="D115" s="115"/>
      <c r="E115" s="116"/>
      <c r="F115" s="114"/>
      <c r="G115" s="114"/>
    </row>
    <row r="116" spans="1:7">
      <c r="A116" s="114"/>
      <c r="B116" s="114"/>
      <c r="C116" s="114"/>
      <c r="D116" s="115"/>
      <c r="E116" s="116"/>
      <c r="F116" s="114"/>
      <c r="G116" s="114"/>
    </row>
    <row r="117" spans="1:7">
      <c r="A117" s="114"/>
      <c r="B117" s="114"/>
      <c r="C117" s="114"/>
      <c r="D117" s="115"/>
      <c r="E117" s="116"/>
      <c r="F117" s="114"/>
      <c r="G117" s="114"/>
    </row>
    <row r="118" spans="1:7">
      <c r="A118" s="114"/>
      <c r="B118" s="114"/>
      <c r="C118" s="114"/>
      <c r="D118" s="115"/>
      <c r="E118" s="116"/>
      <c r="F118" s="114"/>
      <c r="G118" s="114"/>
    </row>
    <row r="119" spans="1:7">
      <c r="A119" s="114"/>
      <c r="B119" s="114"/>
      <c r="C119" s="114"/>
      <c r="D119" s="115"/>
      <c r="E119" s="116"/>
      <c r="F119" s="114"/>
      <c r="G119" s="114"/>
    </row>
    <row r="120" spans="1:7">
      <c r="A120" s="114"/>
      <c r="B120" s="114"/>
      <c r="C120" s="114"/>
      <c r="D120" s="115"/>
      <c r="E120" s="116"/>
      <c r="F120" s="114"/>
      <c r="G120" s="114"/>
    </row>
    <row r="121" spans="1:7">
      <c r="A121" s="114"/>
      <c r="B121" s="114"/>
      <c r="C121" s="114"/>
      <c r="D121" s="115"/>
      <c r="E121" s="116"/>
      <c r="F121" s="114"/>
      <c r="G121" s="114"/>
    </row>
    <row r="122" spans="1:7">
      <c r="A122" s="114"/>
      <c r="B122" s="114"/>
      <c r="C122" s="114"/>
      <c r="D122" s="115"/>
      <c r="E122" s="116"/>
      <c r="F122" s="114"/>
      <c r="G122" s="114"/>
    </row>
    <row r="123" spans="1:7">
      <c r="A123" s="114"/>
      <c r="B123" s="114"/>
      <c r="C123" s="114"/>
      <c r="D123" s="115"/>
      <c r="E123" s="116"/>
      <c r="F123" s="114"/>
      <c r="G123" s="114"/>
    </row>
    <row r="124" spans="1:7">
      <c r="A124" s="114"/>
      <c r="B124" s="114"/>
      <c r="C124" s="114"/>
      <c r="D124" s="115"/>
      <c r="E124" s="116"/>
      <c r="F124" s="114"/>
      <c r="G124" s="114"/>
    </row>
    <row r="125" spans="1:7">
      <c r="A125" s="114"/>
      <c r="B125" s="114"/>
      <c r="C125" s="114"/>
      <c r="D125" s="115"/>
      <c r="E125" s="116"/>
      <c r="F125" s="114"/>
      <c r="G125" s="114"/>
    </row>
    <row r="126" spans="1:7">
      <c r="A126" s="114"/>
      <c r="B126" s="114"/>
      <c r="C126" s="114"/>
      <c r="D126" s="115"/>
      <c r="E126" s="116"/>
      <c r="F126" s="114"/>
      <c r="G126" s="114"/>
    </row>
    <row r="127" spans="1:7">
      <c r="A127" s="114"/>
      <c r="B127" s="114"/>
      <c r="C127" s="114"/>
      <c r="D127" s="115"/>
      <c r="E127" s="116"/>
      <c r="F127" s="114"/>
      <c r="G127" s="114"/>
    </row>
    <row r="128" spans="1:7">
      <c r="A128" s="114"/>
      <c r="B128" s="114"/>
      <c r="C128" s="114"/>
      <c r="D128" s="115"/>
      <c r="E128" s="116"/>
      <c r="F128" s="114"/>
      <c r="G128" s="114"/>
    </row>
    <row r="129" spans="1:7">
      <c r="A129" s="114"/>
      <c r="B129" s="114"/>
      <c r="C129" s="114"/>
      <c r="D129" s="115"/>
      <c r="E129" s="116"/>
      <c r="F129" s="114"/>
      <c r="G129" s="114"/>
    </row>
    <row r="130" spans="1:7">
      <c r="A130" s="114"/>
      <c r="B130" s="114"/>
      <c r="C130" s="114"/>
      <c r="D130" s="115"/>
      <c r="E130" s="116"/>
      <c r="F130" s="114"/>
      <c r="G130" s="114"/>
    </row>
    <row r="131" spans="1:7">
      <c r="A131" s="114"/>
      <c r="B131" s="114"/>
      <c r="C131" s="114"/>
      <c r="D131" s="115"/>
      <c r="E131" s="116"/>
      <c r="F131" s="114"/>
      <c r="G131" s="114"/>
    </row>
    <row r="132" spans="1:7">
      <c r="A132" s="114"/>
      <c r="B132" s="114"/>
      <c r="C132" s="114"/>
      <c r="D132" s="115"/>
      <c r="E132" s="116"/>
      <c r="F132" s="114"/>
      <c r="G132" s="114"/>
    </row>
    <row r="133" spans="1:7">
      <c r="A133" s="114"/>
      <c r="B133" s="114"/>
      <c r="C133" s="114"/>
      <c r="D133" s="115"/>
      <c r="E133" s="116"/>
      <c r="F133" s="114"/>
      <c r="G133" s="114"/>
    </row>
    <row r="134" spans="1:7">
      <c r="A134" s="114"/>
      <c r="B134" s="114"/>
      <c r="C134" s="114"/>
      <c r="D134" s="115"/>
      <c r="E134" s="116"/>
      <c r="F134" s="114"/>
      <c r="G134" s="114"/>
    </row>
    <row r="135" spans="1:7">
      <c r="A135" s="114"/>
      <c r="B135" s="114"/>
      <c r="C135" s="114"/>
      <c r="D135" s="115"/>
      <c r="E135" s="116"/>
      <c r="F135" s="114"/>
      <c r="G135" s="114"/>
    </row>
    <row r="136" spans="1:7">
      <c r="A136" s="114"/>
      <c r="B136" s="114"/>
      <c r="C136" s="114"/>
      <c r="D136" s="115"/>
      <c r="E136" s="116"/>
      <c r="F136" s="114"/>
      <c r="G136" s="114"/>
    </row>
    <row r="137" spans="1:7">
      <c r="A137" s="114"/>
      <c r="B137" s="114"/>
      <c r="C137" s="114"/>
      <c r="D137" s="115"/>
      <c r="E137" s="116"/>
      <c r="F137" s="114"/>
      <c r="G137" s="114"/>
    </row>
    <row r="138" spans="1:7">
      <c r="A138" s="114"/>
      <c r="B138" s="114"/>
      <c r="C138" s="114"/>
      <c r="D138" s="115"/>
      <c r="E138" s="116"/>
      <c r="F138" s="114"/>
      <c r="G138" s="114"/>
    </row>
    <row r="139" spans="1:7">
      <c r="A139" s="114"/>
      <c r="B139" s="114"/>
      <c r="C139" s="114"/>
      <c r="D139" s="115"/>
      <c r="E139" s="116"/>
      <c r="F139" s="114"/>
      <c r="G139" s="114"/>
    </row>
    <row r="140" spans="1:7">
      <c r="A140" s="114"/>
      <c r="B140" s="114"/>
      <c r="C140" s="114"/>
      <c r="D140" s="115"/>
      <c r="E140" s="116"/>
      <c r="F140" s="114"/>
      <c r="G140" s="114"/>
    </row>
    <row r="141" spans="1:7">
      <c r="A141" s="114"/>
      <c r="B141" s="114"/>
      <c r="C141" s="114"/>
      <c r="D141" s="115"/>
      <c r="E141" s="116"/>
      <c r="F141" s="114"/>
      <c r="G141" s="114"/>
    </row>
    <row r="142" spans="1:7">
      <c r="A142" s="114"/>
      <c r="B142" s="114"/>
      <c r="C142" s="114"/>
      <c r="D142" s="115"/>
      <c r="E142" s="116"/>
      <c r="F142" s="114"/>
      <c r="G142" s="114"/>
    </row>
    <row r="143" spans="1:7">
      <c r="A143" s="114"/>
      <c r="B143" s="114"/>
      <c r="C143" s="114"/>
      <c r="D143" s="115"/>
      <c r="E143" s="116"/>
      <c r="F143" s="114"/>
      <c r="G143" s="114"/>
    </row>
    <row r="144" spans="1:7">
      <c r="A144" s="114"/>
      <c r="B144" s="114"/>
      <c r="C144" s="114"/>
      <c r="D144" s="115"/>
      <c r="E144" s="116"/>
      <c r="F144" s="114"/>
      <c r="G144" s="114"/>
    </row>
    <row r="145" spans="1:7">
      <c r="A145" s="114"/>
      <c r="B145" s="114"/>
      <c r="C145" s="114"/>
      <c r="D145" s="115"/>
      <c r="E145" s="116"/>
      <c r="F145" s="114"/>
      <c r="G145" s="114"/>
    </row>
    <row r="146" spans="1:7">
      <c r="A146" s="114"/>
      <c r="B146" s="114"/>
      <c r="C146" s="114"/>
      <c r="D146" s="115"/>
      <c r="E146" s="116"/>
      <c r="F146" s="114"/>
      <c r="G146" s="114"/>
    </row>
    <row r="147" spans="1:7">
      <c r="A147" s="114"/>
      <c r="B147" s="114"/>
      <c r="C147" s="114"/>
      <c r="D147" s="115"/>
      <c r="E147" s="116"/>
      <c r="F147" s="114"/>
      <c r="G147" s="114"/>
    </row>
    <row r="148" spans="1:7">
      <c r="A148" s="114"/>
      <c r="B148" s="114"/>
      <c r="C148" s="114"/>
      <c r="D148" s="115"/>
      <c r="E148" s="116"/>
      <c r="F148" s="114"/>
      <c r="G148" s="114"/>
    </row>
    <row r="149" spans="1:7">
      <c r="A149" s="114"/>
      <c r="B149" s="114"/>
      <c r="C149" s="114"/>
      <c r="D149" s="115"/>
      <c r="E149" s="116"/>
      <c r="F149" s="114"/>
      <c r="G149" s="114"/>
    </row>
    <row r="150" spans="1:7">
      <c r="A150" s="114"/>
      <c r="B150" s="114"/>
      <c r="C150" s="114"/>
      <c r="D150" s="115"/>
      <c r="E150" s="116"/>
      <c r="F150" s="114"/>
      <c r="G150" s="114"/>
    </row>
    <row r="151" spans="1:7">
      <c r="A151" s="114"/>
      <c r="B151" s="114"/>
      <c r="C151" s="114"/>
      <c r="D151" s="115"/>
      <c r="E151" s="116"/>
      <c r="F151" s="114"/>
      <c r="G151" s="114"/>
    </row>
    <row r="152" spans="1:7">
      <c r="A152" s="114"/>
      <c r="B152" s="114"/>
      <c r="C152" s="114"/>
      <c r="D152" s="115"/>
      <c r="E152" s="116"/>
      <c r="F152" s="114"/>
      <c r="G152" s="114"/>
    </row>
    <row r="153" spans="1:7">
      <c r="A153" s="114"/>
      <c r="B153" s="114"/>
      <c r="C153" s="114"/>
      <c r="D153" s="115"/>
      <c r="E153" s="116"/>
      <c r="F153" s="114"/>
      <c r="G153" s="114"/>
    </row>
    <row r="154" spans="1:7">
      <c r="A154" s="114"/>
      <c r="B154" s="114"/>
      <c r="C154" s="114"/>
      <c r="D154" s="115"/>
      <c r="E154" s="116"/>
      <c r="F154" s="114"/>
      <c r="G154" s="114"/>
    </row>
    <row r="155" spans="1:7">
      <c r="A155" s="114"/>
      <c r="B155" s="114"/>
      <c r="C155" s="114"/>
      <c r="D155" s="115"/>
      <c r="E155" s="116"/>
      <c r="F155" s="114"/>
      <c r="G155" s="114"/>
    </row>
    <row r="156" spans="1:7">
      <c r="A156" s="114"/>
      <c r="B156" s="114"/>
      <c r="C156" s="114"/>
      <c r="D156" s="115"/>
      <c r="E156" s="116"/>
      <c r="F156" s="114"/>
      <c r="G156" s="114"/>
    </row>
    <row r="157" spans="1:7">
      <c r="A157" s="114"/>
      <c r="B157" s="114"/>
      <c r="C157" s="114"/>
      <c r="D157" s="115"/>
      <c r="E157" s="116"/>
      <c r="F157" s="114"/>
      <c r="G157" s="114"/>
    </row>
    <row r="158" spans="1:7">
      <c r="A158" s="114"/>
      <c r="B158" s="114"/>
      <c r="C158" s="114"/>
      <c r="D158" s="115"/>
      <c r="E158" s="116"/>
      <c r="F158" s="114"/>
      <c r="G158" s="114"/>
    </row>
    <row r="159" spans="1:7">
      <c r="A159" s="114"/>
      <c r="B159" s="114"/>
      <c r="C159" s="114"/>
      <c r="D159" s="115"/>
      <c r="E159" s="116"/>
      <c r="F159" s="114"/>
      <c r="G159" s="114"/>
    </row>
    <row r="160" spans="1:7">
      <c r="A160" s="114"/>
      <c r="B160" s="114"/>
      <c r="C160" s="114"/>
      <c r="D160" s="115"/>
      <c r="E160" s="116"/>
      <c r="F160" s="114"/>
      <c r="G160" s="114"/>
    </row>
    <row r="161" spans="1:7">
      <c r="A161" s="114"/>
      <c r="B161" s="114"/>
      <c r="C161" s="114"/>
      <c r="D161" s="115"/>
      <c r="E161" s="116"/>
      <c r="F161" s="114"/>
      <c r="G161" s="114"/>
    </row>
    <row r="162" spans="1:7">
      <c r="A162" s="114"/>
      <c r="B162" s="114"/>
      <c r="C162" s="114"/>
      <c r="D162" s="115"/>
      <c r="E162" s="116"/>
      <c r="F162" s="114"/>
      <c r="G162" s="114"/>
    </row>
    <row r="163" spans="1:7">
      <c r="A163" s="114"/>
      <c r="B163" s="114"/>
      <c r="C163" s="114"/>
      <c r="D163" s="115"/>
      <c r="E163" s="116"/>
      <c r="F163" s="114"/>
      <c r="G163" s="114"/>
    </row>
    <row r="164" spans="1:7">
      <c r="A164" s="114"/>
      <c r="B164" s="114"/>
      <c r="C164" s="114"/>
      <c r="D164" s="115"/>
      <c r="E164" s="116"/>
      <c r="F164" s="114"/>
      <c r="G164" s="114"/>
    </row>
    <row r="165" spans="1:7">
      <c r="A165" s="114"/>
      <c r="B165" s="114"/>
      <c r="C165" s="114"/>
      <c r="D165" s="115"/>
      <c r="E165" s="116"/>
      <c r="F165" s="114"/>
      <c r="G165" s="114"/>
    </row>
    <row r="166" spans="1:7">
      <c r="A166" s="114"/>
      <c r="B166" s="114"/>
      <c r="C166" s="114"/>
      <c r="D166" s="115"/>
      <c r="E166" s="116"/>
      <c r="F166" s="114"/>
      <c r="G166" s="114"/>
    </row>
    <row r="167" spans="1:7">
      <c r="A167" s="114"/>
      <c r="B167" s="114"/>
      <c r="C167" s="114"/>
      <c r="D167" s="115"/>
      <c r="E167" s="116"/>
      <c r="F167" s="114"/>
      <c r="G167" s="114"/>
    </row>
    <row r="168" spans="1:7">
      <c r="A168" s="114"/>
      <c r="B168" s="114"/>
      <c r="C168" s="114"/>
      <c r="D168" s="115"/>
      <c r="E168" s="116"/>
      <c r="F168" s="114"/>
      <c r="G168" s="114"/>
    </row>
    <row r="169" spans="1:7">
      <c r="A169" s="114"/>
      <c r="B169" s="114"/>
      <c r="C169" s="114"/>
      <c r="D169" s="115"/>
      <c r="E169" s="116"/>
      <c r="F169" s="114"/>
      <c r="G169" s="114"/>
    </row>
    <row r="170" spans="1:7">
      <c r="A170" s="114"/>
      <c r="B170" s="114"/>
      <c r="C170" s="114"/>
      <c r="D170" s="115"/>
      <c r="E170" s="116"/>
      <c r="F170" s="114"/>
      <c r="G170" s="114"/>
    </row>
    <row r="171" spans="1:7">
      <c r="A171" s="114"/>
      <c r="B171" s="114"/>
      <c r="C171" s="114"/>
      <c r="D171" s="115"/>
      <c r="E171" s="116"/>
      <c r="F171" s="114"/>
      <c r="G171" s="114"/>
    </row>
    <row r="172" spans="1:7">
      <c r="A172" s="114"/>
      <c r="B172" s="114"/>
      <c r="C172" s="114"/>
      <c r="D172" s="115"/>
      <c r="E172" s="116"/>
      <c r="F172" s="114"/>
      <c r="G172" s="114"/>
    </row>
    <row r="173" spans="1:7">
      <c r="A173" s="114"/>
      <c r="B173" s="114"/>
      <c r="C173" s="114"/>
      <c r="D173" s="115"/>
      <c r="E173" s="116"/>
      <c r="F173" s="114"/>
      <c r="G173" s="114"/>
    </row>
    <row r="174" spans="1:7">
      <c r="A174" s="114"/>
      <c r="B174" s="114"/>
      <c r="C174" s="114"/>
      <c r="D174" s="115"/>
      <c r="E174" s="116"/>
      <c r="F174" s="114"/>
      <c r="G174" s="114"/>
    </row>
    <row r="175" spans="1:7">
      <c r="A175" s="114"/>
      <c r="B175" s="114"/>
      <c r="C175" s="114"/>
      <c r="D175" s="115"/>
      <c r="E175" s="116"/>
      <c r="F175" s="114"/>
      <c r="G175" s="114"/>
    </row>
    <row r="176" spans="1:7">
      <c r="A176" s="114"/>
      <c r="B176" s="114"/>
      <c r="C176" s="114"/>
      <c r="D176" s="115"/>
      <c r="E176" s="116"/>
      <c r="F176" s="114"/>
      <c r="G176" s="114"/>
    </row>
    <row r="177" spans="1:7">
      <c r="A177" s="114"/>
      <c r="B177" s="114"/>
      <c r="C177" s="114"/>
      <c r="D177" s="115"/>
      <c r="E177" s="116"/>
      <c r="F177" s="114"/>
      <c r="G177" s="114"/>
    </row>
    <row r="178" spans="1:7">
      <c r="A178" s="114"/>
      <c r="B178" s="114"/>
      <c r="C178" s="114"/>
      <c r="D178" s="115"/>
      <c r="E178" s="116"/>
      <c r="F178" s="114"/>
      <c r="G178" s="114"/>
    </row>
    <row r="179" spans="1:7">
      <c r="A179" s="114"/>
      <c r="B179" s="114"/>
      <c r="C179" s="114"/>
      <c r="D179" s="115"/>
      <c r="E179" s="116"/>
      <c r="F179" s="114"/>
      <c r="G179" s="114"/>
    </row>
    <row r="180" spans="1:7">
      <c r="A180" s="114"/>
      <c r="B180" s="114"/>
      <c r="C180" s="114"/>
      <c r="D180" s="115"/>
      <c r="E180" s="116"/>
      <c r="F180" s="114"/>
      <c r="G180" s="114"/>
    </row>
    <row r="181" spans="1:7">
      <c r="A181" s="114"/>
      <c r="B181" s="114"/>
      <c r="C181" s="114"/>
      <c r="D181" s="115"/>
      <c r="E181" s="116"/>
      <c r="F181" s="114"/>
      <c r="G181" s="114"/>
    </row>
    <row r="182" spans="1:7">
      <c r="A182" s="114"/>
      <c r="B182" s="114"/>
      <c r="C182" s="114"/>
      <c r="D182" s="115"/>
      <c r="E182" s="116"/>
      <c r="F182" s="114"/>
      <c r="G182" s="114"/>
    </row>
    <row r="183" spans="1:7">
      <c r="A183" s="114"/>
      <c r="B183" s="114"/>
      <c r="C183" s="114"/>
      <c r="D183" s="115"/>
      <c r="E183" s="116"/>
      <c r="F183" s="114"/>
      <c r="G183" s="114"/>
    </row>
    <row r="184" spans="1:7">
      <c r="A184" s="114"/>
      <c r="B184" s="114"/>
      <c r="C184" s="114"/>
      <c r="D184" s="115"/>
      <c r="E184" s="116"/>
      <c r="F184" s="114"/>
      <c r="G184" s="114"/>
    </row>
    <row r="185" spans="1:7">
      <c r="A185" s="114"/>
      <c r="B185" s="114"/>
      <c r="C185" s="114"/>
      <c r="D185" s="115"/>
      <c r="E185" s="116"/>
      <c r="F185" s="114"/>
      <c r="G185" s="114"/>
    </row>
    <row r="186" spans="1:7">
      <c r="A186" s="114"/>
      <c r="B186" s="114"/>
      <c r="C186" s="114"/>
      <c r="D186" s="115"/>
      <c r="E186" s="116"/>
      <c r="F186" s="114"/>
      <c r="G186" s="114"/>
    </row>
    <row r="187" spans="1:7">
      <c r="A187" s="114"/>
      <c r="B187" s="114"/>
      <c r="C187" s="114"/>
      <c r="D187" s="115"/>
      <c r="E187" s="116"/>
      <c r="F187" s="114"/>
      <c r="G187" s="114"/>
    </row>
    <row r="188" spans="1:7">
      <c r="A188" s="114"/>
      <c r="B188" s="114"/>
      <c r="C188" s="114"/>
      <c r="D188" s="115"/>
      <c r="E188" s="116"/>
      <c r="F188" s="114"/>
      <c r="G188" s="114"/>
    </row>
    <row r="189" spans="1:7">
      <c r="A189" s="114"/>
      <c r="B189" s="114"/>
      <c r="C189" s="114"/>
      <c r="D189" s="115"/>
      <c r="E189" s="116"/>
      <c r="F189" s="114"/>
      <c r="G189" s="114"/>
    </row>
    <row r="190" spans="1:7">
      <c r="A190" s="114"/>
      <c r="B190" s="114"/>
      <c r="C190" s="114"/>
      <c r="D190" s="115"/>
      <c r="E190" s="116"/>
      <c r="F190" s="114"/>
      <c r="G190" s="114"/>
    </row>
    <row r="191" spans="1:7">
      <c r="A191" s="114"/>
      <c r="B191" s="114"/>
      <c r="C191" s="114"/>
      <c r="D191" s="115"/>
      <c r="E191" s="116"/>
      <c r="F191" s="114"/>
      <c r="G191" s="114"/>
    </row>
    <row r="192" spans="1:7">
      <c r="A192" s="114"/>
      <c r="B192" s="114"/>
      <c r="C192" s="114"/>
      <c r="D192" s="115"/>
      <c r="E192" s="116"/>
      <c r="F192" s="114"/>
      <c r="G192" s="114"/>
    </row>
    <row r="193" spans="1:7">
      <c r="A193" s="114"/>
      <c r="B193" s="114"/>
      <c r="C193" s="114"/>
      <c r="D193" s="115"/>
      <c r="E193" s="116"/>
      <c r="F193" s="114"/>
      <c r="G193" s="114"/>
    </row>
    <row r="194" spans="1:7">
      <c r="A194" s="114"/>
      <c r="B194" s="114"/>
      <c r="C194" s="114"/>
      <c r="D194" s="115"/>
      <c r="E194" s="116"/>
      <c r="F194" s="114"/>
      <c r="G194" s="114"/>
    </row>
    <row r="195" spans="1:7">
      <c r="A195" s="114"/>
      <c r="B195" s="114"/>
      <c r="C195" s="114"/>
      <c r="D195" s="115"/>
      <c r="E195" s="116"/>
      <c r="F195" s="114"/>
      <c r="G195" s="114"/>
    </row>
    <row r="196" spans="1:7">
      <c r="A196" s="114"/>
      <c r="B196" s="114"/>
      <c r="C196" s="114"/>
      <c r="D196" s="115"/>
      <c r="E196" s="116"/>
      <c r="F196" s="114"/>
      <c r="G196" s="114"/>
    </row>
    <row r="197" spans="1:7">
      <c r="A197" s="114"/>
      <c r="B197" s="114"/>
      <c r="C197" s="114"/>
      <c r="D197" s="115"/>
      <c r="E197" s="116"/>
      <c r="F197" s="114"/>
      <c r="G197" s="114"/>
    </row>
    <row r="198" spans="1:7">
      <c r="A198" s="114"/>
      <c r="B198" s="114"/>
      <c r="C198" s="114"/>
      <c r="D198" s="115"/>
      <c r="E198" s="116"/>
      <c r="F198" s="114"/>
      <c r="G198" s="114"/>
    </row>
    <row r="199" spans="1:7">
      <c r="A199" s="114"/>
      <c r="B199" s="114"/>
      <c r="C199" s="114"/>
      <c r="D199" s="115"/>
      <c r="E199" s="116"/>
      <c r="F199" s="114"/>
      <c r="G199" s="114"/>
    </row>
    <row r="200" spans="1:7">
      <c r="A200" s="114"/>
      <c r="B200" s="114"/>
      <c r="C200" s="114"/>
      <c r="D200" s="115"/>
      <c r="E200" s="116"/>
      <c r="F200" s="114"/>
      <c r="G200" s="114"/>
    </row>
    <row r="201" spans="1:7">
      <c r="A201" s="114"/>
      <c r="B201" s="114"/>
      <c r="C201" s="114"/>
      <c r="D201" s="115"/>
      <c r="E201" s="116"/>
      <c r="F201" s="114"/>
      <c r="G201" s="114"/>
    </row>
    <row r="202" spans="1:7">
      <c r="A202" s="114"/>
      <c r="B202" s="114"/>
      <c r="C202" s="114"/>
      <c r="D202" s="115"/>
      <c r="E202" s="116"/>
      <c r="F202" s="114"/>
      <c r="G202" s="114"/>
    </row>
    <row r="203" spans="1:7">
      <c r="A203" s="114"/>
      <c r="B203" s="114"/>
      <c r="C203" s="114"/>
      <c r="D203" s="115"/>
      <c r="E203" s="116"/>
      <c r="F203" s="114"/>
      <c r="G203" s="114"/>
    </row>
    <row r="204" spans="1:7">
      <c r="A204" s="114"/>
      <c r="B204" s="114"/>
      <c r="C204" s="114"/>
      <c r="D204" s="115"/>
      <c r="E204" s="116"/>
      <c r="F204" s="114"/>
      <c r="G204" s="114"/>
    </row>
    <row r="205" spans="1:7">
      <c r="A205" s="114"/>
      <c r="B205" s="114"/>
      <c r="C205" s="114"/>
      <c r="D205" s="115"/>
      <c r="E205" s="116"/>
      <c r="F205" s="114"/>
      <c r="G205" s="114"/>
    </row>
    <row r="206" spans="1:7">
      <c r="A206" s="114"/>
      <c r="B206" s="114"/>
      <c r="C206" s="114"/>
      <c r="D206" s="115"/>
      <c r="E206" s="116"/>
      <c r="F206" s="114"/>
      <c r="G206" s="114"/>
    </row>
    <row r="207" spans="1:7">
      <c r="A207" s="114"/>
      <c r="B207" s="114"/>
      <c r="C207" s="114"/>
      <c r="D207" s="115"/>
      <c r="E207" s="116"/>
      <c r="F207" s="114"/>
      <c r="G207" s="114"/>
    </row>
    <row r="208" spans="1:7">
      <c r="A208" s="114"/>
      <c r="B208" s="114"/>
      <c r="C208" s="114"/>
      <c r="D208" s="115"/>
      <c r="E208" s="116"/>
      <c r="F208" s="114"/>
      <c r="G208" s="114"/>
    </row>
    <row r="209" spans="1:7">
      <c r="A209" s="114"/>
      <c r="B209" s="114"/>
      <c r="C209" s="114"/>
      <c r="D209" s="115"/>
      <c r="E209" s="116"/>
      <c r="F209" s="114"/>
      <c r="G209" s="114"/>
    </row>
    <row r="210" spans="1:7">
      <c r="A210" s="114"/>
      <c r="B210" s="114"/>
      <c r="C210" s="114"/>
      <c r="D210" s="115"/>
      <c r="E210" s="116"/>
      <c r="F210" s="114"/>
      <c r="G210" s="114"/>
    </row>
    <row r="211" spans="1:7">
      <c r="A211" s="114"/>
      <c r="B211" s="114"/>
      <c r="C211" s="114"/>
      <c r="D211" s="115"/>
      <c r="E211" s="116"/>
      <c r="F211" s="114"/>
      <c r="G211" s="114"/>
    </row>
    <row r="212" spans="1:7">
      <c r="A212" s="114"/>
      <c r="B212" s="114"/>
      <c r="C212" s="114"/>
      <c r="D212" s="115"/>
      <c r="E212" s="116"/>
      <c r="F212" s="114"/>
      <c r="G212" s="114"/>
    </row>
    <row r="213" spans="1:7">
      <c r="A213" s="114"/>
      <c r="B213" s="114"/>
      <c r="C213" s="114"/>
      <c r="D213" s="115"/>
      <c r="E213" s="116"/>
      <c r="F213" s="114"/>
      <c r="G213" s="114"/>
    </row>
    <row r="214" spans="1:7">
      <c r="A214" s="114"/>
      <c r="B214" s="114"/>
      <c r="C214" s="114"/>
      <c r="D214" s="115"/>
      <c r="E214" s="116"/>
      <c r="F214" s="114"/>
      <c r="G214" s="114"/>
    </row>
    <row r="215" spans="1:7">
      <c r="A215" s="114"/>
      <c r="B215" s="114"/>
      <c r="C215" s="114"/>
      <c r="D215" s="115"/>
      <c r="E215" s="116"/>
      <c r="F215" s="114"/>
      <c r="G215" s="114"/>
    </row>
    <row r="216" spans="1:7">
      <c r="A216" s="114"/>
      <c r="B216" s="114"/>
      <c r="C216" s="114"/>
      <c r="D216" s="115"/>
      <c r="E216" s="116"/>
      <c r="F216" s="114"/>
      <c r="G216" s="114"/>
    </row>
    <row r="217" spans="1:7">
      <c r="A217" s="114"/>
      <c r="B217" s="114"/>
      <c r="C217" s="114"/>
      <c r="D217" s="115"/>
      <c r="E217" s="116"/>
      <c r="F217" s="114"/>
      <c r="G217" s="114"/>
    </row>
    <row r="218" spans="1:7">
      <c r="A218" s="114"/>
      <c r="B218" s="114"/>
      <c r="C218" s="114"/>
      <c r="D218" s="115"/>
      <c r="E218" s="116"/>
      <c r="F218" s="114"/>
      <c r="G218" s="114"/>
    </row>
    <row r="219" spans="1:7">
      <c r="A219" s="114"/>
      <c r="B219" s="114"/>
      <c r="C219" s="114"/>
      <c r="D219" s="115"/>
      <c r="E219" s="116"/>
      <c r="F219" s="114"/>
      <c r="G219" s="114"/>
    </row>
    <row r="220" spans="1:7">
      <c r="A220" s="114"/>
      <c r="B220" s="114"/>
      <c r="C220" s="114"/>
      <c r="D220" s="115"/>
      <c r="E220" s="116"/>
      <c r="F220" s="114"/>
      <c r="G220" s="114"/>
    </row>
    <row r="221" spans="1:7">
      <c r="A221" s="114"/>
      <c r="B221" s="114"/>
      <c r="C221" s="114"/>
      <c r="D221" s="115"/>
      <c r="E221" s="116"/>
      <c r="F221" s="114"/>
      <c r="G221" s="114"/>
    </row>
    <row r="222" spans="1:7">
      <c r="A222" s="114"/>
      <c r="B222" s="114"/>
      <c r="C222" s="114"/>
      <c r="D222" s="115"/>
      <c r="E222" s="116"/>
      <c r="F222" s="114"/>
      <c r="G222" s="114"/>
    </row>
    <row r="223" spans="1:7">
      <c r="A223" s="114"/>
      <c r="B223" s="114"/>
      <c r="C223" s="114"/>
      <c r="D223" s="115"/>
      <c r="E223" s="116"/>
      <c r="F223" s="114"/>
      <c r="G223" s="114"/>
    </row>
    <row r="224" spans="1:7">
      <c r="A224" s="114"/>
      <c r="B224" s="114"/>
      <c r="C224" s="114"/>
      <c r="D224" s="115"/>
      <c r="E224" s="116"/>
      <c r="F224" s="114"/>
      <c r="G224" s="114"/>
    </row>
    <row r="225" spans="1:7">
      <c r="A225" s="114"/>
      <c r="B225" s="114"/>
      <c r="C225" s="114"/>
      <c r="D225" s="115"/>
      <c r="E225" s="116"/>
      <c r="F225" s="114"/>
      <c r="G225" s="114"/>
    </row>
    <row r="226" spans="1:7">
      <c r="A226" s="114"/>
      <c r="B226" s="114"/>
      <c r="C226" s="114"/>
      <c r="D226" s="115"/>
      <c r="E226" s="116"/>
      <c r="F226" s="114"/>
      <c r="G226" s="114"/>
    </row>
    <row r="227" spans="1:7">
      <c r="A227" s="114"/>
      <c r="B227" s="114"/>
      <c r="C227" s="114"/>
      <c r="D227" s="115"/>
      <c r="E227" s="116"/>
      <c r="F227" s="114"/>
      <c r="G227" s="114"/>
    </row>
    <row r="228" spans="1:7">
      <c r="A228" s="114"/>
      <c r="B228" s="114"/>
      <c r="C228" s="114"/>
      <c r="D228" s="115"/>
      <c r="E228" s="116"/>
      <c r="F228" s="114"/>
      <c r="G228" s="114"/>
    </row>
    <row r="229" spans="1:7">
      <c r="A229" s="114"/>
      <c r="B229" s="114"/>
      <c r="C229" s="114"/>
      <c r="D229" s="115"/>
      <c r="E229" s="116"/>
      <c r="F229" s="114"/>
      <c r="G229" s="114"/>
    </row>
    <row r="230" spans="1:7">
      <c r="A230" s="114"/>
      <c r="B230" s="114"/>
      <c r="C230" s="114"/>
      <c r="D230" s="115"/>
      <c r="E230" s="116"/>
      <c r="F230" s="114"/>
      <c r="G230" s="114"/>
    </row>
    <row r="231" spans="1:7">
      <c r="A231" s="114"/>
      <c r="B231" s="114"/>
      <c r="C231" s="114"/>
      <c r="D231" s="115"/>
      <c r="E231" s="116"/>
      <c r="F231" s="114"/>
      <c r="G231" s="114"/>
    </row>
    <row r="232" spans="1:7">
      <c r="A232" s="114"/>
      <c r="B232" s="114"/>
      <c r="C232" s="114"/>
      <c r="D232" s="115"/>
      <c r="E232" s="116"/>
      <c r="F232" s="114"/>
      <c r="G232" s="114"/>
    </row>
    <row r="233" spans="1:7">
      <c r="A233" s="114"/>
      <c r="B233" s="114"/>
      <c r="C233" s="114"/>
      <c r="D233" s="115"/>
      <c r="E233" s="116"/>
      <c r="F233" s="114"/>
      <c r="G233" s="114"/>
    </row>
    <row r="234" spans="1:7">
      <c r="A234" s="114"/>
      <c r="B234" s="114"/>
      <c r="C234" s="114"/>
      <c r="D234" s="115"/>
      <c r="E234" s="116"/>
      <c r="F234" s="114"/>
      <c r="G234" s="114"/>
    </row>
    <row r="235" spans="1:7">
      <c r="A235" s="114"/>
      <c r="B235" s="114"/>
      <c r="C235" s="114"/>
      <c r="D235" s="115"/>
      <c r="E235" s="116"/>
      <c r="F235" s="114"/>
      <c r="G235" s="114"/>
    </row>
    <row r="236" spans="1:7">
      <c r="A236" s="114"/>
      <c r="B236" s="114"/>
      <c r="C236" s="114"/>
      <c r="D236" s="115"/>
      <c r="E236" s="116"/>
      <c r="F236" s="114"/>
      <c r="G236" s="114"/>
    </row>
    <row r="237" spans="1:7">
      <c r="A237" s="114"/>
      <c r="B237" s="114"/>
      <c r="C237" s="114"/>
      <c r="D237" s="115"/>
      <c r="E237" s="116"/>
      <c r="F237" s="114"/>
      <c r="G237" s="114"/>
    </row>
    <row r="238" spans="1:7">
      <c r="A238" s="114"/>
      <c r="B238" s="114"/>
      <c r="C238" s="114"/>
      <c r="D238" s="115"/>
      <c r="E238" s="116"/>
      <c r="F238" s="114"/>
      <c r="G238" s="114"/>
    </row>
    <row r="239" spans="1:7">
      <c r="A239" s="114"/>
      <c r="B239" s="114"/>
      <c r="C239" s="114"/>
      <c r="D239" s="115"/>
      <c r="E239" s="116"/>
      <c r="F239" s="114"/>
      <c r="G239" s="114"/>
    </row>
    <row r="240" spans="1:7">
      <c r="A240" s="114"/>
      <c r="B240" s="114"/>
      <c r="C240" s="114"/>
      <c r="D240" s="115"/>
      <c r="E240" s="116"/>
      <c r="F240" s="114"/>
      <c r="G240" s="114"/>
    </row>
    <row r="241" spans="1:7">
      <c r="A241" s="114"/>
      <c r="B241" s="114"/>
      <c r="C241" s="114"/>
      <c r="D241" s="115"/>
      <c r="E241" s="116"/>
      <c r="F241" s="114"/>
      <c r="G241" s="114"/>
    </row>
    <row r="242" spans="1:7">
      <c r="A242" s="114"/>
      <c r="B242" s="114"/>
      <c r="C242" s="114"/>
      <c r="D242" s="115"/>
      <c r="E242" s="116"/>
      <c r="F242" s="114"/>
      <c r="G242" s="114"/>
    </row>
    <row r="243" spans="1:7">
      <c r="A243" s="114"/>
      <c r="B243" s="114"/>
      <c r="C243" s="114"/>
      <c r="D243" s="115"/>
      <c r="E243" s="116"/>
      <c r="F243" s="114"/>
      <c r="G243" s="114"/>
    </row>
    <row r="244" spans="1:7">
      <c r="A244" s="114"/>
      <c r="B244" s="114"/>
      <c r="C244" s="114"/>
      <c r="D244" s="115"/>
      <c r="E244" s="116"/>
      <c r="F244" s="114"/>
      <c r="G244" s="114"/>
    </row>
    <row r="245" spans="1:7">
      <c r="A245" s="114"/>
      <c r="B245" s="114"/>
      <c r="C245" s="114"/>
      <c r="D245" s="115"/>
      <c r="E245" s="116"/>
      <c r="F245" s="114"/>
      <c r="G245" s="114"/>
    </row>
    <row r="246" spans="1:7">
      <c r="A246" s="114"/>
      <c r="B246" s="114"/>
      <c r="C246" s="114"/>
      <c r="D246" s="115"/>
      <c r="E246" s="116"/>
      <c r="F246" s="114"/>
      <c r="G246" s="114"/>
    </row>
    <row r="247" spans="1:7">
      <c r="A247" s="114"/>
      <c r="B247" s="114"/>
      <c r="C247" s="114"/>
      <c r="D247" s="115"/>
      <c r="E247" s="116"/>
      <c r="F247" s="114"/>
      <c r="G247" s="114"/>
    </row>
    <row r="248" spans="1:7">
      <c r="A248" s="114"/>
      <c r="B248" s="114"/>
      <c r="C248" s="114"/>
      <c r="D248" s="115"/>
      <c r="E248" s="116"/>
      <c r="F248" s="114"/>
      <c r="G248" s="114"/>
    </row>
    <row r="249" spans="1:7">
      <c r="A249" s="114"/>
      <c r="B249" s="114"/>
      <c r="C249" s="114"/>
      <c r="D249" s="115"/>
      <c r="E249" s="116"/>
      <c r="F249" s="114"/>
      <c r="G249" s="114"/>
    </row>
    <row r="250" spans="1:7">
      <c r="A250" s="114"/>
      <c r="B250" s="114"/>
      <c r="C250" s="114"/>
      <c r="D250" s="115"/>
      <c r="E250" s="116"/>
      <c r="F250" s="114"/>
      <c r="G250" s="114"/>
    </row>
    <row r="251" spans="1:7">
      <c r="A251" s="114"/>
      <c r="B251" s="114"/>
      <c r="C251" s="114"/>
      <c r="D251" s="115"/>
      <c r="E251" s="116"/>
      <c r="F251" s="114"/>
      <c r="G251" s="114"/>
    </row>
    <row r="252" spans="1:7">
      <c r="A252" s="114"/>
      <c r="B252" s="114"/>
      <c r="C252" s="114"/>
      <c r="D252" s="115"/>
      <c r="E252" s="116"/>
      <c r="F252" s="114"/>
      <c r="G252" s="114"/>
    </row>
    <row r="253" spans="1:7">
      <c r="A253" s="114"/>
      <c r="B253" s="114"/>
      <c r="C253" s="114"/>
      <c r="D253" s="115"/>
      <c r="E253" s="116"/>
      <c r="F253" s="114"/>
      <c r="G253" s="114"/>
    </row>
    <row r="254" spans="1:7">
      <c r="A254" s="114"/>
      <c r="B254" s="114"/>
      <c r="C254" s="114"/>
      <c r="D254" s="115"/>
      <c r="E254" s="116"/>
      <c r="F254" s="114"/>
      <c r="G254" s="114"/>
    </row>
    <row r="255" spans="1:7">
      <c r="A255" s="114"/>
      <c r="B255" s="114"/>
      <c r="C255" s="114"/>
      <c r="D255" s="115"/>
      <c r="E255" s="116"/>
      <c r="F255" s="114"/>
      <c r="G255" s="114"/>
    </row>
    <row r="256" spans="1:7">
      <c r="A256" s="114"/>
      <c r="B256" s="114"/>
      <c r="C256" s="114"/>
      <c r="D256" s="115"/>
      <c r="E256" s="116"/>
      <c r="F256" s="114"/>
      <c r="G256" s="114"/>
    </row>
    <row r="257" spans="1:7">
      <c r="A257" s="114"/>
      <c r="B257" s="114"/>
      <c r="C257" s="114"/>
      <c r="D257" s="115"/>
      <c r="E257" s="116"/>
      <c r="F257" s="114"/>
      <c r="G257" s="114"/>
    </row>
    <row r="258" spans="1:7">
      <c r="A258" s="114"/>
      <c r="B258" s="114"/>
      <c r="C258" s="114"/>
      <c r="D258" s="115"/>
      <c r="E258" s="116"/>
      <c r="F258" s="114"/>
      <c r="G258" s="114"/>
    </row>
    <row r="259" spans="1:7">
      <c r="A259" s="114"/>
      <c r="B259" s="114"/>
      <c r="C259" s="114"/>
      <c r="D259" s="115"/>
      <c r="E259" s="116"/>
      <c r="F259" s="114"/>
      <c r="G259" s="114"/>
    </row>
    <row r="260" spans="1:7">
      <c r="A260" s="114"/>
      <c r="B260" s="114"/>
      <c r="C260" s="114"/>
      <c r="D260" s="115"/>
      <c r="E260" s="116"/>
      <c r="F260" s="114"/>
      <c r="G260" s="114"/>
    </row>
    <row r="261" spans="1:7">
      <c r="A261" s="114"/>
      <c r="B261" s="114"/>
      <c r="C261" s="114"/>
      <c r="D261" s="115"/>
      <c r="E261" s="116"/>
      <c r="F261" s="114"/>
      <c r="G261" s="114"/>
    </row>
    <row r="262" spans="1:7">
      <c r="A262" s="114"/>
      <c r="B262" s="114"/>
      <c r="C262" s="114"/>
      <c r="D262" s="115"/>
      <c r="E262" s="116"/>
      <c r="F262" s="114"/>
      <c r="G262" s="114"/>
    </row>
    <row r="263" spans="1:7">
      <c r="A263" s="114"/>
      <c r="B263" s="114"/>
      <c r="C263" s="114"/>
      <c r="D263" s="115"/>
      <c r="E263" s="116"/>
      <c r="F263" s="114"/>
      <c r="G263" s="114"/>
    </row>
    <row r="264" spans="1:7">
      <c r="A264" s="114"/>
      <c r="B264" s="114"/>
      <c r="C264" s="114"/>
      <c r="D264" s="115"/>
      <c r="E264" s="116"/>
      <c r="F264" s="114"/>
      <c r="G264" s="114"/>
    </row>
    <row r="265" spans="1:7">
      <c r="A265" s="114"/>
      <c r="B265" s="114"/>
      <c r="C265" s="114"/>
      <c r="D265" s="115"/>
      <c r="E265" s="116"/>
      <c r="F265" s="114"/>
      <c r="G265" s="114"/>
    </row>
    <row r="266" spans="1:7">
      <c r="A266" s="114"/>
      <c r="B266" s="114"/>
      <c r="C266" s="114"/>
      <c r="D266" s="115"/>
      <c r="E266" s="116"/>
      <c r="F266" s="114"/>
      <c r="G266" s="114"/>
    </row>
    <row r="267" spans="1:7">
      <c r="A267" s="114"/>
      <c r="B267" s="114"/>
      <c r="C267" s="114"/>
      <c r="D267" s="115"/>
      <c r="E267" s="116"/>
      <c r="F267" s="114"/>
      <c r="G267" s="114"/>
    </row>
    <row r="268" spans="1:7">
      <c r="A268" s="114"/>
      <c r="B268" s="114"/>
      <c r="C268" s="114"/>
      <c r="D268" s="115"/>
      <c r="E268" s="116"/>
      <c r="F268" s="114"/>
      <c r="G268" s="114"/>
    </row>
    <row r="269" spans="1:7">
      <c r="A269" s="114"/>
      <c r="B269" s="114"/>
      <c r="C269" s="114"/>
      <c r="D269" s="115"/>
      <c r="E269" s="116"/>
      <c r="F269" s="114"/>
      <c r="G269" s="114"/>
    </row>
    <row r="270" spans="1:7">
      <c r="A270" s="114"/>
      <c r="B270" s="114"/>
      <c r="C270" s="114"/>
      <c r="D270" s="115"/>
      <c r="E270" s="116"/>
      <c r="F270" s="114"/>
      <c r="G270" s="114"/>
    </row>
    <row r="271" spans="1:7">
      <c r="A271" s="114"/>
      <c r="B271" s="114"/>
      <c r="C271" s="114"/>
      <c r="D271" s="115"/>
      <c r="E271" s="116"/>
      <c r="F271" s="114"/>
      <c r="G271" s="114"/>
    </row>
    <row r="272" spans="1:7">
      <c r="A272" s="114"/>
      <c r="B272" s="114"/>
      <c r="C272" s="114"/>
      <c r="D272" s="115"/>
      <c r="E272" s="116"/>
      <c r="F272" s="114"/>
      <c r="G272" s="114"/>
    </row>
    <row r="273" spans="1:7">
      <c r="A273" s="114"/>
      <c r="B273" s="114"/>
      <c r="C273" s="114"/>
      <c r="D273" s="115"/>
      <c r="E273" s="116"/>
      <c r="F273" s="114"/>
      <c r="G273" s="114"/>
    </row>
    <row r="274" spans="1:7">
      <c r="A274" s="114"/>
      <c r="B274" s="114"/>
      <c r="C274" s="114"/>
      <c r="D274" s="115"/>
      <c r="E274" s="116"/>
      <c r="F274" s="114"/>
      <c r="G274" s="114"/>
    </row>
    <row r="275" spans="1:7">
      <c r="A275" s="114"/>
      <c r="B275" s="114"/>
      <c r="C275" s="114"/>
      <c r="D275" s="115"/>
      <c r="E275" s="116"/>
      <c r="F275" s="114"/>
      <c r="G275" s="114"/>
    </row>
    <row r="276" spans="1:7">
      <c r="A276" s="114"/>
      <c r="B276" s="114"/>
      <c r="C276" s="114"/>
      <c r="D276" s="115"/>
      <c r="E276" s="116"/>
      <c r="F276" s="114"/>
      <c r="G276" s="114"/>
    </row>
    <row r="277" spans="1:7">
      <c r="A277" s="114"/>
      <c r="B277" s="114"/>
      <c r="C277" s="114"/>
      <c r="D277" s="115"/>
      <c r="E277" s="116"/>
      <c r="F277" s="114"/>
      <c r="G277" s="114"/>
    </row>
    <row r="278" spans="1:7">
      <c r="A278" s="114"/>
      <c r="B278" s="114"/>
      <c r="C278" s="114"/>
      <c r="D278" s="115"/>
      <c r="E278" s="116"/>
      <c r="F278" s="114"/>
      <c r="G278" s="114"/>
    </row>
    <row r="279" spans="1:7">
      <c r="A279" s="114"/>
      <c r="B279" s="114"/>
      <c r="C279" s="114"/>
      <c r="D279" s="115"/>
      <c r="E279" s="116"/>
      <c r="F279" s="114"/>
      <c r="G279" s="114"/>
    </row>
    <row r="280" spans="1:7">
      <c r="A280" s="114"/>
      <c r="B280" s="114"/>
      <c r="C280" s="114"/>
      <c r="D280" s="115"/>
      <c r="E280" s="116"/>
      <c r="F280" s="114"/>
      <c r="G280" s="114"/>
    </row>
    <row r="281" spans="1:7">
      <c r="A281" s="114"/>
      <c r="B281" s="114"/>
      <c r="C281" s="114"/>
      <c r="D281" s="115"/>
      <c r="E281" s="116"/>
      <c r="F281" s="114"/>
      <c r="G281" s="114"/>
    </row>
    <row r="282" spans="1:7">
      <c r="A282" s="114"/>
      <c r="B282" s="114"/>
      <c r="C282" s="114"/>
      <c r="D282" s="115"/>
      <c r="E282" s="116"/>
      <c r="F282" s="114"/>
      <c r="G282" s="114"/>
    </row>
    <row r="283" spans="1:7">
      <c r="A283" s="114"/>
      <c r="B283" s="114"/>
      <c r="C283" s="114"/>
      <c r="D283" s="115"/>
      <c r="E283" s="116"/>
      <c r="F283" s="114"/>
      <c r="G283" s="114"/>
    </row>
    <row r="284" spans="1:7">
      <c r="A284" s="114"/>
      <c r="B284" s="114"/>
      <c r="C284" s="114"/>
      <c r="D284" s="115"/>
      <c r="E284" s="116"/>
      <c r="F284" s="114"/>
      <c r="G284" s="114"/>
    </row>
    <row r="285" spans="1:7">
      <c r="A285" s="114"/>
      <c r="B285" s="114"/>
      <c r="C285" s="114"/>
      <c r="D285" s="115"/>
      <c r="E285" s="116"/>
      <c r="F285" s="114"/>
      <c r="G285" s="114"/>
    </row>
    <row r="286" spans="1:7">
      <c r="A286" s="114"/>
      <c r="B286" s="114"/>
      <c r="C286" s="114"/>
      <c r="D286" s="115"/>
      <c r="E286" s="116"/>
      <c r="F286" s="114"/>
      <c r="G286" s="114"/>
    </row>
    <row r="287" spans="1:7">
      <c r="A287" s="114"/>
      <c r="B287" s="114"/>
      <c r="C287" s="114"/>
      <c r="D287" s="115"/>
      <c r="E287" s="116"/>
      <c r="F287" s="114"/>
      <c r="G287" s="114"/>
    </row>
    <row r="288" spans="1:7">
      <c r="A288" s="114"/>
      <c r="B288" s="114"/>
      <c r="C288" s="114"/>
      <c r="D288" s="115"/>
      <c r="E288" s="116"/>
      <c r="F288" s="114"/>
      <c r="G288" s="114"/>
    </row>
    <row r="289" spans="1:7">
      <c r="A289" s="114"/>
      <c r="B289" s="114"/>
      <c r="C289" s="114"/>
      <c r="D289" s="115"/>
      <c r="E289" s="116"/>
      <c r="F289" s="114"/>
      <c r="G289" s="114"/>
    </row>
    <row r="290" spans="1:7">
      <c r="A290" s="114"/>
      <c r="B290" s="114"/>
      <c r="C290" s="114"/>
      <c r="D290" s="115"/>
      <c r="E290" s="116"/>
      <c r="F290" s="114"/>
      <c r="G290" s="114"/>
    </row>
    <row r="291" spans="1:7">
      <c r="A291" s="114"/>
      <c r="B291" s="114"/>
      <c r="C291" s="114"/>
      <c r="D291" s="115"/>
      <c r="E291" s="116"/>
      <c r="F291" s="114"/>
      <c r="G291" s="114"/>
    </row>
    <row r="292" spans="1:7">
      <c r="A292" s="114"/>
      <c r="B292" s="114"/>
      <c r="C292" s="114"/>
      <c r="D292" s="115"/>
      <c r="E292" s="116"/>
      <c r="F292" s="114"/>
      <c r="G292" s="114"/>
    </row>
    <row r="293" spans="1:7">
      <c r="A293" s="114"/>
      <c r="B293" s="114"/>
      <c r="C293" s="114"/>
      <c r="D293" s="115"/>
      <c r="E293" s="116"/>
      <c r="F293" s="114"/>
      <c r="G293" s="114"/>
    </row>
    <row r="294" spans="1:7">
      <c r="A294" s="114"/>
      <c r="B294" s="114"/>
      <c r="C294" s="114"/>
      <c r="D294" s="115"/>
      <c r="E294" s="116"/>
      <c r="F294" s="114"/>
      <c r="G294" s="114"/>
    </row>
    <row r="295" spans="1:7">
      <c r="A295" s="114"/>
      <c r="B295" s="114"/>
      <c r="C295" s="114"/>
      <c r="D295" s="115"/>
      <c r="E295" s="116"/>
      <c r="F295" s="114"/>
      <c r="G295" s="114"/>
    </row>
    <row r="296" spans="1:7">
      <c r="A296" s="114"/>
      <c r="B296" s="114"/>
      <c r="C296" s="114"/>
      <c r="D296" s="115"/>
      <c r="E296" s="116"/>
      <c r="F296" s="114"/>
      <c r="G296" s="114"/>
    </row>
    <row r="297" spans="1:7">
      <c r="A297" s="114"/>
      <c r="B297" s="114"/>
      <c r="C297" s="114"/>
      <c r="D297" s="115"/>
      <c r="E297" s="116"/>
      <c r="F297" s="114"/>
      <c r="G297" s="114"/>
    </row>
    <row r="298" spans="1:7">
      <c r="A298" s="114"/>
      <c r="B298" s="114"/>
      <c r="C298" s="114"/>
      <c r="D298" s="115"/>
      <c r="E298" s="116"/>
      <c r="F298" s="114"/>
      <c r="G298" s="114"/>
    </row>
    <row r="299" spans="1:7">
      <c r="A299" s="114"/>
      <c r="B299" s="114"/>
      <c r="C299" s="114"/>
      <c r="D299" s="115"/>
      <c r="E299" s="116"/>
      <c r="F299" s="114"/>
      <c r="G299" s="114"/>
    </row>
    <row r="300" spans="1:7">
      <c r="A300" s="114"/>
      <c r="B300" s="114"/>
      <c r="C300" s="114"/>
      <c r="D300" s="115"/>
      <c r="E300" s="116"/>
      <c r="F300" s="114"/>
      <c r="G300" s="114"/>
    </row>
    <row r="301" spans="1:7">
      <c r="A301" s="114"/>
      <c r="B301" s="114"/>
      <c r="C301" s="114"/>
      <c r="D301" s="115"/>
      <c r="E301" s="116"/>
      <c r="F301" s="114"/>
      <c r="G301" s="114"/>
    </row>
    <row r="302" spans="1:7">
      <c r="A302" s="114"/>
      <c r="B302" s="114"/>
      <c r="C302" s="114"/>
      <c r="D302" s="115"/>
      <c r="E302" s="116"/>
      <c r="F302" s="114"/>
      <c r="G302" s="114"/>
    </row>
    <row r="303" spans="1:7">
      <c r="A303" s="114"/>
      <c r="B303" s="114"/>
      <c r="C303" s="114"/>
      <c r="D303" s="115"/>
      <c r="E303" s="116"/>
      <c r="F303" s="114"/>
      <c r="G303" s="114"/>
    </row>
    <row r="304" spans="1:7">
      <c r="A304" s="114"/>
      <c r="B304" s="114"/>
      <c r="C304" s="114"/>
      <c r="D304" s="115"/>
      <c r="E304" s="116"/>
      <c r="F304" s="114"/>
      <c r="G304" s="114"/>
    </row>
    <row r="305" spans="1:7">
      <c r="A305" s="114"/>
      <c r="B305" s="114"/>
      <c r="C305" s="114"/>
      <c r="D305" s="115"/>
      <c r="E305" s="116"/>
      <c r="F305" s="114"/>
      <c r="G305" s="114"/>
    </row>
    <row r="306" spans="1:7">
      <c r="A306" s="114"/>
      <c r="B306" s="114"/>
      <c r="C306" s="114"/>
      <c r="D306" s="115"/>
      <c r="E306" s="116"/>
      <c r="F306" s="114"/>
      <c r="G306" s="114"/>
    </row>
    <row r="307" spans="1:7">
      <c r="A307" s="114"/>
      <c r="B307" s="114"/>
      <c r="C307" s="114"/>
      <c r="D307" s="115"/>
      <c r="E307" s="116"/>
      <c r="F307" s="114"/>
      <c r="G307" s="114"/>
    </row>
    <row r="308" spans="1:7">
      <c r="A308" s="114"/>
      <c r="B308" s="114"/>
      <c r="C308" s="114"/>
      <c r="D308" s="115"/>
      <c r="E308" s="116"/>
      <c r="F308" s="114"/>
      <c r="G308" s="114"/>
    </row>
    <row r="309" spans="1:7">
      <c r="A309" s="114"/>
      <c r="B309" s="114"/>
      <c r="C309" s="114"/>
      <c r="D309" s="115"/>
      <c r="E309" s="116"/>
      <c r="F309" s="114"/>
      <c r="G309" s="114"/>
    </row>
    <row r="310" spans="1:7">
      <c r="A310" s="114"/>
      <c r="B310" s="114"/>
      <c r="C310" s="114"/>
      <c r="D310" s="115"/>
      <c r="E310" s="116"/>
      <c r="F310" s="114"/>
      <c r="G310" s="114"/>
    </row>
    <row r="311" spans="1:7">
      <c r="A311" s="114"/>
      <c r="B311" s="114"/>
      <c r="C311" s="114"/>
      <c r="D311" s="115"/>
      <c r="E311" s="116"/>
      <c r="F311" s="114"/>
      <c r="G311" s="114"/>
    </row>
    <row r="312" spans="1:7">
      <c r="A312" s="114"/>
      <c r="B312" s="114"/>
      <c r="C312" s="114"/>
      <c r="D312" s="115"/>
      <c r="E312" s="116"/>
      <c r="F312" s="114"/>
      <c r="G312" s="114"/>
    </row>
    <row r="313" spans="1:7">
      <c r="A313" s="114"/>
      <c r="B313" s="114"/>
      <c r="C313" s="114"/>
      <c r="D313" s="115"/>
      <c r="E313" s="116"/>
      <c r="F313" s="114"/>
      <c r="G313" s="114"/>
    </row>
    <row r="314" spans="1:7">
      <c r="A314" s="114"/>
      <c r="B314" s="114"/>
      <c r="C314" s="114"/>
      <c r="D314" s="115"/>
      <c r="E314" s="116"/>
      <c r="F314" s="114"/>
      <c r="G314" s="114"/>
    </row>
    <row r="315" spans="1:7">
      <c r="A315" s="114"/>
      <c r="B315" s="114"/>
      <c r="C315" s="114"/>
      <c r="D315" s="115"/>
      <c r="E315" s="116"/>
      <c r="F315" s="114"/>
      <c r="G315" s="114"/>
    </row>
    <row r="316" spans="1:7">
      <c r="A316" s="114"/>
      <c r="B316" s="114"/>
      <c r="C316" s="114"/>
      <c r="D316" s="115"/>
      <c r="E316" s="116"/>
      <c r="F316" s="114"/>
      <c r="G316" s="114"/>
    </row>
    <row r="317" spans="1:7">
      <c r="A317" s="114"/>
      <c r="B317" s="114"/>
      <c r="C317" s="114"/>
      <c r="D317" s="115"/>
      <c r="E317" s="116"/>
      <c r="F317" s="114"/>
      <c r="G317" s="114"/>
    </row>
    <row r="318" spans="1:7">
      <c r="A318" s="114"/>
      <c r="B318" s="114"/>
      <c r="C318" s="114"/>
      <c r="D318" s="115"/>
      <c r="E318" s="116"/>
      <c r="F318" s="114"/>
      <c r="G318" s="114"/>
    </row>
    <row r="319" spans="1:7">
      <c r="A319" s="114"/>
      <c r="B319" s="114"/>
      <c r="C319" s="114"/>
      <c r="D319" s="115"/>
      <c r="E319" s="116"/>
      <c r="F319" s="114"/>
      <c r="G319" s="114"/>
    </row>
    <row r="320" spans="1:7">
      <c r="A320" s="114"/>
      <c r="B320" s="114"/>
      <c r="C320" s="114"/>
      <c r="D320" s="115"/>
      <c r="E320" s="116"/>
      <c r="F320" s="114"/>
      <c r="G320" s="114"/>
    </row>
    <row r="321" spans="1:7">
      <c r="A321" s="114"/>
      <c r="B321" s="114"/>
      <c r="C321" s="114"/>
      <c r="D321" s="115"/>
      <c r="E321" s="116"/>
      <c r="F321" s="114"/>
      <c r="G321" s="114"/>
    </row>
    <row r="322" spans="1:7">
      <c r="A322" s="114"/>
      <c r="B322" s="114"/>
      <c r="C322" s="114"/>
      <c r="D322" s="115"/>
      <c r="E322" s="116"/>
      <c r="F322" s="114"/>
      <c r="G322" s="114"/>
    </row>
    <row r="323" spans="1:7">
      <c r="A323" s="114"/>
      <c r="B323" s="114"/>
      <c r="C323" s="114"/>
      <c r="D323" s="115"/>
      <c r="E323" s="116"/>
      <c r="F323" s="114"/>
      <c r="G323" s="114"/>
    </row>
    <row r="324" spans="1:7">
      <c r="A324" s="114"/>
      <c r="B324" s="114"/>
      <c r="C324" s="114"/>
      <c r="D324" s="115"/>
      <c r="E324" s="116"/>
      <c r="F324" s="114"/>
      <c r="G324" s="114"/>
    </row>
    <row r="325" spans="1:7">
      <c r="A325" s="114"/>
      <c r="B325" s="114"/>
      <c r="C325" s="114"/>
      <c r="D325" s="115"/>
      <c r="E325" s="116"/>
      <c r="F325" s="114"/>
      <c r="G325" s="114"/>
    </row>
    <row r="326" spans="1:7">
      <c r="A326" s="114"/>
      <c r="B326" s="114"/>
      <c r="C326" s="114"/>
      <c r="D326" s="115"/>
      <c r="E326" s="116"/>
      <c r="F326" s="114"/>
      <c r="G326" s="114"/>
    </row>
    <row r="327" spans="1:7">
      <c r="A327" s="114"/>
      <c r="B327" s="114"/>
      <c r="C327" s="114"/>
      <c r="D327" s="115"/>
      <c r="E327" s="116"/>
      <c r="F327" s="114"/>
      <c r="G327" s="114"/>
    </row>
    <row r="328" spans="1:7">
      <c r="A328" s="114"/>
      <c r="B328" s="114"/>
      <c r="C328" s="114"/>
      <c r="D328" s="115"/>
      <c r="E328" s="116"/>
      <c r="F328" s="114"/>
      <c r="G328" s="114"/>
    </row>
    <row r="329" spans="1:7">
      <c r="A329" s="114"/>
      <c r="B329" s="114"/>
      <c r="C329" s="114"/>
      <c r="D329" s="115"/>
      <c r="E329" s="116"/>
      <c r="F329" s="114"/>
      <c r="G329" s="114"/>
    </row>
    <row r="330" spans="1:7">
      <c r="A330" s="114"/>
      <c r="B330" s="114"/>
      <c r="C330" s="114"/>
      <c r="D330" s="115"/>
      <c r="E330" s="116"/>
      <c r="F330" s="114"/>
      <c r="G330" s="114"/>
    </row>
  </sheetData>
  <mergeCells count="110">
    <mergeCell ref="A7:F7"/>
    <mergeCell ref="A8:F8"/>
    <mergeCell ref="A9:F9"/>
    <mergeCell ref="A10:F10"/>
    <mergeCell ref="A11:F11"/>
    <mergeCell ref="A12:F12"/>
    <mergeCell ref="A1:G1"/>
    <mergeCell ref="A2:G2"/>
    <mergeCell ref="A3:G3"/>
    <mergeCell ref="A4:G4"/>
    <mergeCell ref="A5:G5"/>
    <mergeCell ref="A6:G6"/>
    <mergeCell ref="A19:G19"/>
    <mergeCell ref="A20:G20"/>
    <mergeCell ref="B21:D21"/>
    <mergeCell ref="E21:G21"/>
    <mergeCell ref="B22:D22"/>
    <mergeCell ref="E22:G22"/>
    <mergeCell ref="A13:F13"/>
    <mergeCell ref="A14:F14"/>
    <mergeCell ref="A15:F15"/>
    <mergeCell ref="A16:F16"/>
    <mergeCell ref="A17:F17"/>
    <mergeCell ref="A18:F18"/>
    <mergeCell ref="A26:G28"/>
    <mergeCell ref="A29:A30"/>
    <mergeCell ref="B29:C30"/>
    <mergeCell ref="D29:F29"/>
    <mergeCell ref="B31:F31"/>
    <mergeCell ref="B32:F32"/>
    <mergeCell ref="B23:D23"/>
    <mergeCell ref="E23:G23"/>
    <mergeCell ref="B24:D24"/>
    <mergeCell ref="E24:G24"/>
    <mergeCell ref="B25:D25"/>
    <mergeCell ref="E25:G25"/>
    <mergeCell ref="B43:C43"/>
    <mergeCell ref="B45:C45"/>
    <mergeCell ref="B46:C46"/>
    <mergeCell ref="B47:C47"/>
    <mergeCell ref="B48:C48"/>
    <mergeCell ref="B49:C49"/>
    <mergeCell ref="B33:F33"/>
    <mergeCell ref="B34:F34"/>
    <mergeCell ref="B35:F35"/>
    <mergeCell ref="B36:F36"/>
    <mergeCell ref="B37:F37"/>
    <mergeCell ref="B38:C38"/>
    <mergeCell ref="B39:F39"/>
    <mergeCell ref="B40:C40"/>
    <mergeCell ref="B41:F41"/>
    <mergeCell ref="B42:C42"/>
    <mergeCell ref="B56:C56"/>
    <mergeCell ref="B57:C57"/>
    <mergeCell ref="B58:C58"/>
    <mergeCell ref="B59:C59"/>
    <mergeCell ref="B60:C60"/>
    <mergeCell ref="B61:C61"/>
    <mergeCell ref="B50:C50"/>
    <mergeCell ref="B51:C51"/>
    <mergeCell ref="B52:C52"/>
    <mergeCell ref="B53:C53"/>
    <mergeCell ref="B54:C54"/>
    <mergeCell ref="B55:C55"/>
    <mergeCell ref="B68:C68"/>
    <mergeCell ref="B69:C69"/>
    <mergeCell ref="B70:C70"/>
    <mergeCell ref="B71:C71"/>
    <mergeCell ref="B72:C72"/>
    <mergeCell ref="B73:F73"/>
    <mergeCell ref="B62:C62"/>
    <mergeCell ref="B63:C63"/>
    <mergeCell ref="B64:C64"/>
    <mergeCell ref="B65:C65"/>
    <mergeCell ref="B66:C66"/>
    <mergeCell ref="B67:C67"/>
    <mergeCell ref="B80:C80"/>
    <mergeCell ref="B81:F81"/>
    <mergeCell ref="B82:C82"/>
    <mergeCell ref="B83:C83"/>
    <mergeCell ref="B84:C84"/>
    <mergeCell ref="B85:C85"/>
    <mergeCell ref="B74:C74"/>
    <mergeCell ref="B75:C75"/>
    <mergeCell ref="B76:C76"/>
    <mergeCell ref="B77:C77"/>
    <mergeCell ref="B78:F78"/>
    <mergeCell ref="B79:C79"/>
    <mergeCell ref="B91:C91"/>
    <mergeCell ref="B93:C93"/>
    <mergeCell ref="B86:C86"/>
    <mergeCell ref="B87:C87"/>
    <mergeCell ref="B88:F88"/>
    <mergeCell ref="B89:C89"/>
    <mergeCell ref="B90:C90"/>
    <mergeCell ref="B92:C92"/>
    <mergeCell ref="B94:F94"/>
    <mergeCell ref="B95:C95"/>
    <mergeCell ref="B96:C96"/>
    <mergeCell ref="B97:C97"/>
    <mergeCell ref="B98:F98"/>
    <mergeCell ref="B99:C99"/>
    <mergeCell ref="B100:C100"/>
    <mergeCell ref="F112:G112"/>
    <mergeCell ref="F105:G105"/>
    <mergeCell ref="F106:G106"/>
    <mergeCell ref="F111:G111"/>
    <mergeCell ref="B101:C101"/>
    <mergeCell ref="B102:C102"/>
    <mergeCell ref="B103:C103"/>
  </mergeCells>
  <pageMargins left="0.7" right="0.7" top="0.75" bottom="0.75" header="0.3" footer="0.3"/>
  <ignoredErrors>
    <ignoredError sqref="G3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BC21-2B6C-46A7-8758-E0E0F0337BB5}">
  <sheetPr>
    <tabColor rgb="FF92D050"/>
  </sheetPr>
  <dimension ref="A2:N97"/>
  <sheetViews>
    <sheetView zoomScale="85" zoomScaleNormal="85" workbookViewId="0">
      <selection activeCell="C9" sqref="C9:L9"/>
    </sheetView>
  </sheetViews>
  <sheetFormatPr defaultColWidth="9.140625" defaultRowHeight="15.75"/>
  <cols>
    <col min="1" max="1" width="28.28515625" style="19" customWidth="1"/>
    <col min="2" max="2" width="3" style="19" hidden="1" customWidth="1"/>
    <col min="3" max="6" width="9.140625" style="19"/>
    <col min="7" max="7" width="11.28515625" style="19" customWidth="1"/>
    <col min="8" max="8" width="10.85546875" style="20" customWidth="1"/>
    <col min="9" max="9" width="14" style="21" customWidth="1"/>
    <col min="10" max="10" width="20.5703125" style="22" customWidth="1"/>
    <col min="11" max="11" width="8.5703125" style="19" customWidth="1"/>
    <col min="12" max="12" width="23.5703125" style="19" customWidth="1"/>
    <col min="13" max="13" width="18.28515625" style="1" customWidth="1"/>
    <col min="14" max="14" width="40" style="1" customWidth="1"/>
    <col min="15" max="16384" width="9.140625" style="1"/>
  </cols>
  <sheetData>
    <row r="2" spans="1:12" ht="21.75" customHeight="1">
      <c r="A2" s="303" t="s">
        <v>0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5"/>
    </row>
    <row r="3" spans="1:12" ht="20.25" customHeight="1">
      <c r="A3" s="306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8"/>
    </row>
    <row r="4" spans="1:12" ht="22.5" customHeight="1">
      <c r="A4" s="306" t="s">
        <v>427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8"/>
    </row>
    <row r="5" spans="1:12">
      <c r="A5" s="309"/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1"/>
    </row>
    <row r="6" spans="1:12">
      <c r="A6" s="195" t="s">
        <v>2</v>
      </c>
      <c r="B6" s="2" t="s">
        <v>3</v>
      </c>
      <c r="C6" s="312" t="s">
        <v>4</v>
      </c>
      <c r="D6" s="313"/>
      <c r="E6" s="313"/>
      <c r="F6" s="313"/>
      <c r="G6" s="313"/>
      <c r="H6" s="313"/>
      <c r="I6" s="313"/>
      <c r="J6" s="313"/>
      <c r="K6" s="313"/>
      <c r="L6" s="313"/>
    </row>
    <row r="7" spans="1:12">
      <c r="A7" s="196" t="s">
        <v>5</v>
      </c>
      <c r="B7" s="3" t="s">
        <v>3</v>
      </c>
      <c r="C7" s="314" t="s">
        <v>6</v>
      </c>
      <c r="D7" s="315"/>
      <c r="E7" s="315"/>
      <c r="F7" s="315"/>
      <c r="G7" s="315"/>
      <c r="H7" s="315"/>
      <c r="I7" s="315"/>
      <c r="J7" s="315"/>
      <c r="K7" s="315"/>
      <c r="L7" s="315"/>
    </row>
    <row r="8" spans="1:12">
      <c r="A8" s="196" t="s">
        <v>7</v>
      </c>
      <c r="B8" s="3" t="s">
        <v>8</v>
      </c>
      <c r="C8" s="314" t="s">
        <v>9</v>
      </c>
      <c r="D8" s="315"/>
      <c r="E8" s="315"/>
      <c r="F8" s="315"/>
      <c r="G8" s="315"/>
      <c r="H8" s="315"/>
      <c r="I8" s="315"/>
      <c r="J8" s="315"/>
      <c r="K8" s="315"/>
      <c r="L8" s="315"/>
    </row>
    <row r="9" spans="1:12" ht="20.25" customHeight="1">
      <c r="A9" s="196" t="s">
        <v>10</v>
      </c>
      <c r="B9" s="3" t="s">
        <v>3</v>
      </c>
      <c r="C9" s="316" t="s">
        <v>11</v>
      </c>
      <c r="D9" s="317"/>
      <c r="E9" s="317"/>
      <c r="F9" s="317"/>
      <c r="G9" s="317"/>
      <c r="H9" s="317"/>
      <c r="I9" s="317"/>
      <c r="J9" s="317"/>
      <c r="K9" s="317"/>
      <c r="L9" s="317"/>
    </row>
    <row r="10" spans="1:12" ht="20.25" customHeight="1">
      <c r="A10" s="196" t="s">
        <v>12</v>
      </c>
      <c r="B10" s="3" t="s">
        <v>3</v>
      </c>
      <c r="C10" s="316" t="s">
        <v>13</v>
      </c>
      <c r="D10" s="317"/>
      <c r="E10" s="317"/>
      <c r="F10" s="317"/>
      <c r="G10" s="317"/>
      <c r="H10" s="317"/>
      <c r="I10" s="317"/>
      <c r="J10" s="317"/>
      <c r="K10" s="317"/>
      <c r="L10" s="317"/>
    </row>
    <row r="11" spans="1:12" ht="21.75" customHeight="1">
      <c r="A11" s="196" t="s">
        <v>14</v>
      </c>
      <c r="B11" s="3" t="s">
        <v>3</v>
      </c>
      <c r="C11" s="314" t="s">
        <v>392</v>
      </c>
      <c r="D11" s="315"/>
      <c r="E11" s="315"/>
      <c r="F11" s="315"/>
      <c r="G11" s="315"/>
      <c r="H11" s="315"/>
      <c r="I11" s="315"/>
      <c r="J11" s="315"/>
      <c r="K11" s="315"/>
      <c r="L11" s="315"/>
    </row>
    <row r="12" spans="1:12">
      <c r="A12" s="196" t="s">
        <v>15</v>
      </c>
      <c r="B12" s="3" t="s">
        <v>3</v>
      </c>
      <c r="C12" s="314" t="s">
        <v>16</v>
      </c>
      <c r="D12" s="315"/>
      <c r="E12" s="315"/>
      <c r="F12" s="315"/>
      <c r="G12" s="315"/>
      <c r="H12" s="315"/>
      <c r="I12" s="315"/>
      <c r="J12" s="315"/>
      <c r="K12" s="315"/>
      <c r="L12" s="315"/>
    </row>
    <row r="13" spans="1:12">
      <c r="A13" s="196" t="s">
        <v>17</v>
      </c>
      <c r="B13" s="3" t="s">
        <v>3</v>
      </c>
      <c r="C13" s="314"/>
      <c r="D13" s="315"/>
      <c r="E13" s="315"/>
      <c r="F13" s="315"/>
      <c r="G13" s="315"/>
      <c r="H13" s="315"/>
      <c r="I13" s="315"/>
      <c r="J13" s="315"/>
      <c r="K13" s="315"/>
      <c r="L13" s="315"/>
    </row>
    <row r="14" spans="1:12">
      <c r="A14" s="196" t="s">
        <v>18</v>
      </c>
      <c r="B14" s="3" t="s">
        <v>3</v>
      </c>
      <c r="C14" s="314" t="s">
        <v>19</v>
      </c>
      <c r="D14" s="315"/>
      <c r="E14" s="315"/>
      <c r="F14" s="315"/>
      <c r="G14" s="315"/>
      <c r="H14" s="315"/>
      <c r="I14" s="315"/>
      <c r="J14" s="315"/>
      <c r="K14" s="315"/>
      <c r="L14" s="315"/>
    </row>
    <row r="15" spans="1:12">
      <c r="A15" s="196" t="s">
        <v>20</v>
      </c>
      <c r="B15" s="3" t="s">
        <v>3</v>
      </c>
      <c r="C15" s="314"/>
      <c r="D15" s="315"/>
      <c r="E15" s="315"/>
      <c r="F15" s="315"/>
      <c r="G15" s="315"/>
      <c r="H15" s="315"/>
      <c r="I15" s="315"/>
      <c r="J15" s="315"/>
      <c r="K15" s="315"/>
      <c r="L15" s="315"/>
    </row>
    <row r="16" spans="1:12">
      <c r="A16" s="196" t="s">
        <v>67</v>
      </c>
      <c r="B16" s="3" t="s">
        <v>3</v>
      </c>
      <c r="C16" s="314" t="s">
        <v>21</v>
      </c>
      <c r="D16" s="315"/>
      <c r="E16" s="315"/>
      <c r="F16" s="315"/>
      <c r="G16" s="315"/>
      <c r="H16" s="315"/>
      <c r="I16" s="315"/>
      <c r="J16" s="315"/>
      <c r="K16" s="315"/>
      <c r="L16" s="315"/>
    </row>
    <row r="17" spans="1:13">
      <c r="A17" s="196" t="s">
        <v>68</v>
      </c>
      <c r="B17" s="3" t="s">
        <v>3</v>
      </c>
      <c r="C17" s="314" t="s">
        <v>404</v>
      </c>
      <c r="D17" s="315"/>
      <c r="E17" s="315"/>
      <c r="F17" s="315"/>
      <c r="G17" s="315"/>
      <c r="H17" s="315"/>
      <c r="I17" s="315"/>
      <c r="J17" s="315"/>
      <c r="K17" s="315"/>
      <c r="L17" s="315"/>
    </row>
    <row r="18" spans="1:13">
      <c r="A18" s="197" t="s">
        <v>401</v>
      </c>
      <c r="B18" s="3" t="s">
        <v>8</v>
      </c>
      <c r="C18" s="350" t="s">
        <v>402</v>
      </c>
      <c r="D18" s="351"/>
      <c r="E18" s="351"/>
      <c r="F18" s="351"/>
      <c r="G18" s="351"/>
      <c r="H18" s="351"/>
      <c r="I18" s="351"/>
      <c r="J18" s="351"/>
      <c r="K18" s="351"/>
      <c r="L18" s="351"/>
    </row>
    <row r="19" spans="1:13">
      <c r="A19" s="352"/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4"/>
    </row>
    <row r="20" spans="1:13" ht="26.25" customHeight="1">
      <c r="A20" s="303" t="s">
        <v>22</v>
      </c>
      <c r="B20" s="304"/>
      <c r="C20" s="304"/>
      <c r="D20" s="304"/>
      <c r="E20" s="304"/>
      <c r="F20" s="304"/>
      <c r="G20" s="304"/>
      <c r="H20" s="304"/>
      <c r="I20" s="304"/>
      <c r="J20" s="304"/>
      <c r="K20" s="304"/>
      <c r="L20" s="305"/>
    </row>
    <row r="21" spans="1:13">
      <c r="A21" s="355" t="s">
        <v>23</v>
      </c>
      <c r="B21" s="355"/>
      <c r="C21" s="355" t="s">
        <v>24</v>
      </c>
      <c r="D21" s="355"/>
      <c r="E21" s="355"/>
      <c r="F21" s="355"/>
      <c r="G21" s="355"/>
      <c r="H21" s="355"/>
      <c r="I21" s="355"/>
      <c r="J21" s="355"/>
      <c r="K21" s="355"/>
      <c r="L21" s="4" t="s">
        <v>25</v>
      </c>
    </row>
    <row r="22" spans="1:13" ht="34.5" customHeight="1">
      <c r="A22" s="321" t="s">
        <v>26</v>
      </c>
      <c r="B22" s="321"/>
      <c r="C22" s="322" t="s">
        <v>27</v>
      </c>
      <c r="D22" s="322"/>
      <c r="E22" s="322"/>
      <c r="F22" s="322"/>
      <c r="G22" s="322"/>
      <c r="H22" s="322"/>
      <c r="I22" s="322"/>
      <c r="J22" s="322"/>
      <c r="K22" s="322"/>
      <c r="L22" s="6">
        <v>0.64</v>
      </c>
    </row>
    <row r="23" spans="1:13">
      <c r="A23" s="321" t="s">
        <v>28</v>
      </c>
      <c r="B23" s="321"/>
      <c r="C23" s="321" t="s">
        <v>29</v>
      </c>
      <c r="D23" s="321"/>
      <c r="E23" s="321"/>
      <c r="F23" s="321"/>
      <c r="G23" s="321"/>
      <c r="H23" s="321"/>
      <c r="I23" s="321"/>
      <c r="J23" s="321"/>
      <c r="K23" s="321"/>
      <c r="L23" s="202" t="s">
        <v>423</v>
      </c>
    </row>
    <row r="24" spans="1:13">
      <c r="A24" s="321" t="s">
        <v>30</v>
      </c>
      <c r="B24" s="321"/>
      <c r="C24" s="321" t="s">
        <v>31</v>
      </c>
      <c r="D24" s="321"/>
      <c r="E24" s="321"/>
      <c r="F24" s="321"/>
      <c r="G24" s="321"/>
      <c r="H24" s="321"/>
      <c r="I24" s="321"/>
      <c r="J24" s="321"/>
      <c r="K24" s="321"/>
      <c r="L24" s="5" t="s">
        <v>32</v>
      </c>
    </row>
    <row r="25" spans="1:13">
      <c r="A25" s="321" t="s">
        <v>33</v>
      </c>
      <c r="B25" s="321"/>
      <c r="C25" s="322" t="s">
        <v>34</v>
      </c>
      <c r="D25" s="322"/>
      <c r="E25" s="322"/>
      <c r="F25" s="322"/>
      <c r="G25" s="322"/>
      <c r="H25" s="322"/>
      <c r="I25" s="322"/>
      <c r="J25" s="322"/>
      <c r="K25" s="322"/>
      <c r="L25" s="6">
        <v>1</v>
      </c>
    </row>
    <row r="26" spans="1:13" ht="15.75" customHeight="1">
      <c r="A26" s="323" t="s">
        <v>35</v>
      </c>
      <c r="B26" s="324"/>
      <c r="C26" s="324"/>
      <c r="D26" s="324"/>
      <c r="E26" s="324"/>
      <c r="F26" s="324"/>
      <c r="G26" s="324"/>
      <c r="H26" s="324"/>
      <c r="I26" s="324"/>
      <c r="J26" s="324"/>
      <c r="K26" s="324"/>
      <c r="L26" s="325"/>
    </row>
    <row r="27" spans="1:13" ht="15.75" customHeight="1">
      <c r="A27" s="326"/>
      <c r="B27" s="327"/>
      <c r="C27" s="327"/>
      <c r="D27" s="327"/>
      <c r="E27" s="327"/>
      <c r="F27" s="327"/>
      <c r="G27" s="327"/>
      <c r="H27" s="327"/>
      <c r="I27" s="327"/>
      <c r="J27" s="327"/>
      <c r="K27" s="327"/>
      <c r="L27" s="328"/>
    </row>
    <row r="28" spans="1:13">
      <c r="A28" s="329"/>
      <c r="B28" s="330"/>
      <c r="C28" s="330"/>
      <c r="D28" s="330"/>
      <c r="E28" s="330"/>
      <c r="F28" s="330"/>
      <c r="G28" s="330"/>
      <c r="H28" s="330"/>
      <c r="I28" s="330"/>
      <c r="J28" s="330"/>
      <c r="K28" s="330"/>
      <c r="L28" s="331"/>
    </row>
    <row r="29" spans="1:13">
      <c r="A29" s="332" t="s">
        <v>36</v>
      </c>
      <c r="B29" s="332"/>
      <c r="C29" s="332" t="s">
        <v>37</v>
      </c>
      <c r="D29" s="332"/>
      <c r="E29" s="332"/>
      <c r="F29" s="332"/>
      <c r="G29" s="332"/>
      <c r="H29" s="333" t="s">
        <v>38</v>
      </c>
      <c r="I29" s="333"/>
      <c r="J29" s="333"/>
      <c r="K29" s="333"/>
      <c r="L29" s="333"/>
    </row>
    <row r="30" spans="1:13">
      <c r="A30" s="332"/>
      <c r="B30" s="332"/>
      <c r="C30" s="332"/>
      <c r="D30" s="332"/>
      <c r="E30" s="332"/>
      <c r="F30" s="332"/>
      <c r="G30" s="332"/>
      <c r="H30" s="7" t="s">
        <v>39</v>
      </c>
      <c r="I30" s="8" t="s">
        <v>40</v>
      </c>
      <c r="J30" s="9" t="s">
        <v>41</v>
      </c>
      <c r="K30" s="8" t="s">
        <v>42</v>
      </c>
      <c r="L30" s="8" t="s">
        <v>43</v>
      </c>
    </row>
    <row r="31" spans="1:13" ht="24" customHeight="1">
      <c r="A31" s="334">
        <v>5</v>
      </c>
      <c r="B31" s="334"/>
      <c r="C31" s="335" t="s">
        <v>44</v>
      </c>
      <c r="D31" s="336"/>
      <c r="E31" s="336"/>
      <c r="F31" s="336"/>
      <c r="G31" s="337"/>
      <c r="H31" s="23"/>
      <c r="I31" s="24"/>
      <c r="J31" s="25"/>
      <c r="K31" s="26"/>
      <c r="L31" s="26">
        <f>L35</f>
        <v>210484000</v>
      </c>
      <c r="M31" s="10">
        <f>L31-210484000</f>
        <v>0</v>
      </c>
    </row>
    <row r="32" spans="1:13">
      <c r="A32" s="193" t="s">
        <v>393</v>
      </c>
      <c r="B32" s="192"/>
      <c r="C32" s="338" t="s">
        <v>145</v>
      </c>
      <c r="D32" s="339"/>
      <c r="E32" s="339"/>
      <c r="F32" s="339"/>
      <c r="G32" s="340"/>
      <c r="H32" s="30"/>
      <c r="I32" s="29"/>
      <c r="J32" s="31"/>
      <c r="K32" s="32"/>
      <c r="L32" s="32">
        <f>L35</f>
        <v>210484000</v>
      </c>
      <c r="M32" s="10"/>
    </row>
    <row r="33" spans="1:14" ht="27" customHeight="1">
      <c r="A33" s="192" t="s">
        <v>146</v>
      </c>
      <c r="B33" s="192"/>
      <c r="C33" s="338" t="s">
        <v>147</v>
      </c>
      <c r="D33" s="339"/>
      <c r="E33" s="339"/>
      <c r="F33" s="339"/>
      <c r="G33" s="340"/>
      <c r="H33" s="30"/>
      <c r="I33" s="29"/>
      <c r="J33" s="31"/>
      <c r="K33" s="32"/>
      <c r="L33" s="32">
        <f>L35</f>
        <v>210484000</v>
      </c>
    </row>
    <row r="34" spans="1:14" ht="27" customHeight="1">
      <c r="A34" s="334" t="s">
        <v>394</v>
      </c>
      <c r="B34" s="334"/>
      <c r="C34" s="338" t="s">
        <v>395</v>
      </c>
      <c r="D34" s="339"/>
      <c r="E34" s="339"/>
      <c r="F34" s="339"/>
      <c r="G34" s="340"/>
      <c r="H34" s="30"/>
      <c r="I34" s="29"/>
      <c r="J34" s="31"/>
      <c r="K34" s="32"/>
      <c r="L34" s="32">
        <f>L35</f>
        <v>210484000</v>
      </c>
    </row>
    <row r="35" spans="1:14" ht="28.5" customHeight="1">
      <c r="A35" s="334" t="s">
        <v>396</v>
      </c>
      <c r="B35" s="334"/>
      <c r="C35" s="338" t="s">
        <v>397</v>
      </c>
      <c r="D35" s="339"/>
      <c r="E35" s="339"/>
      <c r="F35" s="339"/>
      <c r="G35" s="340"/>
      <c r="H35" s="30"/>
      <c r="I35" s="29"/>
      <c r="J35" s="31"/>
      <c r="K35" s="32"/>
      <c r="L35" s="26">
        <f>L36+L38+L41+L45+L73+L77+L80+L82+L87+L91</f>
        <v>210484000</v>
      </c>
      <c r="N35" s="10"/>
    </row>
    <row r="36" spans="1:14" ht="32.25" customHeight="1">
      <c r="A36" s="192" t="s">
        <v>359</v>
      </c>
      <c r="B36" s="29"/>
      <c r="C36" s="341" t="s">
        <v>360</v>
      </c>
      <c r="D36" s="342"/>
      <c r="E36" s="342"/>
      <c r="F36" s="342"/>
      <c r="G36" s="343"/>
      <c r="H36" s="344"/>
      <c r="I36" s="345"/>
      <c r="J36" s="345"/>
      <c r="K36" s="346"/>
      <c r="L36" s="26">
        <f>L37</f>
        <v>35000000</v>
      </c>
      <c r="N36" s="10"/>
    </row>
    <row r="37" spans="1:14" ht="32.25" customHeight="1">
      <c r="A37" s="192"/>
      <c r="B37" s="29"/>
      <c r="C37" s="347" t="s">
        <v>361</v>
      </c>
      <c r="D37" s="348"/>
      <c r="E37" s="348"/>
      <c r="F37" s="348"/>
      <c r="G37" s="349"/>
      <c r="H37" s="28">
        <v>1</v>
      </c>
      <c r="I37" s="28" t="s">
        <v>362</v>
      </c>
      <c r="J37" s="36">
        <v>35000000</v>
      </c>
      <c r="K37" s="28"/>
      <c r="L37" s="28">
        <f>H37*J37</f>
        <v>35000000</v>
      </c>
      <c r="N37" s="10"/>
    </row>
    <row r="38" spans="1:14" ht="32.25" customHeight="1">
      <c r="A38" s="192" t="s">
        <v>363</v>
      </c>
      <c r="B38" s="29"/>
      <c r="C38" s="341" t="s">
        <v>364</v>
      </c>
      <c r="D38" s="342"/>
      <c r="E38" s="342"/>
      <c r="F38" s="342"/>
      <c r="G38" s="343"/>
      <c r="H38" s="344"/>
      <c r="I38" s="345"/>
      <c r="J38" s="345"/>
      <c r="K38" s="346"/>
      <c r="L38" s="26">
        <f>L39+L40</f>
        <v>71442617</v>
      </c>
      <c r="N38" s="10"/>
    </row>
    <row r="39" spans="1:14" ht="32.25" customHeight="1">
      <c r="A39" s="192"/>
      <c r="B39" s="29"/>
      <c r="C39" s="318" t="s">
        <v>400</v>
      </c>
      <c r="D39" s="319"/>
      <c r="E39" s="319"/>
      <c r="F39" s="319"/>
      <c r="G39" s="320"/>
      <c r="H39" s="32">
        <v>1</v>
      </c>
      <c r="I39" s="28" t="s">
        <v>362</v>
      </c>
      <c r="J39" s="36">
        <v>34442617</v>
      </c>
      <c r="K39" s="32"/>
      <c r="L39" s="28">
        <f>H39*J39</f>
        <v>34442617</v>
      </c>
      <c r="N39" s="10"/>
    </row>
    <row r="40" spans="1:14" ht="32.25" customHeight="1">
      <c r="A40" s="192"/>
      <c r="B40" s="29"/>
      <c r="C40" s="318" t="s">
        <v>399</v>
      </c>
      <c r="D40" s="319"/>
      <c r="E40" s="319"/>
      <c r="F40" s="319"/>
      <c r="G40" s="320"/>
      <c r="H40" s="32">
        <v>1</v>
      </c>
      <c r="I40" s="28" t="s">
        <v>362</v>
      </c>
      <c r="J40" s="36">
        <v>37000000</v>
      </c>
      <c r="K40" s="32"/>
      <c r="L40" s="28">
        <f>H40*J40</f>
        <v>37000000</v>
      </c>
      <c r="M40" s="10"/>
      <c r="N40" s="10"/>
    </row>
    <row r="41" spans="1:14" ht="32.25" customHeight="1">
      <c r="A41" s="192" t="s">
        <v>365</v>
      </c>
      <c r="B41" s="29"/>
      <c r="C41" s="341" t="s">
        <v>366</v>
      </c>
      <c r="D41" s="342"/>
      <c r="E41" s="342"/>
      <c r="F41" s="342"/>
      <c r="G41" s="343"/>
      <c r="H41" s="344"/>
      <c r="I41" s="345"/>
      <c r="J41" s="345"/>
      <c r="K41" s="346"/>
      <c r="L41" s="26">
        <f>L42+L43+L44</f>
        <v>84307608</v>
      </c>
      <c r="N41" s="10"/>
    </row>
    <row r="42" spans="1:14" ht="32.25" customHeight="1">
      <c r="A42" s="198"/>
      <c r="B42" s="33"/>
      <c r="C42" s="318" t="s">
        <v>367</v>
      </c>
      <c r="D42" s="319"/>
      <c r="E42" s="319"/>
      <c r="F42" s="319"/>
      <c r="G42" s="320"/>
      <c r="H42" s="32">
        <f>58*2</f>
        <v>116</v>
      </c>
      <c r="I42" s="28" t="s">
        <v>398</v>
      </c>
      <c r="J42" s="36">
        <f>358050*11%+358050</f>
        <v>397435.5</v>
      </c>
      <c r="K42" s="32"/>
      <c r="L42" s="28">
        <f>H42*J42</f>
        <v>46102518</v>
      </c>
      <c r="N42" s="10"/>
    </row>
    <row r="43" spans="1:14" ht="32.25" customHeight="1">
      <c r="A43" s="198"/>
      <c r="B43" s="33"/>
      <c r="C43" s="347" t="s">
        <v>368</v>
      </c>
      <c r="D43" s="348"/>
      <c r="E43" s="348"/>
      <c r="F43" s="348"/>
      <c r="G43" s="349"/>
      <c r="H43" s="32">
        <f>49*2</f>
        <v>98</v>
      </c>
      <c r="I43" s="28" t="s">
        <v>398</v>
      </c>
      <c r="J43" s="36">
        <f>225500*11%+225500</f>
        <v>250305</v>
      </c>
      <c r="K43" s="182"/>
      <c r="L43" s="28">
        <f>H43*J43</f>
        <v>24529890</v>
      </c>
      <c r="N43" s="10"/>
    </row>
    <row r="44" spans="1:14" ht="32.25" customHeight="1">
      <c r="A44" s="198"/>
      <c r="B44" s="33"/>
      <c r="C44" s="318" t="s">
        <v>369</v>
      </c>
      <c r="D44" s="319"/>
      <c r="E44" s="319"/>
      <c r="F44" s="319"/>
      <c r="G44" s="320"/>
      <c r="H44" s="32">
        <v>16</v>
      </c>
      <c r="I44" s="28" t="s">
        <v>398</v>
      </c>
      <c r="J44" s="36">
        <f xml:space="preserve"> 770000*11%+770000</f>
        <v>854700</v>
      </c>
      <c r="K44" s="32"/>
      <c r="L44" s="28">
        <f>H44*J44</f>
        <v>13675200</v>
      </c>
      <c r="N44" s="10"/>
    </row>
    <row r="45" spans="1:14" ht="31.5" customHeight="1">
      <c r="A45" s="335" t="s">
        <v>355</v>
      </c>
      <c r="B45" s="337"/>
      <c r="C45" s="356" t="s">
        <v>356</v>
      </c>
      <c r="D45" s="357"/>
      <c r="E45" s="357"/>
      <c r="F45" s="357"/>
      <c r="G45" s="358"/>
      <c r="H45" s="344"/>
      <c r="I45" s="345"/>
      <c r="J45" s="345"/>
      <c r="K45" s="346"/>
      <c r="L45" s="26">
        <f>SUM(L46:L72)</f>
        <v>2941875</v>
      </c>
      <c r="M45" s="13"/>
    </row>
    <row r="46" spans="1:14" s="15" customFormat="1" ht="39" customHeight="1">
      <c r="A46" s="284"/>
      <c r="B46" s="284"/>
      <c r="C46" s="293" t="s">
        <v>86</v>
      </c>
      <c r="D46" s="294"/>
      <c r="E46" s="294"/>
      <c r="F46" s="294"/>
      <c r="G46" s="359"/>
      <c r="H46" s="35">
        <v>2</v>
      </c>
      <c r="I46" s="35" t="s">
        <v>54</v>
      </c>
      <c r="J46" s="34">
        <v>29100</v>
      </c>
      <c r="K46" s="34"/>
      <c r="L46" s="34">
        <f>H46*J46</f>
        <v>58200</v>
      </c>
      <c r="M46" s="14"/>
    </row>
    <row r="47" spans="1:14" s="15" customFormat="1" ht="39" customHeight="1">
      <c r="A47" s="199"/>
      <c r="B47" s="34"/>
      <c r="C47" s="280" t="s">
        <v>87</v>
      </c>
      <c r="D47" s="281"/>
      <c r="E47" s="281"/>
      <c r="F47" s="281"/>
      <c r="G47" s="282"/>
      <c r="H47" s="35">
        <v>2</v>
      </c>
      <c r="I47" s="35" t="s">
        <v>54</v>
      </c>
      <c r="J47" s="34">
        <v>37300</v>
      </c>
      <c r="K47" s="34"/>
      <c r="L47" s="34">
        <f t="shared" ref="L47:L72" si="0">H47*J47</f>
        <v>74600</v>
      </c>
      <c r="M47" s="14"/>
    </row>
    <row r="48" spans="1:14" s="15" customFormat="1" ht="39" customHeight="1">
      <c r="A48" s="284"/>
      <c r="B48" s="284"/>
      <c r="C48" s="280" t="s">
        <v>88</v>
      </c>
      <c r="D48" s="281"/>
      <c r="E48" s="281"/>
      <c r="F48" s="281"/>
      <c r="G48" s="282"/>
      <c r="H48" s="35">
        <v>2</v>
      </c>
      <c r="I48" s="35" t="s">
        <v>56</v>
      </c>
      <c r="J48" s="34">
        <v>283500</v>
      </c>
      <c r="K48" s="34"/>
      <c r="L48" s="34">
        <f t="shared" si="0"/>
        <v>567000</v>
      </c>
      <c r="M48" s="14"/>
    </row>
    <row r="49" spans="1:13" s="15" customFormat="1" ht="51" customHeight="1">
      <c r="A49" s="284"/>
      <c r="B49" s="284"/>
      <c r="C49" s="280" t="s">
        <v>89</v>
      </c>
      <c r="D49" s="281"/>
      <c r="E49" s="281"/>
      <c r="F49" s="281"/>
      <c r="G49" s="282"/>
      <c r="H49" s="35">
        <v>2</v>
      </c>
      <c r="I49" s="35" t="s">
        <v>56</v>
      </c>
      <c r="J49" s="34">
        <v>55650</v>
      </c>
      <c r="K49" s="34"/>
      <c r="L49" s="34">
        <f t="shared" si="0"/>
        <v>111300</v>
      </c>
      <c r="M49" s="14"/>
    </row>
    <row r="50" spans="1:13" s="15" customFormat="1" ht="39" customHeight="1">
      <c r="A50" s="284"/>
      <c r="B50" s="284"/>
      <c r="C50" s="280" t="s">
        <v>90</v>
      </c>
      <c r="D50" s="281"/>
      <c r="E50" s="281"/>
      <c r="F50" s="281"/>
      <c r="G50" s="282"/>
      <c r="H50" s="35">
        <v>2</v>
      </c>
      <c r="I50" s="35" t="s">
        <v>54</v>
      </c>
      <c r="J50" s="34">
        <v>4725</v>
      </c>
      <c r="K50" s="34"/>
      <c r="L50" s="34">
        <f t="shared" si="0"/>
        <v>9450</v>
      </c>
      <c r="M50" s="14"/>
    </row>
    <row r="51" spans="1:13" s="15" customFormat="1" ht="45" customHeight="1">
      <c r="A51" s="284"/>
      <c r="B51" s="284"/>
      <c r="C51" s="280" t="s">
        <v>91</v>
      </c>
      <c r="D51" s="281"/>
      <c r="E51" s="281"/>
      <c r="F51" s="281"/>
      <c r="G51" s="282"/>
      <c r="H51" s="35">
        <v>2</v>
      </c>
      <c r="I51" s="35" t="s">
        <v>54</v>
      </c>
      <c r="J51" s="34">
        <v>14700</v>
      </c>
      <c r="K51" s="34"/>
      <c r="L51" s="34">
        <f t="shared" si="0"/>
        <v>29400</v>
      </c>
      <c r="M51" s="16"/>
    </row>
    <row r="52" spans="1:13" s="15" customFormat="1" ht="39" customHeight="1">
      <c r="A52" s="284"/>
      <c r="B52" s="284"/>
      <c r="C52" s="280" t="s">
        <v>92</v>
      </c>
      <c r="D52" s="281"/>
      <c r="E52" s="281"/>
      <c r="F52" s="281"/>
      <c r="G52" s="282"/>
      <c r="H52" s="35">
        <v>2</v>
      </c>
      <c r="I52" s="35" t="s">
        <v>54</v>
      </c>
      <c r="J52" s="34">
        <v>53500</v>
      </c>
      <c r="K52" s="34"/>
      <c r="L52" s="34">
        <f t="shared" si="0"/>
        <v>107000</v>
      </c>
      <c r="M52" s="14"/>
    </row>
    <row r="53" spans="1:13" s="15" customFormat="1" ht="39" customHeight="1">
      <c r="A53" s="284"/>
      <c r="B53" s="284"/>
      <c r="C53" s="280" t="s">
        <v>93</v>
      </c>
      <c r="D53" s="281"/>
      <c r="E53" s="281"/>
      <c r="F53" s="281"/>
      <c r="G53" s="282"/>
      <c r="H53" s="35">
        <v>5</v>
      </c>
      <c r="I53" s="35" t="s">
        <v>55</v>
      </c>
      <c r="J53" s="34">
        <v>60775</v>
      </c>
      <c r="K53" s="34"/>
      <c r="L53" s="34">
        <f t="shared" si="0"/>
        <v>303875</v>
      </c>
      <c r="M53" s="14"/>
    </row>
    <row r="54" spans="1:13" s="15" customFormat="1" ht="35.25" customHeight="1">
      <c r="A54" s="284"/>
      <c r="B54" s="284"/>
      <c r="C54" s="280" t="s">
        <v>94</v>
      </c>
      <c r="D54" s="281"/>
      <c r="E54" s="281"/>
      <c r="F54" s="281"/>
      <c r="G54" s="282"/>
      <c r="H54" s="35">
        <v>1</v>
      </c>
      <c r="I54" s="35" t="s">
        <v>57</v>
      </c>
      <c r="J54" s="34">
        <v>22200</v>
      </c>
      <c r="K54" s="34"/>
      <c r="L54" s="34">
        <f t="shared" si="0"/>
        <v>22200</v>
      </c>
      <c r="M54" s="16"/>
    </row>
    <row r="55" spans="1:13" s="15" customFormat="1" ht="33" customHeight="1">
      <c r="A55" s="199"/>
      <c r="B55" s="34"/>
      <c r="C55" s="280" t="s">
        <v>95</v>
      </c>
      <c r="D55" s="281"/>
      <c r="E55" s="281"/>
      <c r="F55" s="281"/>
      <c r="G55" s="282"/>
      <c r="H55" s="35">
        <v>5</v>
      </c>
      <c r="I55" s="35" t="s">
        <v>54</v>
      </c>
      <c r="J55" s="34">
        <v>44100</v>
      </c>
      <c r="K55" s="34"/>
      <c r="L55" s="34">
        <f t="shared" si="0"/>
        <v>220500</v>
      </c>
      <c r="M55" s="16"/>
    </row>
    <row r="56" spans="1:13" s="15" customFormat="1" ht="30" customHeight="1">
      <c r="A56" s="284"/>
      <c r="B56" s="284"/>
      <c r="C56" s="280" t="s">
        <v>96</v>
      </c>
      <c r="D56" s="281"/>
      <c r="E56" s="281"/>
      <c r="F56" s="281"/>
      <c r="G56" s="282"/>
      <c r="H56" s="35">
        <v>5</v>
      </c>
      <c r="I56" s="35" t="s">
        <v>54</v>
      </c>
      <c r="J56" s="34">
        <v>37275</v>
      </c>
      <c r="K56" s="34"/>
      <c r="L56" s="34">
        <f t="shared" si="0"/>
        <v>186375</v>
      </c>
      <c r="M56" s="16"/>
    </row>
    <row r="57" spans="1:13" s="18" customFormat="1" ht="30.75" customHeight="1">
      <c r="A57" s="283"/>
      <c r="B57" s="283"/>
      <c r="C57" s="280" t="s">
        <v>97</v>
      </c>
      <c r="D57" s="281"/>
      <c r="E57" s="281"/>
      <c r="F57" s="281"/>
      <c r="G57" s="282"/>
      <c r="H57" s="35">
        <v>10</v>
      </c>
      <c r="I57" s="35" t="s">
        <v>55</v>
      </c>
      <c r="J57" s="37">
        <v>9800</v>
      </c>
      <c r="K57" s="34"/>
      <c r="L57" s="34">
        <f t="shared" si="0"/>
        <v>98000</v>
      </c>
      <c r="M57" s="17"/>
    </row>
    <row r="58" spans="1:13" s="18" customFormat="1" ht="30.75" customHeight="1">
      <c r="A58" s="200"/>
      <c r="B58" s="194"/>
      <c r="C58" s="280" t="s">
        <v>98</v>
      </c>
      <c r="D58" s="281"/>
      <c r="E58" s="281"/>
      <c r="F58" s="281"/>
      <c r="G58" s="282"/>
      <c r="H58" s="35">
        <v>2</v>
      </c>
      <c r="I58" s="35" t="s">
        <v>54</v>
      </c>
      <c r="J58" s="37">
        <v>130200</v>
      </c>
      <c r="K58" s="34"/>
      <c r="L58" s="34">
        <f t="shared" si="0"/>
        <v>260400</v>
      </c>
      <c r="M58" s="17"/>
    </row>
    <row r="59" spans="1:13" s="18" customFormat="1" ht="30.75" customHeight="1">
      <c r="A59" s="283"/>
      <c r="B59" s="283"/>
      <c r="C59" s="280" t="s">
        <v>99</v>
      </c>
      <c r="D59" s="281"/>
      <c r="E59" s="281"/>
      <c r="F59" s="281"/>
      <c r="G59" s="282"/>
      <c r="H59" s="35">
        <v>1</v>
      </c>
      <c r="I59" s="35" t="s">
        <v>76</v>
      </c>
      <c r="J59" s="37">
        <v>34175</v>
      </c>
      <c r="K59" s="34"/>
      <c r="L59" s="34">
        <f t="shared" si="0"/>
        <v>34175</v>
      </c>
      <c r="M59" s="17"/>
    </row>
    <row r="60" spans="1:13" s="18" customFormat="1" ht="30.75" customHeight="1">
      <c r="A60" s="283"/>
      <c r="B60" s="283"/>
      <c r="C60" s="280" t="s">
        <v>100</v>
      </c>
      <c r="D60" s="281"/>
      <c r="E60" s="281"/>
      <c r="F60" s="281"/>
      <c r="G60" s="282"/>
      <c r="H60" s="35">
        <v>1</v>
      </c>
      <c r="I60" s="35" t="s">
        <v>76</v>
      </c>
      <c r="J60" s="34">
        <v>28875</v>
      </c>
      <c r="K60" s="34"/>
      <c r="L60" s="34">
        <f t="shared" si="0"/>
        <v>28875</v>
      </c>
      <c r="M60" s="17"/>
    </row>
    <row r="61" spans="1:13" s="18" customFormat="1" ht="30.75" customHeight="1">
      <c r="A61" s="283"/>
      <c r="B61" s="283"/>
      <c r="C61" s="280" t="s">
        <v>101</v>
      </c>
      <c r="D61" s="281"/>
      <c r="E61" s="281"/>
      <c r="F61" s="281"/>
      <c r="G61" s="282"/>
      <c r="H61" s="35">
        <v>1</v>
      </c>
      <c r="I61" s="35" t="s">
        <v>76</v>
      </c>
      <c r="J61" s="34">
        <v>20175</v>
      </c>
      <c r="K61" s="34"/>
      <c r="L61" s="34">
        <f t="shared" si="0"/>
        <v>20175</v>
      </c>
      <c r="M61" s="17"/>
    </row>
    <row r="62" spans="1:13" s="15" customFormat="1" ht="38.25" customHeight="1">
      <c r="A62" s="284"/>
      <c r="B62" s="284"/>
      <c r="C62" s="280" t="s">
        <v>102</v>
      </c>
      <c r="D62" s="281"/>
      <c r="E62" s="281"/>
      <c r="F62" s="281"/>
      <c r="G62" s="282"/>
      <c r="H62" s="35">
        <v>1</v>
      </c>
      <c r="I62" s="35" t="s">
        <v>55</v>
      </c>
      <c r="J62" s="34">
        <v>15000</v>
      </c>
      <c r="K62" s="34"/>
      <c r="L62" s="34">
        <f t="shared" si="0"/>
        <v>15000</v>
      </c>
      <c r="M62" s="16"/>
    </row>
    <row r="63" spans="1:13" s="15" customFormat="1" ht="38.25" customHeight="1">
      <c r="A63" s="199"/>
      <c r="B63" s="34"/>
      <c r="C63" s="280" t="s">
        <v>103</v>
      </c>
      <c r="D63" s="281"/>
      <c r="E63" s="281"/>
      <c r="F63" s="281"/>
      <c r="G63" s="282"/>
      <c r="H63" s="35">
        <v>1</v>
      </c>
      <c r="I63" s="35" t="s">
        <v>55</v>
      </c>
      <c r="J63" s="34">
        <v>20900</v>
      </c>
      <c r="K63" s="34"/>
      <c r="L63" s="34">
        <f t="shared" si="0"/>
        <v>20900</v>
      </c>
      <c r="M63" s="16"/>
    </row>
    <row r="64" spans="1:13" s="15" customFormat="1" ht="30" customHeight="1">
      <c r="A64" s="284"/>
      <c r="B64" s="284"/>
      <c r="C64" s="280" t="s">
        <v>104</v>
      </c>
      <c r="D64" s="281"/>
      <c r="E64" s="281"/>
      <c r="F64" s="281"/>
      <c r="G64" s="282"/>
      <c r="H64" s="35">
        <v>1</v>
      </c>
      <c r="I64" s="35" t="s">
        <v>55</v>
      </c>
      <c r="J64" s="34">
        <v>20800</v>
      </c>
      <c r="K64" s="34"/>
      <c r="L64" s="34">
        <f t="shared" si="0"/>
        <v>20800</v>
      </c>
      <c r="M64" s="16"/>
    </row>
    <row r="65" spans="1:13" s="15" customFormat="1" ht="30" customHeight="1">
      <c r="A65" s="284"/>
      <c r="B65" s="284"/>
      <c r="C65" s="280" t="s">
        <v>105</v>
      </c>
      <c r="D65" s="281"/>
      <c r="E65" s="281"/>
      <c r="F65" s="281"/>
      <c r="G65" s="282"/>
      <c r="H65" s="35">
        <v>1</v>
      </c>
      <c r="I65" s="35" t="s">
        <v>55</v>
      </c>
      <c r="J65" s="34">
        <v>10500</v>
      </c>
      <c r="K65" s="34"/>
      <c r="L65" s="34">
        <f t="shared" si="0"/>
        <v>10500</v>
      </c>
      <c r="M65" s="16"/>
    </row>
    <row r="66" spans="1:13" s="18" customFormat="1" ht="30.75" customHeight="1">
      <c r="A66" s="284"/>
      <c r="B66" s="284"/>
      <c r="C66" s="280" t="s">
        <v>106</v>
      </c>
      <c r="D66" s="281"/>
      <c r="E66" s="281"/>
      <c r="F66" s="281"/>
      <c r="G66" s="282"/>
      <c r="H66" s="35">
        <v>1</v>
      </c>
      <c r="I66" s="35" t="s">
        <v>55</v>
      </c>
      <c r="J66" s="34">
        <v>11000</v>
      </c>
      <c r="K66" s="34"/>
      <c r="L66" s="34">
        <f t="shared" si="0"/>
        <v>11000</v>
      </c>
      <c r="M66" s="17"/>
    </row>
    <row r="67" spans="1:13" s="15" customFormat="1" ht="28.5" customHeight="1">
      <c r="A67" s="284"/>
      <c r="B67" s="284"/>
      <c r="C67" s="280" t="s">
        <v>107</v>
      </c>
      <c r="D67" s="281"/>
      <c r="E67" s="281"/>
      <c r="F67" s="281"/>
      <c r="G67" s="282"/>
      <c r="H67" s="35">
        <v>1</v>
      </c>
      <c r="I67" s="35" t="s">
        <v>60</v>
      </c>
      <c r="J67" s="32">
        <v>13650</v>
      </c>
      <c r="K67" s="34"/>
      <c r="L67" s="34">
        <f t="shared" si="0"/>
        <v>13650</v>
      </c>
      <c r="M67" s="16"/>
    </row>
    <row r="68" spans="1:13" s="15" customFormat="1" ht="25.5" customHeight="1">
      <c r="A68" s="199"/>
      <c r="B68" s="34"/>
      <c r="C68" s="280" t="s">
        <v>108</v>
      </c>
      <c r="D68" s="281"/>
      <c r="E68" s="281"/>
      <c r="F68" s="281"/>
      <c r="G68" s="282"/>
      <c r="H68" s="35">
        <v>1</v>
      </c>
      <c r="I68" s="35" t="s">
        <v>55</v>
      </c>
      <c r="J68" s="32">
        <v>20325</v>
      </c>
      <c r="K68" s="32"/>
      <c r="L68" s="34">
        <f t="shared" si="0"/>
        <v>20325</v>
      </c>
      <c r="M68" s="16"/>
    </row>
    <row r="69" spans="1:13" s="15" customFormat="1" ht="27.75" customHeight="1">
      <c r="A69" s="199"/>
      <c r="B69" s="34"/>
      <c r="C69" s="280" t="s">
        <v>109</v>
      </c>
      <c r="D69" s="281"/>
      <c r="E69" s="281"/>
      <c r="F69" s="281"/>
      <c r="G69" s="282"/>
      <c r="H69" s="35">
        <v>2</v>
      </c>
      <c r="I69" s="35" t="s">
        <v>76</v>
      </c>
      <c r="J69" s="32">
        <v>157725</v>
      </c>
      <c r="K69" s="32"/>
      <c r="L69" s="34">
        <f t="shared" si="0"/>
        <v>315450</v>
      </c>
      <c r="M69" s="16"/>
    </row>
    <row r="70" spans="1:13" s="15" customFormat="1" ht="24.75" customHeight="1">
      <c r="A70" s="199"/>
      <c r="B70" s="34"/>
      <c r="C70" s="280" t="s">
        <v>110</v>
      </c>
      <c r="D70" s="281"/>
      <c r="E70" s="281"/>
      <c r="F70" s="281"/>
      <c r="G70" s="282"/>
      <c r="H70" s="35">
        <v>2</v>
      </c>
      <c r="I70" s="35" t="s">
        <v>76</v>
      </c>
      <c r="J70" s="32">
        <v>164850</v>
      </c>
      <c r="K70" s="32"/>
      <c r="L70" s="34">
        <f t="shared" si="0"/>
        <v>329700</v>
      </c>
      <c r="M70" s="16"/>
    </row>
    <row r="71" spans="1:13" s="15" customFormat="1" ht="27.75" customHeight="1">
      <c r="A71" s="284"/>
      <c r="B71" s="284"/>
      <c r="C71" s="280" t="s">
        <v>111</v>
      </c>
      <c r="D71" s="281"/>
      <c r="E71" s="281"/>
      <c r="F71" s="281"/>
      <c r="G71" s="282"/>
      <c r="H71" s="35">
        <v>1</v>
      </c>
      <c r="I71" s="35" t="s">
        <v>55</v>
      </c>
      <c r="J71" s="34">
        <v>27300</v>
      </c>
      <c r="K71" s="34"/>
      <c r="L71" s="34">
        <f t="shared" si="0"/>
        <v>27300</v>
      </c>
      <c r="M71" s="16"/>
    </row>
    <row r="72" spans="1:13" s="15" customFormat="1" ht="25.5" customHeight="1">
      <c r="A72" s="284"/>
      <c r="B72" s="284"/>
      <c r="C72" s="296" t="s">
        <v>112</v>
      </c>
      <c r="D72" s="297"/>
      <c r="E72" s="297"/>
      <c r="F72" s="297"/>
      <c r="G72" s="302"/>
      <c r="H72" s="35">
        <v>1</v>
      </c>
      <c r="I72" s="35" t="s">
        <v>55</v>
      </c>
      <c r="J72" s="34">
        <v>25725</v>
      </c>
      <c r="K72" s="34"/>
      <c r="L72" s="34">
        <f t="shared" si="0"/>
        <v>25725</v>
      </c>
      <c r="M72" s="16"/>
    </row>
    <row r="73" spans="1:13" s="15" customFormat="1" ht="36.75" customHeight="1">
      <c r="A73" s="289" t="s">
        <v>182</v>
      </c>
      <c r="B73" s="289"/>
      <c r="C73" s="290" t="s">
        <v>353</v>
      </c>
      <c r="D73" s="291"/>
      <c r="E73" s="291"/>
      <c r="F73" s="291"/>
      <c r="G73" s="292"/>
      <c r="H73" s="344"/>
      <c r="I73" s="345"/>
      <c r="J73" s="345"/>
      <c r="K73" s="346"/>
      <c r="L73" s="42">
        <f>SUM(L74:L76)</f>
        <v>3831500</v>
      </c>
      <c r="M73" s="16"/>
    </row>
    <row r="74" spans="1:13" s="15" customFormat="1" ht="36" customHeight="1">
      <c r="A74" s="284"/>
      <c r="B74" s="284"/>
      <c r="C74" s="293" t="s">
        <v>113</v>
      </c>
      <c r="D74" s="294"/>
      <c r="E74" s="294"/>
      <c r="F74" s="294"/>
      <c r="G74" s="295"/>
      <c r="H74" s="34">
        <v>5640</v>
      </c>
      <c r="I74" s="34" t="s">
        <v>62</v>
      </c>
      <c r="J74" s="34">
        <v>350</v>
      </c>
      <c r="K74" s="34"/>
      <c r="L74" s="34">
        <f t="shared" ref="L74:L79" si="1">H74*J74</f>
        <v>1974000</v>
      </c>
      <c r="M74" s="16"/>
    </row>
    <row r="75" spans="1:13" s="15" customFormat="1" ht="50.25" customHeight="1">
      <c r="A75" s="284"/>
      <c r="B75" s="284"/>
      <c r="C75" s="296" t="s">
        <v>114</v>
      </c>
      <c r="D75" s="297"/>
      <c r="E75" s="297"/>
      <c r="F75" s="297"/>
      <c r="G75" s="298"/>
      <c r="H75" s="34">
        <v>10</v>
      </c>
      <c r="I75" s="34" t="s">
        <v>57</v>
      </c>
      <c r="J75" s="34">
        <v>72000</v>
      </c>
      <c r="K75" s="34"/>
      <c r="L75" s="34">
        <f t="shared" si="1"/>
        <v>720000</v>
      </c>
      <c r="M75" s="16"/>
    </row>
    <row r="76" spans="1:13" s="15" customFormat="1" ht="36" customHeight="1">
      <c r="A76" s="199"/>
      <c r="B76" s="34"/>
      <c r="C76" s="299" t="s">
        <v>115</v>
      </c>
      <c r="D76" s="300"/>
      <c r="E76" s="300"/>
      <c r="F76" s="300"/>
      <c r="G76" s="301"/>
      <c r="H76" s="34">
        <v>3250</v>
      </c>
      <c r="I76" s="34" t="s">
        <v>62</v>
      </c>
      <c r="J76" s="34">
        <v>350</v>
      </c>
      <c r="K76" s="34"/>
      <c r="L76" s="34">
        <f t="shared" si="1"/>
        <v>1137500</v>
      </c>
      <c r="M76" s="16"/>
    </row>
    <row r="77" spans="1:13" s="15" customFormat="1" ht="33" customHeight="1">
      <c r="A77" s="289" t="s">
        <v>184</v>
      </c>
      <c r="B77" s="289"/>
      <c r="C77" s="290" t="s">
        <v>349</v>
      </c>
      <c r="D77" s="291"/>
      <c r="E77" s="291"/>
      <c r="F77" s="291"/>
      <c r="G77" s="292"/>
      <c r="H77" s="344"/>
      <c r="I77" s="345"/>
      <c r="J77" s="345"/>
      <c r="K77" s="346"/>
      <c r="L77" s="42">
        <f>SUM(L78:L79)</f>
        <v>2475000</v>
      </c>
      <c r="M77" s="16"/>
    </row>
    <row r="78" spans="1:13" s="15" customFormat="1" ht="51" customHeight="1">
      <c r="A78" s="284"/>
      <c r="B78" s="284"/>
      <c r="C78" s="285" t="s">
        <v>63</v>
      </c>
      <c r="D78" s="286"/>
      <c r="E78" s="286"/>
      <c r="F78" s="286"/>
      <c r="G78" s="287"/>
      <c r="H78" s="34">
        <v>50</v>
      </c>
      <c r="I78" s="34" t="s">
        <v>64</v>
      </c>
      <c r="J78" s="34">
        <v>33000</v>
      </c>
      <c r="K78" s="34"/>
      <c r="L78" s="34">
        <f t="shared" si="1"/>
        <v>1650000</v>
      </c>
      <c r="M78" s="16"/>
    </row>
    <row r="79" spans="1:13" s="18" customFormat="1" ht="49.5" customHeight="1">
      <c r="A79" s="283"/>
      <c r="B79" s="283"/>
      <c r="C79" s="285" t="s">
        <v>65</v>
      </c>
      <c r="D79" s="286"/>
      <c r="E79" s="286"/>
      <c r="F79" s="286"/>
      <c r="G79" s="287"/>
      <c r="H79" s="34">
        <v>50</v>
      </c>
      <c r="I79" s="34" t="s">
        <v>64</v>
      </c>
      <c r="J79" s="34">
        <v>16500</v>
      </c>
      <c r="K79" s="34"/>
      <c r="L79" s="34">
        <f t="shared" si="1"/>
        <v>825000</v>
      </c>
      <c r="M79" s="17"/>
    </row>
    <row r="80" spans="1:13" s="15" customFormat="1" ht="30" customHeight="1">
      <c r="A80" s="289" t="s">
        <v>150</v>
      </c>
      <c r="B80" s="289"/>
      <c r="C80" s="290" t="s">
        <v>350</v>
      </c>
      <c r="D80" s="291"/>
      <c r="E80" s="291"/>
      <c r="F80" s="291"/>
      <c r="G80" s="292"/>
      <c r="H80" s="344"/>
      <c r="I80" s="345"/>
      <c r="J80" s="345"/>
      <c r="K80" s="346"/>
      <c r="L80" s="42">
        <f>SUM(L81)</f>
        <v>300000</v>
      </c>
      <c r="M80" s="16"/>
    </row>
    <row r="81" spans="1:14" s="15" customFormat="1" ht="30" customHeight="1">
      <c r="A81" s="284"/>
      <c r="B81" s="284"/>
      <c r="C81" s="285" t="s">
        <v>59</v>
      </c>
      <c r="D81" s="286"/>
      <c r="E81" s="286"/>
      <c r="F81" s="286"/>
      <c r="G81" s="287"/>
      <c r="H81" s="34">
        <v>30</v>
      </c>
      <c r="I81" s="34" t="s">
        <v>60</v>
      </c>
      <c r="J81" s="34">
        <v>10000</v>
      </c>
      <c r="K81" s="34"/>
      <c r="L81" s="34">
        <f>H81*J81</f>
        <v>300000</v>
      </c>
      <c r="M81" s="16"/>
    </row>
    <row r="82" spans="1:14" s="18" customFormat="1" ht="30.75" customHeight="1">
      <c r="A82" s="289" t="s">
        <v>351</v>
      </c>
      <c r="B82" s="289"/>
      <c r="C82" s="290" t="s">
        <v>352</v>
      </c>
      <c r="D82" s="291"/>
      <c r="E82" s="291"/>
      <c r="F82" s="291"/>
      <c r="G82" s="292"/>
      <c r="H82" s="34"/>
      <c r="I82" s="34"/>
      <c r="J82" s="34"/>
      <c r="K82" s="34"/>
      <c r="L82" s="42">
        <f>SUM(L83:L86)</f>
        <v>1732500</v>
      </c>
      <c r="M82" s="17"/>
    </row>
    <row r="83" spans="1:14" s="15" customFormat="1" ht="27" customHeight="1">
      <c r="A83" s="284"/>
      <c r="B83" s="284"/>
      <c r="C83" s="293" t="s">
        <v>116</v>
      </c>
      <c r="D83" s="294"/>
      <c r="E83" s="294"/>
      <c r="F83" s="294"/>
      <c r="G83" s="295"/>
      <c r="H83" s="34">
        <v>5</v>
      </c>
      <c r="I83" s="34" t="s">
        <v>55</v>
      </c>
      <c r="J83" s="35">
        <v>157500</v>
      </c>
      <c r="K83" s="34"/>
      <c r="L83" s="34">
        <f>H83*J83</f>
        <v>787500</v>
      </c>
      <c r="M83" s="16"/>
    </row>
    <row r="84" spans="1:14" s="15" customFormat="1" ht="27" customHeight="1">
      <c r="A84" s="199"/>
      <c r="B84" s="34"/>
      <c r="C84" s="280" t="s">
        <v>117</v>
      </c>
      <c r="D84" s="281"/>
      <c r="E84" s="281"/>
      <c r="F84" s="281"/>
      <c r="G84" s="288"/>
      <c r="H84" s="34">
        <v>2</v>
      </c>
      <c r="I84" s="34" t="s">
        <v>55</v>
      </c>
      <c r="J84" s="35">
        <v>157500</v>
      </c>
      <c r="K84" s="34"/>
      <c r="L84" s="34">
        <f>H84*J84</f>
        <v>315000</v>
      </c>
      <c r="M84" s="16"/>
    </row>
    <row r="85" spans="1:14" s="15" customFormat="1" ht="22.5" customHeight="1">
      <c r="A85" s="199"/>
      <c r="B85" s="34"/>
      <c r="C85" s="280" t="s">
        <v>118</v>
      </c>
      <c r="D85" s="281"/>
      <c r="E85" s="281"/>
      <c r="F85" s="281"/>
      <c r="G85" s="288"/>
      <c r="H85" s="34">
        <v>2</v>
      </c>
      <c r="I85" s="34" t="s">
        <v>55</v>
      </c>
      <c r="J85" s="35">
        <v>157500</v>
      </c>
      <c r="K85" s="34"/>
      <c r="L85" s="34">
        <f>H85*J85</f>
        <v>315000</v>
      </c>
      <c r="M85" s="16"/>
    </row>
    <row r="86" spans="1:14" s="15" customFormat="1" ht="25.5" customHeight="1">
      <c r="A86" s="199"/>
      <c r="B86" s="34"/>
      <c r="C86" s="296" t="s">
        <v>119</v>
      </c>
      <c r="D86" s="297"/>
      <c r="E86" s="297"/>
      <c r="F86" s="297"/>
      <c r="G86" s="298"/>
      <c r="H86" s="34">
        <v>2</v>
      </c>
      <c r="I86" s="34" t="s">
        <v>55</v>
      </c>
      <c r="J86" s="35">
        <v>157500</v>
      </c>
      <c r="K86" s="34"/>
      <c r="L86" s="34">
        <f>H86*J86</f>
        <v>315000</v>
      </c>
      <c r="M86" s="16"/>
    </row>
    <row r="87" spans="1:14" s="15" customFormat="1" ht="27.75" customHeight="1">
      <c r="A87" s="289" t="s">
        <v>357</v>
      </c>
      <c r="B87" s="289"/>
      <c r="C87" s="290" t="s">
        <v>358</v>
      </c>
      <c r="D87" s="291"/>
      <c r="E87" s="291"/>
      <c r="F87" s="291"/>
      <c r="G87" s="292"/>
      <c r="H87" s="344"/>
      <c r="I87" s="345"/>
      <c r="J87" s="345"/>
      <c r="K87" s="346"/>
      <c r="L87" s="42">
        <f>SUM(L88:L90)</f>
        <v>7300000</v>
      </c>
      <c r="M87" s="16"/>
    </row>
    <row r="88" spans="1:14" s="15" customFormat="1" ht="49.5" customHeight="1">
      <c r="A88" s="284"/>
      <c r="B88" s="284"/>
      <c r="C88" s="293" t="s">
        <v>120</v>
      </c>
      <c r="D88" s="294"/>
      <c r="E88" s="294"/>
      <c r="F88" s="294"/>
      <c r="G88" s="359"/>
      <c r="H88" s="35">
        <v>5</v>
      </c>
      <c r="I88" s="35" t="s">
        <v>123</v>
      </c>
      <c r="J88" s="35">
        <v>130000</v>
      </c>
      <c r="K88" s="34"/>
      <c r="L88" s="34">
        <f>H88*J88</f>
        <v>650000</v>
      </c>
      <c r="M88" s="16"/>
    </row>
    <row r="89" spans="1:14" s="15" customFormat="1" ht="54.75" customHeight="1">
      <c r="A89" s="284"/>
      <c r="B89" s="284"/>
      <c r="C89" s="280" t="s">
        <v>121</v>
      </c>
      <c r="D89" s="281"/>
      <c r="E89" s="281"/>
      <c r="F89" s="281"/>
      <c r="G89" s="282"/>
      <c r="H89" s="35">
        <v>10</v>
      </c>
      <c r="I89" s="35" t="s">
        <v>123</v>
      </c>
      <c r="J89" s="35">
        <v>155000</v>
      </c>
      <c r="K89" s="34"/>
      <c r="L89" s="34">
        <f t="shared" ref="L89:L90" si="2">H89*J89</f>
        <v>1550000</v>
      </c>
      <c r="M89" s="16"/>
    </row>
    <row r="90" spans="1:14" s="15" customFormat="1" ht="54.75" customHeight="1">
      <c r="A90" s="199"/>
      <c r="B90" s="34"/>
      <c r="C90" s="296" t="s">
        <v>122</v>
      </c>
      <c r="D90" s="297"/>
      <c r="E90" s="297"/>
      <c r="F90" s="297"/>
      <c r="G90" s="302"/>
      <c r="H90" s="35">
        <v>30</v>
      </c>
      <c r="I90" s="35" t="s">
        <v>123</v>
      </c>
      <c r="J90" s="35">
        <v>170000</v>
      </c>
      <c r="K90" s="34"/>
      <c r="L90" s="34">
        <f t="shared" si="2"/>
        <v>5100000</v>
      </c>
      <c r="M90" s="16"/>
    </row>
    <row r="91" spans="1:14" s="15" customFormat="1" ht="36.75" customHeight="1">
      <c r="A91" s="289" t="s">
        <v>178</v>
      </c>
      <c r="B91" s="289"/>
      <c r="C91" s="290" t="s">
        <v>354</v>
      </c>
      <c r="D91" s="291"/>
      <c r="E91" s="291"/>
      <c r="F91" s="291"/>
      <c r="G91" s="292"/>
      <c r="H91" s="344"/>
      <c r="I91" s="345"/>
      <c r="J91" s="345"/>
      <c r="K91" s="346"/>
      <c r="L91" s="42">
        <f>SUM(L92:L93)</f>
        <v>1152900</v>
      </c>
      <c r="M91" s="16"/>
    </row>
    <row r="92" spans="1:14" s="15" customFormat="1" ht="28.5" customHeight="1">
      <c r="A92" s="284"/>
      <c r="B92" s="284"/>
      <c r="C92" s="293" t="s">
        <v>124</v>
      </c>
      <c r="D92" s="294"/>
      <c r="E92" s="294"/>
      <c r="F92" s="294"/>
      <c r="G92" s="359"/>
      <c r="H92" s="35">
        <v>10</v>
      </c>
      <c r="I92" s="35" t="s">
        <v>58</v>
      </c>
      <c r="J92" s="35">
        <v>96600</v>
      </c>
      <c r="K92" s="34"/>
      <c r="L92" s="34">
        <f t="shared" ref="L92:L93" si="3">H92*J92</f>
        <v>966000</v>
      </c>
      <c r="M92" s="16"/>
    </row>
    <row r="93" spans="1:14" s="15" customFormat="1" ht="32.25" customHeight="1">
      <c r="A93" s="284"/>
      <c r="B93" s="284"/>
      <c r="C93" s="296" t="s">
        <v>125</v>
      </c>
      <c r="D93" s="297"/>
      <c r="E93" s="297"/>
      <c r="F93" s="297"/>
      <c r="G93" s="302"/>
      <c r="H93" s="38">
        <v>2</v>
      </c>
      <c r="I93" s="38" t="s">
        <v>58</v>
      </c>
      <c r="J93" s="38">
        <v>93450</v>
      </c>
      <c r="K93" s="34"/>
      <c r="L93" s="34">
        <f t="shared" si="3"/>
        <v>186900</v>
      </c>
      <c r="M93" s="16"/>
    </row>
    <row r="94" spans="1:14" s="11" customFormat="1" ht="53.25" customHeight="1">
      <c r="A94" s="201"/>
      <c r="B94" s="27"/>
      <c r="C94" s="365"/>
      <c r="D94" s="366"/>
      <c r="E94" s="366"/>
      <c r="F94" s="366"/>
      <c r="G94" s="367"/>
      <c r="H94" s="344"/>
      <c r="I94" s="345"/>
      <c r="J94" s="345"/>
      <c r="K94" s="346"/>
      <c r="L94" s="41"/>
      <c r="N94" s="12"/>
    </row>
    <row r="95" spans="1:14" s="15" customFormat="1" ht="49.5" customHeight="1">
      <c r="A95" s="360"/>
      <c r="B95" s="360"/>
      <c r="C95" s="361"/>
      <c r="D95" s="362"/>
      <c r="E95" s="362"/>
      <c r="F95" s="362"/>
      <c r="G95" s="363"/>
      <c r="H95" s="39"/>
      <c r="I95" s="39"/>
      <c r="J95" s="40"/>
      <c r="K95" s="34"/>
      <c r="L95" s="28"/>
      <c r="M95" s="16"/>
    </row>
    <row r="96" spans="1:14" s="15" customFormat="1" ht="51" customHeight="1">
      <c r="A96" s="284"/>
      <c r="B96" s="284"/>
      <c r="C96" s="361"/>
      <c r="D96" s="362"/>
      <c r="E96" s="362"/>
      <c r="F96" s="362"/>
      <c r="G96" s="363"/>
      <c r="H96" s="39"/>
      <c r="I96" s="39"/>
      <c r="J96" s="40"/>
      <c r="K96" s="34"/>
      <c r="L96" s="28"/>
      <c r="M96" s="16"/>
    </row>
    <row r="97" spans="1:13" s="18" customFormat="1" ht="49.5" customHeight="1">
      <c r="A97" s="364"/>
      <c r="B97" s="364"/>
      <c r="C97" s="361"/>
      <c r="D97" s="362"/>
      <c r="E97" s="362"/>
      <c r="F97" s="362"/>
      <c r="G97" s="363"/>
      <c r="H97" s="39"/>
      <c r="I97" s="39"/>
      <c r="J97" s="40"/>
      <c r="K97" s="34"/>
      <c r="L97" s="28"/>
      <c r="M97" s="17"/>
    </row>
  </sheetData>
  <mergeCells count="153">
    <mergeCell ref="A95:B95"/>
    <mergeCell ref="C95:G95"/>
    <mergeCell ref="A96:B96"/>
    <mergeCell ref="C96:G96"/>
    <mergeCell ref="A97:B97"/>
    <mergeCell ref="C97:G97"/>
    <mergeCell ref="H91:K91"/>
    <mergeCell ref="A92:B92"/>
    <mergeCell ref="C92:G92"/>
    <mergeCell ref="A93:B93"/>
    <mergeCell ref="C93:G93"/>
    <mergeCell ref="C94:G94"/>
    <mergeCell ref="A91:B91"/>
    <mergeCell ref="C91:G91"/>
    <mergeCell ref="A54:B54"/>
    <mergeCell ref="C54:G54"/>
    <mergeCell ref="H45:K45"/>
    <mergeCell ref="A46:B46"/>
    <mergeCell ref="C46:G46"/>
    <mergeCell ref="C47:G47"/>
    <mergeCell ref="A48:B48"/>
    <mergeCell ref="C48:G48"/>
    <mergeCell ref="H94:K94"/>
    <mergeCell ref="H87:K87"/>
    <mergeCell ref="A88:B88"/>
    <mergeCell ref="C88:G88"/>
    <mergeCell ref="A89:B89"/>
    <mergeCell ref="C89:G89"/>
    <mergeCell ref="C90:G90"/>
    <mergeCell ref="A82:B82"/>
    <mergeCell ref="C82:G82"/>
    <mergeCell ref="A83:B83"/>
    <mergeCell ref="C83:G83"/>
    <mergeCell ref="C86:G86"/>
    <mergeCell ref="A87:B87"/>
    <mergeCell ref="C87:G87"/>
    <mergeCell ref="H73:K73"/>
    <mergeCell ref="A74:B74"/>
    <mergeCell ref="H77:K77"/>
    <mergeCell ref="A78:B78"/>
    <mergeCell ref="C78:G78"/>
    <mergeCell ref="A79:B79"/>
    <mergeCell ref="C79:G79"/>
    <mergeCell ref="A80:B80"/>
    <mergeCell ref="C80:G80"/>
    <mergeCell ref="H80:K80"/>
    <mergeCell ref="A51:B51"/>
    <mergeCell ref="C51:G51"/>
    <mergeCell ref="A52:B52"/>
    <mergeCell ref="C52:G52"/>
    <mergeCell ref="A53:B53"/>
    <mergeCell ref="C53:G53"/>
    <mergeCell ref="A77:B77"/>
    <mergeCell ref="C77:G77"/>
    <mergeCell ref="C55:G55"/>
    <mergeCell ref="A56:B56"/>
    <mergeCell ref="A62:B62"/>
    <mergeCell ref="C62:G62"/>
    <mergeCell ref="C63:G63"/>
    <mergeCell ref="A64:B64"/>
    <mergeCell ref="C64:G64"/>
    <mergeCell ref="A65:B65"/>
    <mergeCell ref="A49:B49"/>
    <mergeCell ref="C49:G49"/>
    <mergeCell ref="A50:B50"/>
    <mergeCell ref="C50:G50"/>
    <mergeCell ref="H41:K41"/>
    <mergeCell ref="C42:G42"/>
    <mergeCell ref="C43:G43"/>
    <mergeCell ref="C44:G44"/>
    <mergeCell ref="A45:B45"/>
    <mergeCell ref="C45:G45"/>
    <mergeCell ref="C41:G41"/>
    <mergeCell ref="C11:L11"/>
    <mergeCell ref="C12:L12"/>
    <mergeCell ref="C35:G35"/>
    <mergeCell ref="C13:L13"/>
    <mergeCell ref="C14:L14"/>
    <mergeCell ref="C15:L15"/>
    <mergeCell ref="C16:L16"/>
    <mergeCell ref="C17:L17"/>
    <mergeCell ref="C18:L18"/>
    <mergeCell ref="A19:L19"/>
    <mergeCell ref="A20:L20"/>
    <mergeCell ref="A21:B21"/>
    <mergeCell ref="C21:K21"/>
    <mergeCell ref="A23:B23"/>
    <mergeCell ref="C23:K23"/>
    <mergeCell ref="A24:B24"/>
    <mergeCell ref="C24:K24"/>
    <mergeCell ref="A22:B22"/>
    <mergeCell ref="C22:K22"/>
    <mergeCell ref="C40:G40"/>
    <mergeCell ref="A25:B25"/>
    <mergeCell ref="C25:K25"/>
    <mergeCell ref="A26:L28"/>
    <mergeCell ref="A29:B30"/>
    <mergeCell ref="C29:G30"/>
    <mergeCell ref="H29:L29"/>
    <mergeCell ref="A31:B31"/>
    <mergeCell ref="C31:G31"/>
    <mergeCell ref="C32:G32"/>
    <mergeCell ref="C39:G39"/>
    <mergeCell ref="C33:G33"/>
    <mergeCell ref="A34:B34"/>
    <mergeCell ref="C34:G34"/>
    <mergeCell ref="A35:B35"/>
    <mergeCell ref="C36:G36"/>
    <mergeCell ref="H36:K36"/>
    <mergeCell ref="C37:G37"/>
    <mergeCell ref="C38:G38"/>
    <mergeCell ref="H38:K38"/>
    <mergeCell ref="A2:L2"/>
    <mergeCell ref="A3:L3"/>
    <mergeCell ref="A4:L4"/>
    <mergeCell ref="A5:L5"/>
    <mergeCell ref="C6:L6"/>
    <mergeCell ref="C7:L7"/>
    <mergeCell ref="C8:L8"/>
    <mergeCell ref="C9:L9"/>
    <mergeCell ref="C10:L10"/>
    <mergeCell ref="A81:B81"/>
    <mergeCell ref="C81:G81"/>
    <mergeCell ref="C84:G84"/>
    <mergeCell ref="C85:G85"/>
    <mergeCell ref="A66:B66"/>
    <mergeCell ref="C66:G66"/>
    <mergeCell ref="A67:B67"/>
    <mergeCell ref="C67:G67"/>
    <mergeCell ref="A73:B73"/>
    <mergeCell ref="C73:G73"/>
    <mergeCell ref="C74:G74"/>
    <mergeCell ref="A75:B75"/>
    <mergeCell ref="C75:G75"/>
    <mergeCell ref="C76:G76"/>
    <mergeCell ref="C68:G68"/>
    <mergeCell ref="C69:G69"/>
    <mergeCell ref="C70:G70"/>
    <mergeCell ref="A71:B71"/>
    <mergeCell ref="C71:G71"/>
    <mergeCell ref="A72:B72"/>
    <mergeCell ref="C72:G72"/>
    <mergeCell ref="C65:G65"/>
    <mergeCell ref="C56:G56"/>
    <mergeCell ref="A57:B57"/>
    <mergeCell ref="C57:G57"/>
    <mergeCell ref="C58:G58"/>
    <mergeCell ref="A59:B59"/>
    <mergeCell ref="A60:B60"/>
    <mergeCell ref="C60:G60"/>
    <mergeCell ref="A61:B61"/>
    <mergeCell ref="C61:G61"/>
    <mergeCell ref="C59:G59"/>
  </mergeCells>
  <pageMargins left="0.7" right="0.7" top="0.75" bottom="0.75" header="0.3" footer="0.3"/>
  <pageSetup paperSize="9" orientation="portrait" horizontalDpi="0" verticalDpi="0" r:id="rId1"/>
  <ignoredErrors>
    <ignoredError sqref="L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2075-0AE5-4D6D-B572-0C21D3CDFB34}">
  <sheetPr>
    <tabColor rgb="FF92D050"/>
  </sheetPr>
  <dimension ref="A1:CA687"/>
  <sheetViews>
    <sheetView zoomScale="85" zoomScaleNormal="85" workbookViewId="0">
      <selection activeCell="A3" sqref="A3:G3"/>
    </sheetView>
  </sheetViews>
  <sheetFormatPr defaultColWidth="9.140625" defaultRowHeight="15"/>
  <cols>
    <col min="1" max="1" width="21.7109375" style="44" customWidth="1"/>
    <col min="2" max="2" width="36.5703125" style="44" customWidth="1"/>
    <col min="3" max="3" width="27.28515625" style="44" customWidth="1"/>
    <col min="4" max="4" width="14.42578125" style="109" customWidth="1"/>
    <col min="5" max="5" width="14" style="110" customWidth="1"/>
    <col min="6" max="6" width="21.28515625" style="44" customWidth="1"/>
    <col min="7" max="7" width="29.7109375" style="44" customWidth="1"/>
    <col min="8" max="16384" width="9.140625" style="44"/>
  </cols>
  <sheetData>
    <row r="1" spans="1:79" s="43" customFormat="1" ht="57.2" customHeight="1">
      <c r="A1" s="242" t="s">
        <v>128</v>
      </c>
      <c r="B1" s="243"/>
      <c r="C1" s="243"/>
      <c r="D1" s="243"/>
      <c r="E1" s="243"/>
      <c r="F1" s="243"/>
      <c r="G1" s="244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</row>
    <row r="2" spans="1:79" s="43" customFormat="1" ht="36.6" customHeight="1">
      <c r="A2" s="245" t="s">
        <v>378</v>
      </c>
      <c r="B2" s="246"/>
      <c r="C2" s="246"/>
      <c r="D2" s="246"/>
      <c r="E2" s="246"/>
      <c r="F2" s="246"/>
      <c r="G2" s="24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</row>
    <row r="3" spans="1:79" s="43" customFormat="1" ht="14.25" customHeight="1">
      <c r="A3" s="248" t="s">
        <v>129</v>
      </c>
      <c r="B3" s="249"/>
      <c r="C3" s="249"/>
      <c r="D3" s="249"/>
      <c r="E3" s="249"/>
      <c r="F3" s="249"/>
      <c r="G3" s="250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7"/>
      <c r="BY3" s="117"/>
      <c r="BZ3" s="117"/>
      <c r="CA3" s="117"/>
    </row>
    <row r="4" spans="1:79" s="43" customFormat="1" ht="14.25" customHeight="1">
      <c r="A4" s="248" t="s">
        <v>130</v>
      </c>
      <c r="B4" s="249"/>
      <c r="C4" s="249"/>
      <c r="D4" s="249"/>
      <c r="E4" s="249"/>
      <c r="F4" s="249"/>
      <c r="G4" s="250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</row>
    <row r="5" spans="1:79" s="43" customFormat="1" ht="14.25" customHeight="1">
      <c r="A5" s="248" t="s">
        <v>131</v>
      </c>
      <c r="B5" s="249"/>
      <c r="C5" s="249"/>
      <c r="D5" s="249"/>
      <c r="E5" s="249"/>
      <c r="F5" s="249"/>
      <c r="G5" s="250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</row>
    <row r="6" spans="1:79" s="43" customFormat="1" ht="14.25" customHeight="1">
      <c r="A6" s="248" t="s">
        <v>132</v>
      </c>
      <c r="B6" s="249"/>
      <c r="C6" s="249"/>
      <c r="D6" s="249"/>
      <c r="E6" s="249"/>
      <c r="F6" s="249"/>
      <c r="G6" s="250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</row>
    <row r="7" spans="1:79" s="148" customFormat="1" ht="14.25" customHeight="1">
      <c r="A7" s="368" t="s">
        <v>133</v>
      </c>
      <c r="B7" s="368"/>
      <c r="C7" s="368"/>
      <c r="D7" s="368"/>
      <c r="E7" s="368"/>
      <c r="F7" s="368"/>
      <c r="G7" s="368"/>
    </row>
    <row r="8" spans="1:79" s="148" customFormat="1" ht="14.25" customHeight="1">
      <c r="A8" s="368" t="s">
        <v>134</v>
      </c>
      <c r="B8" s="368"/>
      <c r="C8" s="368"/>
      <c r="D8" s="368"/>
      <c r="E8" s="368"/>
      <c r="F8" s="368"/>
      <c r="G8" s="368"/>
    </row>
    <row r="9" spans="1:79" s="148" customFormat="1" ht="14.25" customHeight="1">
      <c r="A9" s="368" t="s">
        <v>343</v>
      </c>
      <c r="B9" s="368"/>
      <c r="C9" s="368"/>
      <c r="D9" s="368"/>
      <c r="E9" s="368"/>
      <c r="F9" s="368"/>
      <c r="G9" s="368"/>
    </row>
    <row r="10" spans="1:79" s="148" customFormat="1" ht="14.25" customHeight="1">
      <c r="A10" s="225" t="s">
        <v>136</v>
      </c>
      <c r="B10" s="225"/>
      <c r="C10" s="225"/>
      <c r="D10" s="225"/>
      <c r="E10" s="225"/>
      <c r="F10" s="225"/>
    </row>
    <row r="11" spans="1:79" s="148" customFormat="1" ht="14.25" customHeight="1">
      <c r="A11" s="225" t="s">
        <v>137</v>
      </c>
      <c r="B11" s="225"/>
      <c r="C11" s="225"/>
      <c r="D11" s="225"/>
      <c r="E11" s="225"/>
      <c r="F11" s="225"/>
    </row>
    <row r="12" spans="1:79" s="148" customFormat="1" ht="14.25" customHeight="1">
      <c r="A12" s="225" t="s">
        <v>138</v>
      </c>
      <c r="B12" s="225"/>
      <c r="C12" s="225"/>
      <c r="D12" s="225"/>
      <c r="E12" s="225"/>
      <c r="F12" s="225"/>
    </row>
    <row r="13" spans="1:79" s="148" customFormat="1" ht="14.25" customHeight="1">
      <c r="A13" s="225" t="s">
        <v>139</v>
      </c>
      <c r="B13" s="225"/>
      <c r="C13" s="225"/>
      <c r="D13" s="225"/>
      <c r="E13" s="225"/>
      <c r="F13" s="225"/>
    </row>
    <row r="14" spans="1:79" s="148" customFormat="1" ht="14.25" customHeight="1">
      <c r="A14" s="225" t="s">
        <v>140</v>
      </c>
      <c r="B14" s="225"/>
      <c r="C14" s="225"/>
      <c r="D14" s="225"/>
      <c r="E14" s="225"/>
      <c r="F14" s="225"/>
    </row>
    <row r="15" spans="1:79" s="148" customFormat="1" ht="14.25" customHeight="1">
      <c r="A15" s="225" t="s">
        <v>141</v>
      </c>
      <c r="B15" s="225"/>
      <c r="C15" s="225"/>
      <c r="D15" s="225"/>
      <c r="E15" s="225"/>
      <c r="F15" s="225"/>
    </row>
    <row r="16" spans="1:79" s="148" customFormat="1" ht="14.25" customHeight="1">
      <c r="A16" s="225" t="s">
        <v>342</v>
      </c>
      <c r="B16" s="225"/>
      <c r="C16" s="225"/>
      <c r="D16" s="225"/>
      <c r="E16" s="225"/>
      <c r="F16" s="225"/>
    </row>
    <row r="17" spans="1:7" s="148" customFormat="1" ht="14.25" customHeight="1">
      <c r="A17" s="225" t="s">
        <v>410</v>
      </c>
      <c r="B17" s="225"/>
      <c r="C17" s="225"/>
      <c r="D17" s="225"/>
      <c r="E17" s="225"/>
      <c r="F17" s="225"/>
      <c r="G17" s="149"/>
    </row>
    <row r="18" spans="1:7" s="148" customFormat="1" ht="14.25" customHeight="1">
      <c r="A18" s="229" t="s">
        <v>409</v>
      </c>
      <c r="B18" s="229"/>
      <c r="C18" s="229"/>
      <c r="D18" s="229"/>
      <c r="E18" s="229"/>
      <c r="F18" s="229"/>
      <c r="G18" s="149"/>
    </row>
    <row r="19" spans="1:7" ht="60.75" customHeight="1">
      <c r="A19" s="253" t="s">
        <v>142</v>
      </c>
      <c r="B19" s="254"/>
      <c r="C19" s="254"/>
      <c r="D19" s="254"/>
      <c r="E19" s="254"/>
      <c r="F19" s="254"/>
      <c r="G19" s="255"/>
    </row>
    <row r="20" spans="1:7" ht="26.25" customHeight="1">
      <c r="A20" s="256" t="s">
        <v>22</v>
      </c>
      <c r="B20" s="256"/>
      <c r="C20" s="256"/>
      <c r="D20" s="256"/>
      <c r="E20" s="256"/>
      <c r="F20" s="256"/>
      <c r="G20" s="256"/>
    </row>
    <row r="21" spans="1:7" ht="18.75" customHeight="1">
      <c r="A21" s="45" t="s">
        <v>23</v>
      </c>
      <c r="B21" s="257" t="s">
        <v>24</v>
      </c>
      <c r="C21" s="257"/>
      <c r="D21" s="257"/>
      <c r="E21" s="257" t="s">
        <v>25</v>
      </c>
      <c r="F21" s="257"/>
      <c r="G21" s="257"/>
    </row>
    <row r="22" spans="1:7" ht="36" customHeight="1">
      <c r="A22" s="46" t="s">
        <v>26</v>
      </c>
      <c r="B22" s="258" t="s">
        <v>143</v>
      </c>
      <c r="C22" s="258"/>
      <c r="D22" s="258"/>
      <c r="E22" s="259">
        <v>0.64</v>
      </c>
      <c r="F22" s="259"/>
      <c r="G22" s="259"/>
    </row>
    <row r="23" spans="1:7" ht="27" customHeight="1">
      <c r="A23" s="46" t="s">
        <v>28</v>
      </c>
      <c r="B23" s="258" t="s">
        <v>29</v>
      </c>
      <c r="C23" s="258"/>
      <c r="D23" s="258"/>
      <c r="E23" s="258" t="s">
        <v>420</v>
      </c>
      <c r="F23" s="258"/>
      <c r="G23" s="258"/>
    </row>
    <row r="24" spans="1:7" ht="39.75" customHeight="1">
      <c r="A24" s="46" t="s">
        <v>30</v>
      </c>
      <c r="B24" s="258" t="s">
        <v>144</v>
      </c>
      <c r="C24" s="258"/>
      <c r="D24" s="258"/>
      <c r="E24" s="258" t="s">
        <v>421</v>
      </c>
      <c r="F24" s="258"/>
      <c r="G24" s="258"/>
    </row>
    <row r="25" spans="1:7" ht="34.5" customHeight="1">
      <c r="A25" s="46" t="s">
        <v>33</v>
      </c>
      <c r="B25" s="258" t="s">
        <v>34</v>
      </c>
      <c r="C25" s="258"/>
      <c r="D25" s="258"/>
      <c r="E25" s="259">
        <v>1</v>
      </c>
      <c r="F25" s="259"/>
      <c r="G25" s="259"/>
    </row>
    <row r="26" spans="1:7">
      <c r="A26" s="265" t="s">
        <v>35</v>
      </c>
      <c r="B26" s="266"/>
      <c r="C26" s="266"/>
      <c r="D26" s="266"/>
      <c r="E26" s="266"/>
      <c r="F26" s="266"/>
      <c r="G26" s="267"/>
    </row>
    <row r="27" spans="1:7">
      <c r="A27" s="268"/>
      <c r="B27" s="269"/>
      <c r="C27" s="269"/>
      <c r="D27" s="269"/>
      <c r="E27" s="269"/>
      <c r="F27" s="269"/>
      <c r="G27" s="270"/>
    </row>
    <row r="28" spans="1:7">
      <c r="A28" s="271"/>
      <c r="B28" s="272"/>
      <c r="C28" s="272"/>
      <c r="D28" s="272"/>
      <c r="E28" s="272"/>
      <c r="F28" s="272"/>
      <c r="G28" s="273"/>
    </row>
    <row r="29" spans="1:7" ht="30.75" customHeight="1">
      <c r="A29" s="274" t="s">
        <v>36</v>
      </c>
      <c r="B29" s="274" t="s">
        <v>37</v>
      </c>
      <c r="C29" s="276"/>
      <c r="D29" s="278" t="s">
        <v>38</v>
      </c>
      <c r="E29" s="279"/>
      <c r="F29" s="279"/>
      <c r="G29" s="48"/>
    </row>
    <row r="30" spans="1:7" ht="30.75" customHeight="1">
      <c r="A30" s="275"/>
      <c r="B30" s="275"/>
      <c r="C30" s="277"/>
      <c r="D30" s="48" t="s">
        <v>39</v>
      </c>
      <c r="E30" s="49" t="s">
        <v>40</v>
      </c>
      <c r="F30" s="48" t="s">
        <v>41</v>
      </c>
      <c r="G30" s="48" t="s">
        <v>43</v>
      </c>
    </row>
    <row r="31" spans="1:7" ht="22.5" customHeight="1">
      <c r="A31" s="158">
        <v>5</v>
      </c>
      <c r="B31" s="264" t="s">
        <v>44</v>
      </c>
      <c r="C31" s="264"/>
      <c r="D31" s="264"/>
      <c r="E31" s="264"/>
      <c r="F31" s="264"/>
      <c r="G31" s="54">
        <f>G32</f>
        <v>5845158000</v>
      </c>
    </row>
    <row r="32" spans="1:7" ht="31.5" customHeight="1">
      <c r="A32" s="159" t="s">
        <v>45</v>
      </c>
      <c r="B32" s="264" t="s">
        <v>46</v>
      </c>
      <c r="C32" s="264"/>
      <c r="D32" s="264"/>
      <c r="E32" s="264"/>
      <c r="F32" s="264"/>
      <c r="G32" s="54">
        <f>G33</f>
        <v>5845158000</v>
      </c>
    </row>
    <row r="33" spans="1:79" s="59" customFormat="1" ht="30.75" customHeight="1">
      <c r="A33" s="160">
        <v>37743</v>
      </c>
      <c r="B33" s="264" t="s">
        <v>47</v>
      </c>
      <c r="C33" s="264"/>
      <c r="D33" s="264"/>
      <c r="E33" s="264"/>
      <c r="F33" s="264"/>
      <c r="G33" s="54">
        <f>G34</f>
        <v>5845158000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</row>
    <row r="34" spans="1:79" ht="30.75" customHeight="1">
      <c r="A34" s="161" t="s">
        <v>48</v>
      </c>
      <c r="B34" s="264" t="s">
        <v>49</v>
      </c>
      <c r="C34" s="264"/>
      <c r="D34" s="264"/>
      <c r="E34" s="264"/>
      <c r="F34" s="264"/>
      <c r="G34" s="54">
        <f>G35</f>
        <v>5845158000</v>
      </c>
    </row>
    <row r="35" spans="1:79" ht="30.75" customHeight="1">
      <c r="A35" s="161" t="s">
        <v>50</v>
      </c>
      <c r="B35" s="264" t="s">
        <v>51</v>
      </c>
      <c r="C35" s="264"/>
      <c r="D35" s="264"/>
      <c r="E35" s="264"/>
      <c r="F35" s="264"/>
      <c r="G35" s="54">
        <f>G36</f>
        <v>5845158000</v>
      </c>
    </row>
    <row r="36" spans="1:79" s="152" customFormat="1" ht="30.75" customHeight="1">
      <c r="A36" s="150" t="s">
        <v>52</v>
      </c>
      <c r="B36" s="260" t="s">
        <v>325</v>
      </c>
      <c r="C36" s="260"/>
      <c r="D36" s="260"/>
      <c r="E36" s="260"/>
      <c r="F36" s="260"/>
      <c r="G36" s="151">
        <f>G37+G90+G143+G196+G249+G302+G355+G408</f>
        <v>5845158000</v>
      </c>
    </row>
    <row r="37" spans="1:79" ht="19.5" customHeight="1">
      <c r="A37" s="180"/>
      <c r="B37" s="261" t="s">
        <v>411</v>
      </c>
      <c r="C37" s="262"/>
      <c r="D37" s="262"/>
      <c r="E37" s="262"/>
      <c r="F37" s="263"/>
      <c r="G37" s="181">
        <f>G38+G39+G40+G41+G43+G71+G76+G79+G83+G86</f>
        <v>358350500</v>
      </c>
    </row>
    <row r="38" spans="1:79" s="172" customFormat="1" ht="57.75" customHeight="1">
      <c r="A38" s="166"/>
      <c r="B38" s="234" t="s">
        <v>337</v>
      </c>
      <c r="C38" s="234"/>
      <c r="D38" s="167">
        <v>1</v>
      </c>
      <c r="E38" s="168" t="s">
        <v>53</v>
      </c>
      <c r="F38" s="169">
        <v>12500000</v>
      </c>
      <c r="G38" s="170">
        <f>D38*F38</f>
        <v>12500000</v>
      </c>
      <c r="H38" s="171">
        <v>7400000000</v>
      </c>
    </row>
    <row r="39" spans="1:79" s="163" customFormat="1" ht="57.75" customHeight="1">
      <c r="A39" s="166"/>
      <c r="B39" s="235" t="s">
        <v>344</v>
      </c>
      <c r="C39" s="235"/>
      <c r="D39" s="167">
        <v>1</v>
      </c>
      <c r="E39" s="168" t="s">
        <v>339</v>
      </c>
      <c r="F39" s="169">
        <v>271500000</v>
      </c>
      <c r="G39" s="170">
        <f>D39*F39</f>
        <v>271500000</v>
      </c>
      <c r="H39" s="163">
        <f>H38/F39</f>
        <v>27.25598526703499</v>
      </c>
      <c r="J39" s="173">
        <f>7419431490/F39</f>
        <v>27.327556132596683</v>
      </c>
    </row>
    <row r="40" spans="1:79" s="163" customFormat="1" ht="57.75" customHeight="1">
      <c r="A40" s="162"/>
      <c r="B40" s="208" t="s">
        <v>340</v>
      </c>
      <c r="C40" s="208"/>
      <c r="D40" s="67">
        <v>1</v>
      </c>
      <c r="E40" s="68" t="s">
        <v>53</v>
      </c>
      <c r="F40" s="165">
        <v>19750000</v>
      </c>
      <c r="G40" s="170">
        <f t="shared" ref="G40" si="0">D40*F40</f>
        <v>19750000</v>
      </c>
    </row>
    <row r="41" spans="1:79" s="64" customFormat="1" ht="30.75" customHeight="1">
      <c r="A41" s="50"/>
      <c r="B41" s="232" t="s">
        <v>151</v>
      </c>
      <c r="C41" s="241"/>
      <c r="D41" s="61"/>
      <c r="E41" s="62"/>
      <c r="F41" s="63"/>
      <c r="G41" s="63">
        <f>SUM(G42)</f>
        <v>500000</v>
      </c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8"/>
      <c r="BD41" s="118"/>
      <c r="BE41" s="118"/>
      <c r="BF41" s="118"/>
      <c r="BG41" s="118"/>
      <c r="BH41" s="118"/>
      <c r="BI41" s="118"/>
      <c r="BJ41" s="118"/>
      <c r="BK41" s="118"/>
      <c r="BL41" s="118"/>
      <c r="BM41" s="118"/>
      <c r="BN41" s="118"/>
      <c r="BO41" s="118"/>
      <c r="BP41" s="118"/>
      <c r="BQ41" s="118"/>
      <c r="BR41" s="118"/>
      <c r="BS41" s="118"/>
      <c r="BT41" s="118"/>
      <c r="BU41" s="118"/>
      <c r="BV41" s="118"/>
      <c r="BW41" s="118"/>
      <c r="BX41" s="118"/>
      <c r="BY41" s="118"/>
      <c r="BZ41" s="118"/>
      <c r="CA41" s="118"/>
    </row>
    <row r="42" spans="1:79" s="71" customFormat="1" ht="30.75" customHeight="1">
      <c r="A42" s="50"/>
      <c r="B42" s="65" t="s">
        <v>75</v>
      </c>
      <c r="C42" s="66"/>
      <c r="D42" s="67">
        <v>50</v>
      </c>
      <c r="E42" s="68" t="s">
        <v>60</v>
      </c>
      <c r="F42" s="69">
        <v>10000</v>
      </c>
      <c r="G42" s="70">
        <f>D42*F42</f>
        <v>500000</v>
      </c>
    </row>
    <row r="43" spans="1:79" s="75" customFormat="1" ht="30.75" customHeight="1">
      <c r="A43" s="50"/>
      <c r="B43" s="232" t="s">
        <v>153</v>
      </c>
      <c r="C43" s="233"/>
      <c r="D43" s="72"/>
      <c r="E43" s="60"/>
      <c r="F43" s="73"/>
      <c r="G43" s="74">
        <f>SUM(G44:G70)</f>
        <v>11689250</v>
      </c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</row>
    <row r="44" spans="1:79" ht="23.25" customHeight="1">
      <c r="A44" s="50"/>
      <c r="B44" s="208" t="s">
        <v>154</v>
      </c>
      <c r="C44" s="208"/>
      <c r="D44" s="67">
        <v>5</v>
      </c>
      <c r="E44" s="76" t="s">
        <v>54</v>
      </c>
      <c r="F44" s="77">
        <v>29100</v>
      </c>
      <c r="G44" s="78">
        <f t="shared" ref="G44:G70" si="1">D44*F44</f>
        <v>145500</v>
      </c>
    </row>
    <row r="45" spans="1:79" ht="23.25" customHeight="1">
      <c r="A45" s="50"/>
      <c r="B45" s="208" t="s">
        <v>155</v>
      </c>
      <c r="C45" s="208"/>
      <c r="D45" s="67">
        <v>5</v>
      </c>
      <c r="E45" s="76" t="s">
        <v>54</v>
      </c>
      <c r="F45" s="77">
        <v>37300</v>
      </c>
      <c r="G45" s="78">
        <f t="shared" si="1"/>
        <v>186500</v>
      </c>
    </row>
    <row r="46" spans="1:79" ht="23.25" customHeight="1">
      <c r="A46" s="50"/>
      <c r="B46" s="208" t="s">
        <v>156</v>
      </c>
      <c r="C46" s="208"/>
      <c r="D46" s="67">
        <v>10</v>
      </c>
      <c r="E46" s="76" t="s">
        <v>56</v>
      </c>
      <c r="F46" s="77">
        <v>283500</v>
      </c>
      <c r="G46" s="78">
        <f t="shared" si="1"/>
        <v>2835000</v>
      </c>
    </row>
    <row r="47" spans="1:79" ht="23.25" customHeight="1">
      <c r="A47" s="50"/>
      <c r="B47" s="208" t="s">
        <v>157</v>
      </c>
      <c r="C47" s="208"/>
      <c r="D47" s="67">
        <v>3</v>
      </c>
      <c r="E47" s="76" t="s">
        <v>56</v>
      </c>
      <c r="F47" s="77">
        <v>55650</v>
      </c>
      <c r="G47" s="78">
        <f t="shared" si="1"/>
        <v>166950</v>
      </c>
    </row>
    <row r="48" spans="1:79" ht="23.25" customHeight="1">
      <c r="A48" s="50"/>
      <c r="B48" s="208" t="s">
        <v>158</v>
      </c>
      <c r="C48" s="208"/>
      <c r="D48" s="67">
        <v>7</v>
      </c>
      <c r="E48" s="76" t="s">
        <v>54</v>
      </c>
      <c r="F48" s="77">
        <v>4725</v>
      </c>
      <c r="G48" s="78">
        <f t="shared" si="1"/>
        <v>33075</v>
      </c>
    </row>
    <row r="49" spans="1:7" ht="23.25" customHeight="1">
      <c r="A49" s="50"/>
      <c r="B49" s="208" t="s">
        <v>159</v>
      </c>
      <c r="C49" s="208"/>
      <c r="D49" s="67">
        <v>7</v>
      </c>
      <c r="E49" s="76" t="s">
        <v>54</v>
      </c>
      <c r="F49" s="77">
        <v>14700</v>
      </c>
      <c r="G49" s="78">
        <f t="shared" si="1"/>
        <v>102900</v>
      </c>
    </row>
    <row r="50" spans="1:7" ht="23.25" customHeight="1">
      <c r="A50" s="50"/>
      <c r="B50" s="208" t="s">
        <v>160</v>
      </c>
      <c r="C50" s="208"/>
      <c r="D50" s="67">
        <v>7</v>
      </c>
      <c r="E50" s="76" t="s">
        <v>54</v>
      </c>
      <c r="F50" s="77">
        <v>53500</v>
      </c>
      <c r="G50" s="78">
        <f t="shared" si="1"/>
        <v>374500</v>
      </c>
    </row>
    <row r="51" spans="1:7" ht="23.25" customHeight="1">
      <c r="A51" s="50"/>
      <c r="B51" s="208" t="s">
        <v>161</v>
      </c>
      <c r="C51" s="208"/>
      <c r="D51" s="67">
        <v>30</v>
      </c>
      <c r="E51" s="76" t="s">
        <v>55</v>
      </c>
      <c r="F51" s="77">
        <v>60775</v>
      </c>
      <c r="G51" s="78">
        <f t="shared" si="1"/>
        <v>1823250</v>
      </c>
    </row>
    <row r="52" spans="1:7" ht="23.25" customHeight="1">
      <c r="A52" s="50"/>
      <c r="B52" s="208" t="s">
        <v>162</v>
      </c>
      <c r="C52" s="208"/>
      <c r="D52" s="67">
        <v>5</v>
      </c>
      <c r="E52" s="76" t="s">
        <v>57</v>
      </c>
      <c r="F52" s="77">
        <v>22200</v>
      </c>
      <c r="G52" s="78">
        <f t="shared" si="1"/>
        <v>111000</v>
      </c>
    </row>
    <row r="53" spans="1:7" ht="23.25" customHeight="1">
      <c r="A53" s="50"/>
      <c r="B53" s="208" t="s">
        <v>163</v>
      </c>
      <c r="C53" s="208"/>
      <c r="D53" s="67">
        <v>8</v>
      </c>
      <c r="E53" s="76" t="s">
        <v>54</v>
      </c>
      <c r="F53" s="77">
        <v>44100</v>
      </c>
      <c r="G53" s="78">
        <f t="shared" si="1"/>
        <v>352800</v>
      </c>
    </row>
    <row r="54" spans="1:7" ht="23.25" customHeight="1">
      <c r="A54" s="50"/>
      <c r="B54" s="208" t="s">
        <v>164</v>
      </c>
      <c r="C54" s="208"/>
      <c r="D54" s="67">
        <v>8</v>
      </c>
      <c r="E54" s="76" t="s">
        <v>54</v>
      </c>
      <c r="F54" s="77">
        <v>37275</v>
      </c>
      <c r="G54" s="78">
        <f t="shared" si="1"/>
        <v>298200</v>
      </c>
    </row>
    <row r="55" spans="1:7" ht="23.25" customHeight="1">
      <c r="A55" s="50"/>
      <c r="B55" s="208" t="s">
        <v>165</v>
      </c>
      <c r="C55" s="208"/>
      <c r="D55" s="67">
        <v>100</v>
      </c>
      <c r="E55" s="76" t="s">
        <v>55</v>
      </c>
      <c r="F55" s="77">
        <v>9800</v>
      </c>
      <c r="G55" s="78">
        <f t="shared" si="1"/>
        <v>980000</v>
      </c>
    </row>
    <row r="56" spans="1:7" ht="23.25" customHeight="1">
      <c r="A56" s="50"/>
      <c r="B56" s="208" t="s">
        <v>166</v>
      </c>
      <c r="C56" s="208"/>
      <c r="D56" s="67">
        <v>20</v>
      </c>
      <c r="E56" s="76" t="s">
        <v>54</v>
      </c>
      <c r="F56" s="77">
        <v>130200</v>
      </c>
      <c r="G56" s="78">
        <f t="shared" si="1"/>
        <v>2604000</v>
      </c>
    </row>
    <row r="57" spans="1:7" ht="23.25" customHeight="1">
      <c r="A57" s="50"/>
      <c r="B57" s="208" t="s">
        <v>167</v>
      </c>
      <c r="C57" s="208"/>
      <c r="D57" s="67">
        <v>4</v>
      </c>
      <c r="E57" s="76" t="s">
        <v>76</v>
      </c>
      <c r="F57" s="77">
        <v>34175</v>
      </c>
      <c r="G57" s="78">
        <f t="shared" si="1"/>
        <v>136700</v>
      </c>
    </row>
    <row r="58" spans="1:7" ht="23.25" customHeight="1">
      <c r="A58" s="50"/>
      <c r="B58" s="208" t="s">
        <v>168</v>
      </c>
      <c r="C58" s="208"/>
      <c r="D58" s="67">
        <v>4</v>
      </c>
      <c r="E58" s="76" t="s">
        <v>76</v>
      </c>
      <c r="F58" s="77">
        <v>28875</v>
      </c>
      <c r="G58" s="78">
        <f t="shared" si="1"/>
        <v>115500</v>
      </c>
    </row>
    <row r="59" spans="1:7" ht="23.25" customHeight="1">
      <c r="A59" s="50"/>
      <c r="B59" s="208" t="s">
        <v>169</v>
      </c>
      <c r="C59" s="208"/>
      <c r="D59" s="67">
        <v>4</v>
      </c>
      <c r="E59" s="76" t="s">
        <v>76</v>
      </c>
      <c r="F59" s="77">
        <v>20175</v>
      </c>
      <c r="G59" s="78">
        <f t="shared" si="1"/>
        <v>80700</v>
      </c>
    </row>
    <row r="60" spans="1:7" ht="23.25" customHeight="1">
      <c r="A60" s="50"/>
      <c r="B60" s="208" t="s">
        <v>77</v>
      </c>
      <c r="C60" s="208"/>
      <c r="D60" s="67">
        <v>4</v>
      </c>
      <c r="E60" s="76" t="s">
        <v>55</v>
      </c>
      <c r="F60" s="77">
        <v>15000</v>
      </c>
      <c r="G60" s="78">
        <f t="shared" si="1"/>
        <v>60000</v>
      </c>
    </row>
    <row r="61" spans="1:7" ht="23.25" customHeight="1">
      <c r="A61" s="50"/>
      <c r="B61" s="208" t="s">
        <v>78</v>
      </c>
      <c r="C61" s="208"/>
      <c r="D61" s="67">
        <v>2</v>
      </c>
      <c r="E61" s="76" t="s">
        <v>55</v>
      </c>
      <c r="F61" s="77">
        <v>20900</v>
      </c>
      <c r="G61" s="78">
        <f t="shared" si="1"/>
        <v>41800</v>
      </c>
    </row>
    <row r="62" spans="1:7" ht="23.25" customHeight="1">
      <c r="A62" s="50"/>
      <c r="B62" s="208" t="s">
        <v>170</v>
      </c>
      <c r="C62" s="208"/>
      <c r="D62" s="67">
        <v>2</v>
      </c>
      <c r="E62" s="76" t="s">
        <v>55</v>
      </c>
      <c r="F62" s="77">
        <v>20800</v>
      </c>
      <c r="G62" s="78">
        <f t="shared" si="1"/>
        <v>41600</v>
      </c>
    </row>
    <row r="63" spans="1:7" ht="23.25" customHeight="1">
      <c r="A63" s="50"/>
      <c r="B63" s="208" t="s">
        <v>171</v>
      </c>
      <c r="C63" s="208"/>
      <c r="D63" s="67">
        <v>2</v>
      </c>
      <c r="E63" s="76" t="s">
        <v>55</v>
      </c>
      <c r="F63" s="77">
        <v>10500</v>
      </c>
      <c r="G63" s="78">
        <f t="shared" si="1"/>
        <v>21000</v>
      </c>
    </row>
    <row r="64" spans="1:7" ht="23.25" customHeight="1">
      <c r="A64" s="50"/>
      <c r="B64" s="208" t="s">
        <v>172</v>
      </c>
      <c r="C64" s="208"/>
      <c r="D64" s="67">
        <v>2</v>
      </c>
      <c r="E64" s="76" t="s">
        <v>55</v>
      </c>
      <c r="F64" s="77">
        <v>11000</v>
      </c>
      <c r="G64" s="78">
        <f t="shared" si="1"/>
        <v>22000</v>
      </c>
    </row>
    <row r="65" spans="1:79" ht="23.25" customHeight="1">
      <c r="A65" s="50"/>
      <c r="B65" s="208" t="s">
        <v>173</v>
      </c>
      <c r="C65" s="208"/>
      <c r="D65" s="67">
        <v>2</v>
      </c>
      <c r="E65" s="76" t="s">
        <v>60</v>
      </c>
      <c r="F65" s="77">
        <v>13650</v>
      </c>
      <c r="G65" s="78">
        <f t="shared" si="1"/>
        <v>27300</v>
      </c>
    </row>
    <row r="66" spans="1:79" ht="23.25" customHeight="1">
      <c r="A66" s="50"/>
      <c r="B66" s="208" t="s">
        <v>174</v>
      </c>
      <c r="C66" s="208"/>
      <c r="D66" s="67">
        <v>3</v>
      </c>
      <c r="E66" s="76" t="s">
        <v>55</v>
      </c>
      <c r="F66" s="77">
        <v>20325</v>
      </c>
      <c r="G66" s="78">
        <f t="shared" si="1"/>
        <v>60975</v>
      </c>
    </row>
    <row r="67" spans="1:79" ht="23.25" customHeight="1">
      <c r="A67" s="50"/>
      <c r="B67" s="208" t="s">
        <v>79</v>
      </c>
      <c r="C67" s="208"/>
      <c r="D67" s="67">
        <v>3</v>
      </c>
      <c r="E67" s="76" t="s">
        <v>76</v>
      </c>
      <c r="F67" s="77">
        <v>157725</v>
      </c>
      <c r="G67" s="78">
        <f t="shared" si="1"/>
        <v>473175</v>
      </c>
    </row>
    <row r="68" spans="1:79" ht="23.25" customHeight="1">
      <c r="A68" s="50"/>
      <c r="B68" s="208" t="s">
        <v>175</v>
      </c>
      <c r="C68" s="208"/>
      <c r="D68" s="67">
        <v>2</v>
      </c>
      <c r="E68" s="76" t="s">
        <v>76</v>
      </c>
      <c r="F68" s="77">
        <v>164850</v>
      </c>
      <c r="G68" s="78">
        <f t="shared" si="1"/>
        <v>329700</v>
      </c>
    </row>
    <row r="69" spans="1:79" ht="23.25" customHeight="1">
      <c r="A69" s="50"/>
      <c r="B69" s="208" t="s">
        <v>80</v>
      </c>
      <c r="C69" s="208"/>
      <c r="D69" s="67">
        <v>5</v>
      </c>
      <c r="E69" s="76" t="s">
        <v>55</v>
      </c>
      <c r="F69" s="77">
        <v>27300</v>
      </c>
      <c r="G69" s="78">
        <f t="shared" si="1"/>
        <v>136500</v>
      </c>
    </row>
    <row r="70" spans="1:79" ht="23.25" customHeight="1">
      <c r="A70" s="50"/>
      <c r="B70" s="208" t="s">
        <v>81</v>
      </c>
      <c r="C70" s="208"/>
      <c r="D70" s="67">
        <v>5</v>
      </c>
      <c r="E70" s="76" t="s">
        <v>55</v>
      </c>
      <c r="F70" s="77">
        <v>25725</v>
      </c>
      <c r="G70" s="78">
        <f t="shared" si="1"/>
        <v>128625</v>
      </c>
    </row>
    <row r="71" spans="1:79" s="80" customFormat="1" ht="23.25" customHeight="1">
      <c r="A71" s="50"/>
      <c r="B71" s="251" t="s">
        <v>177</v>
      </c>
      <c r="C71" s="252"/>
      <c r="D71" s="252"/>
      <c r="E71" s="252"/>
      <c r="F71" s="252"/>
      <c r="G71" s="79">
        <f>SUM(G72:G75)</f>
        <v>1732500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</row>
    <row r="72" spans="1:79" ht="23.25" customHeight="1">
      <c r="A72" s="50"/>
      <c r="B72" s="208" t="s">
        <v>82</v>
      </c>
      <c r="C72" s="208"/>
      <c r="D72" s="67">
        <v>2</v>
      </c>
      <c r="E72" s="68" t="s">
        <v>55</v>
      </c>
      <c r="F72" s="69">
        <v>157500</v>
      </c>
      <c r="G72" s="78">
        <f>D72*F72</f>
        <v>315000</v>
      </c>
    </row>
    <row r="73" spans="1:79" ht="23.25" customHeight="1">
      <c r="A73" s="50"/>
      <c r="B73" s="208" t="s">
        <v>83</v>
      </c>
      <c r="C73" s="208"/>
      <c r="D73" s="67">
        <v>2</v>
      </c>
      <c r="E73" s="68" t="s">
        <v>55</v>
      </c>
      <c r="F73" s="69">
        <v>157500</v>
      </c>
      <c r="G73" s="78">
        <f>D73*F73</f>
        <v>315000</v>
      </c>
    </row>
    <row r="74" spans="1:79" ht="23.25" customHeight="1">
      <c r="A74" s="50"/>
      <c r="B74" s="208" t="s">
        <v>84</v>
      </c>
      <c r="C74" s="208"/>
      <c r="D74" s="67">
        <v>5</v>
      </c>
      <c r="E74" s="68" t="s">
        <v>55</v>
      </c>
      <c r="F74" s="69">
        <v>157500</v>
      </c>
      <c r="G74" s="78">
        <f>D74*F74</f>
        <v>787500</v>
      </c>
    </row>
    <row r="75" spans="1:79" ht="23.25" customHeight="1">
      <c r="A75" s="50"/>
      <c r="B75" s="208" t="s">
        <v>85</v>
      </c>
      <c r="C75" s="208"/>
      <c r="D75" s="67">
        <v>2</v>
      </c>
      <c r="E75" s="68" t="s">
        <v>55</v>
      </c>
      <c r="F75" s="69">
        <v>157500</v>
      </c>
      <c r="G75" s="78">
        <f>D75*F75</f>
        <v>315000</v>
      </c>
    </row>
    <row r="76" spans="1:79" s="80" customFormat="1" ht="23.25" customHeight="1">
      <c r="A76" s="50"/>
      <c r="B76" s="232" t="s">
        <v>179</v>
      </c>
      <c r="C76" s="233"/>
      <c r="D76" s="233"/>
      <c r="E76" s="233"/>
      <c r="F76" s="241"/>
      <c r="G76" s="81">
        <f>SUM(G77:G78)</f>
        <v>3816750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</row>
    <row r="77" spans="1:79" ht="23.25" customHeight="1">
      <c r="A77" s="50"/>
      <c r="B77" s="208" t="s">
        <v>180</v>
      </c>
      <c r="C77" s="208"/>
      <c r="D77" s="67">
        <v>25</v>
      </c>
      <c r="E77" s="68" t="s">
        <v>58</v>
      </c>
      <c r="F77" s="69">
        <v>96600</v>
      </c>
      <c r="G77" s="78">
        <f>D77*F77</f>
        <v>2415000</v>
      </c>
    </row>
    <row r="78" spans="1:79" ht="23.25" customHeight="1">
      <c r="A78" s="50"/>
      <c r="B78" s="208" t="s">
        <v>181</v>
      </c>
      <c r="C78" s="208"/>
      <c r="D78" s="67">
        <v>15</v>
      </c>
      <c r="E78" s="68" t="s">
        <v>58</v>
      </c>
      <c r="F78" s="69">
        <v>93450</v>
      </c>
      <c r="G78" s="78">
        <f>D78*F78</f>
        <v>1401750</v>
      </c>
    </row>
    <row r="79" spans="1:79" s="80" customFormat="1" ht="23.25" customHeight="1">
      <c r="A79" s="50"/>
      <c r="B79" s="232" t="s">
        <v>183</v>
      </c>
      <c r="C79" s="233"/>
      <c r="D79" s="233"/>
      <c r="E79" s="233"/>
      <c r="F79" s="241"/>
      <c r="G79" s="82">
        <f>SUM(G80:G82)</f>
        <v>24412000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</row>
    <row r="80" spans="1:79" ht="23.25" customHeight="1">
      <c r="A80" s="50"/>
      <c r="B80" s="208" t="s">
        <v>69</v>
      </c>
      <c r="C80" s="208"/>
      <c r="D80" s="67">
        <v>36000</v>
      </c>
      <c r="E80" s="68" t="s">
        <v>62</v>
      </c>
      <c r="F80" s="69">
        <v>350</v>
      </c>
      <c r="G80" s="78">
        <f>D80*F80</f>
        <v>12600000</v>
      </c>
    </row>
    <row r="81" spans="1:79" ht="23.25" customHeight="1">
      <c r="A81" s="50"/>
      <c r="B81" s="208" t="s">
        <v>70</v>
      </c>
      <c r="C81" s="208"/>
      <c r="D81" s="67">
        <v>14000</v>
      </c>
      <c r="E81" s="68" t="s">
        <v>62</v>
      </c>
      <c r="F81" s="69">
        <v>350</v>
      </c>
      <c r="G81" s="78">
        <f>D81*F81</f>
        <v>4900000</v>
      </c>
    </row>
    <row r="82" spans="1:79" ht="32.25" customHeight="1">
      <c r="A82" s="50"/>
      <c r="B82" s="208" t="s">
        <v>71</v>
      </c>
      <c r="C82" s="208"/>
      <c r="D82" s="67">
        <v>96</v>
      </c>
      <c r="E82" s="68" t="s">
        <v>57</v>
      </c>
      <c r="F82" s="69">
        <v>72000</v>
      </c>
      <c r="G82" s="78">
        <f>D82*F82</f>
        <v>6912000</v>
      </c>
    </row>
    <row r="83" spans="1:79" s="80" customFormat="1" ht="23.25" customHeight="1">
      <c r="A83" s="50"/>
      <c r="B83" s="232" t="s">
        <v>185</v>
      </c>
      <c r="C83" s="233"/>
      <c r="D83" s="72"/>
      <c r="E83" s="83"/>
      <c r="F83" s="84"/>
      <c r="G83" s="82">
        <f>SUM(G84:G85)</f>
        <v>2250000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</row>
    <row r="84" spans="1:79" ht="36" customHeight="1">
      <c r="A84" s="50"/>
      <c r="B84" s="218" t="s">
        <v>72</v>
      </c>
      <c r="C84" s="219"/>
      <c r="D84" s="67">
        <v>50</v>
      </c>
      <c r="E84" s="68" t="s">
        <v>73</v>
      </c>
      <c r="F84" s="69">
        <v>30000</v>
      </c>
      <c r="G84" s="78">
        <f>D84*F84</f>
        <v>1500000</v>
      </c>
    </row>
    <row r="85" spans="1:79" ht="35.25" customHeight="1">
      <c r="A85" s="50"/>
      <c r="B85" s="218" t="s">
        <v>74</v>
      </c>
      <c r="C85" s="219"/>
      <c r="D85" s="67">
        <v>50</v>
      </c>
      <c r="E85" s="68" t="s">
        <v>73</v>
      </c>
      <c r="F85" s="69">
        <v>15000</v>
      </c>
      <c r="G85" s="78">
        <f>D85*F85</f>
        <v>750000</v>
      </c>
    </row>
    <row r="86" spans="1:79" s="80" customFormat="1" ht="35.1" customHeight="1">
      <c r="A86" s="50"/>
      <c r="B86" s="220" t="s">
        <v>211</v>
      </c>
      <c r="C86" s="221"/>
      <c r="D86" s="221"/>
      <c r="E86" s="221"/>
      <c r="F86" s="222"/>
      <c r="G86" s="81">
        <f>SUM(G87)</f>
        <v>10200000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</row>
    <row r="87" spans="1:79" ht="35.1" customHeight="1">
      <c r="A87" s="50"/>
      <c r="B87" s="212" t="s">
        <v>413</v>
      </c>
      <c r="C87" s="213"/>
      <c r="D87" s="52"/>
      <c r="E87" s="49"/>
      <c r="F87" s="78"/>
      <c r="G87" s="100">
        <f>SUM(G88:G89)</f>
        <v>10200000</v>
      </c>
    </row>
    <row r="88" spans="1:79" ht="35.1" customHeight="1">
      <c r="A88" s="50"/>
      <c r="B88" s="208" t="s">
        <v>213</v>
      </c>
      <c r="C88" s="208"/>
      <c r="D88" s="67">
        <v>50</v>
      </c>
      <c r="E88" s="68" t="s">
        <v>61</v>
      </c>
      <c r="F88" s="69">
        <v>170000</v>
      </c>
      <c r="G88" s="78">
        <f t="shared" ref="G88:G89" si="2">D88*F88</f>
        <v>8500000</v>
      </c>
    </row>
    <row r="89" spans="1:79" ht="35.1" customHeight="1">
      <c r="A89" s="50"/>
      <c r="B89" s="208" t="s">
        <v>244</v>
      </c>
      <c r="C89" s="208"/>
      <c r="D89" s="52">
        <v>10</v>
      </c>
      <c r="E89" s="68" t="s">
        <v>73</v>
      </c>
      <c r="F89" s="78">
        <v>170000</v>
      </c>
      <c r="G89" s="78">
        <f t="shared" si="2"/>
        <v>1700000</v>
      </c>
    </row>
    <row r="90" spans="1:79" ht="19.5" customHeight="1">
      <c r="A90" s="180"/>
      <c r="B90" s="261" t="s">
        <v>412</v>
      </c>
      <c r="C90" s="262"/>
      <c r="D90" s="262"/>
      <c r="E90" s="262"/>
      <c r="F90" s="263"/>
      <c r="G90" s="181">
        <f>G91+G92+G93+G94+G96+G124+G129+G132+G136+G139</f>
        <v>624850500</v>
      </c>
    </row>
    <row r="91" spans="1:79" s="172" customFormat="1" ht="57.75" customHeight="1">
      <c r="A91" s="166"/>
      <c r="B91" s="234" t="s">
        <v>337</v>
      </c>
      <c r="C91" s="234"/>
      <c r="D91" s="167">
        <v>1</v>
      </c>
      <c r="E91" s="168" t="s">
        <v>53</v>
      </c>
      <c r="F91" s="169">
        <v>23300000</v>
      </c>
      <c r="G91" s="170">
        <f>D91*F91</f>
        <v>23300000</v>
      </c>
      <c r="H91" s="171">
        <v>7400000000</v>
      </c>
    </row>
    <row r="92" spans="1:79" s="163" customFormat="1" ht="57.75" customHeight="1">
      <c r="A92" s="166"/>
      <c r="B92" s="235" t="s">
        <v>344</v>
      </c>
      <c r="C92" s="235"/>
      <c r="D92" s="167">
        <v>1</v>
      </c>
      <c r="E92" s="168" t="s">
        <v>339</v>
      </c>
      <c r="F92" s="169">
        <v>510000000</v>
      </c>
      <c r="G92" s="170">
        <f>D92*F92</f>
        <v>510000000</v>
      </c>
      <c r="H92" s="163">
        <f>H91/F92</f>
        <v>14.509803921568627</v>
      </c>
      <c r="J92" s="173">
        <f>7419431490/F92</f>
        <v>14.547904882352942</v>
      </c>
    </row>
    <row r="93" spans="1:79" s="163" customFormat="1" ht="57.75" customHeight="1">
      <c r="A93" s="162"/>
      <c r="B93" s="208" t="s">
        <v>340</v>
      </c>
      <c r="C93" s="208"/>
      <c r="D93" s="67">
        <v>1</v>
      </c>
      <c r="E93" s="68" t="s">
        <v>53</v>
      </c>
      <c r="F93" s="165">
        <v>37000000</v>
      </c>
      <c r="G93" s="170">
        <f t="shared" ref="G93" si="3">D93*F93</f>
        <v>37000000</v>
      </c>
    </row>
    <row r="94" spans="1:79" s="64" customFormat="1" ht="30.75" customHeight="1">
      <c r="A94" s="50"/>
      <c r="B94" s="232" t="s">
        <v>151</v>
      </c>
      <c r="C94" s="241"/>
      <c r="D94" s="61"/>
      <c r="E94" s="62"/>
      <c r="F94" s="63"/>
      <c r="G94" s="63">
        <f>SUM(G95)</f>
        <v>500000</v>
      </c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  <c r="AU94" s="118"/>
      <c r="AV94" s="118"/>
      <c r="AW94" s="118"/>
      <c r="AX94" s="118"/>
      <c r="AY94" s="118"/>
      <c r="AZ94" s="118"/>
      <c r="BA94" s="118"/>
      <c r="BB94" s="118"/>
      <c r="BC94" s="118"/>
      <c r="BD94" s="118"/>
      <c r="BE94" s="118"/>
      <c r="BF94" s="118"/>
      <c r="BG94" s="118"/>
      <c r="BH94" s="118"/>
      <c r="BI94" s="118"/>
      <c r="BJ94" s="118"/>
      <c r="BK94" s="118"/>
      <c r="BL94" s="118"/>
      <c r="BM94" s="118"/>
      <c r="BN94" s="118"/>
      <c r="BO94" s="118"/>
      <c r="BP94" s="118"/>
      <c r="BQ94" s="118"/>
      <c r="BR94" s="118"/>
      <c r="BS94" s="118"/>
      <c r="BT94" s="118"/>
      <c r="BU94" s="118"/>
      <c r="BV94" s="118"/>
      <c r="BW94" s="118"/>
      <c r="BX94" s="118"/>
      <c r="BY94" s="118"/>
      <c r="BZ94" s="118"/>
      <c r="CA94" s="118"/>
    </row>
    <row r="95" spans="1:79" s="71" customFormat="1" ht="30.75" customHeight="1">
      <c r="A95" s="50"/>
      <c r="B95" s="65" t="s">
        <v>75</v>
      </c>
      <c r="C95" s="66"/>
      <c r="D95" s="67">
        <v>50</v>
      </c>
      <c r="E95" s="68" t="s">
        <v>60</v>
      </c>
      <c r="F95" s="69">
        <v>10000</v>
      </c>
      <c r="G95" s="70">
        <f>D95*F95</f>
        <v>500000</v>
      </c>
    </row>
    <row r="96" spans="1:79" s="75" customFormat="1" ht="30.75" customHeight="1">
      <c r="A96" s="50"/>
      <c r="B96" s="232" t="s">
        <v>153</v>
      </c>
      <c r="C96" s="233"/>
      <c r="D96" s="72"/>
      <c r="E96" s="60"/>
      <c r="F96" s="73"/>
      <c r="G96" s="74">
        <f>SUM(G97:G123)</f>
        <v>11689250</v>
      </c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</row>
    <row r="97" spans="1:7" ht="23.25" customHeight="1">
      <c r="A97" s="50"/>
      <c r="B97" s="208" t="s">
        <v>154</v>
      </c>
      <c r="C97" s="208"/>
      <c r="D97" s="67">
        <v>5</v>
      </c>
      <c r="E97" s="76" t="s">
        <v>54</v>
      </c>
      <c r="F97" s="77">
        <v>29100</v>
      </c>
      <c r="G97" s="78">
        <f t="shared" ref="G97:G123" si="4">D97*F97</f>
        <v>145500</v>
      </c>
    </row>
    <row r="98" spans="1:7" ht="23.25" customHeight="1">
      <c r="A98" s="50"/>
      <c r="B98" s="208" t="s">
        <v>155</v>
      </c>
      <c r="C98" s="208"/>
      <c r="D98" s="67">
        <v>5</v>
      </c>
      <c r="E98" s="76" t="s">
        <v>54</v>
      </c>
      <c r="F98" s="77">
        <v>37300</v>
      </c>
      <c r="G98" s="78">
        <f t="shared" si="4"/>
        <v>186500</v>
      </c>
    </row>
    <row r="99" spans="1:7" ht="23.25" customHeight="1">
      <c r="A99" s="50"/>
      <c r="B99" s="208" t="s">
        <v>156</v>
      </c>
      <c r="C99" s="208"/>
      <c r="D99" s="67">
        <v>10</v>
      </c>
      <c r="E99" s="76" t="s">
        <v>56</v>
      </c>
      <c r="F99" s="77">
        <v>283500</v>
      </c>
      <c r="G99" s="78">
        <f t="shared" si="4"/>
        <v>2835000</v>
      </c>
    </row>
    <row r="100" spans="1:7" ht="23.25" customHeight="1">
      <c r="A100" s="50"/>
      <c r="B100" s="208" t="s">
        <v>157</v>
      </c>
      <c r="C100" s="208"/>
      <c r="D100" s="67">
        <v>3</v>
      </c>
      <c r="E100" s="76" t="s">
        <v>56</v>
      </c>
      <c r="F100" s="77">
        <v>55650</v>
      </c>
      <c r="G100" s="78">
        <f t="shared" si="4"/>
        <v>166950</v>
      </c>
    </row>
    <row r="101" spans="1:7" ht="23.25" customHeight="1">
      <c r="A101" s="50"/>
      <c r="B101" s="208" t="s">
        <v>158</v>
      </c>
      <c r="C101" s="208"/>
      <c r="D101" s="67">
        <v>7</v>
      </c>
      <c r="E101" s="76" t="s">
        <v>54</v>
      </c>
      <c r="F101" s="77">
        <v>4725</v>
      </c>
      <c r="G101" s="78">
        <f t="shared" si="4"/>
        <v>33075</v>
      </c>
    </row>
    <row r="102" spans="1:7" ht="23.25" customHeight="1">
      <c r="A102" s="50"/>
      <c r="B102" s="208" t="s">
        <v>159</v>
      </c>
      <c r="C102" s="208"/>
      <c r="D102" s="67">
        <v>7</v>
      </c>
      <c r="E102" s="76" t="s">
        <v>54</v>
      </c>
      <c r="F102" s="77">
        <v>14700</v>
      </c>
      <c r="G102" s="78">
        <f t="shared" si="4"/>
        <v>102900</v>
      </c>
    </row>
    <row r="103" spans="1:7" ht="23.25" customHeight="1">
      <c r="A103" s="50"/>
      <c r="B103" s="208" t="s">
        <v>160</v>
      </c>
      <c r="C103" s="208"/>
      <c r="D103" s="67">
        <v>7</v>
      </c>
      <c r="E103" s="76" t="s">
        <v>54</v>
      </c>
      <c r="F103" s="77">
        <v>53500</v>
      </c>
      <c r="G103" s="78">
        <f t="shared" si="4"/>
        <v>374500</v>
      </c>
    </row>
    <row r="104" spans="1:7" ht="23.25" customHeight="1">
      <c r="A104" s="50"/>
      <c r="B104" s="208" t="s">
        <v>161</v>
      </c>
      <c r="C104" s="208"/>
      <c r="D104" s="67">
        <v>30</v>
      </c>
      <c r="E104" s="76" t="s">
        <v>55</v>
      </c>
      <c r="F104" s="77">
        <v>60775</v>
      </c>
      <c r="G104" s="78">
        <f t="shared" si="4"/>
        <v>1823250</v>
      </c>
    </row>
    <row r="105" spans="1:7" ht="23.25" customHeight="1">
      <c r="A105" s="50"/>
      <c r="B105" s="208" t="s">
        <v>162</v>
      </c>
      <c r="C105" s="208"/>
      <c r="D105" s="67">
        <v>5</v>
      </c>
      <c r="E105" s="76" t="s">
        <v>57</v>
      </c>
      <c r="F105" s="77">
        <v>22200</v>
      </c>
      <c r="G105" s="78">
        <f t="shared" si="4"/>
        <v>111000</v>
      </c>
    </row>
    <row r="106" spans="1:7" ht="23.25" customHeight="1">
      <c r="A106" s="50"/>
      <c r="B106" s="208" t="s">
        <v>163</v>
      </c>
      <c r="C106" s="208"/>
      <c r="D106" s="67">
        <v>8</v>
      </c>
      <c r="E106" s="76" t="s">
        <v>54</v>
      </c>
      <c r="F106" s="77">
        <v>44100</v>
      </c>
      <c r="G106" s="78">
        <f t="shared" si="4"/>
        <v>352800</v>
      </c>
    </row>
    <row r="107" spans="1:7" ht="23.25" customHeight="1">
      <c r="A107" s="50"/>
      <c r="B107" s="208" t="s">
        <v>164</v>
      </c>
      <c r="C107" s="208"/>
      <c r="D107" s="67">
        <v>8</v>
      </c>
      <c r="E107" s="76" t="s">
        <v>54</v>
      </c>
      <c r="F107" s="77">
        <v>37275</v>
      </c>
      <c r="G107" s="78">
        <f t="shared" si="4"/>
        <v>298200</v>
      </c>
    </row>
    <row r="108" spans="1:7" ht="23.25" customHeight="1">
      <c r="A108" s="50"/>
      <c r="B108" s="208" t="s">
        <v>165</v>
      </c>
      <c r="C108" s="208"/>
      <c r="D108" s="67">
        <v>100</v>
      </c>
      <c r="E108" s="76" t="s">
        <v>55</v>
      </c>
      <c r="F108" s="77">
        <v>9800</v>
      </c>
      <c r="G108" s="78">
        <f t="shared" si="4"/>
        <v>980000</v>
      </c>
    </row>
    <row r="109" spans="1:7" ht="23.25" customHeight="1">
      <c r="A109" s="50"/>
      <c r="B109" s="208" t="s">
        <v>166</v>
      </c>
      <c r="C109" s="208"/>
      <c r="D109" s="67">
        <v>20</v>
      </c>
      <c r="E109" s="76" t="s">
        <v>54</v>
      </c>
      <c r="F109" s="77">
        <v>130200</v>
      </c>
      <c r="G109" s="78">
        <f t="shared" si="4"/>
        <v>2604000</v>
      </c>
    </row>
    <row r="110" spans="1:7" ht="23.25" customHeight="1">
      <c r="A110" s="50"/>
      <c r="B110" s="208" t="s">
        <v>167</v>
      </c>
      <c r="C110" s="208"/>
      <c r="D110" s="67">
        <v>4</v>
      </c>
      <c r="E110" s="76" t="s">
        <v>76</v>
      </c>
      <c r="F110" s="77">
        <v>34175</v>
      </c>
      <c r="G110" s="78">
        <f t="shared" si="4"/>
        <v>136700</v>
      </c>
    </row>
    <row r="111" spans="1:7" ht="23.25" customHeight="1">
      <c r="A111" s="50"/>
      <c r="B111" s="208" t="s">
        <v>168</v>
      </c>
      <c r="C111" s="208"/>
      <c r="D111" s="67">
        <v>4</v>
      </c>
      <c r="E111" s="76" t="s">
        <v>76</v>
      </c>
      <c r="F111" s="77">
        <v>28875</v>
      </c>
      <c r="G111" s="78">
        <f t="shared" si="4"/>
        <v>115500</v>
      </c>
    </row>
    <row r="112" spans="1:7" ht="23.25" customHeight="1">
      <c r="A112" s="50"/>
      <c r="B112" s="208" t="s">
        <v>169</v>
      </c>
      <c r="C112" s="208"/>
      <c r="D112" s="67">
        <v>4</v>
      </c>
      <c r="E112" s="76" t="s">
        <v>76</v>
      </c>
      <c r="F112" s="77">
        <v>20175</v>
      </c>
      <c r="G112" s="78">
        <f t="shared" si="4"/>
        <v>80700</v>
      </c>
    </row>
    <row r="113" spans="1:79" ht="23.25" customHeight="1">
      <c r="A113" s="50"/>
      <c r="B113" s="208" t="s">
        <v>77</v>
      </c>
      <c r="C113" s="208"/>
      <c r="D113" s="67">
        <v>4</v>
      </c>
      <c r="E113" s="76" t="s">
        <v>55</v>
      </c>
      <c r="F113" s="77">
        <v>15000</v>
      </c>
      <c r="G113" s="78">
        <f t="shared" si="4"/>
        <v>60000</v>
      </c>
    </row>
    <row r="114" spans="1:79" ht="23.25" customHeight="1">
      <c r="A114" s="50"/>
      <c r="B114" s="208" t="s">
        <v>78</v>
      </c>
      <c r="C114" s="208"/>
      <c r="D114" s="67">
        <v>2</v>
      </c>
      <c r="E114" s="76" t="s">
        <v>55</v>
      </c>
      <c r="F114" s="77">
        <v>20900</v>
      </c>
      <c r="G114" s="78">
        <f t="shared" si="4"/>
        <v>41800</v>
      </c>
    </row>
    <row r="115" spans="1:79" ht="23.25" customHeight="1">
      <c r="A115" s="50"/>
      <c r="B115" s="208" t="s">
        <v>170</v>
      </c>
      <c r="C115" s="208"/>
      <c r="D115" s="67">
        <v>2</v>
      </c>
      <c r="E115" s="76" t="s">
        <v>55</v>
      </c>
      <c r="F115" s="77">
        <v>20800</v>
      </c>
      <c r="G115" s="78">
        <f t="shared" si="4"/>
        <v>41600</v>
      </c>
    </row>
    <row r="116" spans="1:79" ht="23.25" customHeight="1">
      <c r="A116" s="50"/>
      <c r="B116" s="208" t="s">
        <v>171</v>
      </c>
      <c r="C116" s="208"/>
      <c r="D116" s="67">
        <v>2</v>
      </c>
      <c r="E116" s="76" t="s">
        <v>55</v>
      </c>
      <c r="F116" s="77">
        <v>10500</v>
      </c>
      <c r="G116" s="78">
        <f t="shared" si="4"/>
        <v>21000</v>
      </c>
    </row>
    <row r="117" spans="1:79" ht="23.25" customHeight="1">
      <c r="A117" s="50"/>
      <c r="B117" s="208" t="s">
        <v>172</v>
      </c>
      <c r="C117" s="208"/>
      <c r="D117" s="67">
        <v>2</v>
      </c>
      <c r="E117" s="76" t="s">
        <v>55</v>
      </c>
      <c r="F117" s="77">
        <v>11000</v>
      </c>
      <c r="G117" s="78">
        <f t="shared" si="4"/>
        <v>22000</v>
      </c>
    </row>
    <row r="118" spans="1:79" ht="23.25" customHeight="1">
      <c r="A118" s="50"/>
      <c r="B118" s="208" t="s">
        <v>173</v>
      </c>
      <c r="C118" s="208"/>
      <c r="D118" s="67">
        <v>2</v>
      </c>
      <c r="E118" s="76" t="s">
        <v>60</v>
      </c>
      <c r="F118" s="77">
        <v>13650</v>
      </c>
      <c r="G118" s="78">
        <f t="shared" si="4"/>
        <v>27300</v>
      </c>
    </row>
    <row r="119" spans="1:79" ht="23.25" customHeight="1">
      <c r="A119" s="50"/>
      <c r="B119" s="208" t="s">
        <v>174</v>
      </c>
      <c r="C119" s="208"/>
      <c r="D119" s="67">
        <v>3</v>
      </c>
      <c r="E119" s="76" t="s">
        <v>55</v>
      </c>
      <c r="F119" s="77">
        <v>20325</v>
      </c>
      <c r="G119" s="78">
        <f t="shared" si="4"/>
        <v>60975</v>
      </c>
    </row>
    <row r="120" spans="1:79" ht="23.25" customHeight="1">
      <c r="A120" s="50"/>
      <c r="B120" s="208" t="s">
        <v>79</v>
      </c>
      <c r="C120" s="208"/>
      <c r="D120" s="67">
        <v>3</v>
      </c>
      <c r="E120" s="76" t="s">
        <v>76</v>
      </c>
      <c r="F120" s="77">
        <v>157725</v>
      </c>
      <c r="G120" s="78">
        <f t="shared" si="4"/>
        <v>473175</v>
      </c>
    </row>
    <row r="121" spans="1:79" ht="23.25" customHeight="1">
      <c r="A121" s="50"/>
      <c r="B121" s="208" t="s">
        <v>175</v>
      </c>
      <c r="C121" s="208"/>
      <c r="D121" s="67">
        <v>2</v>
      </c>
      <c r="E121" s="76" t="s">
        <v>76</v>
      </c>
      <c r="F121" s="77">
        <v>164850</v>
      </c>
      <c r="G121" s="78">
        <f t="shared" si="4"/>
        <v>329700</v>
      </c>
    </row>
    <row r="122" spans="1:79" ht="23.25" customHeight="1">
      <c r="A122" s="50"/>
      <c r="B122" s="208" t="s">
        <v>80</v>
      </c>
      <c r="C122" s="208"/>
      <c r="D122" s="67">
        <v>5</v>
      </c>
      <c r="E122" s="76" t="s">
        <v>55</v>
      </c>
      <c r="F122" s="77">
        <v>27300</v>
      </c>
      <c r="G122" s="78">
        <f t="shared" si="4"/>
        <v>136500</v>
      </c>
    </row>
    <row r="123" spans="1:79" ht="23.25" customHeight="1">
      <c r="A123" s="50"/>
      <c r="B123" s="208" t="s">
        <v>81</v>
      </c>
      <c r="C123" s="208"/>
      <c r="D123" s="67">
        <v>5</v>
      </c>
      <c r="E123" s="76" t="s">
        <v>55</v>
      </c>
      <c r="F123" s="77">
        <v>25725</v>
      </c>
      <c r="G123" s="78">
        <f t="shared" si="4"/>
        <v>128625</v>
      </c>
    </row>
    <row r="124" spans="1:79" s="80" customFormat="1" ht="23.25" customHeight="1">
      <c r="A124" s="50"/>
      <c r="B124" s="251" t="s">
        <v>177</v>
      </c>
      <c r="C124" s="252"/>
      <c r="D124" s="252"/>
      <c r="E124" s="252"/>
      <c r="F124" s="252"/>
      <c r="G124" s="79">
        <f>SUM(G125:G128)</f>
        <v>1732500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</row>
    <row r="125" spans="1:79" ht="23.25" customHeight="1">
      <c r="A125" s="50"/>
      <c r="B125" s="208" t="s">
        <v>82</v>
      </c>
      <c r="C125" s="208"/>
      <c r="D125" s="67">
        <v>2</v>
      </c>
      <c r="E125" s="68" t="s">
        <v>55</v>
      </c>
      <c r="F125" s="69">
        <v>157500</v>
      </c>
      <c r="G125" s="78">
        <f>D125*F125</f>
        <v>315000</v>
      </c>
    </row>
    <row r="126" spans="1:79" ht="23.25" customHeight="1">
      <c r="A126" s="50"/>
      <c r="B126" s="208" t="s">
        <v>83</v>
      </c>
      <c r="C126" s="208"/>
      <c r="D126" s="67">
        <v>2</v>
      </c>
      <c r="E126" s="68" t="s">
        <v>55</v>
      </c>
      <c r="F126" s="69">
        <v>157500</v>
      </c>
      <c r="G126" s="78">
        <f>D126*F126</f>
        <v>315000</v>
      </c>
    </row>
    <row r="127" spans="1:79" ht="23.25" customHeight="1">
      <c r="A127" s="50"/>
      <c r="B127" s="208" t="s">
        <v>84</v>
      </c>
      <c r="C127" s="208"/>
      <c r="D127" s="67">
        <v>5</v>
      </c>
      <c r="E127" s="68" t="s">
        <v>55</v>
      </c>
      <c r="F127" s="69">
        <v>157500</v>
      </c>
      <c r="G127" s="78">
        <f>D127*F127</f>
        <v>787500</v>
      </c>
    </row>
    <row r="128" spans="1:79" ht="23.25" customHeight="1">
      <c r="A128" s="50"/>
      <c r="B128" s="208" t="s">
        <v>85</v>
      </c>
      <c r="C128" s="208"/>
      <c r="D128" s="67">
        <v>2</v>
      </c>
      <c r="E128" s="68" t="s">
        <v>55</v>
      </c>
      <c r="F128" s="69">
        <v>157500</v>
      </c>
      <c r="G128" s="78">
        <f>D128*F128</f>
        <v>315000</v>
      </c>
    </row>
    <row r="129" spans="1:79" s="80" customFormat="1" ht="23.25" customHeight="1">
      <c r="A129" s="50"/>
      <c r="B129" s="232" t="s">
        <v>179</v>
      </c>
      <c r="C129" s="233"/>
      <c r="D129" s="233"/>
      <c r="E129" s="233"/>
      <c r="F129" s="241"/>
      <c r="G129" s="81">
        <f>SUM(G130:G131)</f>
        <v>3816750</v>
      </c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</row>
    <row r="130" spans="1:79" ht="23.25" customHeight="1">
      <c r="A130" s="50"/>
      <c r="B130" s="208" t="s">
        <v>180</v>
      </c>
      <c r="C130" s="208"/>
      <c r="D130" s="67">
        <v>25</v>
      </c>
      <c r="E130" s="68" t="s">
        <v>58</v>
      </c>
      <c r="F130" s="69">
        <v>96600</v>
      </c>
      <c r="G130" s="78">
        <f>D130*F130</f>
        <v>2415000</v>
      </c>
    </row>
    <row r="131" spans="1:79" ht="23.25" customHeight="1">
      <c r="A131" s="50"/>
      <c r="B131" s="208" t="s">
        <v>181</v>
      </c>
      <c r="C131" s="208"/>
      <c r="D131" s="67">
        <v>15</v>
      </c>
      <c r="E131" s="68" t="s">
        <v>58</v>
      </c>
      <c r="F131" s="69">
        <v>93450</v>
      </c>
      <c r="G131" s="78">
        <f>D131*F131</f>
        <v>1401750</v>
      </c>
    </row>
    <row r="132" spans="1:79" s="80" customFormat="1" ht="23.25" customHeight="1">
      <c r="A132" s="50"/>
      <c r="B132" s="232" t="s">
        <v>183</v>
      </c>
      <c r="C132" s="233"/>
      <c r="D132" s="233"/>
      <c r="E132" s="233"/>
      <c r="F132" s="241"/>
      <c r="G132" s="82">
        <f>SUM(G133:G135)</f>
        <v>24412000</v>
      </c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</row>
    <row r="133" spans="1:79" ht="23.25" customHeight="1">
      <c r="A133" s="50"/>
      <c r="B133" s="208" t="s">
        <v>69</v>
      </c>
      <c r="C133" s="208"/>
      <c r="D133" s="67">
        <v>36000</v>
      </c>
      <c r="E133" s="68" t="s">
        <v>62</v>
      </c>
      <c r="F133" s="69">
        <v>350</v>
      </c>
      <c r="G133" s="78">
        <f>D133*F133</f>
        <v>12600000</v>
      </c>
    </row>
    <row r="134" spans="1:79" ht="23.25" customHeight="1">
      <c r="A134" s="50"/>
      <c r="B134" s="208" t="s">
        <v>70</v>
      </c>
      <c r="C134" s="208"/>
      <c r="D134" s="67">
        <v>14000</v>
      </c>
      <c r="E134" s="68" t="s">
        <v>62</v>
      </c>
      <c r="F134" s="69">
        <v>350</v>
      </c>
      <c r="G134" s="78">
        <f>D134*F134</f>
        <v>4900000</v>
      </c>
    </row>
    <row r="135" spans="1:79" ht="32.25" customHeight="1">
      <c r="A135" s="50"/>
      <c r="B135" s="208" t="s">
        <v>71</v>
      </c>
      <c r="C135" s="208"/>
      <c r="D135" s="67">
        <v>96</v>
      </c>
      <c r="E135" s="68" t="s">
        <v>57</v>
      </c>
      <c r="F135" s="69">
        <v>72000</v>
      </c>
      <c r="G135" s="78">
        <f>D135*F135</f>
        <v>6912000</v>
      </c>
    </row>
    <row r="136" spans="1:79" s="80" customFormat="1" ht="23.25" customHeight="1">
      <c r="A136" s="50"/>
      <c r="B136" s="232" t="s">
        <v>185</v>
      </c>
      <c r="C136" s="233"/>
      <c r="D136" s="72"/>
      <c r="E136" s="83"/>
      <c r="F136" s="84"/>
      <c r="G136" s="82">
        <f>SUM(G137:G138)</f>
        <v>2250000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</row>
    <row r="137" spans="1:79" ht="36" customHeight="1">
      <c r="A137" s="50"/>
      <c r="B137" s="218" t="s">
        <v>72</v>
      </c>
      <c r="C137" s="219"/>
      <c r="D137" s="67">
        <v>50</v>
      </c>
      <c r="E137" s="68" t="s">
        <v>73</v>
      </c>
      <c r="F137" s="69">
        <v>30000</v>
      </c>
      <c r="G137" s="78">
        <f>D137*F137</f>
        <v>1500000</v>
      </c>
    </row>
    <row r="138" spans="1:79" ht="35.25" customHeight="1">
      <c r="A138" s="50"/>
      <c r="B138" s="218" t="s">
        <v>74</v>
      </c>
      <c r="C138" s="219"/>
      <c r="D138" s="67">
        <v>50</v>
      </c>
      <c r="E138" s="68" t="s">
        <v>73</v>
      </c>
      <c r="F138" s="69">
        <v>15000</v>
      </c>
      <c r="G138" s="78">
        <f>D138*F138</f>
        <v>750000</v>
      </c>
    </row>
    <row r="139" spans="1:79" s="80" customFormat="1" ht="35.1" customHeight="1">
      <c r="A139" s="50"/>
      <c r="B139" s="220" t="s">
        <v>211</v>
      </c>
      <c r="C139" s="221"/>
      <c r="D139" s="221"/>
      <c r="E139" s="221"/>
      <c r="F139" s="222"/>
      <c r="G139" s="81">
        <f>SUM(G140)</f>
        <v>10150000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</row>
    <row r="140" spans="1:79" ht="35.1" customHeight="1">
      <c r="A140" s="50"/>
      <c r="B140" s="212" t="s">
        <v>413</v>
      </c>
      <c r="C140" s="213"/>
      <c r="D140" s="52"/>
      <c r="E140" s="49"/>
      <c r="F140" s="78"/>
      <c r="G140" s="100">
        <f>SUM(G141:G142)</f>
        <v>10150000</v>
      </c>
    </row>
    <row r="141" spans="1:79" ht="35.1" customHeight="1">
      <c r="A141" s="50"/>
      <c r="B141" s="208" t="s">
        <v>213</v>
      </c>
      <c r="C141" s="208"/>
      <c r="D141" s="67">
        <v>50</v>
      </c>
      <c r="E141" s="68" t="s">
        <v>61</v>
      </c>
      <c r="F141" s="69">
        <v>170000</v>
      </c>
      <c r="G141" s="78">
        <f t="shared" ref="G141:G142" si="5">D141*F141</f>
        <v>8500000</v>
      </c>
    </row>
    <row r="142" spans="1:79" ht="35.1" customHeight="1">
      <c r="A142" s="50"/>
      <c r="B142" s="208" t="s">
        <v>249</v>
      </c>
      <c r="C142" s="208"/>
      <c r="D142" s="52">
        <v>10</v>
      </c>
      <c r="E142" s="68" t="s">
        <v>73</v>
      </c>
      <c r="F142" s="78">
        <v>165000</v>
      </c>
      <c r="G142" s="78">
        <f t="shared" si="5"/>
        <v>1650000</v>
      </c>
    </row>
    <row r="143" spans="1:79" ht="19.5" customHeight="1">
      <c r="A143" s="180"/>
      <c r="B143" s="261" t="s">
        <v>414</v>
      </c>
      <c r="C143" s="262"/>
      <c r="D143" s="262"/>
      <c r="E143" s="262"/>
      <c r="F143" s="263"/>
      <c r="G143" s="181">
        <f>G144+G145+G146+G147+G149+G177+G182+G185+G189+G192</f>
        <v>512100500</v>
      </c>
    </row>
    <row r="144" spans="1:79" s="172" customFormat="1" ht="57.75" customHeight="1">
      <c r="A144" s="166"/>
      <c r="B144" s="234" t="s">
        <v>337</v>
      </c>
      <c r="C144" s="234"/>
      <c r="D144" s="167">
        <v>1</v>
      </c>
      <c r="E144" s="168" t="s">
        <v>53</v>
      </c>
      <c r="F144" s="169">
        <v>19000000</v>
      </c>
      <c r="G144" s="170">
        <f>D144*F144</f>
        <v>19000000</v>
      </c>
      <c r="H144" s="171">
        <v>7400000000</v>
      </c>
    </row>
    <row r="145" spans="1:79" s="163" customFormat="1" ht="57.75" customHeight="1">
      <c r="A145" s="166"/>
      <c r="B145" s="235" t="s">
        <v>344</v>
      </c>
      <c r="C145" s="235"/>
      <c r="D145" s="167">
        <v>1</v>
      </c>
      <c r="E145" s="168" t="s">
        <v>339</v>
      </c>
      <c r="F145" s="169">
        <v>408000000</v>
      </c>
      <c r="G145" s="170">
        <f>D145*F145</f>
        <v>408000000</v>
      </c>
      <c r="H145" s="163">
        <f>H144/F145</f>
        <v>18.137254901960784</v>
      </c>
      <c r="J145" s="173">
        <f>7419431490/F145</f>
        <v>18.184881102941176</v>
      </c>
    </row>
    <row r="146" spans="1:79" s="163" customFormat="1" ht="57.75" customHeight="1">
      <c r="A146" s="162"/>
      <c r="B146" s="208" t="s">
        <v>340</v>
      </c>
      <c r="C146" s="208"/>
      <c r="D146" s="67">
        <v>1</v>
      </c>
      <c r="E146" s="68" t="s">
        <v>53</v>
      </c>
      <c r="F146" s="165">
        <v>30000000</v>
      </c>
      <c r="G146" s="170">
        <f t="shared" ref="G146" si="6">D146*F146</f>
        <v>30000000</v>
      </c>
    </row>
    <row r="147" spans="1:79" s="64" customFormat="1" ht="30.75" customHeight="1">
      <c r="A147" s="50"/>
      <c r="B147" s="232" t="s">
        <v>151</v>
      </c>
      <c r="C147" s="241"/>
      <c r="D147" s="61"/>
      <c r="E147" s="62"/>
      <c r="F147" s="63"/>
      <c r="G147" s="63">
        <f>SUM(G148)</f>
        <v>500000</v>
      </c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18"/>
      <c r="AV147" s="118"/>
      <c r="AW147" s="118"/>
      <c r="AX147" s="118"/>
      <c r="AY147" s="118"/>
      <c r="AZ147" s="118"/>
      <c r="BA147" s="118"/>
      <c r="BB147" s="118"/>
      <c r="BC147" s="118"/>
      <c r="BD147" s="118"/>
      <c r="BE147" s="118"/>
      <c r="BF147" s="118"/>
      <c r="BG147" s="118"/>
      <c r="BH147" s="118"/>
      <c r="BI147" s="118"/>
      <c r="BJ147" s="118"/>
      <c r="BK147" s="118"/>
      <c r="BL147" s="118"/>
      <c r="BM147" s="118"/>
      <c r="BN147" s="118"/>
      <c r="BO147" s="118"/>
      <c r="BP147" s="118"/>
      <c r="BQ147" s="118"/>
      <c r="BR147" s="118"/>
      <c r="BS147" s="118"/>
      <c r="BT147" s="118"/>
      <c r="BU147" s="118"/>
      <c r="BV147" s="118"/>
      <c r="BW147" s="118"/>
      <c r="BX147" s="118"/>
      <c r="BY147" s="118"/>
      <c r="BZ147" s="118"/>
      <c r="CA147" s="118"/>
    </row>
    <row r="148" spans="1:79" s="71" customFormat="1" ht="30.75" customHeight="1">
      <c r="A148" s="50"/>
      <c r="B148" s="65" t="s">
        <v>75</v>
      </c>
      <c r="C148" s="66"/>
      <c r="D148" s="67">
        <v>50</v>
      </c>
      <c r="E148" s="68" t="s">
        <v>60</v>
      </c>
      <c r="F148" s="69">
        <v>10000</v>
      </c>
      <c r="G148" s="70">
        <f>D148*F148</f>
        <v>500000</v>
      </c>
    </row>
    <row r="149" spans="1:79" s="75" customFormat="1" ht="30.75" customHeight="1">
      <c r="A149" s="50"/>
      <c r="B149" s="232" t="s">
        <v>153</v>
      </c>
      <c r="C149" s="233"/>
      <c r="D149" s="72"/>
      <c r="E149" s="60"/>
      <c r="F149" s="73"/>
      <c r="G149" s="74">
        <f>SUM(G150:G176)</f>
        <v>11689250</v>
      </c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</row>
    <row r="150" spans="1:79" ht="23.25" customHeight="1">
      <c r="A150" s="50"/>
      <c r="B150" s="208" t="s">
        <v>154</v>
      </c>
      <c r="C150" s="208"/>
      <c r="D150" s="67">
        <v>5</v>
      </c>
      <c r="E150" s="76" t="s">
        <v>54</v>
      </c>
      <c r="F150" s="77">
        <v>29100</v>
      </c>
      <c r="G150" s="78">
        <f t="shared" ref="G150:G176" si="7">D150*F150</f>
        <v>145500</v>
      </c>
    </row>
    <row r="151" spans="1:79" ht="23.25" customHeight="1">
      <c r="A151" s="50"/>
      <c r="B151" s="208" t="s">
        <v>155</v>
      </c>
      <c r="C151" s="208"/>
      <c r="D151" s="67">
        <v>5</v>
      </c>
      <c r="E151" s="76" t="s">
        <v>54</v>
      </c>
      <c r="F151" s="77">
        <v>37300</v>
      </c>
      <c r="G151" s="78">
        <f t="shared" si="7"/>
        <v>186500</v>
      </c>
    </row>
    <row r="152" spans="1:79" ht="23.25" customHeight="1">
      <c r="A152" s="50"/>
      <c r="B152" s="208" t="s">
        <v>156</v>
      </c>
      <c r="C152" s="208"/>
      <c r="D152" s="67">
        <v>10</v>
      </c>
      <c r="E152" s="76" t="s">
        <v>56</v>
      </c>
      <c r="F152" s="77">
        <v>283500</v>
      </c>
      <c r="G152" s="78">
        <f t="shared" si="7"/>
        <v>2835000</v>
      </c>
    </row>
    <row r="153" spans="1:79" ht="23.25" customHeight="1">
      <c r="A153" s="50"/>
      <c r="B153" s="208" t="s">
        <v>157</v>
      </c>
      <c r="C153" s="208"/>
      <c r="D153" s="67">
        <v>3</v>
      </c>
      <c r="E153" s="76" t="s">
        <v>56</v>
      </c>
      <c r="F153" s="77">
        <v>55650</v>
      </c>
      <c r="G153" s="78">
        <f t="shared" si="7"/>
        <v>166950</v>
      </c>
    </row>
    <row r="154" spans="1:79" ht="23.25" customHeight="1">
      <c r="A154" s="50"/>
      <c r="B154" s="208" t="s">
        <v>158</v>
      </c>
      <c r="C154" s="208"/>
      <c r="D154" s="67">
        <v>7</v>
      </c>
      <c r="E154" s="76" t="s">
        <v>54</v>
      </c>
      <c r="F154" s="77">
        <v>4725</v>
      </c>
      <c r="G154" s="78">
        <f t="shared" si="7"/>
        <v>33075</v>
      </c>
    </row>
    <row r="155" spans="1:79" ht="23.25" customHeight="1">
      <c r="A155" s="50"/>
      <c r="B155" s="208" t="s">
        <v>159</v>
      </c>
      <c r="C155" s="208"/>
      <c r="D155" s="67">
        <v>7</v>
      </c>
      <c r="E155" s="76" t="s">
        <v>54</v>
      </c>
      <c r="F155" s="77">
        <v>14700</v>
      </c>
      <c r="G155" s="78">
        <f t="shared" si="7"/>
        <v>102900</v>
      </c>
    </row>
    <row r="156" spans="1:79" ht="23.25" customHeight="1">
      <c r="A156" s="50"/>
      <c r="B156" s="208" t="s">
        <v>160</v>
      </c>
      <c r="C156" s="208"/>
      <c r="D156" s="67">
        <v>7</v>
      </c>
      <c r="E156" s="76" t="s">
        <v>54</v>
      </c>
      <c r="F156" s="77">
        <v>53500</v>
      </c>
      <c r="G156" s="78">
        <f t="shared" si="7"/>
        <v>374500</v>
      </c>
    </row>
    <row r="157" spans="1:79" ht="23.25" customHeight="1">
      <c r="A157" s="50"/>
      <c r="B157" s="208" t="s">
        <v>161</v>
      </c>
      <c r="C157" s="208"/>
      <c r="D157" s="67">
        <v>30</v>
      </c>
      <c r="E157" s="76" t="s">
        <v>55</v>
      </c>
      <c r="F157" s="77">
        <v>60775</v>
      </c>
      <c r="G157" s="78">
        <f t="shared" si="7"/>
        <v>1823250</v>
      </c>
    </row>
    <row r="158" spans="1:79" ht="23.25" customHeight="1">
      <c r="A158" s="50"/>
      <c r="B158" s="208" t="s">
        <v>162</v>
      </c>
      <c r="C158" s="208"/>
      <c r="D158" s="67">
        <v>5</v>
      </c>
      <c r="E158" s="76" t="s">
        <v>57</v>
      </c>
      <c r="F158" s="77">
        <v>22200</v>
      </c>
      <c r="G158" s="78">
        <f t="shared" si="7"/>
        <v>111000</v>
      </c>
    </row>
    <row r="159" spans="1:79" ht="23.25" customHeight="1">
      <c r="A159" s="50"/>
      <c r="B159" s="208" t="s">
        <v>163</v>
      </c>
      <c r="C159" s="208"/>
      <c r="D159" s="67">
        <v>8</v>
      </c>
      <c r="E159" s="76" t="s">
        <v>54</v>
      </c>
      <c r="F159" s="77">
        <v>44100</v>
      </c>
      <c r="G159" s="78">
        <f t="shared" si="7"/>
        <v>352800</v>
      </c>
    </row>
    <row r="160" spans="1:79" ht="23.25" customHeight="1">
      <c r="A160" s="50"/>
      <c r="B160" s="208" t="s">
        <v>164</v>
      </c>
      <c r="C160" s="208"/>
      <c r="D160" s="67">
        <v>8</v>
      </c>
      <c r="E160" s="76" t="s">
        <v>54</v>
      </c>
      <c r="F160" s="77">
        <v>37275</v>
      </c>
      <c r="G160" s="78">
        <f t="shared" si="7"/>
        <v>298200</v>
      </c>
    </row>
    <row r="161" spans="1:7" ht="23.25" customHeight="1">
      <c r="A161" s="50"/>
      <c r="B161" s="208" t="s">
        <v>165</v>
      </c>
      <c r="C161" s="208"/>
      <c r="D161" s="67">
        <v>100</v>
      </c>
      <c r="E161" s="76" t="s">
        <v>55</v>
      </c>
      <c r="F161" s="77">
        <v>9800</v>
      </c>
      <c r="G161" s="78">
        <f t="shared" si="7"/>
        <v>980000</v>
      </c>
    </row>
    <row r="162" spans="1:7" ht="23.25" customHeight="1">
      <c r="A162" s="50"/>
      <c r="B162" s="208" t="s">
        <v>166</v>
      </c>
      <c r="C162" s="208"/>
      <c r="D162" s="67">
        <v>20</v>
      </c>
      <c r="E162" s="76" t="s">
        <v>54</v>
      </c>
      <c r="F162" s="77">
        <v>130200</v>
      </c>
      <c r="G162" s="78">
        <f t="shared" si="7"/>
        <v>2604000</v>
      </c>
    </row>
    <row r="163" spans="1:7" ht="23.25" customHeight="1">
      <c r="A163" s="50"/>
      <c r="B163" s="208" t="s">
        <v>167</v>
      </c>
      <c r="C163" s="208"/>
      <c r="D163" s="67">
        <v>4</v>
      </c>
      <c r="E163" s="76" t="s">
        <v>76</v>
      </c>
      <c r="F163" s="77">
        <v>34175</v>
      </c>
      <c r="G163" s="78">
        <f t="shared" si="7"/>
        <v>136700</v>
      </c>
    </row>
    <row r="164" spans="1:7" ht="23.25" customHeight="1">
      <c r="A164" s="50"/>
      <c r="B164" s="208" t="s">
        <v>168</v>
      </c>
      <c r="C164" s="208"/>
      <c r="D164" s="67">
        <v>4</v>
      </c>
      <c r="E164" s="76" t="s">
        <v>76</v>
      </c>
      <c r="F164" s="77">
        <v>28875</v>
      </c>
      <c r="G164" s="78">
        <f t="shared" si="7"/>
        <v>115500</v>
      </c>
    </row>
    <row r="165" spans="1:7" ht="23.25" customHeight="1">
      <c r="A165" s="50"/>
      <c r="B165" s="208" t="s">
        <v>169</v>
      </c>
      <c r="C165" s="208"/>
      <c r="D165" s="67">
        <v>4</v>
      </c>
      <c r="E165" s="76" t="s">
        <v>76</v>
      </c>
      <c r="F165" s="77">
        <v>20175</v>
      </c>
      <c r="G165" s="78">
        <f t="shared" si="7"/>
        <v>80700</v>
      </c>
    </row>
    <row r="166" spans="1:7" ht="23.25" customHeight="1">
      <c r="A166" s="50"/>
      <c r="B166" s="208" t="s">
        <v>77</v>
      </c>
      <c r="C166" s="208"/>
      <c r="D166" s="67">
        <v>4</v>
      </c>
      <c r="E166" s="76" t="s">
        <v>55</v>
      </c>
      <c r="F166" s="77">
        <v>15000</v>
      </c>
      <c r="G166" s="78">
        <f t="shared" si="7"/>
        <v>60000</v>
      </c>
    </row>
    <row r="167" spans="1:7" ht="23.25" customHeight="1">
      <c r="A167" s="50"/>
      <c r="B167" s="208" t="s">
        <v>78</v>
      </c>
      <c r="C167" s="208"/>
      <c r="D167" s="67">
        <v>2</v>
      </c>
      <c r="E167" s="76" t="s">
        <v>55</v>
      </c>
      <c r="F167" s="77">
        <v>20900</v>
      </c>
      <c r="G167" s="78">
        <f t="shared" si="7"/>
        <v>41800</v>
      </c>
    </row>
    <row r="168" spans="1:7" ht="23.25" customHeight="1">
      <c r="A168" s="50"/>
      <c r="B168" s="208" t="s">
        <v>170</v>
      </c>
      <c r="C168" s="208"/>
      <c r="D168" s="67">
        <v>2</v>
      </c>
      <c r="E168" s="76" t="s">
        <v>55</v>
      </c>
      <c r="F168" s="77">
        <v>20800</v>
      </c>
      <c r="G168" s="78">
        <f t="shared" si="7"/>
        <v>41600</v>
      </c>
    </row>
    <row r="169" spans="1:7" ht="23.25" customHeight="1">
      <c r="A169" s="50"/>
      <c r="B169" s="208" t="s">
        <v>171</v>
      </c>
      <c r="C169" s="208"/>
      <c r="D169" s="67">
        <v>2</v>
      </c>
      <c r="E169" s="76" t="s">
        <v>55</v>
      </c>
      <c r="F169" s="77">
        <v>10500</v>
      </c>
      <c r="G169" s="78">
        <f t="shared" si="7"/>
        <v>21000</v>
      </c>
    </row>
    <row r="170" spans="1:7" ht="23.25" customHeight="1">
      <c r="A170" s="50"/>
      <c r="B170" s="208" t="s">
        <v>172</v>
      </c>
      <c r="C170" s="208"/>
      <c r="D170" s="67">
        <v>2</v>
      </c>
      <c r="E170" s="76" t="s">
        <v>55</v>
      </c>
      <c r="F170" s="77">
        <v>11000</v>
      </c>
      <c r="G170" s="78">
        <f t="shared" si="7"/>
        <v>22000</v>
      </c>
    </row>
    <row r="171" spans="1:7" ht="23.25" customHeight="1">
      <c r="A171" s="50"/>
      <c r="B171" s="208" t="s">
        <v>173</v>
      </c>
      <c r="C171" s="208"/>
      <c r="D171" s="67">
        <v>2</v>
      </c>
      <c r="E171" s="76" t="s">
        <v>60</v>
      </c>
      <c r="F171" s="77">
        <v>13650</v>
      </c>
      <c r="G171" s="78">
        <f t="shared" si="7"/>
        <v>27300</v>
      </c>
    </row>
    <row r="172" spans="1:7" ht="23.25" customHeight="1">
      <c r="A172" s="50"/>
      <c r="B172" s="208" t="s">
        <v>174</v>
      </c>
      <c r="C172" s="208"/>
      <c r="D172" s="67">
        <v>3</v>
      </c>
      <c r="E172" s="76" t="s">
        <v>55</v>
      </c>
      <c r="F172" s="77">
        <v>20325</v>
      </c>
      <c r="G172" s="78">
        <f t="shared" si="7"/>
        <v>60975</v>
      </c>
    </row>
    <row r="173" spans="1:7" ht="23.25" customHeight="1">
      <c r="A173" s="50"/>
      <c r="B173" s="208" t="s">
        <v>79</v>
      </c>
      <c r="C173" s="208"/>
      <c r="D173" s="67">
        <v>3</v>
      </c>
      <c r="E173" s="76" t="s">
        <v>76</v>
      </c>
      <c r="F173" s="77">
        <v>157725</v>
      </c>
      <c r="G173" s="78">
        <f t="shared" si="7"/>
        <v>473175</v>
      </c>
    </row>
    <row r="174" spans="1:7" ht="23.25" customHeight="1">
      <c r="A174" s="50"/>
      <c r="B174" s="208" t="s">
        <v>175</v>
      </c>
      <c r="C174" s="208"/>
      <c r="D174" s="67">
        <v>2</v>
      </c>
      <c r="E174" s="76" t="s">
        <v>76</v>
      </c>
      <c r="F174" s="77">
        <v>164850</v>
      </c>
      <c r="G174" s="78">
        <f t="shared" si="7"/>
        <v>329700</v>
      </c>
    </row>
    <row r="175" spans="1:7" ht="23.25" customHeight="1">
      <c r="A175" s="50"/>
      <c r="B175" s="208" t="s">
        <v>80</v>
      </c>
      <c r="C175" s="208"/>
      <c r="D175" s="67">
        <v>5</v>
      </c>
      <c r="E175" s="76" t="s">
        <v>55</v>
      </c>
      <c r="F175" s="77">
        <v>27300</v>
      </c>
      <c r="G175" s="78">
        <f t="shared" si="7"/>
        <v>136500</v>
      </c>
    </row>
    <row r="176" spans="1:7" ht="23.25" customHeight="1">
      <c r="A176" s="50"/>
      <c r="B176" s="208" t="s">
        <v>81</v>
      </c>
      <c r="C176" s="208"/>
      <c r="D176" s="67">
        <v>5</v>
      </c>
      <c r="E176" s="76" t="s">
        <v>55</v>
      </c>
      <c r="F176" s="77">
        <v>25725</v>
      </c>
      <c r="G176" s="78">
        <f t="shared" si="7"/>
        <v>128625</v>
      </c>
    </row>
    <row r="177" spans="1:79" s="80" customFormat="1" ht="23.25" customHeight="1">
      <c r="A177" s="50"/>
      <c r="B177" s="251" t="s">
        <v>177</v>
      </c>
      <c r="C177" s="252"/>
      <c r="D177" s="252"/>
      <c r="E177" s="252"/>
      <c r="F177" s="252"/>
      <c r="G177" s="79">
        <f>SUM(G178:G181)</f>
        <v>1732500</v>
      </c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</row>
    <row r="178" spans="1:79" ht="23.25" customHeight="1">
      <c r="A178" s="50"/>
      <c r="B178" s="208" t="s">
        <v>82</v>
      </c>
      <c r="C178" s="208"/>
      <c r="D178" s="67">
        <v>2</v>
      </c>
      <c r="E178" s="68" t="s">
        <v>55</v>
      </c>
      <c r="F178" s="69">
        <v>157500</v>
      </c>
      <c r="G178" s="78">
        <f>D178*F178</f>
        <v>315000</v>
      </c>
    </row>
    <row r="179" spans="1:79" ht="23.25" customHeight="1">
      <c r="A179" s="50"/>
      <c r="B179" s="208" t="s">
        <v>83</v>
      </c>
      <c r="C179" s="208"/>
      <c r="D179" s="67">
        <v>2</v>
      </c>
      <c r="E179" s="68" t="s">
        <v>55</v>
      </c>
      <c r="F179" s="69">
        <v>157500</v>
      </c>
      <c r="G179" s="78">
        <f>D179*F179</f>
        <v>315000</v>
      </c>
    </row>
    <row r="180" spans="1:79" ht="23.25" customHeight="1">
      <c r="A180" s="50"/>
      <c r="B180" s="208" t="s">
        <v>84</v>
      </c>
      <c r="C180" s="208"/>
      <c r="D180" s="67">
        <v>5</v>
      </c>
      <c r="E180" s="68" t="s">
        <v>55</v>
      </c>
      <c r="F180" s="69">
        <v>157500</v>
      </c>
      <c r="G180" s="78">
        <f>D180*F180</f>
        <v>787500</v>
      </c>
    </row>
    <row r="181" spans="1:79" ht="23.25" customHeight="1">
      <c r="A181" s="50"/>
      <c r="B181" s="208" t="s">
        <v>85</v>
      </c>
      <c r="C181" s="208"/>
      <c r="D181" s="67">
        <v>2</v>
      </c>
      <c r="E181" s="68" t="s">
        <v>55</v>
      </c>
      <c r="F181" s="69">
        <v>157500</v>
      </c>
      <c r="G181" s="78">
        <f>D181*F181</f>
        <v>315000</v>
      </c>
    </row>
    <row r="182" spans="1:79" s="80" customFormat="1" ht="23.25" customHeight="1">
      <c r="A182" s="50"/>
      <c r="B182" s="232" t="s">
        <v>179</v>
      </c>
      <c r="C182" s="233"/>
      <c r="D182" s="233"/>
      <c r="E182" s="233"/>
      <c r="F182" s="241"/>
      <c r="G182" s="81">
        <f>SUM(G183:G184)</f>
        <v>3816750</v>
      </c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  <c r="BS182" s="44"/>
      <c r="BT182" s="44"/>
      <c r="BU182" s="44"/>
      <c r="BV182" s="44"/>
      <c r="BW182" s="44"/>
      <c r="BX182" s="44"/>
      <c r="BY182" s="44"/>
      <c r="BZ182" s="44"/>
      <c r="CA182" s="44"/>
    </row>
    <row r="183" spans="1:79" ht="23.25" customHeight="1">
      <c r="A183" s="50"/>
      <c r="B183" s="208" t="s">
        <v>180</v>
      </c>
      <c r="C183" s="208"/>
      <c r="D183" s="67">
        <v>25</v>
      </c>
      <c r="E183" s="68" t="s">
        <v>58</v>
      </c>
      <c r="F183" s="69">
        <v>96600</v>
      </c>
      <c r="G183" s="78">
        <f>D183*F183</f>
        <v>2415000</v>
      </c>
    </row>
    <row r="184" spans="1:79" ht="23.25" customHeight="1">
      <c r="A184" s="50"/>
      <c r="B184" s="208" t="s">
        <v>181</v>
      </c>
      <c r="C184" s="208"/>
      <c r="D184" s="67">
        <v>15</v>
      </c>
      <c r="E184" s="68" t="s">
        <v>58</v>
      </c>
      <c r="F184" s="69">
        <v>93450</v>
      </c>
      <c r="G184" s="78">
        <f>D184*F184</f>
        <v>1401750</v>
      </c>
    </row>
    <row r="185" spans="1:79" s="80" customFormat="1" ht="23.25" customHeight="1">
      <c r="A185" s="50"/>
      <c r="B185" s="232" t="s">
        <v>183</v>
      </c>
      <c r="C185" s="233"/>
      <c r="D185" s="233"/>
      <c r="E185" s="233"/>
      <c r="F185" s="241"/>
      <c r="G185" s="82">
        <f>SUM(G186:G188)</f>
        <v>24412000</v>
      </c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  <c r="BT185" s="44"/>
      <c r="BU185" s="44"/>
      <c r="BV185" s="44"/>
      <c r="BW185" s="44"/>
      <c r="BX185" s="44"/>
      <c r="BY185" s="44"/>
      <c r="BZ185" s="44"/>
      <c r="CA185" s="44"/>
    </row>
    <row r="186" spans="1:79" ht="23.25" customHeight="1">
      <c r="A186" s="50"/>
      <c r="B186" s="208" t="s">
        <v>69</v>
      </c>
      <c r="C186" s="208"/>
      <c r="D186" s="67">
        <v>36000</v>
      </c>
      <c r="E186" s="68" t="s">
        <v>62</v>
      </c>
      <c r="F186" s="69">
        <v>350</v>
      </c>
      <c r="G186" s="78">
        <f>D186*F186</f>
        <v>12600000</v>
      </c>
    </row>
    <row r="187" spans="1:79" ht="23.25" customHeight="1">
      <c r="A187" s="50"/>
      <c r="B187" s="208" t="s">
        <v>70</v>
      </c>
      <c r="C187" s="208"/>
      <c r="D187" s="67">
        <v>14000</v>
      </c>
      <c r="E187" s="68" t="s">
        <v>62</v>
      </c>
      <c r="F187" s="69">
        <v>350</v>
      </c>
      <c r="G187" s="78">
        <f>D187*F187</f>
        <v>4900000</v>
      </c>
    </row>
    <row r="188" spans="1:79" ht="32.25" customHeight="1">
      <c r="A188" s="50"/>
      <c r="B188" s="208" t="s">
        <v>71</v>
      </c>
      <c r="C188" s="208"/>
      <c r="D188" s="67">
        <v>96</v>
      </c>
      <c r="E188" s="68" t="s">
        <v>57</v>
      </c>
      <c r="F188" s="69">
        <v>72000</v>
      </c>
      <c r="G188" s="78">
        <f>D188*F188</f>
        <v>6912000</v>
      </c>
    </row>
    <row r="189" spans="1:79" s="80" customFormat="1" ht="23.25" customHeight="1">
      <c r="A189" s="50"/>
      <c r="B189" s="232" t="s">
        <v>185</v>
      </c>
      <c r="C189" s="233"/>
      <c r="D189" s="72"/>
      <c r="E189" s="83"/>
      <c r="F189" s="84"/>
      <c r="G189" s="82">
        <f>SUM(G190:G191)</f>
        <v>2250000</v>
      </c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</row>
    <row r="190" spans="1:79" ht="36" customHeight="1">
      <c r="A190" s="50"/>
      <c r="B190" s="218" t="s">
        <v>72</v>
      </c>
      <c r="C190" s="219"/>
      <c r="D190" s="67">
        <v>50</v>
      </c>
      <c r="E190" s="68" t="s">
        <v>73</v>
      </c>
      <c r="F190" s="69">
        <v>30000</v>
      </c>
      <c r="G190" s="78">
        <f>D190*F190</f>
        <v>1500000</v>
      </c>
    </row>
    <row r="191" spans="1:79" ht="35.25" customHeight="1">
      <c r="A191" s="50"/>
      <c r="B191" s="218" t="s">
        <v>74</v>
      </c>
      <c r="C191" s="219"/>
      <c r="D191" s="67">
        <v>50</v>
      </c>
      <c r="E191" s="68" t="s">
        <v>73</v>
      </c>
      <c r="F191" s="69">
        <v>15000</v>
      </c>
      <c r="G191" s="78">
        <f>D191*F191</f>
        <v>750000</v>
      </c>
    </row>
    <row r="192" spans="1:79" s="80" customFormat="1" ht="35.1" customHeight="1">
      <c r="A192" s="50"/>
      <c r="B192" s="220" t="s">
        <v>211</v>
      </c>
      <c r="C192" s="221"/>
      <c r="D192" s="221"/>
      <c r="E192" s="221"/>
      <c r="F192" s="222"/>
      <c r="G192" s="81">
        <f>SUM(G193)</f>
        <v>10700000</v>
      </c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  <c r="BS192" s="44"/>
      <c r="BT192" s="44"/>
      <c r="BU192" s="44"/>
      <c r="BV192" s="44"/>
      <c r="BW192" s="44"/>
      <c r="BX192" s="44"/>
      <c r="BY192" s="44"/>
      <c r="BZ192" s="44"/>
      <c r="CA192" s="44"/>
    </row>
    <row r="193" spans="1:79" ht="35.1" customHeight="1">
      <c r="A193" s="50"/>
      <c r="B193" s="212" t="s">
        <v>413</v>
      </c>
      <c r="C193" s="213"/>
      <c r="D193" s="52"/>
      <c r="E193" s="49"/>
      <c r="F193" s="78"/>
      <c r="G193" s="100">
        <f>SUM(G194:G195)</f>
        <v>10700000</v>
      </c>
    </row>
    <row r="194" spans="1:79" ht="35.1" customHeight="1">
      <c r="A194" s="50"/>
      <c r="B194" s="208" t="s">
        <v>213</v>
      </c>
      <c r="C194" s="208"/>
      <c r="D194" s="67">
        <v>50</v>
      </c>
      <c r="E194" s="68" t="s">
        <v>61</v>
      </c>
      <c r="F194" s="69">
        <v>170000</v>
      </c>
      <c r="G194" s="78">
        <f t="shared" ref="G194:G195" si="8">D194*F194</f>
        <v>8500000</v>
      </c>
    </row>
    <row r="195" spans="1:79" ht="35.1" customHeight="1">
      <c r="A195" s="50"/>
      <c r="B195" s="208" t="s">
        <v>250</v>
      </c>
      <c r="C195" s="208"/>
      <c r="D195" s="52">
        <v>10</v>
      </c>
      <c r="E195" s="68" t="s">
        <v>73</v>
      </c>
      <c r="F195" s="78">
        <v>220000</v>
      </c>
      <c r="G195" s="78">
        <f t="shared" si="8"/>
        <v>2200000</v>
      </c>
    </row>
    <row r="196" spans="1:79" ht="19.5" customHeight="1">
      <c r="A196" s="180"/>
      <c r="B196" s="261" t="s">
        <v>415</v>
      </c>
      <c r="C196" s="262"/>
      <c r="D196" s="262"/>
      <c r="E196" s="262"/>
      <c r="F196" s="263"/>
      <c r="G196" s="181">
        <f>G197+G198+G199+G200+G202+G230+G235+G238+G242+G245</f>
        <v>709100500</v>
      </c>
    </row>
    <row r="197" spans="1:79" s="172" customFormat="1" ht="57.75" customHeight="1">
      <c r="A197" s="166"/>
      <c r="B197" s="234" t="s">
        <v>337</v>
      </c>
      <c r="C197" s="234"/>
      <c r="D197" s="167">
        <v>1</v>
      </c>
      <c r="E197" s="168" t="s">
        <v>53</v>
      </c>
      <c r="F197" s="169">
        <v>27000000</v>
      </c>
      <c r="G197" s="170">
        <f>D197*F197</f>
        <v>27000000</v>
      </c>
      <c r="H197" s="171">
        <v>7400000000</v>
      </c>
    </row>
    <row r="198" spans="1:79" s="163" customFormat="1" ht="57.75" customHeight="1">
      <c r="A198" s="166"/>
      <c r="B198" s="235" t="s">
        <v>344</v>
      </c>
      <c r="C198" s="235"/>
      <c r="D198" s="167">
        <v>1</v>
      </c>
      <c r="E198" s="168" t="s">
        <v>339</v>
      </c>
      <c r="F198" s="169">
        <v>585000000</v>
      </c>
      <c r="G198" s="170">
        <f>D198*F198</f>
        <v>585000000</v>
      </c>
      <c r="H198" s="163">
        <f>H197/F198</f>
        <v>12.649572649572649</v>
      </c>
      <c r="J198" s="173">
        <f>7419431490/F198</f>
        <v>12.682788871794871</v>
      </c>
    </row>
    <row r="199" spans="1:79" s="163" customFormat="1" ht="57.75" customHeight="1">
      <c r="A199" s="162"/>
      <c r="B199" s="208" t="s">
        <v>340</v>
      </c>
      <c r="C199" s="208"/>
      <c r="D199" s="67">
        <v>1</v>
      </c>
      <c r="E199" s="68" t="s">
        <v>53</v>
      </c>
      <c r="F199" s="165">
        <v>42000000</v>
      </c>
      <c r="G199" s="170">
        <f t="shared" ref="G199" si="9">D199*F199</f>
        <v>42000000</v>
      </c>
    </row>
    <row r="200" spans="1:79" s="64" customFormat="1" ht="30.75" customHeight="1">
      <c r="A200" s="50"/>
      <c r="B200" s="232" t="s">
        <v>151</v>
      </c>
      <c r="C200" s="241"/>
      <c r="D200" s="61"/>
      <c r="E200" s="62"/>
      <c r="F200" s="63"/>
      <c r="G200" s="63">
        <f>SUM(G201)</f>
        <v>500000</v>
      </c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8"/>
      <c r="BZ200" s="118"/>
      <c r="CA200" s="118"/>
    </row>
    <row r="201" spans="1:79" s="71" customFormat="1" ht="30.75" customHeight="1">
      <c r="A201" s="50"/>
      <c r="B201" s="65" t="s">
        <v>75</v>
      </c>
      <c r="C201" s="66"/>
      <c r="D201" s="67">
        <v>50</v>
      </c>
      <c r="E201" s="68" t="s">
        <v>60</v>
      </c>
      <c r="F201" s="69">
        <v>10000</v>
      </c>
      <c r="G201" s="70">
        <f>D201*F201</f>
        <v>500000</v>
      </c>
    </row>
    <row r="202" spans="1:79" s="75" customFormat="1" ht="30.75" customHeight="1">
      <c r="A202" s="50"/>
      <c r="B202" s="232" t="s">
        <v>153</v>
      </c>
      <c r="C202" s="233"/>
      <c r="D202" s="72"/>
      <c r="E202" s="60"/>
      <c r="F202" s="73"/>
      <c r="G202" s="74">
        <f>SUM(G203:G229)</f>
        <v>11689250</v>
      </c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  <c r="BX202" s="71"/>
      <c r="BY202" s="71"/>
      <c r="BZ202" s="71"/>
      <c r="CA202" s="71"/>
    </row>
    <row r="203" spans="1:79" ht="23.25" customHeight="1">
      <c r="A203" s="50"/>
      <c r="B203" s="208" t="s">
        <v>154</v>
      </c>
      <c r="C203" s="208"/>
      <c r="D203" s="67">
        <v>5</v>
      </c>
      <c r="E203" s="76" t="s">
        <v>54</v>
      </c>
      <c r="F203" s="77">
        <v>29100</v>
      </c>
      <c r="G203" s="78">
        <f t="shared" ref="G203:G229" si="10">D203*F203</f>
        <v>145500</v>
      </c>
    </row>
    <row r="204" spans="1:79" ht="23.25" customHeight="1">
      <c r="A204" s="50"/>
      <c r="B204" s="208" t="s">
        <v>155</v>
      </c>
      <c r="C204" s="208"/>
      <c r="D204" s="67">
        <v>5</v>
      </c>
      <c r="E204" s="76" t="s">
        <v>54</v>
      </c>
      <c r="F204" s="77">
        <v>37300</v>
      </c>
      <c r="G204" s="78">
        <f t="shared" si="10"/>
        <v>186500</v>
      </c>
    </row>
    <row r="205" spans="1:79" ht="23.25" customHeight="1">
      <c r="A205" s="50"/>
      <c r="B205" s="208" t="s">
        <v>156</v>
      </c>
      <c r="C205" s="208"/>
      <c r="D205" s="67">
        <v>10</v>
      </c>
      <c r="E205" s="76" t="s">
        <v>56</v>
      </c>
      <c r="F205" s="77">
        <v>283500</v>
      </c>
      <c r="G205" s="78">
        <f t="shared" si="10"/>
        <v>2835000</v>
      </c>
    </row>
    <row r="206" spans="1:79" ht="23.25" customHeight="1">
      <c r="A206" s="50"/>
      <c r="B206" s="208" t="s">
        <v>157</v>
      </c>
      <c r="C206" s="208"/>
      <c r="D206" s="67">
        <v>3</v>
      </c>
      <c r="E206" s="76" t="s">
        <v>56</v>
      </c>
      <c r="F206" s="77">
        <v>55650</v>
      </c>
      <c r="G206" s="78">
        <f t="shared" si="10"/>
        <v>166950</v>
      </c>
    </row>
    <row r="207" spans="1:79" ht="23.25" customHeight="1">
      <c r="A207" s="50"/>
      <c r="B207" s="208" t="s">
        <v>158</v>
      </c>
      <c r="C207" s="208"/>
      <c r="D207" s="67">
        <v>7</v>
      </c>
      <c r="E207" s="76" t="s">
        <v>54</v>
      </c>
      <c r="F207" s="77">
        <v>4725</v>
      </c>
      <c r="G207" s="78">
        <f t="shared" si="10"/>
        <v>33075</v>
      </c>
    </row>
    <row r="208" spans="1:79" ht="23.25" customHeight="1">
      <c r="A208" s="50"/>
      <c r="B208" s="208" t="s">
        <v>159</v>
      </c>
      <c r="C208" s="208"/>
      <c r="D208" s="67">
        <v>7</v>
      </c>
      <c r="E208" s="76" t="s">
        <v>54</v>
      </c>
      <c r="F208" s="77">
        <v>14700</v>
      </c>
      <c r="G208" s="78">
        <f t="shared" si="10"/>
        <v>102900</v>
      </c>
    </row>
    <row r="209" spans="1:7" ht="23.25" customHeight="1">
      <c r="A209" s="50"/>
      <c r="B209" s="208" t="s">
        <v>160</v>
      </c>
      <c r="C209" s="208"/>
      <c r="D209" s="67">
        <v>7</v>
      </c>
      <c r="E209" s="76" t="s">
        <v>54</v>
      </c>
      <c r="F209" s="77">
        <v>53500</v>
      </c>
      <c r="G209" s="78">
        <f t="shared" si="10"/>
        <v>374500</v>
      </c>
    </row>
    <row r="210" spans="1:7" ht="23.25" customHeight="1">
      <c r="A210" s="50"/>
      <c r="B210" s="208" t="s">
        <v>161</v>
      </c>
      <c r="C210" s="208"/>
      <c r="D210" s="67">
        <v>30</v>
      </c>
      <c r="E210" s="76" t="s">
        <v>55</v>
      </c>
      <c r="F210" s="77">
        <v>60775</v>
      </c>
      <c r="G210" s="78">
        <f t="shared" si="10"/>
        <v>1823250</v>
      </c>
    </row>
    <row r="211" spans="1:7" ht="23.25" customHeight="1">
      <c r="A211" s="50"/>
      <c r="B211" s="208" t="s">
        <v>162</v>
      </c>
      <c r="C211" s="208"/>
      <c r="D211" s="67">
        <v>5</v>
      </c>
      <c r="E211" s="76" t="s">
        <v>57</v>
      </c>
      <c r="F211" s="77">
        <v>22200</v>
      </c>
      <c r="G211" s="78">
        <f t="shared" si="10"/>
        <v>111000</v>
      </c>
    </row>
    <row r="212" spans="1:7" ht="23.25" customHeight="1">
      <c r="A212" s="50"/>
      <c r="B212" s="208" t="s">
        <v>163</v>
      </c>
      <c r="C212" s="208"/>
      <c r="D212" s="67">
        <v>8</v>
      </c>
      <c r="E212" s="76" t="s">
        <v>54</v>
      </c>
      <c r="F212" s="77">
        <v>44100</v>
      </c>
      <c r="G212" s="78">
        <f t="shared" si="10"/>
        <v>352800</v>
      </c>
    </row>
    <row r="213" spans="1:7" ht="23.25" customHeight="1">
      <c r="A213" s="50"/>
      <c r="B213" s="208" t="s">
        <v>164</v>
      </c>
      <c r="C213" s="208"/>
      <c r="D213" s="67">
        <v>8</v>
      </c>
      <c r="E213" s="76" t="s">
        <v>54</v>
      </c>
      <c r="F213" s="77">
        <v>37275</v>
      </c>
      <c r="G213" s="78">
        <f t="shared" si="10"/>
        <v>298200</v>
      </c>
    </row>
    <row r="214" spans="1:7" ht="23.25" customHeight="1">
      <c r="A214" s="50"/>
      <c r="B214" s="208" t="s">
        <v>165</v>
      </c>
      <c r="C214" s="208"/>
      <c r="D214" s="67">
        <v>100</v>
      </c>
      <c r="E214" s="76" t="s">
        <v>55</v>
      </c>
      <c r="F214" s="77">
        <v>9800</v>
      </c>
      <c r="G214" s="78">
        <f t="shared" si="10"/>
        <v>980000</v>
      </c>
    </row>
    <row r="215" spans="1:7" ht="23.25" customHeight="1">
      <c r="A215" s="50"/>
      <c r="B215" s="208" t="s">
        <v>166</v>
      </c>
      <c r="C215" s="208"/>
      <c r="D215" s="67">
        <v>20</v>
      </c>
      <c r="E215" s="76" t="s">
        <v>54</v>
      </c>
      <c r="F215" s="77">
        <v>130200</v>
      </c>
      <c r="G215" s="78">
        <f t="shared" si="10"/>
        <v>2604000</v>
      </c>
    </row>
    <row r="216" spans="1:7" ht="23.25" customHeight="1">
      <c r="A216" s="50"/>
      <c r="B216" s="208" t="s">
        <v>167</v>
      </c>
      <c r="C216" s="208"/>
      <c r="D216" s="67">
        <v>4</v>
      </c>
      <c r="E216" s="76" t="s">
        <v>76</v>
      </c>
      <c r="F216" s="77">
        <v>34175</v>
      </c>
      <c r="G216" s="78">
        <f t="shared" si="10"/>
        <v>136700</v>
      </c>
    </row>
    <row r="217" spans="1:7" ht="23.25" customHeight="1">
      <c r="A217" s="50"/>
      <c r="B217" s="208" t="s">
        <v>168</v>
      </c>
      <c r="C217" s="208"/>
      <c r="D217" s="67">
        <v>4</v>
      </c>
      <c r="E217" s="76" t="s">
        <v>76</v>
      </c>
      <c r="F217" s="77">
        <v>28875</v>
      </c>
      <c r="G217" s="78">
        <f t="shared" si="10"/>
        <v>115500</v>
      </c>
    </row>
    <row r="218" spans="1:7" ht="23.25" customHeight="1">
      <c r="A218" s="50"/>
      <c r="B218" s="208" t="s">
        <v>169</v>
      </c>
      <c r="C218" s="208"/>
      <c r="D218" s="67">
        <v>4</v>
      </c>
      <c r="E218" s="76" t="s">
        <v>76</v>
      </c>
      <c r="F218" s="77">
        <v>20175</v>
      </c>
      <c r="G218" s="78">
        <f t="shared" si="10"/>
        <v>80700</v>
      </c>
    </row>
    <row r="219" spans="1:7" ht="23.25" customHeight="1">
      <c r="A219" s="50"/>
      <c r="B219" s="208" t="s">
        <v>77</v>
      </c>
      <c r="C219" s="208"/>
      <c r="D219" s="67">
        <v>4</v>
      </c>
      <c r="E219" s="76" t="s">
        <v>55</v>
      </c>
      <c r="F219" s="77">
        <v>15000</v>
      </c>
      <c r="G219" s="78">
        <f t="shared" si="10"/>
        <v>60000</v>
      </c>
    </row>
    <row r="220" spans="1:7" ht="23.25" customHeight="1">
      <c r="A220" s="50"/>
      <c r="B220" s="208" t="s">
        <v>78</v>
      </c>
      <c r="C220" s="208"/>
      <c r="D220" s="67">
        <v>2</v>
      </c>
      <c r="E220" s="76" t="s">
        <v>55</v>
      </c>
      <c r="F220" s="77">
        <v>20900</v>
      </c>
      <c r="G220" s="78">
        <f t="shared" si="10"/>
        <v>41800</v>
      </c>
    </row>
    <row r="221" spans="1:7" ht="23.25" customHeight="1">
      <c r="A221" s="50"/>
      <c r="B221" s="208" t="s">
        <v>170</v>
      </c>
      <c r="C221" s="208"/>
      <c r="D221" s="67">
        <v>2</v>
      </c>
      <c r="E221" s="76" t="s">
        <v>55</v>
      </c>
      <c r="F221" s="77">
        <v>20800</v>
      </c>
      <c r="G221" s="78">
        <f t="shared" si="10"/>
        <v>41600</v>
      </c>
    </row>
    <row r="222" spans="1:7" ht="23.25" customHeight="1">
      <c r="A222" s="50"/>
      <c r="B222" s="208" t="s">
        <v>171</v>
      </c>
      <c r="C222" s="208"/>
      <c r="D222" s="67">
        <v>2</v>
      </c>
      <c r="E222" s="76" t="s">
        <v>55</v>
      </c>
      <c r="F222" s="77">
        <v>10500</v>
      </c>
      <c r="G222" s="78">
        <f t="shared" si="10"/>
        <v>21000</v>
      </c>
    </row>
    <row r="223" spans="1:7" ht="23.25" customHeight="1">
      <c r="A223" s="50"/>
      <c r="B223" s="208" t="s">
        <v>172</v>
      </c>
      <c r="C223" s="208"/>
      <c r="D223" s="67">
        <v>2</v>
      </c>
      <c r="E223" s="76" t="s">
        <v>55</v>
      </c>
      <c r="F223" s="77">
        <v>11000</v>
      </c>
      <c r="G223" s="78">
        <f t="shared" si="10"/>
        <v>22000</v>
      </c>
    </row>
    <row r="224" spans="1:7" ht="23.25" customHeight="1">
      <c r="A224" s="50"/>
      <c r="B224" s="208" t="s">
        <v>173</v>
      </c>
      <c r="C224" s="208"/>
      <c r="D224" s="67">
        <v>2</v>
      </c>
      <c r="E224" s="76" t="s">
        <v>60</v>
      </c>
      <c r="F224" s="77">
        <v>13650</v>
      </c>
      <c r="G224" s="78">
        <f t="shared" si="10"/>
        <v>27300</v>
      </c>
    </row>
    <row r="225" spans="1:79" ht="23.25" customHeight="1">
      <c r="A225" s="50"/>
      <c r="B225" s="208" t="s">
        <v>174</v>
      </c>
      <c r="C225" s="208"/>
      <c r="D225" s="67">
        <v>3</v>
      </c>
      <c r="E225" s="76" t="s">
        <v>55</v>
      </c>
      <c r="F225" s="77">
        <v>20325</v>
      </c>
      <c r="G225" s="78">
        <f t="shared" si="10"/>
        <v>60975</v>
      </c>
    </row>
    <row r="226" spans="1:79" ht="23.25" customHeight="1">
      <c r="A226" s="50"/>
      <c r="B226" s="208" t="s">
        <v>79</v>
      </c>
      <c r="C226" s="208"/>
      <c r="D226" s="67">
        <v>3</v>
      </c>
      <c r="E226" s="76" t="s">
        <v>76</v>
      </c>
      <c r="F226" s="77">
        <v>157725</v>
      </c>
      <c r="G226" s="78">
        <f t="shared" si="10"/>
        <v>473175</v>
      </c>
    </row>
    <row r="227" spans="1:79" ht="23.25" customHeight="1">
      <c r="A227" s="50"/>
      <c r="B227" s="208" t="s">
        <v>175</v>
      </c>
      <c r="C227" s="208"/>
      <c r="D227" s="67">
        <v>2</v>
      </c>
      <c r="E227" s="76" t="s">
        <v>76</v>
      </c>
      <c r="F227" s="77">
        <v>164850</v>
      </c>
      <c r="G227" s="78">
        <f t="shared" si="10"/>
        <v>329700</v>
      </c>
    </row>
    <row r="228" spans="1:79" ht="23.25" customHeight="1">
      <c r="A228" s="50"/>
      <c r="B228" s="208" t="s">
        <v>80</v>
      </c>
      <c r="C228" s="208"/>
      <c r="D228" s="67">
        <v>5</v>
      </c>
      <c r="E228" s="76" t="s">
        <v>55</v>
      </c>
      <c r="F228" s="77">
        <v>27300</v>
      </c>
      <c r="G228" s="78">
        <f t="shared" si="10"/>
        <v>136500</v>
      </c>
    </row>
    <row r="229" spans="1:79" ht="23.25" customHeight="1">
      <c r="A229" s="50"/>
      <c r="B229" s="208" t="s">
        <v>81</v>
      </c>
      <c r="C229" s="208"/>
      <c r="D229" s="67">
        <v>5</v>
      </c>
      <c r="E229" s="76" t="s">
        <v>55</v>
      </c>
      <c r="F229" s="77">
        <v>25725</v>
      </c>
      <c r="G229" s="78">
        <f t="shared" si="10"/>
        <v>128625</v>
      </c>
    </row>
    <row r="230" spans="1:79" s="80" customFormat="1" ht="23.25" customHeight="1">
      <c r="A230" s="50"/>
      <c r="B230" s="251" t="s">
        <v>177</v>
      </c>
      <c r="C230" s="252"/>
      <c r="D230" s="252"/>
      <c r="E230" s="252"/>
      <c r="F230" s="252"/>
      <c r="G230" s="79">
        <f>SUM(G231:G234)</f>
        <v>1732500</v>
      </c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4"/>
      <c r="BT230" s="44"/>
      <c r="BU230" s="44"/>
      <c r="BV230" s="44"/>
      <c r="BW230" s="44"/>
      <c r="BX230" s="44"/>
      <c r="BY230" s="44"/>
      <c r="BZ230" s="44"/>
      <c r="CA230" s="44"/>
    </row>
    <row r="231" spans="1:79" ht="23.25" customHeight="1">
      <c r="A231" s="50"/>
      <c r="B231" s="208" t="s">
        <v>82</v>
      </c>
      <c r="C231" s="208"/>
      <c r="D231" s="67">
        <v>2</v>
      </c>
      <c r="E231" s="68" t="s">
        <v>55</v>
      </c>
      <c r="F231" s="69">
        <v>157500</v>
      </c>
      <c r="G231" s="78">
        <f>D231*F231</f>
        <v>315000</v>
      </c>
    </row>
    <row r="232" spans="1:79" ht="23.25" customHeight="1">
      <c r="A232" s="50"/>
      <c r="B232" s="208" t="s">
        <v>83</v>
      </c>
      <c r="C232" s="208"/>
      <c r="D232" s="67">
        <v>2</v>
      </c>
      <c r="E232" s="68" t="s">
        <v>55</v>
      </c>
      <c r="F232" s="69">
        <v>157500</v>
      </c>
      <c r="G232" s="78">
        <f>D232*F232</f>
        <v>315000</v>
      </c>
    </row>
    <row r="233" spans="1:79" ht="23.25" customHeight="1">
      <c r="A233" s="50"/>
      <c r="B233" s="208" t="s">
        <v>84</v>
      </c>
      <c r="C233" s="208"/>
      <c r="D233" s="67">
        <v>5</v>
      </c>
      <c r="E233" s="68" t="s">
        <v>55</v>
      </c>
      <c r="F233" s="69">
        <v>157500</v>
      </c>
      <c r="G233" s="78">
        <f>D233*F233</f>
        <v>787500</v>
      </c>
    </row>
    <row r="234" spans="1:79" ht="23.25" customHeight="1">
      <c r="A234" s="50"/>
      <c r="B234" s="208" t="s">
        <v>85</v>
      </c>
      <c r="C234" s="208"/>
      <c r="D234" s="67">
        <v>2</v>
      </c>
      <c r="E234" s="68" t="s">
        <v>55</v>
      </c>
      <c r="F234" s="69">
        <v>157500</v>
      </c>
      <c r="G234" s="78">
        <f>D234*F234</f>
        <v>315000</v>
      </c>
    </row>
    <row r="235" spans="1:79" s="80" customFormat="1" ht="23.25" customHeight="1">
      <c r="A235" s="50"/>
      <c r="B235" s="232" t="s">
        <v>179</v>
      </c>
      <c r="C235" s="233"/>
      <c r="D235" s="233"/>
      <c r="E235" s="233"/>
      <c r="F235" s="241"/>
      <c r="G235" s="81">
        <f>SUM(G236:G237)</f>
        <v>3816750</v>
      </c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</row>
    <row r="236" spans="1:79" ht="23.25" customHeight="1">
      <c r="A236" s="50"/>
      <c r="B236" s="208" t="s">
        <v>180</v>
      </c>
      <c r="C236" s="208"/>
      <c r="D236" s="67">
        <v>25</v>
      </c>
      <c r="E236" s="68" t="s">
        <v>58</v>
      </c>
      <c r="F236" s="69">
        <v>96600</v>
      </c>
      <c r="G236" s="78">
        <f>D236*F236</f>
        <v>2415000</v>
      </c>
    </row>
    <row r="237" spans="1:79" ht="23.25" customHeight="1">
      <c r="A237" s="50"/>
      <c r="B237" s="208" t="s">
        <v>181</v>
      </c>
      <c r="C237" s="208"/>
      <c r="D237" s="67">
        <v>15</v>
      </c>
      <c r="E237" s="68" t="s">
        <v>58</v>
      </c>
      <c r="F237" s="69">
        <v>93450</v>
      </c>
      <c r="G237" s="78">
        <f>D237*F237</f>
        <v>1401750</v>
      </c>
    </row>
    <row r="238" spans="1:79" s="80" customFormat="1" ht="23.25" customHeight="1">
      <c r="A238" s="50"/>
      <c r="B238" s="232" t="s">
        <v>183</v>
      </c>
      <c r="C238" s="233"/>
      <c r="D238" s="233"/>
      <c r="E238" s="233"/>
      <c r="F238" s="241"/>
      <c r="G238" s="82">
        <f>SUM(G239:G241)</f>
        <v>24412000</v>
      </c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</row>
    <row r="239" spans="1:79" ht="23.25" customHeight="1">
      <c r="A239" s="50"/>
      <c r="B239" s="208" t="s">
        <v>69</v>
      </c>
      <c r="C239" s="208"/>
      <c r="D239" s="67">
        <v>36000</v>
      </c>
      <c r="E239" s="68" t="s">
        <v>62</v>
      </c>
      <c r="F239" s="69">
        <v>350</v>
      </c>
      <c r="G239" s="78">
        <f>D239*F239</f>
        <v>12600000</v>
      </c>
    </row>
    <row r="240" spans="1:79" ht="23.25" customHeight="1">
      <c r="A240" s="50"/>
      <c r="B240" s="208" t="s">
        <v>70</v>
      </c>
      <c r="C240" s="208"/>
      <c r="D240" s="67">
        <v>14000</v>
      </c>
      <c r="E240" s="68" t="s">
        <v>62</v>
      </c>
      <c r="F240" s="69">
        <v>350</v>
      </c>
      <c r="G240" s="78">
        <f>D240*F240</f>
        <v>4900000</v>
      </c>
    </row>
    <row r="241" spans="1:79" ht="32.25" customHeight="1">
      <c r="A241" s="50"/>
      <c r="B241" s="208" t="s">
        <v>71</v>
      </c>
      <c r="C241" s="208"/>
      <c r="D241" s="67">
        <v>96</v>
      </c>
      <c r="E241" s="68" t="s">
        <v>57</v>
      </c>
      <c r="F241" s="69">
        <v>72000</v>
      </c>
      <c r="G241" s="78">
        <f>D241*F241</f>
        <v>6912000</v>
      </c>
    </row>
    <row r="242" spans="1:79" s="80" customFormat="1" ht="23.25" customHeight="1">
      <c r="A242" s="50"/>
      <c r="B242" s="232" t="s">
        <v>185</v>
      </c>
      <c r="C242" s="233"/>
      <c r="D242" s="72"/>
      <c r="E242" s="83"/>
      <c r="F242" s="84"/>
      <c r="G242" s="82">
        <f>SUM(G243:G244)</f>
        <v>2250000</v>
      </c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</row>
    <row r="243" spans="1:79" ht="36" customHeight="1">
      <c r="A243" s="50"/>
      <c r="B243" s="218" t="s">
        <v>72</v>
      </c>
      <c r="C243" s="219"/>
      <c r="D243" s="67">
        <v>50</v>
      </c>
      <c r="E243" s="68" t="s">
        <v>73</v>
      </c>
      <c r="F243" s="69">
        <v>30000</v>
      </c>
      <c r="G243" s="78">
        <f>D243*F243</f>
        <v>1500000</v>
      </c>
    </row>
    <row r="244" spans="1:79" ht="35.25" customHeight="1">
      <c r="A244" s="50"/>
      <c r="B244" s="218" t="s">
        <v>74</v>
      </c>
      <c r="C244" s="219"/>
      <c r="D244" s="67">
        <v>50</v>
      </c>
      <c r="E244" s="68" t="s">
        <v>73</v>
      </c>
      <c r="F244" s="69">
        <v>15000</v>
      </c>
      <c r="G244" s="78">
        <f>D244*F244</f>
        <v>750000</v>
      </c>
    </row>
    <row r="245" spans="1:79" s="80" customFormat="1" ht="35.1" customHeight="1">
      <c r="A245" s="50"/>
      <c r="B245" s="220" t="s">
        <v>211</v>
      </c>
      <c r="C245" s="221"/>
      <c r="D245" s="221"/>
      <c r="E245" s="221"/>
      <c r="F245" s="222"/>
      <c r="G245" s="81">
        <f>SUM(G246)</f>
        <v>10700000</v>
      </c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</row>
    <row r="246" spans="1:79" ht="35.1" customHeight="1">
      <c r="A246" s="50"/>
      <c r="B246" s="212" t="s">
        <v>413</v>
      </c>
      <c r="C246" s="213"/>
      <c r="D246" s="52"/>
      <c r="E246" s="49"/>
      <c r="F246" s="78"/>
      <c r="G246" s="100">
        <f>SUM(G247:G248)</f>
        <v>10700000</v>
      </c>
    </row>
    <row r="247" spans="1:79" ht="35.1" customHeight="1">
      <c r="A247" s="50"/>
      <c r="B247" s="208" t="s">
        <v>213</v>
      </c>
      <c r="C247" s="208"/>
      <c r="D247" s="67">
        <v>50</v>
      </c>
      <c r="E247" s="68" t="s">
        <v>61</v>
      </c>
      <c r="F247" s="69">
        <v>170000</v>
      </c>
      <c r="G247" s="78">
        <f t="shared" ref="G247:G248" si="11">D247*F247</f>
        <v>8500000</v>
      </c>
    </row>
    <row r="248" spans="1:79" ht="35.1" customHeight="1">
      <c r="A248" s="50"/>
      <c r="B248" s="208" t="s">
        <v>250</v>
      </c>
      <c r="C248" s="208"/>
      <c r="D248" s="52">
        <v>10</v>
      </c>
      <c r="E248" s="68" t="s">
        <v>73</v>
      </c>
      <c r="F248" s="78">
        <v>220000</v>
      </c>
      <c r="G248" s="78">
        <f t="shared" si="11"/>
        <v>2200000</v>
      </c>
    </row>
    <row r="249" spans="1:79" ht="19.5" customHeight="1">
      <c r="A249" s="180"/>
      <c r="B249" s="261" t="s">
        <v>416</v>
      </c>
      <c r="C249" s="262"/>
      <c r="D249" s="262"/>
      <c r="E249" s="262"/>
      <c r="F249" s="263"/>
      <c r="G249" s="181">
        <f>G250+G251+G252+G253+G255+G283+G288+G291+G295+G298</f>
        <v>1196304500</v>
      </c>
    </row>
    <row r="250" spans="1:79" s="172" customFormat="1" ht="57.75" customHeight="1">
      <c r="A250" s="166"/>
      <c r="B250" s="234" t="s">
        <v>337</v>
      </c>
      <c r="C250" s="234"/>
      <c r="D250" s="167">
        <v>1</v>
      </c>
      <c r="E250" s="168" t="s">
        <v>53</v>
      </c>
      <c r="F250" s="169">
        <v>47000000</v>
      </c>
      <c r="G250" s="170">
        <f>D250*F250</f>
        <v>47000000</v>
      </c>
      <c r="H250" s="171">
        <v>7400000000</v>
      </c>
    </row>
    <row r="251" spans="1:79" s="163" customFormat="1" ht="57.75" customHeight="1">
      <c r="A251" s="166"/>
      <c r="B251" s="235" t="s">
        <v>344</v>
      </c>
      <c r="C251" s="235"/>
      <c r="D251" s="167">
        <v>1</v>
      </c>
      <c r="E251" s="168" t="s">
        <v>339</v>
      </c>
      <c r="F251" s="169">
        <v>1020004000</v>
      </c>
      <c r="G251" s="170">
        <f>D251*F251</f>
        <v>1020004000</v>
      </c>
      <c r="H251" s="163">
        <f>H250/F251</f>
        <v>7.2548735102999595</v>
      </c>
      <c r="J251" s="173">
        <f>7419431490/F251</f>
        <v>7.2739239159846436</v>
      </c>
    </row>
    <row r="252" spans="1:79" s="163" customFormat="1" ht="57.75" customHeight="1">
      <c r="A252" s="162"/>
      <c r="B252" s="208" t="s">
        <v>340</v>
      </c>
      <c r="C252" s="208"/>
      <c r="D252" s="67">
        <v>1</v>
      </c>
      <c r="E252" s="68" t="s">
        <v>53</v>
      </c>
      <c r="F252" s="165">
        <v>75000000</v>
      </c>
      <c r="G252" s="170">
        <f t="shared" ref="G252" si="12">D252*F252</f>
        <v>75000000</v>
      </c>
    </row>
    <row r="253" spans="1:79" s="64" customFormat="1" ht="30.75" customHeight="1">
      <c r="A253" s="50"/>
      <c r="B253" s="232" t="s">
        <v>151</v>
      </c>
      <c r="C253" s="241"/>
      <c r="D253" s="61"/>
      <c r="E253" s="62"/>
      <c r="F253" s="63"/>
      <c r="G253" s="63">
        <f>SUM(G254)</f>
        <v>500000</v>
      </c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H253" s="118"/>
      <c r="AI253" s="118"/>
      <c r="AJ253" s="118"/>
      <c r="AK253" s="118"/>
      <c r="AL253" s="118"/>
      <c r="AM253" s="118"/>
      <c r="AN253" s="118"/>
      <c r="AO253" s="118"/>
      <c r="AP253" s="118"/>
      <c r="AQ253" s="118"/>
      <c r="AR253" s="118"/>
      <c r="AS253" s="118"/>
      <c r="AT253" s="118"/>
      <c r="AU253" s="118"/>
      <c r="AV253" s="118"/>
      <c r="AW253" s="118"/>
      <c r="AX253" s="118"/>
      <c r="AY253" s="118"/>
      <c r="AZ253" s="118"/>
      <c r="BA253" s="118"/>
      <c r="BB253" s="118"/>
      <c r="BC253" s="118"/>
      <c r="BD253" s="118"/>
      <c r="BE253" s="118"/>
      <c r="BF253" s="118"/>
      <c r="BG253" s="118"/>
      <c r="BH253" s="118"/>
      <c r="BI253" s="118"/>
      <c r="BJ253" s="118"/>
      <c r="BK253" s="118"/>
      <c r="BL253" s="118"/>
      <c r="BM253" s="118"/>
      <c r="BN253" s="118"/>
      <c r="BO253" s="118"/>
      <c r="BP253" s="118"/>
      <c r="BQ253" s="118"/>
      <c r="BR253" s="118"/>
      <c r="BS253" s="118"/>
      <c r="BT253" s="118"/>
      <c r="BU253" s="118"/>
      <c r="BV253" s="118"/>
      <c r="BW253" s="118"/>
      <c r="BX253" s="118"/>
      <c r="BY253" s="118"/>
      <c r="BZ253" s="118"/>
      <c r="CA253" s="118"/>
    </row>
    <row r="254" spans="1:79" s="71" customFormat="1" ht="30.75" customHeight="1">
      <c r="A254" s="50"/>
      <c r="B254" s="65" t="s">
        <v>75</v>
      </c>
      <c r="C254" s="66"/>
      <c r="D254" s="67">
        <v>50</v>
      </c>
      <c r="E254" s="68" t="s">
        <v>60</v>
      </c>
      <c r="F254" s="69">
        <v>10000</v>
      </c>
      <c r="G254" s="70">
        <f>D254*F254</f>
        <v>500000</v>
      </c>
    </row>
    <row r="255" spans="1:79" s="75" customFormat="1" ht="30.75" customHeight="1">
      <c r="A255" s="50"/>
      <c r="B255" s="232" t="s">
        <v>153</v>
      </c>
      <c r="C255" s="233"/>
      <c r="D255" s="72"/>
      <c r="E255" s="60"/>
      <c r="F255" s="73"/>
      <c r="G255" s="74">
        <f>SUM(G256:G282)</f>
        <v>11689250</v>
      </c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  <c r="BH255" s="71"/>
      <c r="BI255" s="71"/>
      <c r="BJ255" s="71"/>
      <c r="BK255" s="71"/>
      <c r="BL255" s="71"/>
      <c r="BM255" s="71"/>
      <c r="BN255" s="71"/>
      <c r="BO255" s="71"/>
      <c r="BP255" s="71"/>
      <c r="BQ255" s="71"/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</row>
    <row r="256" spans="1:79" ht="23.25" customHeight="1">
      <c r="A256" s="50"/>
      <c r="B256" s="208" t="s">
        <v>154</v>
      </c>
      <c r="C256" s="208"/>
      <c r="D256" s="67">
        <v>5</v>
      </c>
      <c r="E256" s="76" t="s">
        <v>54</v>
      </c>
      <c r="F256" s="77">
        <v>29100</v>
      </c>
      <c r="G256" s="78">
        <f t="shared" ref="G256:G282" si="13">D256*F256</f>
        <v>145500</v>
      </c>
    </row>
    <row r="257" spans="1:7" ht="23.25" customHeight="1">
      <c r="A257" s="50"/>
      <c r="B257" s="208" t="s">
        <v>155</v>
      </c>
      <c r="C257" s="208"/>
      <c r="D257" s="67">
        <v>5</v>
      </c>
      <c r="E257" s="76" t="s">
        <v>54</v>
      </c>
      <c r="F257" s="77">
        <v>37300</v>
      </c>
      <c r="G257" s="78">
        <f t="shared" si="13"/>
        <v>186500</v>
      </c>
    </row>
    <row r="258" spans="1:7" ht="23.25" customHeight="1">
      <c r="A258" s="50"/>
      <c r="B258" s="208" t="s">
        <v>156</v>
      </c>
      <c r="C258" s="208"/>
      <c r="D258" s="67">
        <v>10</v>
      </c>
      <c r="E258" s="76" t="s">
        <v>56</v>
      </c>
      <c r="F258" s="77">
        <v>283500</v>
      </c>
      <c r="G258" s="78">
        <f t="shared" si="13"/>
        <v>2835000</v>
      </c>
    </row>
    <row r="259" spans="1:7" ht="23.25" customHeight="1">
      <c r="A259" s="50"/>
      <c r="B259" s="208" t="s">
        <v>157</v>
      </c>
      <c r="C259" s="208"/>
      <c r="D259" s="67">
        <v>3</v>
      </c>
      <c r="E259" s="76" t="s">
        <v>56</v>
      </c>
      <c r="F259" s="77">
        <v>55650</v>
      </c>
      <c r="G259" s="78">
        <f t="shared" si="13"/>
        <v>166950</v>
      </c>
    </row>
    <row r="260" spans="1:7" ht="23.25" customHeight="1">
      <c r="A260" s="50"/>
      <c r="B260" s="208" t="s">
        <v>158</v>
      </c>
      <c r="C260" s="208"/>
      <c r="D260" s="67">
        <v>7</v>
      </c>
      <c r="E260" s="76" t="s">
        <v>54</v>
      </c>
      <c r="F260" s="77">
        <v>4725</v>
      </c>
      <c r="G260" s="78">
        <f t="shared" si="13"/>
        <v>33075</v>
      </c>
    </row>
    <row r="261" spans="1:7" ht="23.25" customHeight="1">
      <c r="A261" s="50"/>
      <c r="B261" s="208" t="s">
        <v>159</v>
      </c>
      <c r="C261" s="208"/>
      <c r="D261" s="67">
        <v>7</v>
      </c>
      <c r="E261" s="76" t="s">
        <v>54</v>
      </c>
      <c r="F261" s="77">
        <v>14700</v>
      </c>
      <c r="G261" s="78">
        <f t="shared" si="13"/>
        <v>102900</v>
      </c>
    </row>
    <row r="262" spans="1:7" ht="23.25" customHeight="1">
      <c r="A262" s="50"/>
      <c r="B262" s="208" t="s">
        <v>160</v>
      </c>
      <c r="C262" s="208"/>
      <c r="D262" s="67">
        <v>7</v>
      </c>
      <c r="E262" s="76" t="s">
        <v>54</v>
      </c>
      <c r="F262" s="77">
        <v>53500</v>
      </c>
      <c r="G262" s="78">
        <f t="shared" si="13"/>
        <v>374500</v>
      </c>
    </row>
    <row r="263" spans="1:7" ht="23.25" customHeight="1">
      <c r="A263" s="50"/>
      <c r="B263" s="208" t="s">
        <v>161</v>
      </c>
      <c r="C263" s="208"/>
      <c r="D263" s="67">
        <v>30</v>
      </c>
      <c r="E263" s="76" t="s">
        <v>55</v>
      </c>
      <c r="F263" s="77">
        <v>60775</v>
      </c>
      <c r="G263" s="78">
        <f t="shared" si="13"/>
        <v>1823250</v>
      </c>
    </row>
    <row r="264" spans="1:7" ht="23.25" customHeight="1">
      <c r="A264" s="50"/>
      <c r="B264" s="208" t="s">
        <v>162</v>
      </c>
      <c r="C264" s="208"/>
      <c r="D264" s="67">
        <v>5</v>
      </c>
      <c r="E264" s="76" t="s">
        <v>57</v>
      </c>
      <c r="F264" s="77">
        <v>22200</v>
      </c>
      <c r="G264" s="78">
        <f t="shared" si="13"/>
        <v>111000</v>
      </c>
    </row>
    <row r="265" spans="1:7" ht="23.25" customHeight="1">
      <c r="A265" s="50"/>
      <c r="B265" s="208" t="s">
        <v>163</v>
      </c>
      <c r="C265" s="208"/>
      <c r="D265" s="67">
        <v>8</v>
      </c>
      <c r="E265" s="76" t="s">
        <v>54</v>
      </c>
      <c r="F265" s="77">
        <v>44100</v>
      </c>
      <c r="G265" s="78">
        <f t="shared" si="13"/>
        <v>352800</v>
      </c>
    </row>
    <row r="266" spans="1:7" ht="23.25" customHeight="1">
      <c r="A266" s="50"/>
      <c r="B266" s="208" t="s">
        <v>164</v>
      </c>
      <c r="C266" s="208"/>
      <c r="D266" s="67">
        <v>8</v>
      </c>
      <c r="E266" s="76" t="s">
        <v>54</v>
      </c>
      <c r="F266" s="77">
        <v>37275</v>
      </c>
      <c r="G266" s="78">
        <f t="shared" si="13"/>
        <v>298200</v>
      </c>
    </row>
    <row r="267" spans="1:7" ht="23.25" customHeight="1">
      <c r="A267" s="50"/>
      <c r="B267" s="208" t="s">
        <v>165</v>
      </c>
      <c r="C267" s="208"/>
      <c r="D267" s="67">
        <v>100</v>
      </c>
      <c r="E267" s="76" t="s">
        <v>55</v>
      </c>
      <c r="F267" s="77">
        <v>9800</v>
      </c>
      <c r="G267" s="78">
        <f t="shared" si="13"/>
        <v>980000</v>
      </c>
    </row>
    <row r="268" spans="1:7" ht="23.25" customHeight="1">
      <c r="A268" s="50"/>
      <c r="B268" s="208" t="s">
        <v>166</v>
      </c>
      <c r="C268" s="208"/>
      <c r="D268" s="67">
        <v>20</v>
      </c>
      <c r="E268" s="76" t="s">
        <v>54</v>
      </c>
      <c r="F268" s="77">
        <v>130200</v>
      </c>
      <c r="G268" s="78">
        <f t="shared" si="13"/>
        <v>2604000</v>
      </c>
    </row>
    <row r="269" spans="1:7" ht="23.25" customHeight="1">
      <c r="A269" s="50"/>
      <c r="B269" s="208" t="s">
        <v>167</v>
      </c>
      <c r="C269" s="208"/>
      <c r="D269" s="67">
        <v>4</v>
      </c>
      <c r="E269" s="76" t="s">
        <v>76</v>
      </c>
      <c r="F269" s="77">
        <v>34175</v>
      </c>
      <c r="G269" s="78">
        <f t="shared" si="13"/>
        <v>136700</v>
      </c>
    </row>
    <row r="270" spans="1:7" ht="23.25" customHeight="1">
      <c r="A270" s="50"/>
      <c r="B270" s="208" t="s">
        <v>168</v>
      </c>
      <c r="C270" s="208"/>
      <c r="D270" s="67">
        <v>4</v>
      </c>
      <c r="E270" s="76" t="s">
        <v>76</v>
      </c>
      <c r="F270" s="77">
        <v>28875</v>
      </c>
      <c r="G270" s="78">
        <f t="shared" si="13"/>
        <v>115500</v>
      </c>
    </row>
    <row r="271" spans="1:7" ht="23.25" customHeight="1">
      <c r="A271" s="50"/>
      <c r="B271" s="208" t="s">
        <v>169</v>
      </c>
      <c r="C271" s="208"/>
      <c r="D271" s="67">
        <v>4</v>
      </c>
      <c r="E271" s="76" t="s">
        <v>76</v>
      </c>
      <c r="F271" s="77">
        <v>20175</v>
      </c>
      <c r="G271" s="78">
        <f t="shared" si="13"/>
        <v>80700</v>
      </c>
    </row>
    <row r="272" spans="1:7" ht="23.25" customHeight="1">
      <c r="A272" s="50"/>
      <c r="B272" s="208" t="s">
        <v>77</v>
      </c>
      <c r="C272" s="208"/>
      <c r="D272" s="67">
        <v>4</v>
      </c>
      <c r="E272" s="76" t="s">
        <v>55</v>
      </c>
      <c r="F272" s="77">
        <v>15000</v>
      </c>
      <c r="G272" s="78">
        <f t="shared" si="13"/>
        <v>60000</v>
      </c>
    </row>
    <row r="273" spans="1:79" ht="23.25" customHeight="1">
      <c r="A273" s="50"/>
      <c r="B273" s="208" t="s">
        <v>78</v>
      </c>
      <c r="C273" s="208"/>
      <c r="D273" s="67">
        <v>2</v>
      </c>
      <c r="E273" s="76" t="s">
        <v>55</v>
      </c>
      <c r="F273" s="77">
        <v>20900</v>
      </c>
      <c r="G273" s="78">
        <f t="shared" si="13"/>
        <v>41800</v>
      </c>
    </row>
    <row r="274" spans="1:79" ht="23.25" customHeight="1">
      <c r="A274" s="50"/>
      <c r="B274" s="208" t="s">
        <v>170</v>
      </c>
      <c r="C274" s="208"/>
      <c r="D274" s="67">
        <v>2</v>
      </c>
      <c r="E274" s="76" t="s">
        <v>55</v>
      </c>
      <c r="F274" s="77">
        <v>20800</v>
      </c>
      <c r="G274" s="78">
        <f t="shared" si="13"/>
        <v>41600</v>
      </c>
    </row>
    <row r="275" spans="1:79" ht="23.25" customHeight="1">
      <c r="A275" s="50"/>
      <c r="B275" s="208" t="s">
        <v>171</v>
      </c>
      <c r="C275" s="208"/>
      <c r="D275" s="67">
        <v>2</v>
      </c>
      <c r="E275" s="76" t="s">
        <v>55</v>
      </c>
      <c r="F275" s="77">
        <v>10500</v>
      </c>
      <c r="G275" s="78">
        <f t="shared" si="13"/>
        <v>21000</v>
      </c>
    </row>
    <row r="276" spans="1:79" ht="23.25" customHeight="1">
      <c r="A276" s="50"/>
      <c r="B276" s="208" t="s">
        <v>172</v>
      </c>
      <c r="C276" s="208"/>
      <c r="D276" s="67">
        <v>2</v>
      </c>
      <c r="E276" s="76" t="s">
        <v>55</v>
      </c>
      <c r="F276" s="77">
        <v>11000</v>
      </c>
      <c r="G276" s="78">
        <f t="shared" si="13"/>
        <v>22000</v>
      </c>
    </row>
    <row r="277" spans="1:79" ht="23.25" customHeight="1">
      <c r="A277" s="50"/>
      <c r="B277" s="208" t="s">
        <v>173</v>
      </c>
      <c r="C277" s="208"/>
      <c r="D277" s="67">
        <v>2</v>
      </c>
      <c r="E277" s="76" t="s">
        <v>60</v>
      </c>
      <c r="F277" s="77">
        <v>13650</v>
      </c>
      <c r="G277" s="78">
        <f t="shared" si="13"/>
        <v>27300</v>
      </c>
    </row>
    <row r="278" spans="1:79" ht="23.25" customHeight="1">
      <c r="A278" s="50"/>
      <c r="B278" s="208" t="s">
        <v>174</v>
      </c>
      <c r="C278" s="208"/>
      <c r="D278" s="67">
        <v>3</v>
      </c>
      <c r="E278" s="76" t="s">
        <v>55</v>
      </c>
      <c r="F278" s="77">
        <v>20325</v>
      </c>
      <c r="G278" s="78">
        <f t="shared" si="13"/>
        <v>60975</v>
      </c>
    </row>
    <row r="279" spans="1:79" ht="23.25" customHeight="1">
      <c r="A279" s="50"/>
      <c r="B279" s="208" t="s">
        <v>79</v>
      </c>
      <c r="C279" s="208"/>
      <c r="D279" s="67">
        <v>3</v>
      </c>
      <c r="E279" s="76" t="s">
        <v>76</v>
      </c>
      <c r="F279" s="77">
        <v>157725</v>
      </c>
      <c r="G279" s="78">
        <f t="shared" si="13"/>
        <v>473175</v>
      </c>
    </row>
    <row r="280" spans="1:79" ht="23.25" customHeight="1">
      <c r="A280" s="50"/>
      <c r="B280" s="208" t="s">
        <v>175</v>
      </c>
      <c r="C280" s="208"/>
      <c r="D280" s="67">
        <v>2</v>
      </c>
      <c r="E280" s="76" t="s">
        <v>76</v>
      </c>
      <c r="F280" s="77">
        <v>164850</v>
      </c>
      <c r="G280" s="78">
        <f t="shared" si="13"/>
        <v>329700</v>
      </c>
    </row>
    <row r="281" spans="1:79" ht="23.25" customHeight="1">
      <c r="A281" s="50"/>
      <c r="B281" s="208" t="s">
        <v>80</v>
      </c>
      <c r="C281" s="208"/>
      <c r="D281" s="67">
        <v>5</v>
      </c>
      <c r="E281" s="76" t="s">
        <v>55</v>
      </c>
      <c r="F281" s="77">
        <v>27300</v>
      </c>
      <c r="G281" s="78">
        <f t="shared" si="13"/>
        <v>136500</v>
      </c>
    </row>
    <row r="282" spans="1:79" ht="23.25" customHeight="1">
      <c r="A282" s="50"/>
      <c r="B282" s="208" t="s">
        <v>81</v>
      </c>
      <c r="C282" s="208"/>
      <c r="D282" s="67">
        <v>5</v>
      </c>
      <c r="E282" s="76" t="s">
        <v>55</v>
      </c>
      <c r="F282" s="77">
        <v>25725</v>
      </c>
      <c r="G282" s="78">
        <f t="shared" si="13"/>
        <v>128625</v>
      </c>
    </row>
    <row r="283" spans="1:79" s="80" customFormat="1" ht="23.25" customHeight="1">
      <c r="A283" s="50"/>
      <c r="B283" s="251" t="s">
        <v>177</v>
      </c>
      <c r="C283" s="252"/>
      <c r="D283" s="252"/>
      <c r="E283" s="252"/>
      <c r="F283" s="252"/>
      <c r="G283" s="79">
        <f>SUM(G284:G287)</f>
        <v>1732500</v>
      </c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</row>
    <row r="284" spans="1:79" ht="23.25" customHeight="1">
      <c r="A284" s="50"/>
      <c r="B284" s="208" t="s">
        <v>82</v>
      </c>
      <c r="C284" s="208"/>
      <c r="D284" s="67">
        <v>2</v>
      </c>
      <c r="E284" s="68" t="s">
        <v>55</v>
      </c>
      <c r="F284" s="69">
        <v>157500</v>
      </c>
      <c r="G284" s="78">
        <f>D284*F284</f>
        <v>315000</v>
      </c>
    </row>
    <row r="285" spans="1:79" ht="23.25" customHeight="1">
      <c r="A285" s="50"/>
      <c r="B285" s="208" t="s">
        <v>83</v>
      </c>
      <c r="C285" s="208"/>
      <c r="D285" s="67">
        <v>2</v>
      </c>
      <c r="E285" s="68" t="s">
        <v>55</v>
      </c>
      <c r="F285" s="69">
        <v>157500</v>
      </c>
      <c r="G285" s="78">
        <f>D285*F285</f>
        <v>315000</v>
      </c>
    </row>
    <row r="286" spans="1:79" ht="23.25" customHeight="1">
      <c r="A286" s="50"/>
      <c r="B286" s="208" t="s">
        <v>84</v>
      </c>
      <c r="C286" s="208"/>
      <c r="D286" s="67">
        <v>5</v>
      </c>
      <c r="E286" s="68" t="s">
        <v>55</v>
      </c>
      <c r="F286" s="69">
        <v>157500</v>
      </c>
      <c r="G286" s="78">
        <f>D286*F286</f>
        <v>787500</v>
      </c>
    </row>
    <row r="287" spans="1:79" ht="23.25" customHeight="1">
      <c r="A287" s="50"/>
      <c r="B287" s="208" t="s">
        <v>85</v>
      </c>
      <c r="C287" s="208"/>
      <c r="D287" s="67">
        <v>2</v>
      </c>
      <c r="E287" s="68" t="s">
        <v>55</v>
      </c>
      <c r="F287" s="69">
        <v>157500</v>
      </c>
      <c r="G287" s="78">
        <f>D287*F287</f>
        <v>315000</v>
      </c>
    </row>
    <row r="288" spans="1:79" s="80" customFormat="1" ht="23.25" customHeight="1">
      <c r="A288" s="50"/>
      <c r="B288" s="232" t="s">
        <v>179</v>
      </c>
      <c r="C288" s="233"/>
      <c r="D288" s="233"/>
      <c r="E288" s="233"/>
      <c r="F288" s="241"/>
      <c r="G288" s="81">
        <f>SUM(G289:G290)</f>
        <v>3816750</v>
      </c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</row>
    <row r="289" spans="1:79" ht="23.25" customHeight="1">
      <c r="A289" s="50"/>
      <c r="B289" s="208" t="s">
        <v>180</v>
      </c>
      <c r="C289" s="208"/>
      <c r="D289" s="67">
        <v>25</v>
      </c>
      <c r="E289" s="68" t="s">
        <v>58</v>
      </c>
      <c r="F289" s="69">
        <v>96600</v>
      </c>
      <c r="G289" s="78">
        <f>D289*F289</f>
        <v>2415000</v>
      </c>
    </row>
    <row r="290" spans="1:79" ht="23.25" customHeight="1">
      <c r="A290" s="50"/>
      <c r="B290" s="208" t="s">
        <v>181</v>
      </c>
      <c r="C290" s="208"/>
      <c r="D290" s="67">
        <v>15</v>
      </c>
      <c r="E290" s="68" t="s">
        <v>58</v>
      </c>
      <c r="F290" s="69">
        <v>93450</v>
      </c>
      <c r="G290" s="78">
        <f>D290*F290</f>
        <v>1401750</v>
      </c>
    </row>
    <row r="291" spans="1:79" s="80" customFormat="1" ht="23.25" customHeight="1">
      <c r="A291" s="50"/>
      <c r="B291" s="232" t="s">
        <v>183</v>
      </c>
      <c r="C291" s="233"/>
      <c r="D291" s="233"/>
      <c r="E291" s="233"/>
      <c r="F291" s="241"/>
      <c r="G291" s="82">
        <f>SUM(G292:G294)</f>
        <v>24412000</v>
      </c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</row>
    <row r="292" spans="1:79" ht="23.25" customHeight="1">
      <c r="A292" s="50"/>
      <c r="B292" s="208" t="s">
        <v>69</v>
      </c>
      <c r="C292" s="208"/>
      <c r="D292" s="67">
        <v>36000</v>
      </c>
      <c r="E292" s="68" t="s">
        <v>62</v>
      </c>
      <c r="F292" s="69">
        <v>350</v>
      </c>
      <c r="G292" s="78">
        <f>D292*F292</f>
        <v>12600000</v>
      </c>
    </row>
    <row r="293" spans="1:79" ht="23.25" customHeight="1">
      <c r="A293" s="50"/>
      <c r="B293" s="208" t="s">
        <v>70</v>
      </c>
      <c r="C293" s="208"/>
      <c r="D293" s="67">
        <v>14000</v>
      </c>
      <c r="E293" s="68" t="s">
        <v>62</v>
      </c>
      <c r="F293" s="69">
        <v>350</v>
      </c>
      <c r="G293" s="78">
        <f>D293*F293</f>
        <v>4900000</v>
      </c>
    </row>
    <row r="294" spans="1:79" ht="32.25" customHeight="1">
      <c r="A294" s="50"/>
      <c r="B294" s="208" t="s">
        <v>71</v>
      </c>
      <c r="C294" s="208"/>
      <c r="D294" s="67">
        <v>96</v>
      </c>
      <c r="E294" s="68" t="s">
        <v>57</v>
      </c>
      <c r="F294" s="69">
        <v>72000</v>
      </c>
      <c r="G294" s="78">
        <f>D294*F294</f>
        <v>6912000</v>
      </c>
    </row>
    <row r="295" spans="1:79" s="80" customFormat="1" ht="23.25" customHeight="1">
      <c r="A295" s="50"/>
      <c r="B295" s="232" t="s">
        <v>185</v>
      </c>
      <c r="C295" s="233"/>
      <c r="D295" s="72"/>
      <c r="E295" s="83"/>
      <c r="F295" s="84"/>
      <c r="G295" s="82">
        <f>SUM(G296:G297)</f>
        <v>2250000</v>
      </c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</row>
    <row r="296" spans="1:79" ht="36" customHeight="1">
      <c r="A296" s="50"/>
      <c r="B296" s="218" t="s">
        <v>72</v>
      </c>
      <c r="C296" s="219"/>
      <c r="D296" s="67">
        <v>50</v>
      </c>
      <c r="E296" s="68" t="s">
        <v>73</v>
      </c>
      <c r="F296" s="69">
        <v>30000</v>
      </c>
      <c r="G296" s="78">
        <f>D296*F296</f>
        <v>1500000</v>
      </c>
    </row>
    <row r="297" spans="1:79" ht="35.25" customHeight="1">
      <c r="A297" s="50"/>
      <c r="B297" s="218" t="s">
        <v>74</v>
      </c>
      <c r="C297" s="219"/>
      <c r="D297" s="67">
        <v>50</v>
      </c>
      <c r="E297" s="68" t="s">
        <v>73</v>
      </c>
      <c r="F297" s="69">
        <v>15000</v>
      </c>
      <c r="G297" s="78">
        <f>D297*F297</f>
        <v>750000</v>
      </c>
    </row>
    <row r="298" spans="1:79" s="80" customFormat="1" ht="35.1" customHeight="1">
      <c r="A298" s="50"/>
      <c r="B298" s="220" t="s">
        <v>211</v>
      </c>
      <c r="C298" s="221"/>
      <c r="D298" s="221"/>
      <c r="E298" s="221"/>
      <c r="F298" s="222"/>
      <c r="G298" s="81">
        <f>SUM(G299)</f>
        <v>9900000</v>
      </c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</row>
    <row r="299" spans="1:79" ht="35.1" customHeight="1">
      <c r="A299" s="50"/>
      <c r="B299" s="212" t="s">
        <v>413</v>
      </c>
      <c r="C299" s="213"/>
      <c r="D299" s="52"/>
      <c r="E299" s="49"/>
      <c r="F299" s="78"/>
      <c r="G299" s="100">
        <f>SUM(G300:G301)</f>
        <v>9900000</v>
      </c>
    </row>
    <row r="300" spans="1:79" ht="35.1" customHeight="1">
      <c r="A300" s="50"/>
      <c r="B300" s="208" t="s">
        <v>213</v>
      </c>
      <c r="C300" s="208"/>
      <c r="D300" s="67">
        <v>50</v>
      </c>
      <c r="E300" s="68" t="s">
        <v>61</v>
      </c>
      <c r="F300" s="69">
        <v>170000</v>
      </c>
      <c r="G300" s="78">
        <f t="shared" ref="G300:G301" si="14">D300*F300</f>
        <v>8500000</v>
      </c>
    </row>
    <row r="301" spans="1:79" ht="35.1" customHeight="1">
      <c r="A301" s="50"/>
      <c r="B301" s="208" t="s">
        <v>229</v>
      </c>
      <c r="C301" s="208"/>
      <c r="D301" s="52">
        <v>10</v>
      </c>
      <c r="E301" s="68" t="s">
        <v>73</v>
      </c>
      <c r="F301" s="78">
        <v>140000</v>
      </c>
      <c r="G301" s="78">
        <f t="shared" si="14"/>
        <v>1400000</v>
      </c>
    </row>
    <row r="302" spans="1:79" ht="19.5" customHeight="1">
      <c r="A302" s="180"/>
      <c r="B302" s="261" t="s">
        <v>417</v>
      </c>
      <c r="C302" s="262"/>
      <c r="D302" s="262"/>
      <c r="E302" s="262"/>
      <c r="F302" s="263"/>
      <c r="G302" s="181">
        <f>G303+G304+G305+G306+G308+G336+G341+G344+G348+G351</f>
        <v>723500500</v>
      </c>
    </row>
    <row r="303" spans="1:79" s="172" customFormat="1" ht="57.75" customHeight="1">
      <c r="A303" s="166"/>
      <c r="B303" s="234" t="s">
        <v>337</v>
      </c>
      <c r="C303" s="234"/>
      <c r="D303" s="167">
        <v>1</v>
      </c>
      <c r="E303" s="168" t="s">
        <v>53</v>
      </c>
      <c r="F303" s="169">
        <v>35000000</v>
      </c>
      <c r="G303" s="170">
        <f>D303*F303</f>
        <v>35000000</v>
      </c>
      <c r="H303" s="171">
        <v>7400000000</v>
      </c>
    </row>
    <row r="304" spans="1:79" s="163" customFormat="1" ht="57.75" customHeight="1">
      <c r="A304" s="166"/>
      <c r="B304" s="235" t="s">
        <v>344</v>
      </c>
      <c r="C304" s="235"/>
      <c r="D304" s="167">
        <v>1</v>
      </c>
      <c r="E304" s="168" t="s">
        <v>339</v>
      </c>
      <c r="F304" s="169">
        <v>585000000</v>
      </c>
      <c r="G304" s="170">
        <f>D304*F304</f>
        <v>585000000</v>
      </c>
      <c r="H304" s="163">
        <f>H303/F304</f>
        <v>12.649572649572649</v>
      </c>
      <c r="J304" s="173">
        <f>7419431490/F304</f>
        <v>12.682788871794871</v>
      </c>
    </row>
    <row r="305" spans="1:79" s="163" customFormat="1" ht="57.75" customHeight="1">
      <c r="A305" s="162"/>
      <c r="B305" s="208" t="s">
        <v>340</v>
      </c>
      <c r="C305" s="208"/>
      <c r="D305" s="67">
        <v>1</v>
      </c>
      <c r="E305" s="68" t="s">
        <v>53</v>
      </c>
      <c r="F305" s="165">
        <v>49000000</v>
      </c>
      <c r="G305" s="170">
        <f t="shared" ref="G305" si="15">D305*F305</f>
        <v>49000000</v>
      </c>
    </row>
    <row r="306" spans="1:79" s="64" customFormat="1" ht="30.75" customHeight="1">
      <c r="A306" s="50"/>
      <c r="B306" s="232" t="s">
        <v>151</v>
      </c>
      <c r="C306" s="241"/>
      <c r="D306" s="61"/>
      <c r="E306" s="62"/>
      <c r="F306" s="63"/>
      <c r="G306" s="63">
        <f>SUM(G307)</f>
        <v>500000</v>
      </c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8"/>
      <c r="AF306" s="118"/>
      <c r="AG306" s="118"/>
      <c r="AH306" s="118"/>
      <c r="AI306" s="118"/>
      <c r="AJ306" s="118"/>
      <c r="AK306" s="118"/>
      <c r="AL306" s="118"/>
      <c r="AM306" s="118"/>
      <c r="AN306" s="118"/>
      <c r="AO306" s="118"/>
      <c r="AP306" s="118"/>
      <c r="AQ306" s="118"/>
      <c r="AR306" s="118"/>
      <c r="AS306" s="118"/>
      <c r="AT306" s="118"/>
      <c r="AU306" s="118"/>
      <c r="AV306" s="118"/>
      <c r="AW306" s="118"/>
      <c r="AX306" s="118"/>
      <c r="AY306" s="118"/>
      <c r="AZ306" s="118"/>
      <c r="BA306" s="118"/>
      <c r="BB306" s="118"/>
      <c r="BC306" s="118"/>
      <c r="BD306" s="118"/>
      <c r="BE306" s="118"/>
      <c r="BF306" s="118"/>
      <c r="BG306" s="118"/>
      <c r="BH306" s="118"/>
      <c r="BI306" s="118"/>
      <c r="BJ306" s="118"/>
      <c r="BK306" s="118"/>
      <c r="BL306" s="118"/>
      <c r="BM306" s="118"/>
      <c r="BN306" s="118"/>
      <c r="BO306" s="118"/>
      <c r="BP306" s="118"/>
      <c r="BQ306" s="118"/>
      <c r="BR306" s="118"/>
      <c r="BS306" s="118"/>
      <c r="BT306" s="118"/>
      <c r="BU306" s="118"/>
      <c r="BV306" s="118"/>
      <c r="BW306" s="118"/>
      <c r="BX306" s="118"/>
      <c r="BY306" s="118"/>
      <c r="BZ306" s="118"/>
      <c r="CA306" s="118"/>
    </row>
    <row r="307" spans="1:79" s="71" customFormat="1" ht="30.75" customHeight="1">
      <c r="A307" s="50"/>
      <c r="B307" s="65" t="s">
        <v>75</v>
      </c>
      <c r="C307" s="66"/>
      <c r="D307" s="67">
        <v>50</v>
      </c>
      <c r="E307" s="68" t="s">
        <v>60</v>
      </c>
      <c r="F307" s="69">
        <v>10000</v>
      </c>
      <c r="G307" s="70">
        <f>D307*F307</f>
        <v>500000</v>
      </c>
    </row>
    <row r="308" spans="1:79" s="75" customFormat="1" ht="30.75" customHeight="1">
      <c r="A308" s="50"/>
      <c r="B308" s="232" t="s">
        <v>153</v>
      </c>
      <c r="C308" s="233"/>
      <c r="D308" s="72"/>
      <c r="E308" s="60"/>
      <c r="F308" s="73"/>
      <c r="G308" s="74">
        <f>SUM(G309:G335)</f>
        <v>11689250</v>
      </c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</row>
    <row r="309" spans="1:79" ht="23.25" customHeight="1">
      <c r="A309" s="50"/>
      <c r="B309" s="208" t="s">
        <v>154</v>
      </c>
      <c r="C309" s="208"/>
      <c r="D309" s="67">
        <v>5</v>
      </c>
      <c r="E309" s="76" t="s">
        <v>54</v>
      </c>
      <c r="F309" s="77">
        <v>29100</v>
      </c>
      <c r="G309" s="78">
        <f t="shared" ref="G309:G335" si="16">D309*F309</f>
        <v>145500</v>
      </c>
    </row>
    <row r="310" spans="1:79" ht="23.25" customHeight="1">
      <c r="A310" s="50"/>
      <c r="B310" s="208" t="s">
        <v>155</v>
      </c>
      <c r="C310" s="208"/>
      <c r="D310" s="67">
        <v>5</v>
      </c>
      <c r="E310" s="76" t="s">
        <v>54</v>
      </c>
      <c r="F310" s="77">
        <v>37300</v>
      </c>
      <c r="G310" s="78">
        <f t="shared" si="16"/>
        <v>186500</v>
      </c>
    </row>
    <row r="311" spans="1:79" ht="23.25" customHeight="1">
      <c r="A311" s="50"/>
      <c r="B311" s="208" t="s">
        <v>156</v>
      </c>
      <c r="C311" s="208"/>
      <c r="D311" s="67">
        <v>10</v>
      </c>
      <c r="E311" s="76" t="s">
        <v>56</v>
      </c>
      <c r="F311" s="77">
        <v>283500</v>
      </c>
      <c r="G311" s="78">
        <f t="shared" si="16"/>
        <v>2835000</v>
      </c>
    </row>
    <row r="312" spans="1:79" ht="23.25" customHeight="1">
      <c r="A312" s="50"/>
      <c r="B312" s="208" t="s">
        <v>157</v>
      </c>
      <c r="C312" s="208"/>
      <c r="D312" s="67">
        <v>3</v>
      </c>
      <c r="E312" s="76" t="s">
        <v>56</v>
      </c>
      <c r="F312" s="77">
        <v>55650</v>
      </c>
      <c r="G312" s="78">
        <f t="shared" si="16"/>
        <v>166950</v>
      </c>
    </row>
    <row r="313" spans="1:79" ht="23.25" customHeight="1">
      <c r="A313" s="50"/>
      <c r="B313" s="208" t="s">
        <v>158</v>
      </c>
      <c r="C313" s="208"/>
      <c r="D313" s="67">
        <v>7</v>
      </c>
      <c r="E313" s="76" t="s">
        <v>54</v>
      </c>
      <c r="F313" s="77">
        <v>4725</v>
      </c>
      <c r="G313" s="78">
        <f t="shared" si="16"/>
        <v>33075</v>
      </c>
    </row>
    <row r="314" spans="1:79" ht="23.25" customHeight="1">
      <c r="A314" s="50"/>
      <c r="B314" s="208" t="s">
        <v>159</v>
      </c>
      <c r="C314" s="208"/>
      <c r="D314" s="67">
        <v>7</v>
      </c>
      <c r="E314" s="76" t="s">
        <v>54</v>
      </c>
      <c r="F314" s="77">
        <v>14700</v>
      </c>
      <c r="G314" s="78">
        <f t="shared" si="16"/>
        <v>102900</v>
      </c>
    </row>
    <row r="315" spans="1:79" ht="23.25" customHeight="1">
      <c r="A315" s="50"/>
      <c r="B315" s="208" t="s">
        <v>160</v>
      </c>
      <c r="C315" s="208"/>
      <c r="D315" s="67">
        <v>7</v>
      </c>
      <c r="E315" s="76" t="s">
        <v>54</v>
      </c>
      <c r="F315" s="77">
        <v>53500</v>
      </c>
      <c r="G315" s="78">
        <f t="shared" si="16"/>
        <v>374500</v>
      </c>
    </row>
    <row r="316" spans="1:79" ht="23.25" customHeight="1">
      <c r="A316" s="50"/>
      <c r="B316" s="208" t="s">
        <v>161</v>
      </c>
      <c r="C316" s="208"/>
      <c r="D316" s="67">
        <v>30</v>
      </c>
      <c r="E316" s="76" t="s">
        <v>55</v>
      </c>
      <c r="F316" s="77">
        <v>60775</v>
      </c>
      <c r="G316" s="78">
        <f t="shared" si="16"/>
        <v>1823250</v>
      </c>
    </row>
    <row r="317" spans="1:79" ht="23.25" customHeight="1">
      <c r="A317" s="50"/>
      <c r="B317" s="208" t="s">
        <v>162</v>
      </c>
      <c r="C317" s="208"/>
      <c r="D317" s="67">
        <v>5</v>
      </c>
      <c r="E317" s="76" t="s">
        <v>57</v>
      </c>
      <c r="F317" s="77">
        <v>22200</v>
      </c>
      <c r="G317" s="78">
        <f t="shared" si="16"/>
        <v>111000</v>
      </c>
    </row>
    <row r="318" spans="1:79" ht="23.25" customHeight="1">
      <c r="A318" s="50"/>
      <c r="B318" s="208" t="s">
        <v>163</v>
      </c>
      <c r="C318" s="208"/>
      <c r="D318" s="67">
        <v>8</v>
      </c>
      <c r="E318" s="76" t="s">
        <v>54</v>
      </c>
      <c r="F318" s="77">
        <v>44100</v>
      </c>
      <c r="G318" s="78">
        <f t="shared" si="16"/>
        <v>352800</v>
      </c>
    </row>
    <row r="319" spans="1:79" ht="23.25" customHeight="1">
      <c r="A319" s="50"/>
      <c r="B319" s="208" t="s">
        <v>164</v>
      </c>
      <c r="C319" s="208"/>
      <c r="D319" s="67">
        <v>8</v>
      </c>
      <c r="E319" s="76" t="s">
        <v>54</v>
      </c>
      <c r="F319" s="77">
        <v>37275</v>
      </c>
      <c r="G319" s="78">
        <f t="shared" si="16"/>
        <v>298200</v>
      </c>
    </row>
    <row r="320" spans="1:79" ht="23.25" customHeight="1">
      <c r="A320" s="50"/>
      <c r="B320" s="208" t="s">
        <v>165</v>
      </c>
      <c r="C320" s="208"/>
      <c r="D320" s="67">
        <v>100</v>
      </c>
      <c r="E320" s="76" t="s">
        <v>55</v>
      </c>
      <c r="F320" s="77">
        <v>9800</v>
      </c>
      <c r="G320" s="78">
        <f t="shared" si="16"/>
        <v>980000</v>
      </c>
    </row>
    <row r="321" spans="1:79" ht="23.25" customHeight="1">
      <c r="A321" s="50"/>
      <c r="B321" s="208" t="s">
        <v>166</v>
      </c>
      <c r="C321" s="208"/>
      <c r="D321" s="67">
        <v>20</v>
      </c>
      <c r="E321" s="76" t="s">
        <v>54</v>
      </c>
      <c r="F321" s="77">
        <v>130200</v>
      </c>
      <c r="G321" s="78">
        <f t="shared" si="16"/>
        <v>2604000</v>
      </c>
    </row>
    <row r="322" spans="1:79" ht="23.25" customHeight="1">
      <c r="A322" s="50"/>
      <c r="B322" s="208" t="s">
        <v>167</v>
      </c>
      <c r="C322" s="208"/>
      <c r="D322" s="67">
        <v>4</v>
      </c>
      <c r="E322" s="76" t="s">
        <v>76</v>
      </c>
      <c r="F322" s="77">
        <v>34175</v>
      </c>
      <c r="G322" s="78">
        <f t="shared" si="16"/>
        <v>136700</v>
      </c>
    </row>
    <row r="323" spans="1:79" ht="23.25" customHeight="1">
      <c r="A323" s="50"/>
      <c r="B323" s="208" t="s">
        <v>168</v>
      </c>
      <c r="C323" s="208"/>
      <c r="D323" s="67">
        <v>4</v>
      </c>
      <c r="E323" s="76" t="s">
        <v>76</v>
      </c>
      <c r="F323" s="77">
        <v>28875</v>
      </c>
      <c r="G323" s="78">
        <f t="shared" si="16"/>
        <v>115500</v>
      </c>
    </row>
    <row r="324" spans="1:79" ht="23.25" customHeight="1">
      <c r="A324" s="50"/>
      <c r="B324" s="208" t="s">
        <v>169</v>
      </c>
      <c r="C324" s="208"/>
      <c r="D324" s="67">
        <v>4</v>
      </c>
      <c r="E324" s="76" t="s">
        <v>76</v>
      </c>
      <c r="F324" s="77">
        <v>20175</v>
      </c>
      <c r="G324" s="78">
        <f t="shared" si="16"/>
        <v>80700</v>
      </c>
    </row>
    <row r="325" spans="1:79" ht="23.25" customHeight="1">
      <c r="A325" s="50"/>
      <c r="B325" s="208" t="s">
        <v>77</v>
      </c>
      <c r="C325" s="208"/>
      <c r="D325" s="67">
        <v>4</v>
      </c>
      <c r="E325" s="76" t="s">
        <v>55</v>
      </c>
      <c r="F325" s="77">
        <v>15000</v>
      </c>
      <c r="G325" s="78">
        <f t="shared" si="16"/>
        <v>60000</v>
      </c>
    </row>
    <row r="326" spans="1:79" ht="23.25" customHeight="1">
      <c r="A326" s="50"/>
      <c r="B326" s="208" t="s">
        <v>78</v>
      </c>
      <c r="C326" s="208"/>
      <c r="D326" s="67">
        <v>2</v>
      </c>
      <c r="E326" s="76" t="s">
        <v>55</v>
      </c>
      <c r="F326" s="77">
        <v>20900</v>
      </c>
      <c r="G326" s="78">
        <f t="shared" si="16"/>
        <v>41800</v>
      </c>
    </row>
    <row r="327" spans="1:79" ht="23.25" customHeight="1">
      <c r="A327" s="50"/>
      <c r="B327" s="208" t="s">
        <v>170</v>
      </c>
      <c r="C327" s="208"/>
      <c r="D327" s="67">
        <v>2</v>
      </c>
      <c r="E327" s="76" t="s">
        <v>55</v>
      </c>
      <c r="F327" s="77">
        <v>20800</v>
      </c>
      <c r="G327" s="78">
        <f t="shared" si="16"/>
        <v>41600</v>
      </c>
    </row>
    <row r="328" spans="1:79" ht="23.25" customHeight="1">
      <c r="A328" s="50"/>
      <c r="B328" s="208" t="s">
        <v>171</v>
      </c>
      <c r="C328" s="208"/>
      <c r="D328" s="67">
        <v>2</v>
      </c>
      <c r="E328" s="76" t="s">
        <v>55</v>
      </c>
      <c r="F328" s="77">
        <v>10500</v>
      </c>
      <c r="G328" s="78">
        <f t="shared" si="16"/>
        <v>21000</v>
      </c>
    </row>
    <row r="329" spans="1:79" ht="23.25" customHeight="1">
      <c r="A329" s="50"/>
      <c r="B329" s="208" t="s">
        <v>172</v>
      </c>
      <c r="C329" s="208"/>
      <c r="D329" s="67">
        <v>2</v>
      </c>
      <c r="E329" s="76" t="s">
        <v>55</v>
      </c>
      <c r="F329" s="77">
        <v>11000</v>
      </c>
      <c r="G329" s="78">
        <f t="shared" si="16"/>
        <v>22000</v>
      </c>
    </row>
    <row r="330" spans="1:79" ht="23.25" customHeight="1">
      <c r="A330" s="50"/>
      <c r="B330" s="208" t="s">
        <v>173</v>
      </c>
      <c r="C330" s="208"/>
      <c r="D330" s="67">
        <v>2</v>
      </c>
      <c r="E330" s="76" t="s">
        <v>60</v>
      </c>
      <c r="F330" s="77">
        <v>13650</v>
      </c>
      <c r="G330" s="78">
        <f t="shared" si="16"/>
        <v>27300</v>
      </c>
    </row>
    <row r="331" spans="1:79" ht="23.25" customHeight="1">
      <c r="A331" s="50"/>
      <c r="B331" s="208" t="s">
        <v>174</v>
      </c>
      <c r="C331" s="208"/>
      <c r="D331" s="67">
        <v>3</v>
      </c>
      <c r="E331" s="76" t="s">
        <v>55</v>
      </c>
      <c r="F331" s="77">
        <v>20325</v>
      </c>
      <c r="G331" s="78">
        <f t="shared" si="16"/>
        <v>60975</v>
      </c>
    </row>
    <row r="332" spans="1:79" ht="23.25" customHeight="1">
      <c r="A332" s="50"/>
      <c r="B332" s="208" t="s">
        <v>79</v>
      </c>
      <c r="C332" s="208"/>
      <c r="D332" s="67">
        <v>3</v>
      </c>
      <c r="E332" s="76" t="s">
        <v>76</v>
      </c>
      <c r="F332" s="77">
        <v>157725</v>
      </c>
      <c r="G332" s="78">
        <f t="shared" si="16"/>
        <v>473175</v>
      </c>
    </row>
    <row r="333" spans="1:79" ht="23.25" customHeight="1">
      <c r="A333" s="50"/>
      <c r="B333" s="208" t="s">
        <v>175</v>
      </c>
      <c r="C333" s="208"/>
      <c r="D333" s="67">
        <v>2</v>
      </c>
      <c r="E333" s="76" t="s">
        <v>76</v>
      </c>
      <c r="F333" s="77">
        <v>164850</v>
      </c>
      <c r="G333" s="78">
        <f t="shared" si="16"/>
        <v>329700</v>
      </c>
    </row>
    <row r="334" spans="1:79" ht="23.25" customHeight="1">
      <c r="A334" s="50"/>
      <c r="B334" s="208" t="s">
        <v>80</v>
      </c>
      <c r="C334" s="208"/>
      <c r="D334" s="67">
        <v>5</v>
      </c>
      <c r="E334" s="76" t="s">
        <v>55</v>
      </c>
      <c r="F334" s="77">
        <v>27300</v>
      </c>
      <c r="G334" s="78">
        <f t="shared" si="16"/>
        <v>136500</v>
      </c>
    </row>
    <row r="335" spans="1:79" ht="23.25" customHeight="1">
      <c r="A335" s="50"/>
      <c r="B335" s="208" t="s">
        <v>81</v>
      </c>
      <c r="C335" s="208"/>
      <c r="D335" s="67">
        <v>5</v>
      </c>
      <c r="E335" s="76" t="s">
        <v>55</v>
      </c>
      <c r="F335" s="77">
        <v>25725</v>
      </c>
      <c r="G335" s="78">
        <f t="shared" si="16"/>
        <v>128625</v>
      </c>
    </row>
    <row r="336" spans="1:79" s="80" customFormat="1" ht="23.25" customHeight="1">
      <c r="A336" s="50"/>
      <c r="B336" s="251" t="s">
        <v>177</v>
      </c>
      <c r="C336" s="252"/>
      <c r="D336" s="252"/>
      <c r="E336" s="252"/>
      <c r="F336" s="252"/>
      <c r="G336" s="79">
        <f>SUM(G337:G340)</f>
        <v>1732500</v>
      </c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</row>
    <row r="337" spans="1:79" ht="23.25" customHeight="1">
      <c r="A337" s="50"/>
      <c r="B337" s="208" t="s">
        <v>82</v>
      </c>
      <c r="C337" s="208"/>
      <c r="D337" s="67">
        <v>2</v>
      </c>
      <c r="E337" s="68" t="s">
        <v>55</v>
      </c>
      <c r="F337" s="69">
        <v>157500</v>
      </c>
      <c r="G337" s="78">
        <f>D337*F337</f>
        <v>315000</v>
      </c>
    </row>
    <row r="338" spans="1:79" ht="23.25" customHeight="1">
      <c r="A338" s="50"/>
      <c r="B338" s="208" t="s">
        <v>83</v>
      </c>
      <c r="C338" s="208"/>
      <c r="D338" s="67">
        <v>2</v>
      </c>
      <c r="E338" s="68" t="s">
        <v>55</v>
      </c>
      <c r="F338" s="69">
        <v>157500</v>
      </c>
      <c r="G338" s="78">
        <f>D338*F338</f>
        <v>315000</v>
      </c>
    </row>
    <row r="339" spans="1:79" ht="23.25" customHeight="1">
      <c r="A339" s="50"/>
      <c r="B339" s="208" t="s">
        <v>84</v>
      </c>
      <c r="C339" s="208"/>
      <c r="D339" s="67">
        <v>5</v>
      </c>
      <c r="E339" s="68" t="s">
        <v>55</v>
      </c>
      <c r="F339" s="69">
        <v>157500</v>
      </c>
      <c r="G339" s="78">
        <f>D339*F339</f>
        <v>787500</v>
      </c>
    </row>
    <row r="340" spans="1:79" ht="23.25" customHeight="1">
      <c r="A340" s="50"/>
      <c r="B340" s="208" t="s">
        <v>85</v>
      </c>
      <c r="C340" s="208"/>
      <c r="D340" s="67">
        <v>2</v>
      </c>
      <c r="E340" s="68" t="s">
        <v>55</v>
      </c>
      <c r="F340" s="69">
        <v>157500</v>
      </c>
      <c r="G340" s="78">
        <f>D340*F340</f>
        <v>315000</v>
      </c>
    </row>
    <row r="341" spans="1:79" s="80" customFormat="1" ht="23.25" customHeight="1">
      <c r="A341" s="50"/>
      <c r="B341" s="232" t="s">
        <v>179</v>
      </c>
      <c r="C341" s="233"/>
      <c r="D341" s="233"/>
      <c r="E341" s="233"/>
      <c r="F341" s="241"/>
      <c r="G341" s="81">
        <f>SUM(G342:G343)</f>
        <v>3816750</v>
      </c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</row>
    <row r="342" spans="1:79" ht="23.25" customHeight="1">
      <c r="A342" s="50"/>
      <c r="B342" s="208" t="s">
        <v>180</v>
      </c>
      <c r="C342" s="208"/>
      <c r="D342" s="67">
        <v>25</v>
      </c>
      <c r="E342" s="68" t="s">
        <v>58</v>
      </c>
      <c r="F342" s="69">
        <v>96600</v>
      </c>
      <c r="G342" s="78">
        <f>D342*F342</f>
        <v>2415000</v>
      </c>
    </row>
    <row r="343" spans="1:79" ht="23.25" customHeight="1">
      <c r="A343" s="50"/>
      <c r="B343" s="208" t="s">
        <v>181</v>
      </c>
      <c r="C343" s="208"/>
      <c r="D343" s="67">
        <v>15</v>
      </c>
      <c r="E343" s="68" t="s">
        <v>58</v>
      </c>
      <c r="F343" s="69">
        <v>93450</v>
      </c>
      <c r="G343" s="78">
        <f>D343*F343</f>
        <v>1401750</v>
      </c>
    </row>
    <row r="344" spans="1:79" s="80" customFormat="1" ht="23.25" customHeight="1">
      <c r="A344" s="50"/>
      <c r="B344" s="232" t="s">
        <v>183</v>
      </c>
      <c r="C344" s="233"/>
      <c r="D344" s="233"/>
      <c r="E344" s="233"/>
      <c r="F344" s="241"/>
      <c r="G344" s="82">
        <f>SUM(G345:G347)</f>
        <v>24412000</v>
      </c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</row>
    <row r="345" spans="1:79" ht="23.25" customHeight="1">
      <c r="A345" s="50"/>
      <c r="B345" s="208" t="s">
        <v>69</v>
      </c>
      <c r="C345" s="208"/>
      <c r="D345" s="67">
        <v>36000</v>
      </c>
      <c r="E345" s="68" t="s">
        <v>62</v>
      </c>
      <c r="F345" s="69">
        <v>350</v>
      </c>
      <c r="G345" s="78">
        <f>D345*F345</f>
        <v>12600000</v>
      </c>
    </row>
    <row r="346" spans="1:79" ht="23.25" customHeight="1">
      <c r="A346" s="50"/>
      <c r="B346" s="208" t="s">
        <v>70</v>
      </c>
      <c r="C346" s="208"/>
      <c r="D346" s="67">
        <v>14000</v>
      </c>
      <c r="E346" s="68" t="s">
        <v>62</v>
      </c>
      <c r="F346" s="69">
        <v>350</v>
      </c>
      <c r="G346" s="78">
        <f>D346*F346</f>
        <v>4900000</v>
      </c>
    </row>
    <row r="347" spans="1:79" ht="32.25" customHeight="1">
      <c r="A347" s="50"/>
      <c r="B347" s="208" t="s">
        <v>71</v>
      </c>
      <c r="C347" s="208"/>
      <c r="D347" s="67">
        <v>96</v>
      </c>
      <c r="E347" s="68" t="s">
        <v>57</v>
      </c>
      <c r="F347" s="69">
        <v>72000</v>
      </c>
      <c r="G347" s="78">
        <f>D347*F347</f>
        <v>6912000</v>
      </c>
    </row>
    <row r="348" spans="1:79" s="80" customFormat="1" ht="23.25" customHeight="1">
      <c r="A348" s="50"/>
      <c r="B348" s="232" t="s">
        <v>185</v>
      </c>
      <c r="C348" s="233"/>
      <c r="D348" s="72"/>
      <c r="E348" s="83"/>
      <c r="F348" s="84"/>
      <c r="G348" s="82">
        <f>SUM(G349:G350)</f>
        <v>2250000</v>
      </c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</row>
    <row r="349" spans="1:79" ht="36" customHeight="1">
      <c r="A349" s="50"/>
      <c r="B349" s="218" t="s">
        <v>72</v>
      </c>
      <c r="C349" s="219"/>
      <c r="D349" s="67">
        <v>50</v>
      </c>
      <c r="E349" s="68" t="s">
        <v>73</v>
      </c>
      <c r="F349" s="69">
        <v>30000</v>
      </c>
      <c r="G349" s="78">
        <f>D349*F349</f>
        <v>1500000</v>
      </c>
    </row>
    <row r="350" spans="1:79" ht="35.25" customHeight="1">
      <c r="A350" s="50"/>
      <c r="B350" s="218" t="s">
        <v>74</v>
      </c>
      <c r="C350" s="219"/>
      <c r="D350" s="67">
        <v>50</v>
      </c>
      <c r="E350" s="68" t="s">
        <v>73</v>
      </c>
      <c r="F350" s="69">
        <v>15000</v>
      </c>
      <c r="G350" s="78">
        <f>D350*F350</f>
        <v>750000</v>
      </c>
    </row>
    <row r="351" spans="1:79" s="80" customFormat="1" ht="35.1" customHeight="1">
      <c r="A351" s="50"/>
      <c r="B351" s="220" t="s">
        <v>211</v>
      </c>
      <c r="C351" s="221"/>
      <c r="D351" s="221"/>
      <c r="E351" s="221"/>
      <c r="F351" s="222"/>
      <c r="G351" s="81">
        <f>SUM(G352)</f>
        <v>10100000</v>
      </c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</row>
    <row r="352" spans="1:79" ht="35.1" customHeight="1">
      <c r="A352" s="50"/>
      <c r="B352" s="212" t="s">
        <v>413</v>
      </c>
      <c r="C352" s="213"/>
      <c r="D352" s="52"/>
      <c r="E352" s="49"/>
      <c r="F352" s="78"/>
      <c r="G352" s="100">
        <f>SUM(G353:G354)</f>
        <v>10100000</v>
      </c>
    </row>
    <row r="353" spans="1:79" ht="35.1" customHeight="1">
      <c r="A353" s="50"/>
      <c r="B353" s="208" t="s">
        <v>213</v>
      </c>
      <c r="C353" s="208"/>
      <c r="D353" s="67">
        <v>50</v>
      </c>
      <c r="E353" s="68" t="s">
        <v>61</v>
      </c>
      <c r="F353" s="69">
        <v>170000</v>
      </c>
      <c r="G353" s="78">
        <f t="shared" ref="G353:G354" si="17">D353*F353</f>
        <v>8500000</v>
      </c>
    </row>
    <row r="354" spans="1:79" ht="35.1" customHeight="1">
      <c r="A354" s="50"/>
      <c r="B354" s="208" t="s">
        <v>220</v>
      </c>
      <c r="C354" s="208"/>
      <c r="D354" s="52">
        <v>10</v>
      </c>
      <c r="E354" s="68" t="s">
        <v>73</v>
      </c>
      <c r="F354" s="78">
        <v>160000</v>
      </c>
      <c r="G354" s="78">
        <f t="shared" si="17"/>
        <v>1600000</v>
      </c>
    </row>
    <row r="355" spans="1:79" ht="19.5" customHeight="1">
      <c r="A355" s="180"/>
      <c r="B355" s="261" t="s">
        <v>418</v>
      </c>
      <c r="C355" s="262"/>
      <c r="D355" s="262"/>
      <c r="E355" s="262"/>
      <c r="F355" s="263"/>
      <c r="G355" s="181">
        <f>G356+G357+G358+G359+G361+G389+G394+G397+G401+G404</f>
        <v>722100500</v>
      </c>
    </row>
    <row r="356" spans="1:79" s="172" customFormat="1" ht="57.75" customHeight="1">
      <c r="A356" s="166"/>
      <c r="B356" s="234" t="s">
        <v>337</v>
      </c>
      <c r="C356" s="234"/>
      <c r="D356" s="167">
        <v>1</v>
      </c>
      <c r="E356" s="168" t="s">
        <v>53</v>
      </c>
      <c r="F356" s="169">
        <v>34600000</v>
      </c>
      <c r="G356" s="170">
        <f>D356*F356</f>
        <v>34600000</v>
      </c>
      <c r="H356" s="171">
        <v>7400000000</v>
      </c>
    </row>
    <row r="357" spans="1:79" s="163" customFormat="1" ht="57.75" customHeight="1">
      <c r="A357" s="166"/>
      <c r="B357" s="235" t="s">
        <v>344</v>
      </c>
      <c r="C357" s="235"/>
      <c r="D357" s="167">
        <v>1</v>
      </c>
      <c r="E357" s="168" t="s">
        <v>339</v>
      </c>
      <c r="F357" s="169">
        <v>585000000</v>
      </c>
      <c r="G357" s="170">
        <f>D357*F357</f>
        <v>585000000</v>
      </c>
      <c r="H357" s="163">
        <f>H356/F357</f>
        <v>12.649572649572649</v>
      </c>
      <c r="J357" s="173">
        <f>7419431490/F357</f>
        <v>12.682788871794871</v>
      </c>
    </row>
    <row r="358" spans="1:79" s="163" customFormat="1" ht="57.75" customHeight="1">
      <c r="A358" s="162"/>
      <c r="B358" s="208" t="s">
        <v>340</v>
      </c>
      <c r="C358" s="208"/>
      <c r="D358" s="67">
        <v>1</v>
      </c>
      <c r="E358" s="68" t="s">
        <v>53</v>
      </c>
      <c r="F358" s="165">
        <v>48200000</v>
      </c>
      <c r="G358" s="170">
        <f t="shared" ref="G358" si="18">D358*F358</f>
        <v>48200000</v>
      </c>
    </row>
    <row r="359" spans="1:79" s="64" customFormat="1" ht="30.75" customHeight="1">
      <c r="A359" s="50"/>
      <c r="B359" s="232" t="s">
        <v>151</v>
      </c>
      <c r="C359" s="241"/>
      <c r="D359" s="61"/>
      <c r="E359" s="62"/>
      <c r="F359" s="63"/>
      <c r="G359" s="63">
        <f>SUM(G360)</f>
        <v>500000</v>
      </c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  <c r="AC359" s="118"/>
      <c r="AD359" s="118"/>
      <c r="AE359" s="118"/>
      <c r="AF359" s="118"/>
      <c r="AG359" s="118"/>
      <c r="AH359" s="118"/>
      <c r="AI359" s="118"/>
      <c r="AJ359" s="118"/>
      <c r="AK359" s="118"/>
      <c r="AL359" s="118"/>
      <c r="AM359" s="118"/>
      <c r="AN359" s="118"/>
      <c r="AO359" s="118"/>
      <c r="AP359" s="118"/>
      <c r="AQ359" s="118"/>
      <c r="AR359" s="118"/>
      <c r="AS359" s="118"/>
      <c r="AT359" s="118"/>
      <c r="AU359" s="118"/>
      <c r="AV359" s="118"/>
      <c r="AW359" s="118"/>
      <c r="AX359" s="118"/>
      <c r="AY359" s="118"/>
      <c r="AZ359" s="118"/>
      <c r="BA359" s="118"/>
      <c r="BB359" s="118"/>
      <c r="BC359" s="118"/>
      <c r="BD359" s="118"/>
      <c r="BE359" s="118"/>
      <c r="BF359" s="118"/>
      <c r="BG359" s="118"/>
      <c r="BH359" s="118"/>
      <c r="BI359" s="118"/>
      <c r="BJ359" s="118"/>
      <c r="BK359" s="118"/>
      <c r="BL359" s="118"/>
      <c r="BM359" s="118"/>
      <c r="BN359" s="118"/>
      <c r="BO359" s="118"/>
      <c r="BP359" s="118"/>
      <c r="BQ359" s="118"/>
      <c r="BR359" s="118"/>
      <c r="BS359" s="118"/>
      <c r="BT359" s="118"/>
      <c r="BU359" s="118"/>
      <c r="BV359" s="118"/>
      <c r="BW359" s="118"/>
      <c r="BX359" s="118"/>
      <c r="BY359" s="118"/>
      <c r="BZ359" s="118"/>
      <c r="CA359" s="118"/>
    </row>
    <row r="360" spans="1:79" s="71" customFormat="1" ht="30.75" customHeight="1">
      <c r="A360" s="50"/>
      <c r="B360" s="65" t="s">
        <v>75</v>
      </c>
      <c r="C360" s="66"/>
      <c r="D360" s="67">
        <v>50</v>
      </c>
      <c r="E360" s="68" t="s">
        <v>60</v>
      </c>
      <c r="F360" s="69">
        <v>10000</v>
      </c>
      <c r="G360" s="70">
        <f>D360*F360</f>
        <v>500000</v>
      </c>
    </row>
    <row r="361" spans="1:79" s="75" customFormat="1" ht="30.75" customHeight="1">
      <c r="A361" s="50"/>
      <c r="B361" s="232" t="s">
        <v>153</v>
      </c>
      <c r="C361" s="233"/>
      <c r="D361" s="72"/>
      <c r="E361" s="60"/>
      <c r="F361" s="73"/>
      <c r="G361" s="74">
        <f>SUM(G362:G388)</f>
        <v>11689250</v>
      </c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  <c r="BH361" s="71"/>
      <c r="BI361" s="71"/>
      <c r="BJ361" s="71"/>
      <c r="BK361" s="71"/>
      <c r="BL361" s="71"/>
      <c r="BM361" s="71"/>
      <c r="BN361" s="71"/>
      <c r="BO361" s="71"/>
      <c r="BP361" s="71"/>
      <c r="BQ361" s="71"/>
      <c r="BR361" s="71"/>
      <c r="BS361" s="71"/>
      <c r="BT361" s="71"/>
      <c r="BU361" s="71"/>
      <c r="BV361" s="71"/>
      <c r="BW361" s="71"/>
      <c r="BX361" s="71"/>
      <c r="BY361" s="71"/>
      <c r="BZ361" s="71"/>
      <c r="CA361" s="71"/>
    </row>
    <row r="362" spans="1:79" ht="23.25" customHeight="1">
      <c r="A362" s="50"/>
      <c r="B362" s="208" t="s">
        <v>154</v>
      </c>
      <c r="C362" s="208"/>
      <c r="D362" s="67">
        <v>5</v>
      </c>
      <c r="E362" s="76" t="s">
        <v>54</v>
      </c>
      <c r="F362" s="77">
        <v>29100</v>
      </c>
      <c r="G362" s="78">
        <f t="shared" ref="G362:G388" si="19">D362*F362</f>
        <v>145500</v>
      </c>
    </row>
    <row r="363" spans="1:79" ht="23.25" customHeight="1">
      <c r="A363" s="50"/>
      <c r="B363" s="208" t="s">
        <v>155</v>
      </c>
      <c r="C363" s="208"/>
      <c r="D363" s="67">
        <v>5</v>
      </c>
      <c r="E363" s="76" t="s">
        <v>54</v>
      </c>
      <c r="F363" s="77">
        <v>37300</v>
      </c>
      <c r="G363" s="78">
        <f t="shared" si="19"/>
        <v>186500</v>
      </c>
    </row>
    <row r="364" spans="1:79" ht="23.25" customHeight="1">
      <c r="A364" s="50"/>
      <c r="B364" s="208" t="s">
        <v>156</v>
      </c>
      <c r="C364" s="208"/>
      <c r="D364" s="67">
        <v>10</v>
      </c>
      <c r="E364" s="76" t="s">
        <v>56</v>
      </c>
      <c r="F364" s="77">
        <v>283500</v>
      </c>
      <c r="G364" s="78">
        <f t="shared" si="19"/>
        <v>2835000</v>
      </c>
    </row>
    <row r="365" spans="1:79" ht="23.25" customHeight="1">
      <c r="A365" s="50"/>
      <c r="B365" s="208" t="s">
        <v>157</v>
      </c>
      <c r="C365" s="208"/>
      <c r="D365" s="67">
        <v>3</v>
      </c>
      <c r="E365" s="76" t="s">
        <v>56</v>
      </c>
      <c r="F365" s="77">
        <v>55650</v>
      </c>
      <c r="G365" s="78">
        <f t="shared" si="19"/>
        <v>166950</v>
      </c>
    </row>
    <row r="366" spans="1:79" ht="23.25" customHeight="1">
      <c r="A366" s="50"/>
      <c r="B366" s="208" t="s">
        <v>158</v>
      </c>
      <c r="C366" s="208"/>
      <c r="D366" s="67">
        <v>7</v>
      </c>
      <c r="E366" s="76" t="s">
        <v>54</v>
      </c>
      <c r="F366" s="77">
        <v>4725</v>
      </c>
      <c r="G366" s="78">
        <f t="shared" si="19"/>
        <v>33075</v>
      </c>
    </row>
    <row r="367" spans="1:79" ht="23.25" customHeight="1">
      <c r="A367" s="50"/>
      <c r="B367" s="208" t="s">
        <v>159</v>
      </c>
      <c r="C367" s="208"/>
      <c r="D367" s="67">
        <v>7</v>
      </c>
      <c r="E367" s="76" t="s">
        <v>54</v>
      </c>
      <c r="F367" s="77">
        <v>14700</v>
      </c>
      <c r="G367" s="78">
        <f t="shared" si="19"/>
        <v>102900</v>
      </c>
    </row>
    <row r="368" spans="1:79" ht="23.25" customHeight="1">
      <c r="A368" s="50"/>
      <c r="B368" s="208" t="s">
        <v>160</v>
      </c>
      <c r="C368" s="208"/>
      <c r="D368" s="67">
        <v>7</v>
      </c>
      <c r="E368" s="76" t="s">
        <v>54</v>
      </c>
      <c r="F368" s="77">
        <v>53500</v>
      </c>
      <c r="G368" s="78">
        <f t="shared" si="19"/>
        <v>374500</v>
      </c>
    </row>
    <row r="369" spans="1:7" ht="23.25" customHeight="1">
      <c r="A369" s="50"/>
      <c r="B369" s="208" t="s">
        <v>161</v>
      </c>
      <c r="C369" s="208"/>
      <c r="D369" s="67">
        <v>30</v>
      </c>
      <c r="E369" s="76" t="s">
        <v>55</v>
      </c>
      <c r="F369" s="77">
        <v>60775</v>
      </c>
      <c r="G369" s="78">
        <f t="shared" si="19"/>
        <v>1823250</v>
      </c>
    </row>
    <row r="370" spans="1:7" ht="23.25" customHeight="1">
      <c r="A370" s="50"/>
      <c r="B370" s="208" t="s">
        <v>162</v>
      </c>
      <c r="C370" s="208"/>
      <c r="D370" s="67">
        <v>5</v>
      </c>
      <c r="E370" s="76" t="s">
        <v>57</v>
      </c>
      <c r="F370" s="77">
        <v>22200</v>
      </c>
      <c r="G370" s="78">
        <f t="shared" si="19"/>
        <v>111000</v>
      </c>
    </row>
    <row r="371" spans="1:7" ht="23.25" customHeight="1">
      <c r="A371" s="50"/>
      <c r="B371" s="208" t="s">
        <v>163</v>
      </c>
      <c r="C371" s="208"/>
      <c r="D371" s="67">
        <v>8</v>
      </c>
      <c r="E371" s="76" t="s">
        <v>54</v>
      </c>
      <c r="F371" s="77">
        <v>44100</v>
      </c>
      <c r="G371" s="78">
        <f t="shared" si="19"/>
        <v>352800</v>
      </c>
    </row>
    <row r="372" spans="1:7" ht="23.25" customHeight="1">
      <c r="A372" s="50"/>
      <c r="B372" s="208" t="s">
        <v>164</v>
      </c>
      <c r="C372" s="208"/>
      <c r="D372" s="67">
        <v>8</v>
      </c>
      <c r="E372" s="76" t="s">
        <v>54</v>
      </c>
      <c r="F372" s="77">
        <v>37275</v>
      </c>
      <c r="G372" s="78">
        <f t="shared" si="19"/>
        <v>298200</v>
      </c>
    </row>
    <row r="373" spans="1:7" ht="23.25" customHeight="1">
      <c r="A373" s="50"/>
      <c r="B373" s="208" t="s">
        <v>165</v>
      </c>
      <c r="C373" s="208"/>
      <c r="D373" s="67">
        <v>100</v>
      </c>
      <c r="E373" s="76" t="s">
        <v>55</v>
      </c>
      <c r="F373" s="77">
        <v>9800</v>
      </c>
      <c r="G373" s="78">
        <f t="shared" si="19"/>
        <v>980000</v>
      </c>
    </row>
    <row r="374" spans="1:7" ht="23.25" customHeight="1">
      <c r="A374" s="50"/>
      <c r="B374" s="208" t="s">
        <v>166</v>
      </c>
      <c r="C374" s="208"/>
      <c r="D374" s="67">
        <v>20</v>
      </c>
      <c r="E374" s="76" t="s">
        <v>54</v>
      </c>
      <c r="F374" s="77">
        <v>130200</v>
      </c>
      <c r="G374" s="78">
        <f t="shared" si="19"/>
        <v>2604000</v>
      </c>
    </row>
    <row r="375" spans="1:7" ht="23.25" customHeight="1">
      <c r="A375" s="50"/>
      <c r="B375" s="208" t="s">
        <v>167</v>
      </c>
      <c r="C375" s="208"/>
      <c r="D375" s="67">
        <v>4</v>
      </c>
      <c r="E375" s="76" t="s">
        <v>76</v>
      </c>
      <c r="F375" s="77">
        <v>34175</v>
      </c>
      <c r="G375" s="78">
        <f t="shared" si="19"/>
        <v>136700</v>
      </c>
    </row>
    <row r="376" spans="1:7" ht="23.25" customHeight="1">
      <c r="A376" s="50"/>
      <c r="B376" s="208" t="s">
        <v>168</v>
      </c>
      <c r="C376" s="208"/>
      <c r="D376" s="67">
        <v>4</v>
      </c>
      <c r="E376" s="76" t="s">
        <v>76</v>
      </c>
      <c r="F376" s="77">
        <v>28875</v>
      </c>
      <c r="G376" s="78">
        <f t="shared" si="19"/>
        <v>115500</v>
      </c>
    </row>
    <row r="377" spans="1:7" ht="23.25" customHeight="1">
      <c r="A377" s="50"/>
      <c r="B377" s="208" t="s">
        <v>169</v>
      </c>
      <c r="C377" s="208"/>
      <c r="D377" s="67">
        <v>4</v>
      </c>
      <c r="E377" s="76" t="s">
        <v>76</v>
      </c>
      <c r="F377" s="77">
        <v>20175</v>
      </c>
      <c r="G377" s="78">
        <f t="shared" si="19"/>
        <v>80700</v>
      </c>
    </row>
    <row r="378" spans="1:7" ht="23.25" customHeight="1">
      <c r="A378" s="50"/>
      <c r="B378" s="208" t="s">
        <v>77</v>
      </c>
      <c r="C378" s="208"/>
      <c r="D378" s="67">
        <v>4</v>
      </c>
      <c r="E378" s="76" t="s">
        <v>55</v>
      </c>
      <c r="F378" s="77">
        <v>15000</v>
      </c>
      <c r="G378" s="78">
        <f t="shared" si="19"/>
        <v>60000</v>
      </c>
    </row>
    <row r="379" spans="1:7" ht="23.25" customHeight="1">
      <c r="A379" s="50"/>
      <c r="B379" s="208" t="s">
        <v>78</v>
      </c>
      <c r="C379" s="208"/>
      <c r="D379" s="67">
        <v>2</v>
      </c>
      <c r="E379" s="76" t="s">
        <v>55</v>
      </c>
      <c r="F379" s="77">
        <v>20900</v>
      </c>
      <c r="G379" s="78">
        <f t="shared" si="19"/>
        <v>41800</v>
      </c>
    </row>
    <row r="380" spans="1:7" ht="23.25" customHeight="1">
      <c r="A380" s="50"/>
      <c r="B380" s="208" t="s">
        <v>170</v>
      </c>
      <c r="C380" s="208"/>
      <c r="D380" s="67">
        <v>2</v>
      </c>
      <c r="E380" s="76" t="s">
        <v>55</v>
      </c>
      <c r="F380" s="77">
        <v>20800</v>
      </c>
      <c r="G380" s="78">
        <f t="shared" si="19"/>
        <v>41600</v>
      </c>
    </row>
    <row r="381" spans="1:7" ht="23.25" customHeight="1">
      <c r="A381" s="50"/>
      <c r="B381" s="208" t="s">
        <v>171</v>
      </c>
      <c r="C381" s="208"/>
      <c r="D381" s="67">
        <v>2</v>
      </c>
      <c r="E381" s="76" t="s">
        <v>55</v>
      </c>
      <c r="F381" s="77">
        <v>10500</v>
      </c>
      <c r="G381" s="78">
        <f t="shared" si="19"/>
        <v>21000</v>
      </c>
    </row>
    <row r="382" spans="1:7" ht="23.25" customHeight="1">
      <c r="A382" s="50"/>
      <c r="B382" s="208" t="s">
        <v>172</v>
      </c>
      <c r="C382" s="208"/>
      <c r="D382" s="67">
        <v>2</v>
      </c>
      <c r="E382" s="76" t="s">
        <v>55</v>
      </c>
      <c r="F382" s="77">
        <v>11000</v>
      </c>
      <c r="G382" s="78">
        <f t="shared" si="19"/>
        <v>22000</v>
      </c>
    </row>
    <row r="383" spans="1:7" ht="23.25" customHeight="1">
      <c r="A383" s="50"/>
      <c r="B383" s="208" t="s">
        <v>173</v>
      </c>
      <c r="C383" s="208"/>
      <c r="D383" s="67">
        <v>2</v>
      </c>
      <c r="E383" s="76" t="s">
        <v>60</v>
      </c>
      <c r="F383" s="77">
        <v>13650</v>
      </c>
      <c r="G383" s="78">
        <f t="shared" si="19"/>
        <v>27300</v>
      </c>
    </row>
    <row r="384" spans="1:7" ht="23.25" customHeight="1">
      <c r="A384" s="50"/>
      <c r="B384" s="208" t="s">
        <v>174</v>
      </c>
      <c r="C384" s="208"/>
      <c r="D384" s="67">
        <v>3</v>
      </c>
      <c r="E384" s="76" t="s">
        <v>55</v>
      </c>
      <c r="F384" s="77">
        <v>20325</v>
      </c>
      <c r="G384" s="78">
        <f t="shared" si="19"/>
        <v>60975</v>
      </c>
    </row>
    <row r="385" spans="1:79" ht="23.25" customHeight="1">
      <c r="A385" s="50"/>
      <c r="B385" s="208" t="s">
        <v>79</v>
      </c>
      <c r="C385" s="208"/>
      <c r="D385" s="67">
        <v>3</v>
      </c>
      <c r="E385" s="76" t="s">
        <v>76</v>
      </c>
      <c r="F385" s="77">
        <v>157725</v>
      </c>
      <c r="G385" s="78">
        <f t="shared" si="19"/>
        <v>473175</v>
      </c>
    </row>
    <row r="386" spans="1:79" ht="23.25" customHeight="1">
      <c r="A386" s="50"/>
      <c r="B386" s="208" t="s">
        <v>175</v>
      </c>
      <c r="C386" s="208"/>
      <c r="D386" s="67">
        <v>2</v>
      </c>
      <c r="E386" s="76" t="s">
        <v>76</v>
      </c>
      <c r="F386" s="77">
        <v>164850</v>
      </c>
      <c r="G386" s="78">
        <f t="shared" si="19"/>
        <v>329700</v>
      </c>
    </row>
    <row r="387" spans="1:79" ht="23.25" customHeight="1">
      <c r="A387" s="50"/>
      <c r="B387" s="208" t="s">
        <v>80</v>
      </c>
      <c r="C387" s="208"/>
      <c r="D387" s="67">
        <v>5</v>
      </c>
      <c r="E387" s="76" t="s">
        <v>55</v>
      </c>
      <c r="F387" s="77">
        <v>27300</v>
      </c>
      <c r="G387" s="78">
        <f t="shared" si="19"/>
        <v>136500</v>
      </c>
    </row>
    <row r="388" spans="1:79" ht="23.25" customHeight="1">
      <c r="A388" s="50"/>
      <c r="B388" s="208" t="s">
        <v>81</v>
      </c>
      <c r="C388" s="208"/>
      <c r="D388" s="67">
        <v>5</v>
      </c>
      <c r="E388" s="76" t="s">
        <v>55</v>
      </c>
      <c r="F388" s="77">
        <v>25725</v>
      </c>
      <c r="G388" s="78">
        <f t="shared" si="19"/>
        <v>128625</v>
      </c>
    </row>
    <row r="389" spans="1:79" s="80" customFormat="1" ht="23.25" customHeight="1">
      <c r="A389" s="50"/>
      <c r="B389" s="251" t="s">
        <v>177</v>
      </c>
      <c r="C389" s="252"/>
      <c r="D389" s="252"/>
      <c r="E389" s="252"/>
      <c r="F389" s="252"/>
      <c r="G389" s="79">
        <f>SUM(G390:G393)</f>
        <v>1732500</v>
      </c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</row>
    <row r="390" spans="1:79" ht="23.25" customHeight="1">
      <c r="A390" s="50"/>
      <c r="B390" s="208" t="s">
        <v>82</v>
      </c>
      <c r="C390" s="208"/>
      <c r="D390" s="67">
        <v>2</v>
      </c>
      <c r="E390" s="68" t="s">
        <v>55</v>
      </c>
      <c r="F390" s="69">
        <v>157500</v>
      </c>
      <c r="G390" s="78">
        <f>D390*F390</f>
        <v>315000</v>
      </c>
    </row>
    <row r="391" spans="1:79" ht="23.25" customHeight="1">
      <c r="A391" s="50"/>
      <c r="B391" s="208" t="s">
        <v>83</v>
      </c>
      <c r="C391" s="208"/>
      <c r="D391" s="67">
        <v>2</v>
      </c>
      <c r="E391" s="68" t="s">
        <v>55</v>
      </c>
      <c r="F391" s="69">
        <v>157500</v>
      </c>
      <c r="G391" s="78">
        <f>D391*F391</f>
        <v>315000</v>
      </c>
    </row>
    <row r="392" spans="1:79" ht="23.25" customHeight="1">
      <c r="A392" s="50"/>
      <c r="B392" s="208" t="s">
        <v>84</v>
      </c>
      <c r="C392" s="208"/>
      <c r="D392" s="67">
        <v>5</v>
      </c>
      <c r="E392" s="68" t="s">
        <v>55</v>
      </c>
      <c r="F392" s="69">
        <v>157500</v>
      </c>
      <c r="G392" s="78">
        <f>D392*F392</f>
        <v>787500</v>
      </c>
    </row>
    <row r="393" spans="1:79" ht="23.25" customHeight="1">
      <c r="A393" s="50"/>
      <c r="B393" s="208" t="s">
        <v>85</v>
      </c>
      <c r="C393" s="208"/>
      <c r="D393" s="67">
        <v>2</v>
      </c>
      <c r="E393" s="68" t="s">
        <v>55</v>
      </c>
      <c r="F393" s="69">
        <v>157500</v>
      </c>
      <c r="G393" s="78">
        <f>D393*F393</f>
        <v>315000</v>
      </c>
    </row>
    <row r="394" spans="1:79" s="80" customFormat="1" ht="23.25" customHeight="1">
      <c r="A394" s="50"/>
      <c r="B394" s="232" t="s">
        <v>179</v>
      </c>
      <c r="C394" s="233"/>
      <c r="D394" s="233"/>
      <c r="E394" s="233"/>
      <c r="F394" s="241"/>
      <c r="G394" s="81">
        <f>SUM(G395:G396)</f>
        <v>3816750</v>
      </c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</row>
    <row r="395" spans="1:79" ht="23.25" customHeight="1">
      <c r="A395" s="50"/>
      <c r="B395" s="208" t="s">
        <v>180</v>
      </c>
      <c r="C395" s="208"/>
      <c r="D395" s="67">
        <v>25</v>
      </c>
      <c r="E395" s="68" t="s">
        <v>58</v>
      </c>
      <c r="F395" s="69">
        <v>96600</v>
      </c>
      <c r="G395" s="78">
        <f>D395*F395</f>
        <v>2415000</v>
      </c>
    </row>
    <row r="396" spans="1:79" ht="23.25" customHeight="1">
      <c r="A396" s="50"/>
      <c r="B396" s="208" t="s">
        <v>181</v>
      </c>
      <c r="C396" s="208"/>
      <c r="D396" s="67">
        <v>15</v>
      </c>
      <c r="E396" s="68" t="s">
        <v>58</v>
      </c>
      <c r="F396" s="69">
        <v>93450</v>
      </c>
      <c r="G396" s="78">
        <f>D396*F396</f>
        <v>1401750</v>
      </c>
    </row>
    <row r="397" spans="1:79" s="80" customFormat="1" ht="23.25" customHeight="1">
      <c r="A397" s="50"/>
      <c r="B397" s="232" t="s">
        <v>183</v>
      </c>
      <c r="C397" s="233"/>
      <c r="D397" s="233"/>
      <c r="E397" s="233"/>
      <c r="F397" s="241"/>
      <c r="G397" s="82">
        <f>SUM(G398:G400)</f>
        <v>24412000</v>
      </c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</row>
    <row r="398" spans="1:79" ht="23.25" customHeight="1">
      <c r="A398" s="50"/>
      <c r="B398" s="208" t="s">
        <v>69</v>
      </c>
      <c r="C398" s="208"/>
      <c r="D398" s="67">
        <v>36000</v>
      </c>
      <c r="E398" s="68" t="s">
        <v>62</v>
      </c>
      <c r="F398" s="69">
        <v>350</v>
      </c>
      <c r="G398" s="78">
        <f>D398*F398</f>
        <v>12600000</v>
      </c>
    </row>
    <row r="399" spans="1:79" ht="23.25" customHeight="1">
      <c r="A399" s="50"/>
      <c r="B399" s="208" t="s">
        <v>70</v>
      </c>
      <c r="C399" s="208"/>
      <c r="D399" s="67">
        <v>14000</v>
      </c>
      <c r="E399" s="68" t="s">
        <v>62</v>
      </c>
      <c r="F399" s="69">
        <v>350</v>
      </c>
      <c r="G399" s="78">
        <f>D399*F399</f>
        <v>4900000</v>
      </c>
    </row>
    <row r="400" spans="1:79" ht="32.25" customHeight="1">
      <c r="A400" s="50"/>
      <c r="B400" s="208" t="s">
        <v>71</v>
      </c>
      <c r="C400" s="208"/>
      <c r="D400" s="67">
        <v>96</v>
      </c>
      <c r="E400" s="68" t="s">
        <v>57</v>
      </c>
      <c r="F400" s="69">
        <v>72000</v>
      </c>
      <c r="G400" s="78">
        <f>D400*F400</f>
        <v>6912000</v>
      </c>
    </row>
    <row r="401" spans="1:79" s="80" customFormat="1" ht="23.25" customHeight="1">
      <c r="A401" s="50"/>
      <c r="B401" s="232" t="s">
        <v>185</v>
      </c>
      <c r="C401" s="233"/>
      <c r="D401" s="72"/>
      <c r="E401" s="83"/>
      <c r="F401" s="84"/>
      <c r="G401" s="82">
        <f>SUM(G402:G403)</f>
        <v>2250000</v>
      </c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</row>
    <row r="402" spans="1:79" ht="36" customHeight="1">
      <c r="A402" s="50"/>
      <c r="B402" s="218" t="s">
        <v>72</v>
      </c>
      <c r="C402" s="219"/>
      <c r="D402" s="67">
        <v>50</v>
      </c>
      <c r="E402" s="68" t="s">
        <v>73</v>
      </c>
      <c r="F402" s="69">
        <v>30000</v>
      </c>
      <c r="G402" s="78">
        <f>D402*F402</f>
        <v>1500000</v>
      </c>
    </row>
    <row r="403" spans="1:79" ht="35.25" customHeight="1">
      <c r="A403" s="50"/>
      <c r="B403" s="218" t="s">
        <v>74</v>
      </c>
      <c r="C403" s="219"/>
      <c r="D403" s="67">
        <v>50</v>
      </c>
      <c r="E403" s="68" t="s">
        <v>73</v>
      </c>
      <c r="F403" s="69">
        <v>15000</v>
      </c>
      <c r="G403" s="78">
        <f>D403*F403</f>
        <v>750000</v>
      </c>
    </row>
    <row r="404" spans="1:79" s="80" customFormat="1" ht="35.1" customHeight="1">
      <c r="A404" s="50"/>
      <c r="B404" s="220" t="s">
        <v>211</v>
      </c>
      <c r="C404" s="221"/>
      <c r="D404" s="221"/>
      <c r="E404" s="221"/>
      <c r="F404" s="222"/>
      <c r="G404" s="81">
        <f>SUM(G405)</f>
        <v>9900000</v>
      </c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</row>
    <row r="405" spans="1:79" ht="35.1" customHeight="1">
      <c r="A405" s="50"/>
      <c r="B405" s="212" t="s">
        <v>413</v>
      </c>
      <c r="C405" s="213"/>
      <c r="D405" s="52"/>
      <c r="E405" s="49"/>
      <c r="F405" s="78"/>
      <c r="G405" s="100">
        <f>SUM(G406:G407)</f>
        <v>9900000</v>
      </c>
    </row>
    <row r="406" spans="1:79" ht="35.1" customHeight="1">
      <c r="A406" s="50"/>
      <c r="B406" s="208" t="s">
        <v>213</v>
      </c>
      <c r="C406" s="208"/>
      <c r="D406" s="67">
        <v>50</v>
      </c>
      <c r="E406" s="68" t="s">
        <v>61</v>
      </c>
      <c r="F406" s="69">
        <v>170000</v>
      </c>
      <c r="G406" s="78">
        <f t="shared" ref="G406:G407" si="20">D406*F406</f>
        <v>8500000</v>
      </c>
    </row>
    <row r="407" spans="1:79" ht="35.1" customHeight="1">
      <c r="A407" s="50"/>
      <c r="B407" s="208" t="s">
        <v>229</v>
      </c>
      <c r="C407" s="208"/>
      <c r="D407" s="52">
        <v>10</v>
      </c>
      <c r="E407" s="68" t="s">
        <v>73</v>
      </c>
      <c r="F407" s="78">
        <v>140000</v>
      </c>
      <c r="G407" s="78">
        <f t="shared" si="20"/>
        <v>1400000</v>
      </c>
    </row>
    <row r="408" spans="1:79" ht="19.5" customHeight="1">
      <c r="A408" s="180"/>
      <c r="B408" s="261" t="s">
        <v>419</v>
      </c>
      <c r="C408" s="262"/>
      <c r="D408" s="262"/>
      <c r="E408" s="262"/>
      <c r="F408" s="263"/>
      <c r="G408" s="181">
        <f>G409+G410+G411+G412+G414+G442+G447+G450+G454+G457</f>
        <v>998850500</v>
      </c>
    </row>
    <row r="409" spans="1:79" s="172" customFormat="1" ht="57.75" customHeight="1">
      <c r="A409" s="166"/>
      <c r="B409" s="234" t="s">
        <v>337</v>
      </c>
      <c r="C409" s="234"/>
      <c r="D409" s="167">
        <v>1</v>
      </c>
      <c r="E409" s="168" t="s">
        <v>53</v>
      </c>
      <c r="F409" s="169">
        <v>68000000</v>
      </c>
      <c r="G409" s="170">
        <f>D409*F409</f>
        <v>68000000</v>
      </c>
      <c r="H409" s="171">
        <v>7400000000</v>
      </c>
    </row>
    <row r="410" spans="1:79" s="163" customFormat="1" ht="57.75" customHeight="1">
      <c r="A410" s="166"/>
      <c r="B410" s="235" t="s">
        <v>344</v>
      </c>
      <c r="C410" s="235"/>
      <c r="D410" s="167">
        <v>1</v>
      </c>
      <c r="E410" s="168" t="s">
        <v>339</v>
      </c>
      <c r="F410" s="169">
        <v>776500000</v>
      </c>
      <c r="G410" s="170">
        <f>D410*F410</f>
        <v>776500000</v>
      </c>
      <c r="H410" s="163">
        <f>H409/F410</f>
        <v>9.5299420476497101</v>
      </c>
      <c r="J410" s="173">
        <f>7419431490/F410</f>
        <v>9.5549665035415323</v>
      </c>
    </row>
    <row r="411" spans="1:79" s="163" customFormat="1" ht="57.75" customHeight="1">
      <c r="A411" s="162"/>
      <c r="B411" s="208" t="s">
        <v>340</v>
      </c>
      <c r="C411" s="208"/>
      <c r="D411" s="67">
        <v>1</v>
      </c>
      <c r="E411" s="68" t="s">
        <v>53</v>
      </c>
      <c r="F411" s="165">
        <v>100000000</v>
      </c>
      <c r="G411" s="170">
        <f t="shared" ref="G411" si="21">D411*F411</f>
        <v>100000000</v>
      </c>
    </row>
    <row r="412" spans="1:79" s="64" customFormat="1" ht="30.75" customHeight="1">
      <c r="A412" s="50"/>
      <c r="B412" s="232" t="s">
        <v>151</v>
      </c>
      <c r="C412" s="241"/>
      <c r="D412" s="61"/>
      <c r="E412" s="62"/>
      <c r="F412" s="63"/>
      <c r="G412" s="63">
        <f>SUM(G413)</f>
        <v>500000</v>
      </c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  <c r="AC412" s="118"/>
      <c r="AD412" s="118"/>
      <c r="AE412" s="118"/>
      <c r="AF412" s="118"/>
      <c r="AG412" s="118"/>
      <c r="AH412" s="118"/>
      <c r="AI412" s="118"/>
      <c r="AJ412" s="118"/>
      <c r="AK412" s="118"/>
      <c r="AL412" s="118"/>
      <c r="AM412" s="118"/>
      <c r="AN412" s="118"/>
      <c r="AO412" s="118"/>
      <c r="AP412" s="118"/>
      <c r="AQ412" s="118"/>
      <c r="AR412" s="118"/>
      <c r="AS412" s="118"/>
      <c r="AT412" s="118"/>
      <c r="AU412" s="118"/>
      <c r="AV412" s="118"/>
      <c r="AW412" s="118"/>
      <c r="AX412" s="118"/>
      <c r="AY412" s="118"/>
      <c r="AZ412" s="118"/>
      <c r="BA412" s="118"/>
      <c r="BB412" s="118"/>
      <c r="BC412" s="118"/>
      <c r="BD412" s="118"/>
      <c r="BE412" s="118"/>
      <c r="BF412" s="118"/>
      <c r="BG412" s="118"/>
      <c r="BH412" s="118"/>
      <c r="BI412" s="118"/>
      <c r="BJ412" s="118"/>
      <c r="BK412" s="118"/>
      <c r="BL412" s="118"/>
      <c r="BM412" s="118"/>
      <c r="BN412" s="118"/>
      <c r="BO412" s="118"/>
      <c r="BP412" s="118"/>
      <c r="BQ412" s="118"/>
      <c r="BR412" s="118"/>
      <c r="BS412" s="118"/>
      <c r="BT412" s="118"/>
      <c r="BU412" s="118"/>
      <c r="BV412" s="118"/>
      <c r="BW412" s="118"/>
      <c r="BX412" s="118"/>
      <c r="BY412" s="118"/>
      <c r="BZ412" s="118"/>
      <c r="CA412" s="118"/>
    </row>
    <row r="413" spans="1:79" s="71" customFormat="1" ht="30.75" customHeight="1">
      <c r="A413" s="50"/>
      <c r="B413" s="65" t="s">
        <v>75</v>
      </c>
      <c r="C413" s="66"/>
      <c r="D413" s="67">
        <v>50</v>
      </c>
      <c r="E413" s="68" t="s">
        <v>60</v>
      </c>
      <c r="F413" s="69">
        <v>10000</v>
      </c>
      <c r="G413" s="70">
        <f>D413*F413</f>
        <v>500000</v>
      </c>
    </row>
    <row r="414" spans="1:79" s="75" customFormat="1" ht="30.75" customHeight="1">
      <c r="A414" s="50"/>
      <c r="B414" s="232" t="s">
        <v>153</v>
      </c>
      <c r="C414" s="233"/>
      <c r="D414" s="72"/>
      <c r="E414" s="60"/>
      <c r="F414" s="73"/>
      <c r="G414" s="74">
        <f>SUM(G415:G441)</f>
        <v>11689250</v>
      </c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  <c r="BH414" s="71"/>
      <c r="BI414" s="71"/>
      <c r="BJ414" s="71"/>
      <c r="BK414" s="71"/>
      <c r="BL414" s="71"/>
      <c r="BM414" s="71"/>
      <c r="BN414" s="71"/>
      <c r="BO414" s="71"/>
      <c r="BP414" s="71"/>
      <c r="BQ414" s="71"/>
      <c r="BR414" s="71"/>
      <c r="BS414" s="71"/>
      <c r="BT414" s="71"/>
      <c r="BU414" s="71"/>
      <c r="BV414" s="71"/>
      <c r="BW414" s="71"/>
      <c r="BX414" s="71"/>
      <c r="BY414" s="71"/>
      <c r="BZ414" s="71"/>
      <c r="CA414" s="71"/>
    </row>
    <row r="415" spans="1:79" ht="23.25" customHeight="1">
      <c r="A415" s="50"/>
      <c r="B415" s="208" t="s">
        <v>154</v>
      </c>
      <c r="C415" s="208"/>
      <c r="D415" s="67">
        <v>5</v>
      </c>
      <c r="E415" s="76" t="s">
        <v>54</v>
      </c>
      <c r="F415" s="77">
        <v>29100</v>
      </c>
      <c r="G415" s="78">
        <f t="shared" ref="G415:G441" si="22">D415*F415</f>
        <v>145500</v>
      </c>
    </row>
    <row r="416" spans="1:79" ht="23.25" customHeight="1">
      <c r="A416" s="50"/>
      <c r="B416" s="208" t="s">
        <v>155</v>
      </c>
      <c r="C416" s="208"/>
      <c r="D416" s="67">
        <v>5</v>
      </c>
      <c r="E416" s="76" t="s">
        <v>54</v>
      </c>
      <c r="F416" s="77">
        <v>37300</v>
      </c>
      <c r="G416" s="78">
        <f t="shared" si="22"/>
        <v>186500</v>
      </c>
    </row>
    <row r="417" spans="1:7" ht="23.25" customHeight="1">
      <c r="A417" s="50"/>
      <c r="B417" s="208" t="s">
        <v>156</v>
      </c>
      <c r="C417" s="208"/>
      <c r="D417" s="67">
        <v>10</v>
      </c>
      <c r="E417" s="76" t="s">
        <v>56</v>
      </c>
      <c r="F417" s="77">
        <v>283500</v>
      </c>
      <c r="G417" s="78">
        <f t="shared" si="22"/>
        <v>2835000</v>
      </c>
    </row>
    <row r="418" spans="1:7" ht="23.25" customHeight="1">
      <c r="A418" s="50"/>
      <c r="B418" s="208" t="s">
        <v>157</v>
      </c>
      <c r="C418" s="208"/>
      <c r="D418" s="67">
        <v>3</v>
      </c>
      <c r="E418" s="76" t="s">
        <v>56</v>
      </c>
      <c r="F418" s="77">
        <v>55650</v>
      </c>
      <c r="G418" s="78">
        <f t="shared" si="22"/>
        <v>166950</v>
      </c>
    </row>
    <row r="419" spans="1:7" ht="23.25" customHeight="1">
      <c r="A419" s="50"/>
      <c r="B419" s="208" t="s">
        <v>158</v>
      </c>
      <c r="C419" s="208"/>
      <c r="D419" s="67">
        <v>7</v>
      </c>
      <c r="E419" s="76" t="s">
        <v>54</v>
      </c>
      <c r="F419" s="77">
        <v>4725</v>
      </c>
      <c r="G419" s="78">
        <f t="shared" si="22"/>
        <v>33075</v>
      </c>
    </row>
    <row r="420" spans="1:7" ht="23.25" customHeight="1">
      <c r="A420" s="50"/>
      <c r="B420" s="208" t="s">
        <v>159</v>
      </c>
      <c r="C420" s="208"/>
      <c r="D420" s="67">
        <v>7</v>
      </c>
      <c r="E420" s="76" t="s">
        <v>54</v>
      </c>
      <c r="F420" s="77">
        <v>14700</v>
      </c>
      <c r="G420" s="78">
        <f t="shared" si="22"/>
        <v>102900</v>
      </c>
    </row>
    <row r="421" spans="1:7" ht="23.25" customHeight="1">
      <c r="A421" s="50"/>
      <c r="B421" s="208" t="s">
        <v>160</v>
      </c>
      <c r="C421" s="208"/>
      <c r="D421" s="67">
        <v>7</v>
      </c>
      <c r="E421" s="76" t="s">
        <v>54</v>
      </c>
      <c r="F421" s="77">
        <v>53500</v>
      </c>
      <c r="G421" s="78">
        <f t="shared" si="22"/>
        <v>374500</v>
      </c>
    </row>
    <row r="422" spans="1:7" ht="23.25" customHeight="1">
      <c r="A422" s="50"/>
      <c r="B422" s="208" t="s">
        <v>161</v>
      </c>
      <c r="C422" s="208"/>
      <c r="D422" s="67">
        <v>30</v>
      </c>
      <c r="E422" s="76" t="s">
        <v>55</v>
      </c>
      <c r="F422" s="77">
        <v>60775</v>
      </c>
      <c r="G422" s="78">
        <f t="shared" si="22"/>
        <v>1823250</v>
      </c>
    </row>
    <row r="423" spans="1:7" ht="23.25" customHeight="1">
      <c r="A423" s="50"/>
      <c r="B423" s="208" t="s">
        <v>162</v>
      </c>
      <c r="C423" s="208"/>
      <c r="D423" s="67">
        <v>5</v>
      </c>
      <c r="E423" s="76" t="s">
        <v>57</v>
      </c>
      <c r="F423" s="77">
        <v>22200</v>
      </c>
      <c r="G423" s="78">
        <f t="shared" si="22"/>
        <v>111000</v>
      </c>
    </row>
    <row r="424" spans="1:7" ht="23.25" customHeight="1">
      <c r="A424" s="50"/>
      <c r="B424" s="208" t="s">
        <v>163</v>
      </c>
      <c r="C424" s="208"/>
      <c r="D424" s="67">
        <v>8</v>
      </c>
      <c r="E424" s="76" t="s">
        <v>54</v>
      </c>
      <c r="F424" s="77">
        <v>44100</v>
      </c>
      <c r="G424" s="78">
        <f t="shared" si="22"/>
        <v>352800</v>
      </c>
    </row>
    <row r="425" spans="1:7" ht="23.25" customHeight="1">
      <c r="A425" s="50"/>
      <c r="B425" s="208" t="s">
        <v>164</v>
      </c>
      <c r="C425" s="208"/>
      <c r="D425" s="67">
        <v>8</v>
      </c>
      <c r="E425" s="76" t="s">
        <v>54</v>
      </c>
      <c r="F425" s="77">
        <v>37275</v>
      </c>
      <c r="G425" s="78">
        <f t="shared" si="22"/>
        <v>298200</v>
      </c>
    </row>
    <row r="426" spans="1:7" ht="23.25" customHeight="1">
      <c r="A426" s="50"/>
      <c r="B426" s="208" t="s">
        <v>165</v>
      </c>
      <c r="C426" s="208"/>
      <c r="D426" s="67">
        <v>100</v>
      </c>
      <c r="E426" s="76" t="s">
        <v>55</v>
      </c>
      <c r="F426" s="77">
        <v>9800</v>
      </c>
      <c r="G426" s="78">
        <f t="shared" si="22"/>
        <v>980000</v>
      </c>
    </row>
    <row r="427" spans="1:7" ht="23.25" customHeight="1">
      <c r="A427" s="50"/>
      <c r="B427" s="208" t="s">
        <v>166</v>
      </c>
      <c r="C427" s="208"/>
      <c r="D427" s="67">
        <v>20</v>
      </c>
      <c r="E427" s="76" t="s">
        <v>54</v>
      </c>
      <c r="F427" s="77">
        <v>130200</v>
      </c>
      <c r="G427" s="78">
        <f t="shared" si="22"/>
        <v>2604000</v>
      </c>
    </row>
    <row r="428" spans="1:7" ht="23.25" customHeight="1">
      <c r="A428" s="50"/>
      <c r="B428" s="208" t="s">
        <v>167</v>
      </c>
      <c r="C428" s="208"/>
      <c r="D428" s="67">
        <v>4</v>
      </c>
      <c r="E428" s="76" t="s">
        <v>76</v>
      </c>
      <c r="F428" s="77">
        <v>34175</v>
      </c>
      <c r="G428" s="78">
        <f t="shared" si="22"/>
        <v>136700</v>
      </c>
    </row>
    <row r="429" spans="1:7" ht="23.25" customHeight="1">
      <c r="A429" s="50"/>
      <c r="B429" s="208" t="s">
        <v>168</v>
      </c>
      <c r="C429" s="208"/>
      <c r="D429" s="67">
        <v>4</v>
      </c>
      <c r="E429" s="76" t="s">
        <v>76</v>
      </c>
      <c r="F429" s="77">
        <v>28875</v>
      </c>
      <c r="G429" s="78">
        <f t="shared" si="22"/>
        <v>115500</v>
      </c>
    </row>
    <row r="430" spans="1:7" ht="23.25" customHeight="1">
      <c r="A430" s="50"/>
      <c r="B430" s="208" t="s">
        <v>169</v>
      </c>
      <c r="C430" s="208"/>
      <c r="D430" s="67">
        <v>4</v>
      </c>
      <c r="E430" s="76" t="s">
        <v>76</v>
      </c>
      <c r="F430" s="77">
        <v>20175</v>
      </c>
      <c r="G430" s="78">
        <f t="shared" si="22"/>
        <v>80700</v>
      </c>
    </row>
    <row r="431" spans="1:7" ht="23.25" customHeight="1">
      <c r="A431" s="50"/>
      <c r="B431" s="208" t="s">
        <v>77</v>
      </c>
      <c r="C431" s="208"/>
      <c r="D431" s="67">
        <v>4</v>
      </c>
      <c r="E431" s="76" t="s">
        <v>55</v>
      </c>
      <c r="F431" s="77">
        <v>15000</v>
      </c>
      <c r="G431" s="78">
        <f t="shared" si="22"/>
        <v>60000</v>
      </c>
    </row>
    <row r="432" spans="1:7" ht="23.25" customHeight="1">
      <c r="A432" s="50"/>
      <c r="B432" s="208" t="s">
        <v>78</v>
      </c>
      <c r="C432" s="208"/>
      <c r="D432" s="67">
        <v>2</v>
      </c>
      <c r="E432" s="76" t="s">
        <v>55</v>
      </c>
      <c r="F432" s="77">
        <v>20900</v>
      </c>
      <c r="G432" s="78">
        <f t="shared" si="22"/>
        <v>41800</v>
      </c>
    </row>
    <row r="433" spans="1:79" ht="23.25" customHeight="1">
      <c r="A433" s="50"/>
      <c r="B433" s="208" t="s">
        <v>170</v>
      </c>
      <c r="C433" s="208"/>
      <c r="D433" s="67">
        <v>2</v>
      </c>
      <c r="E433" s="76" t="s">
        <v>55</v>
      </c>
      <c r="F433" s="77">
        <v>20800</v>
      </c>
      <c r="G433" s="78">
        <f t="shared" si="22"/>
        <v>41600</v>
      </c>
    </row>
    <row r="434" spans="1:79" ht="23.25" customHeight="1">
      <c r="A434" s="50"/>
      <c r="B434" s="208" t="s">
        <v>171</v>
      </c>
      <c r="C434" s="208"/>
      <c r="D434" s="67">
        <v>2</v>
      </c>
      <c r="E434" s="76" t="s">
        <v>55</v>
      </c>
      <c r="F434" s="77">
        <v>10500</v>
      </c>
      <c r="G434" s="78">
        <f t="shared" si="22"/>
        <v>21000</v>
      </c>
    </row>
    <row r="435" spans="1:79" ht="23.25" customHeight="1">
      <c r="A435" s="50"/>
      <c r="B435" s="208" t="s">
        <v>172</v>
      </c>
      <c r="C435" s="208"/>
      <c r="D435" s="67">
        <v>2</v>
      </c>
      <c r="E435" s="76" t="s">
        <v>55</v>
      </c>
      <c r="F435" s="77">
        <v>11000</v>
      </c>
      <c r="G435" s="78">
        <f t="shared" si="22"/>
        <v>22000</v>
      </c>
    </row>
    <row r="436" spans="1:79" ht="23.25" customHeight="1">
      <c r="A436" s="50"/>
      <c r="B436" s="208" t="s">
        <v>173</v>
      </c>
      <c r="C436" s="208"/>
      <c r="D436" s="67">
        <v>2</v>
      </c>
      <c r="E436" s="76" t="s">
        <v>60</v>
      </c>
      <c r="F436" s="77">
        <v>13650</v>
      </c>
      <c r="G436" s="78">
        <f t="shared" si="22"/>
        <v>27300</v>
      </c>
    </row>
    <row r="437" spans="1:79" ht="23.25" customHeight="1">
      <c r="A437" s="50"/>
      <c r="B437" s="208" t="s">
        <v>174</v>
      </c>
      <c r="C437" s="208"/>
      <c r="D437" s="67">
        <v>3</v>
      </c>
      <c r="E437" s="76" t="s">
        <v>55</v>
      </c>
      <c r="F437" s="77">
        <v>20325</v>
      </c>
      <c r="G437" s="78">
        <f t="shared" si="22"/>
        <v>60975</v>
      </c>
    </row>
    <row r="438" spans="1:79" ht="23.25" customHeight="1">
      <c r="A438" s="50"/>
      <c r="B438" s="208" t="s">
        <v>79</v>
      </c>
      <c r="C438" s="208"/>
      <c r="D438" s="67">
        <v>3</v>
      </c>
      <c r="E438" s="76" t="s">
        <v>76</v>
      </c>
      <c r="F438" s="77">
        <v>157725</v>
      </c>
      <c r="G438" s="78">
        <f t="shared" si="22"/>
        <v>473175</v>
      </c>
    </row>
    <row r="439" spans="1:79" ht="23.25" customHeight="1">
      <c r="A439" s="50"/>
      <c r="B439" s="208" t="s">
        <v>175</v>
      </c>
      <c r="C439" s="208"/>
      <c r="D439" s="67">
        <v>2</v>
      </c>
      <c r="E439" s="76" t="s">
        <v>76</v>
      </c>
      <c r="F439" s="77">
        <v>164850</v>
      </c>
      <c r="G439" s="78">
        <f t="shared" si="22"/>
        <v>329700</v>
      </c>
    </row>
    <row r="440" spans="1:79" ht="23.25" customHeight="1">
      <c r="A440" s="50"/>
      <c r="B440" s="208" t="s">
        <v>80</v>
      </c>
      <c r="C440" s="208"/>
      <c r="D440" s="67">
        <v>5</v>
      </c>
      <c r="E440" s="76" t="s">
        <v>55</v>
      </c>
      <c r="F440" s="77">
        <v>27300</v>
      </c>
      <c r="G440" s="78">
        <f t="shared" si="22"/>
        <v>136500</v>
      </c>
    </row>
    <row r="441" spans="1:79" ht="23.25" customHeight="1">
      <c r="A441" s="50"/>
      <c r="B441" s="208" t="s">
        <v>81</v>
      </c>
      <c r="C441" s="208"/>
      <c r="D441" s="67">
        <v>5</v>
      </c>
      <c r="E441" s="76" t="s">
        <v>55</v>
      </c>
      <c r="F441" s="77">
        <v>25725</v>
      </c>
      <c r="G441" s="78">
        <f t="shared" si="22"/>
        <v>128625</v>
      </c>
    </row>
    <row r="442" spans="1:79" s="80" customFormat="1" ht="23.25" customHeight="1">
      <c r="A442" s="50"/>
      <c r="B442" s="251" t="s">
        <v>177</v>
      </c>
      <c r="C442" s="252"/>
      <c r="D442" s="252"/>
      <c r="E442" s="252"/>
      <c r="F442" s="252"/>
      <c r="G442" s="79">
        <f>SUM(G443:G446)</f>
        <v>1732500</v>
      </c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</row>
    <row r="443" spans="1:79" ht="23.25" customHeight="1">
      <c r="A443" s="50"/>
      <c r="B443" s="208" t="s">
        <v>82</v>
      </c>
      <c r="C443" s="208"/>
      <c r="D443" s="67">
        <v>2</v>
      </c>
      <c r="E443" s="68" t="s">
        <v>55</v>
      </c>
      <c r="F443" s="69">
        <v>157500</v>
      </c>
      <c r="G443" s="78">
        <f>D443*F443</f>
        <v>315000</v>
      </c>
    </row>
    <row r="444" spans="1:79" ht="23.25" customHeight="1">
      <c r="A444" s="50"/>
      <c r="B444" s="208" t="s">
        <v>83</v>
      </c>
      <c r="C444" s="208"/>
      <c r="D444" s="67">
        <v>2</v>
      </c>
      <c r="E444" s="68" t="s">
        <v>55</v>
      </c>
      <c r="F444" s="69">
        <v>157500</v>
      </c>
      <c r="G444" s="78">
        <f>D444*F444</f>
        <v>315000</v>
      </c>
    </row>
    <row r="445" spans="1:79" ht="23.25" customHeight="1">
      <c r="A445" s="50"/>
      <c r="B445" s="208" t="s">
        <v>84</v>
      </c>
      <c r="C445" s="208"/>
      <c r="D445" s="67">
        <v>5</v>
      </c>
      <c r="E445" s="68" t="s">
        <v>55</v>
      </c>
      <c r="F445" s="69">
        <v>157500</v>
      </c>
      <c r="G445" s="78">
        <f>D445*F445</f>
        <v>787500</v>
      </c>
    </row>
    <row r="446" spans="1:79" ht="23.25" customHeight="1">
      <c r="A446" s="50"/>
      <c r="B446" s="208" t="s">
        <v>85</v>
      </c>
      <c r="C446" s="208"/>
      <c r="D446" s="67">
        <v>2</v>
      </c>
      <c r="E446" s="68" t="s">
        <v>55</v>
      </c>
      <c r="F446" s="69">
        <v>157500</v>
      </c>
      <c r="G446" s="78">
        <f>D446*F446</f>
        <v>315000</v>
      </c>
    </row>
    <row r="447" spans="1:79" s="80" customFormat="1" ht="23.25" customHeight="1">
      <c r="A447" s="50"/>
      <c r="B447" s="232" t="s">
        <v>179</v>
      </c>
      <c r="C447" s="233"/>
      <c r="D447" s="233"/>
      <c r="E447" s="233"/>
      <c r="F447" s="241"/>
      <c r="G447" s="81">
        <f>SUM(G448:G449)</f>
        <v>3816750</v>
      </c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</row>
    <row r="448" spans="1:79" ht="23.25" customHeight="1">
      <c r="A448" s="50"/>
      <c r="B448" s="208" t="s">
        <v>180</v>
      </c>
      <c r="C448" s="208"/>
      <c r="D448" s="67">
        <v>25</v>
      </c>
      <c r="E448" s="68" t="s">
        <v>58</v>
      </c>
      <c r="F448" s="69">
        <v>96600</v>
      </c>
      <c r="G448" s="78">
        <f>D448*F448</f>
        <v>2415000</v>
      </c>
    </row>
    <row r="449" spans="1:79" ht="23.25" customHeight="1">
      <c r="A449" s="50"/>
      <c r="B449" s="208" t="s">
        <v>181</v>
      </c>
      <c r="C449" s="208"/>
      <c r="D449" s="67">
        <v>15</v>
      </c>
      <c r="E449" s="68" t="s">
        <v>58</v>
      </c>
      <c r="F449" s="69">
        <v>93450</v>
      </c>
      <c r="G449" s="78">
        <f>D449*F449</f>
        <v>1401750</v>
      </c>
    </row>
    <row r="450" spans="1:79" s="80" customFormat="1" ht="23.25" customHeight="1">
      <c r="A450" s="50"/>
      <c r="B450" s="232" t="s">
        <v>183</v>
      </c>
      <c r="C450" s="233"/>
      <c r="D450" s="233"/>
      <c r="E450" s="233"/>
      <c r="F450" s="241"/>
      <c r="G450" s="82">
        <f>SUM(G451:G453)</f>
        <v>24412000</v>
      </c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</row>
    <row r="451" spans="1:79" ht="23.25" customHeight="1">
      <c r="A451" s="50"/>
      <c r="B451" s="208" t="s">
        <v>69</v>
      </c>
      <c r="C451" s="208"/>
      <c r="D451" s="67">
        <v>36000</v>
      </c>
      <c r="E451" s="68" t="s">
        <v>62</v>
      </c>
      <c r="F451" s="69">
        <v>350</v>
      </c>
      <c r="G451" s="78">
        <f>D451*F451</f>
        <v>12600000</v>
      </c>
    </row>
    <row r="452" spans="1:79" ht="23.25" customHeight="1">
      <c r="A452" s="50"/>
      <c r="B452" s="208" t="s">
        <v>70</v>
      </c>
      <c r="C452" s="208"/>
      <c r="D452" s="67">
        <v>14000</v>
      </c>
      <c r="E452" s="68" t="s">
        <v>62</v>
      </c>
      <c r="F452" s="69">
        <v>350</v>
      </c>
      <c r="G452" s="78">
        <f>D452*F452</f>
        <v>4900000</v>
      </c>
    </row>
    <row r="453" spans="1:79" ht="32.25" customHeight="1">
      <c r="A453" s="50"/>
      <c r="B453" s="208" t="s">
        <v>71</v>
      </c>
      <c r="C453" s="208"/>
      <c r="D453" s="67">
        <v>96</v>
      </c>
      <c r="E453" s="68" t="s">
        <v>57</v>
      </c>
      <c r="F453" s="69">
        <v>72000</v>
      </c>
      <c r="G453" s="78">
        <f>D453*F453</f>
        <v>6912000</v>
      </c>
    </row>
    <row r="454" spans="1:79" s="80" customFormat="1" ht="23.25" customHeight="1">
      <c r="A454" s="50"/>
      <c r="B454" s="232" t="s">
        <v>185</v>
      </c>
      <c r="C454" s="233"/>
      <c r="D454" s="72"/>
      <c r="E454" s="83"/>
      <c r="F454" s="84"/>
      <c r="G454" s="82">
        <f>SUM(G455:G456)</f>
        <v>2250000</v>
      </c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</row>
    <row r="455" spans="1:79" ht="36" customHeight="1">
      <c r="A455" s="50"/>
      <c r="B455" s="218" t="s">
        <v>72</v>
      </c>
      <c r="C455" s="219"/>
      <c r="D455" s="67">
        <v>50</v>
      </c>
      <c r="E455" s="68" t="s">
        <v>73</v>
      </c>
      <c r="F455" s="69">
        <v>30000</v>
      </c>
      <c r="G455" s="78">
        <f>D455*F455</f>
        <v>1500000</v>
      </c>
    </row>
    <row r="456" spans="1:79" ht="35.25" customHeight="1">
      <c r="A456" s="50"/>
      <c r="B456" s="218" t="s">
        <v>74</v>
      </c>
      <c r="C456" s="219"/>
      <c r="D456" s="67">
        <v>50</v>
      </c>
      <c r="E456" s="68" t="s">
        <v>73</v>
      </c>
      <c r="F456" s="69">
        <v>15000</v>
      </c>
      <c r="G456" s="78">
        <f>D456*F456</f>
        <v>750000</v>
      </c>
    </row>
    <row r="457" spans="1:79" s="80" customFormat="1" ht="35.1" customHeight="1">
      <c r="A457" s="50"/>
      <c r="B457" s="220" t="s">
        <v>211</v>
      </c>
      <c r="C457" s="221"/>
      <c r="D457" s="221"/>
      <c r="E457" s="221"/>
      <c r="F457" s="222"/>
      <c r="G457" s="81">
        <f>SUM(G458)</f>
        <v>9950000</v>
      </c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</row>
    <row r="458" spans="1:79" ht="35.1" customHeight="1">
      <c r="A458" s="50"/>
      <c r="B458" s="212" t="s">
        <v>413</v>
      </c>
      <c r="C458" s="213"/>
      <c r="D458" s="52"/>
      <c r="E458" s="49"/>
      <c r="F458" s="78"/>
      <c r="G458" s="100">
        <f>SUM(G459:G460)</f>
        <v>9950000</v>
      </c>
    </row>
    <row r="459" spans="1:79" ht="35.1" customHeight="1">
      <c r="A459" s="50"/>
      <c r="B459" s="208" t="s">
        <v>213</v>
      </c>
      <c r="C459" s="208"/>
      <c r="D459" s="67">
        <v>50</v>
      </c>
      <c r="E459" s="68" t="s">
        <v>61</v>
      </c>
      <c r="F459" s="69">
        <v>170000</v>
      </c>
      <c r="G459" s="78">
        <f t="shared" ref="G459:G460" si="23">D459*F459</f>
        <v>8500000</v>
      </c>
    </row>
    <row r="460" spans="1:79" ht="35.1" customHeight="1">
      <c r="A460" s="50"/>
      <c r="B460" s="208" t="s">
        <v>231</v>
      </c>
      <c r="C460" s="208"/>
      <c r="D460" s="52">
        <v>10</v>
      </c>
      <c r="E460" s="68" t="s">
        <v>73</v>
      </c>
      <c r="F460" s="78">
        <v>145000</v>
      </c>
      <c r="G460" s="78">
        <f t="shared" si="23"/>
        <v>1450000</v>
      </c>
    </row>
    <row r="461" spans="1:79" ht="24.75" customHeight="1">
      <c r="A461" s="107"/>
      <c r="B461" s="108"/>
      <c r="C461" s="108"/>
      <c r="E461" s="107"/>
      <c r="F461" s="55"/>
      <c r="G461" s="55"/>
    </row>
    <row r="462" spans="1:79" ht="33.75" customHeight="1">
      <c r="A462" s="107"/>
      <c r="B462" s="108"/>
      <c r="C462" s="108"/>
      <c r="E462" s="107"/>
      <c r="F462" s="230"/>
      <c r="G462" s="230"/>
    </row>
    <row r="463" spans="1:79" ht="33.75" customHeight="1">
      <c r="F463" s="224"/>
      <c r="G463" s="224"/>
    </row>
    <row r="464" spans="1:79" ht="33.75" customHeight="1"/>
    <row r="468" spans="1:7" ht="15.75">
      <c r="F468" s="223"/>
      <c r="G468" s="223"/>
    </row>
    <row r="469" spans="1:7" ht="15.75">
      <c r="F469" s="224"/>
      <c r="G469" s="224"/>
    </row>
    <row r="471" spans="1:7">
      <c r="A471" s="111"/>
      <c r="B471" s="111"/>
      <c r="C471" s="111"/>
      <c r="D471" s="112"/>
      <c r="E471" s="113"/>
      <c r="F471" s="111"/>
      <c r="G471" s="111"/>
    </row>
    <row r="472" spans="1:7">
      <c r="A472" s="114"/>
      <c r="B472" s="114"/>
      <c r="C472" s="114"/>
      <c r="D472" s="115"/>
      <c r="E472" s="116"/>
      <c r="F472" s="114"/>
      <c r="G472" s="114"/>
    </row>
    <row r="473" spans="1:7">
      <c r="A473" s="114"/>
      <c r="B473" s="114"/>
      <c r="C473" s="114"/>
      <c r="D473" s="115"/>
      <c r="E473" s="116"/>
      <c r="F473" s="114"/>
      <c r="G473" s="114"/>
    </row>
    <row r="474" spans="1:7">
      <c r="A474" s="114"/>
      <c r="B474" s="114"/>
      <c r="C474" s="114"/>
      <c r="D474" s="115"/>
      <c r="E474" s="116"/>
      <c r="F474" s="114"/>
      <c r="G474" s="114"/>
    </row>
    <row r="475" spans="1:7">
      <c r="A475" s="114"/>
      <c r="B475" s="114"/>
      <c r="C475" s="114"/>
      <c r="D475" s="115"/>
      <c r="E475" s="116"/>
      <c r="F475" s="114"/>
      <c r="G475" s="114"/>
    </row>
    <row r="476" spans="1:7">
      <c r="A476" s="114"/>
      <c r="B476" s="114"/>
      <c r="C476" s="114"/>
      <c r="D476" s="115"/>
      <c r="E476" s="116"/>
      <c r="F476" s="114"/>
      <c r="G476" s="114"/>
    </row>
    <row r="477" spans="1:7">
      <c r="A477" s="114"/>
      <c r="B477" s="114"/>
      <c r="C477" s="114"/>
      <c r="D477" s="115"/>
      <c r="E477" s="116"/>
      <c r="F477" s="114"/>
      <c r="G477" s="114"/>
    </row>
    <row r="478" spans="1:7">
      <c r="A478" s="114"/>
      <c r="B478" s="114"/>
      <c r="C478" s="114"/>
      <c r="D478" s="115"/>
      <c r="E478" s="116"/>
      <c r="F478" s="114"/>
      <c r="G478" s="114"/>
    </row>
    <row r="479" spans="1:7">
      <c r="A479" s="114"/>
      <c r="B479" s="114"/>
      <c r="C479" s="114"/>
      <c r="D479" s="115"/>
      <c r="E479" s="116"/>
      <c r="F479" s="114"/>
      <c r="G479" s="114"/>
    </row>
    <row r="480" spans="1:7">
      <c r="A480" s="114"/>
      <c r="B480" s="114"/>
      <c r="C480" s="114"/>
      <c r="D480" s="115"/>
      <c r="E480" s="116"/>
      <c r="F480" s="114"/>
      <c r="G480" s="114"/>
    </row>
    <row r="481" spans="1:7">
      <c r="A481" s="114"/>
      <c r="B481" s="114"/>
      <c r="C481" s="114"/>
      <c r="D481" s="115"/>
      <c r="E481" s="116"/>
      <c r="F481" s="114"/>
      <c r="G481" s="114"/>
    </row>
    <row r="482" spans="1:7">
      <c r="A482" s="114"/>
      <c r="B482" s="114"/>
      <c r="C482" s="114"/>
      <c r="D482" s="115"/>
      <c r="E482" s="116"/>
      <c r="F482" s="114"/>
      <c r="G482" s="114"/>
    </row>
    <row r="483" spans="1:7">
      <c r="A483" s="114"/>
      <c r="B483" s="114"/>
      <c r="C483" s="114"/>
      <c r="D483" s="115"/>
      <c r="E483" s="116"/>
      <c r="F483" s="114"/>
      <c r="G483" s="114"/>
    </row>
    <row r="484" spans="1:7">
      <c r="A484" s="114"/>
      <c r="B484" s="114"/>
      <c r="C484" s="114"/>
      <c r="D484" s="115"/>
      <c r="E484" s="116"/>
      <c r="F484" s="114"/>
      <c r="G484" s="114"/>
    </row>
    <row r="485" spans="1:7">
      <c r="A485" s="114"/>
      <c r="B485" s="114"/>
      <c r="C485" s="114"/>
      <c r="D485" s="115"/>
      <c r="E485" s="116"/>
      <c r="F485" s="114"/>
      <c r="G485" s="114"/>
    </row>
    <row r="486" spans="1:7">
      <c r="A486" s="114"/>
      <c r="B486" s="114"/>
      <c r="C486" s="114"/>
      <c r="D486" s="115"/>
      <c r="E486" s="116"/>
      <c r="F486" s="114"/>
      <c r="G486" s="114"/>
    </row>
    <row r="487" spans="1:7">
      <c r="A487" s="114"/>
      <c r="B487" s="114"/>
      <c r="C487" s="114"/>
      <c r="D487" s="115"/>
      <c r="E487" s="116"/>
      <c r="F487" s="114"/>
      <c r="G487" s="114"/>
    </row>
    <row r="488" spans="1:7">
      <c r="A488" s="114"/>
      <c r="B488" s="114"/>
      <c r="C488" s="114"/>
      <c r="D488" s="115"/>
      <c r="E488" s="116"/>
      <c r="F488" s="114"/>
      <c r="G488" s="114"/>
    </row>
    <row r="489" spans="1:7">
      <c r="A489" s="114"/>
      <c r="B489" s="114"/>
      <c r="C489" s="114"/>
      <c r="D489" s="115"/>
      <c r="E489" s="116"/>
      <c r="F489" s="114"/>
      <c r="G489" s="114"/>
    </row>
    <row r="490" spans="1:7">
      <c r="A490" s="114"/>
      <c r="B490" s="114"/>
      <c r="C490" s="114"/>
      <c r="D490" s="115"/>
      <c r="E490" s="116"/>
      <c r="F490" s="114"/>
      <c r="G490" s="114"/>
    </row>
    <row r="491" spans="1:7">
      <c r="A491" s="114"/>
      <c r="B491" s="114"/>
      <c r="C491" s="114"/>
      <c r="D491" s="115"/>
      <c r="E491" s="116"/>
      <c r="F491" s="114"/>
      <c r="G491" s="114"/>
    </row>
    <row r="492" spans="1:7">
      <c r="A492" s="114"/>
      <c r="B492" s="114"/>
      <c r="C492" s="114"/>
      <c r="D492" s="115"/>
      <c r="E492" s="116"/>
      <c r="F492" s="114"/>
      <c r="G492" s="114"/>
    </row>
    <row r="493" spans="1:7">
      <c r="A493" s="114"/>
      <c r="B493" s="114"/>
      <c r="C493" s="114"/>
      <c r="D493" s="115"/>
      <c r="E493" s="116"/>
      <c r="F493" s="114"/>
      <c r="G493" s="114"/>
    </row>
    <row r="494" spans="1:7">
      <c r="A494" s="114"/>
      <c r="B494" s="114"/>
      <c r="C494" s="114"/>
      <c r="D494" s="115"/>
      <c r="E494" s="116"/>
      <c r="F494" s="114"/>
      <c r="G494" s="114"/>
    </row>
    <row r="495" spans="1:7">
      <c r="A495" s="114"/>
      <c r="B495" s="114"/>
      <c r="C495" s="114"/>
      <c r="D495" s="115"/>
      <c r="E495" s="116"/>
      <c r="F495" s="114"/>
      <c r="G495" s="114"/>
    </row>
    <row r="496" spans="1:7">
      <c r="A496" s="114"/>
      <c r="B496" s="114"/>
      <c r="C496" s="114"/>
      <c r="D496" s="115"/>
      <c r="E496" s="116"/>
      <c r="F496" s="114"/>
      <c r="G496" s="114"/>
    </row>
    <row r="497" spans="1:7">
      <c r="A497" s="114"/>
      <c r="B497" s="114"/>
      <c r="C497" s="114"/>
      <c r="D497" s="115"/>
      <c r="E497" s="116"/>
      <c r="F497" s="114"/>
      <c r="G497" s="114"/>
    </row>
    <row r="498" spans="1:7">
      <c r="A498" s="114"/>
      <c r="B498" s="114"/>
      <c r="C498" s="114"/>
      <c r="D498" s="115"/>
      <c r="E498" s="116"/>
      <c r="F498" s="114"/>
      <c r="G498" s="114"/>
    </row>
    <row r="499" spans="1:7">
      <c r="A499" s="114"/>
      <c r="B499" s="114"/>
      <c r="C499" s="114"/>
      <c r="D499" s="115"/>
      <c r="E499" s="116"/>
      <c r="F499" s="114"/>
      <c r="G499" s="114"/>
    </row>
    <row r="500" spans="1:7">
      <c r="A500" s="114"/>
      <c r="B500" s="114"/>
      <c r="C500" s="114"/>
      <c r="D500" s="115"/>
      <c r="E500" s="116"/>
      <c r="F500" s="114"/>
      <c r="G500" s="114"/>
    </row>
    <row r="501" spans="1:7">
      <c r="A501" s="114"/>
      <c r="B501" s="114"/>
      <c r="C501" s="114"/>
      <c r="D501" s="115"/>
      <c r="E501" s="116"/>
      <c r="F501" s="114"/>
      <c r="G501" s="114"/>
    </row>
    <row r="502" spans="1:7">
      <c r="A502" s="114"/>
      <c r="B502" s="114"/>
      <c r="C502" s="114"/>
      <c r="D502" s="115"/>
      <c r="E502" s="116"/>
      <c r="F502" s="114"/>
      <c r="G502" s="114"/>
    </row>
    <row r="503" spans="1:7">
      <c r="A503" s="114"/>
      <c r="B503" s="114"/>
      <c r="C503" s="114"/>
      <c r="D503" s="115"/>
      <c r="E503" s="116"/>
      <c r="F503" s="114"/>
      <c r="G503" s="114"/>
    </row>
    <row r="504" spans="1:7">
      <c r="A504" s="114"/>
      <c r="B504" s="114"/>
      <c r="C504" s="114"/>
      <c r="D504" s="115"/>
      <c r="E504" s="116"/>
      <c r="F504" s="114"/>
      <c r="G504" s="114"/>
    </row>
    <row r="505" spans="1:7">
      <c r="A505" s="114"/>
      <c r="B505" s="114"/>
      <c r="C505" s="114"/>
      <c r="D505" s="115"/>
      <c r="E505" s="116"/>
      <c r="F505" s="114"/>
      <c r="G505" s="114"/>
    </row>
    <row r="506" spans="1:7">
      <c r="A506" s="114"/>
      <c r="B506" s="114"/>
      <c r="C506" s="114"/>
      <c r="D506" s="115"/>
      <c r="E506" s="116"/>
      <c r="F506" s="114"/>
      <c r="G506" s="114"/>
    </row>
    <row r="507" spans="1:7">
      <c r="A507" s="114"/>
      <c r="B507" s="114"/>
      <c r="C507" s="114"/>
      <c r="D507" s="115"/>
      <c r="E507" s="116"/>
      <c r="F507" s="114"/>
      <c r="G507" s="114"/>
    </row>
    <row r="508" spans="1:7">
      <c r="A508" s="114"/>
      <c r="B508" s="114"/>
      <c r="C508" s="114"/>
      <c r="D508" s="115"/>
      <c r="E508" s="116"/>
      <c r="F508" s="114"/>
      <c r="G508" s="114"/>
    </row>
    <row r="509" spans="1:7">
      <c r="A509" s="114"/>
      <c r="B509" s="114"/>
      <c r="C509" s="114"/>
      <c r="D509" s="115"/>
      <c r="E509" s="116"/>
      <c r="F509" s="114"/>
      <c r="G509" s="114"/>
    </row>
    <row r="510" spans="1:7">
      <c r="A510" s="114"/>
      <c r="B510" s="114"/>
      <c r="C510" s="114"/>
      <c r="D510" s="115"/>
      <c r="E510" s="116"/>
      <c r="F510" s="114"/>
      <c r="G510" s="114"/>
    </row>
    <row r="511" spans="1:7">
      <c r="A511" s="114"/>
      <c r="B511" s="114"/>
      <c r="C511" s="114"/>
      <c r="D511" s="115"/>
      <c r="E511" s="116"/>
      <c r="F511" s="114"/>
      <c r="G511" s="114"/>
    </row>
    <row r="512" spans="1:7">
      <c r="A512" s="114"/>
      <c r="B512" s="114"/>
      <c r="C512" s="114"/>
      <c r="D512" s="115"/>
      <c r="E512" s="116"/>
      <c r="F512" s="114"/>
      <c r="G512" s="114"/>
    </row>
    <row r="513" spans="1:7">
      <c r="A513" s="114"/>
      <c r="B513" s="114"/>
      <c r="C513" s="114"/>
      <c r="D513" s="115"/>
      <c r="E513" s="116"/>
      <c r="F513" s="114"/>
      <c r="G513" s="114"/>
    </row>
    <row r="514" spans="1:7">
      <c r="A514" s="114"/>
      <c r="B514" s="114"/>
      <c r="C514" s="114"/>
      <c r="D514" s="115"/>
      <c r="E514" s="116"/>
      <c r="F514" s="114"/>
      <c r="G514" s="114"/>
    </row>
    <row r="515" spans="1:7">
      <c r="A515" s="114"/>
      <c r="B515" s="114"/>
      <c r="C515" s="114"/>
      <c r="D515" s="115"/>
      <c r="E515" s="116"/>
      <c r="F515" s="114"/>
      <c r="G515" s="114"/>
    </row>
    <row r="516" spans="1:7">
      <c r="A516" s="114"/>
      <c r="B516" s="114"/>
      <c r="C516" s="114"/>
      <c r="D516" s="115"/>
      <c r="E516" s="116"/>
      <c r="F516" s="114"/>
      <c r="G516" s="114"/>
    </row>
    <row r="517" spans="1:7">
      <c r="A517" s="114"/>
      <c r="B517" s="114"/>
      <c r="C517" s="114"/>
      <c r="D517" s="115"/>
      <c r="E517" s="116"/>
      <c r="F517" s="114"/>
      <c r="G517" s="114"/>
    </row>
    <row r="518" spans="1:7">
      <c r="A518" s="114"/>
      <c r="B518" s="114"/>
      <c r="C518" s="114"/>
      <c r="D518" s="115"/>
      <c r="E518" s="116"/>
      <c r="F518" s="114"/>
      <c r="G518" s="114"/>
    </row>
    <row r="519" spans="1:7">
      <c r="A519" s="114"/>
      <c r="B519" s="114"/>
      <c r="C519" s="114"/>
      <c r="D519" s="115"/>
      <c r="E519" s="116"/>
      <c r="F519" s="114"/>
      <c r="G519" s="114"/>
    </row>
    <row r="520" spans="1:7">
      <c r="A520" s="114"/>
      <c r="B520" s="114"/>
      <c r="C520" s="114"/>
      <c r="D520" s="115"/>
      <c r="E520" s="116"/>
      <c r="F520" s="114"/>
      <c r="G520" s="114"/>
    </row>
    <row r="521" spans="1:7">
      <c r="A521" s="114"/>
      <c r="B521" s="114"/>
      <c r="C521" s="114"/>
      <c r="D521" s="115"/>
      <c r="E521" s="116"/>
      <c r="F521" s="114"/>
      <c r="G521" s="114"/>
    </row>
    <row r="522" spans="1:7">
      <c r="A522" s="114"/>
      <c r="B522" s="114"/>
      <c r="C522" s="114"/>
      <c r="D522" s="115"/>
      <c r="E522" s="116"/>
      <c r="F522" s="114"/>
      <c r="G522" s="114"/>
    </row>
    <row r="523" spans="1:7">
      <c r="A523" s="114"/>
      <c r="B523" s="114"/>
      <c r="C523" s="114"/>
      <c r="D523" s="115"/>
      <c r="E523" s="116"/>
      <c r="F523" s="114"/>
      <c r="G523" s="114"/>
    </row>
    <row r="524" spans="1:7">
      <c r="A524" s="114"/>
      <c r="B524" s="114"/>
      <c r="C524" s="114"/>
      <c r="D524" s="115"/>
      <c r="E524" s="116"/>
      <c r="F524" s="114"/>
      <c r="G524" s="114"/>
    </row>
    <row r="525" spans="1:7">
      <c r="A525" s="114"/>
      <c r="B525" s="114"/>
      <c r="C525" s="114"/>
      <c r="D525" s="115"/>
      <c r="E525" s="116"/>
      <c r="F525" s="114"/>
      <c r="G525" s="114"/>
    </row>
    <row r="526" spans="1:7">
      <c r="A526" s="114"/>
      <c r="B526" s="114"/>
      <c r="C526" s="114"/>
      <c r="D526" s="115"/>
      <c r="E526" s="116"/>
      <c r="F526" s="114"/>
      <c r="G526" s="114"/>
    </row>
    <row r="527" spans="1:7">
      <c r="A527" s="114"/>
      <c r="B527" s="114"/>
      <c r="C527" s="114"/>
      <c r="D527" s="115"/>
      <c r="E527" s="116"/>
      <c r="F527" s="114"/>
      <c r="G527" s="114"/>
    </row>
    <row r="528" spans="1:7">
      <c r="A528" s="114"/>
      <c r="B528" s="114"/>
      <c r="C528" s="114"/>
      <c r="D528" s="115"/>
      <c r="E528" s="116"/>
      <c r="F528" s="114"/>
      <c r="G528" s="114"/>
    </row>
    <row r="529" spans="1:7">
      <c r="A529" s="114"/>
      <c r="B529" s="114"/>
      <c r="C529" s="114"/>
      <c r="D529" s="115"/>
      <c r="E529" s="116"/>
      <c r="F529" s="114"/>
      <c r="G529" s="114"/>
    </row>
    <row r="530" spans="1:7">
      <c r="A530" s="114"/>
      <c r="B530" s="114"/>
      <c r="C530" s="114"/>
      <c r="D530" s="115"/>
      <c r="E530" s="116"/>
      <c r="F530" s="114"/>
      <c r="G530" s="114"/>
    </row>
    <row r="531" spans="1:7">
      <c r="A531" s="114"/>
      <c r="B531" s="114"/>
      <c r="C531" s="114"/>
      <c r="D531" s="115"/>
      <c r="E531" s="116"/>
      <c r="F531" s="114"/>
      <c r="G531" s="114"/>
    </row>
    <row r="532" spans="1:7">
      <c r="A532" s="114"/>
      <c r="B532" s="114"/>
      <c r="C532" s="114"/>
      <c r="D532" s="115"/>
      <c r="E532" s="116"/>
      <c r="F532" s="114"/>
      <c r="G532" s="114"/>
    </row>
    <row r="533" spans="1:7">
      <c r="A533" s="114"/>
      <c r="B533" s="114"/>
      <c r="C533" s="114"/>
      <c r="D533" s="115"/>
      <c r="E533" s="116"/>
      <c r="F533" s="114"/>
      <c r="G533" s="114"/>
    </row>
    <row r="534" spans="1:7">
      <c r="A534" s="114"/>
      <c r="B534" s="114"/>
      <c r="C534" s="114"/>
      <c r="D534" s="115"/>
      <c r="E534" s="116"/>
      <c r="F534" s="114"/>
      <c r="G534" s="114"/>
    </row>
    <row r="535" spans="1:7">
      <c r="A535" s="114"/>
      <c r="B535" s="114"/>
      <c r="C535" s="114"/>
      <c r="D535" s="115"/>
      <c r="E535" s="116"/>
      <c r="F535" s="114"/>
      <c r="G535" s="114"/>
    </row>
    <row r="536" spans="1:7">
      <c r="A536" s="114"/>
      <c r="B536" s="114"/>
      <c r="C536" s="114"/>
      <c r="D536" s="115"/>
      <c r="E536" s="116"/>
      <c r="F536" s="114"/>
      <c r="G536" s="114"/>
    </row>
    <row r="537" spans="1:7">
      <c r="A537" s="114"/>
      <c r="B537" s="114"/>
      <c r="C537" s="114"/>
      <c r="D537" s="115"/>
      <c r="E537" s="116"/>
      <c r="F537" s="114"/>
      <c r="G537" s="114"/>
    </row>
    <row r="538" spans="1:7">
      <c r="A538" s="114"/>
      <c r="B538" s="114"/>
      <c r="C538" s="114"/>
      <c r="D538" s="115"/>
      <c r="E538" s="116"/>
      <c r="F538" s="114"/>
      <c r="G538" s="114"/>
    </row>
    <row r="539" spans="1:7">
      <c r="A539" s="114"/>
      <c r="B539" s="114"/>
      <c r="C539" s="114"/>
      <c r="D539" s="115"/>
      <c r="E539" s="116"/>
      <c r="F539" s="114"/>
      <c r="G539" s="114"/>
    </row>
    <row r="540" spans="1:7">
      <c r="A540" s="114"/>
      <c r="B540" s="114"/>
      <c r="C540" s="114"/>
      <c r="D540" s="115"/>
      <c r="E540" s="116"/>
      <c r="F540" s="114"/>
      <c r="G540" s="114"/>
    </row>
    <row r="541" spans="1:7">
      <c r="A541" s="114"/>
      <c r="B541" s="114"/>
      <c r="C541" s="114"/>
      <c r="D541" s="115"/>
      <c r="E541" s="116"/>
      <c r="F541" s="114"/>
      <c r="G541" s="114"/>
    </row>
    <row r="542" spans="1:7">
      <c r="A542" s="114"/>
      <c r="B542" s="114"/>
      <c r="C542" s="114"/>
      <c r="D542" s="115"/>
      <c r="E542" s="116"/>
      <c r="F542" s="114"/>
      <c r="G542" s="114"/>
    </row>
    <row r="543" spans="1:7">
      <c r="A543" s="114"/>
      <c r="B543" s="114"/>
      <c r="C543" s="114"/>
      <c r="D543" s="115"/>
      <c r="E543" s="116"/>
      <c r="F543" s="114"/>
      <c r="G543" s="114"/>
    </row>
    <row r="544" spans="1:7">
      <c r="A544" s="114"/>
      <c r="B544" s="114"/>
      <c r="C544" s="114"/>
      <c r="D544" s="115"/>
      <c r="E544" s="116"/>
      <c r="F544" s="114"/>
      <c r="G544" s="114"/>
    </row>
    <row r="545" spans="1:7">
      <c r="A545" s="114"/>
      <c r="B545" s="114"/>
      <c r="C545" s="114"/>
      <c r="D545" s="115"/>
      <c r="E545" s="116"/>
      <c r="F545" s="114"/>
      <c r="G545" s="114"/>
    </row>
    <row r="546" spans="1:7">
      <c r="A546" s="114"/>
      <c r="B546" s="114"/>
      <c r="C546" s="114"/>
      <c r="D546" s="115"/>
      <c r="E546" s="116"/>
      <c r="F546" s="114"/>
      <c r="G546" s="114"/>
    </row>
    <row r="547" spans="1:7">
      <c r="A547" s="114"/>
      <c r="B547" s="114"/>
      <c r="C547" s="114"/>
      <c r="D547" s="115"/>
      <c r="E547" s="116"/>
      <c r="F547" s="114"/>
      <c r="G547" s="114"/>
    </row>
    <row r="548" spans="1:7">
      <c r="A548" s="114"/>
      <c r="B548" s="114"/>
      <c r="C548" s="114"/>
      <c r="D548" s="115"/>
      <c r="E548" s="116"/>
      <c r="F548" s="114"/>
      <c r="G548" s="114"/>
    </row>
    <row r="549" spans="1:7">
      <c r="A549" s="114"/>
      <c r="B549" s="114"/>
      <c r="C549" s="114"/>
      <c r="D549" s="115"/>
      <c r="E549" s="116"/>
      <c r="F549" s="114"/>
      <c r="G549" s="114"/>
    </row>
    <row r="550" spans="1:7">
      <c r="A550" s="114"/>
      <c r="B550" s="114"/>
      <c r="C550" s="114"/>
      <c r="D550" s="115"/>
      <c r="E550" s="116"/>
      <c r="F550" s="114"/>
      <c r="G550" s="114"/>
    </row>
    <row r="551" spans="1:7">
      <c r="A551" s="114"/>
      <c r="B551" s="114"/>
      <c r="C551" s="114"/>
      <c r="D551" s="115"/>
      <c r="E551" s="116"/>
      <c r="F551" s="114"/>
      <c r="G551" s="114"/>
    </row>
    <row r="552" spans="1:7">
      <c r="A552" s="114"/>
      <c r="B552" s="114"/>
      <c r="C552" s="114"/>
      <c r="D552" s="115"/>
      <c r="E552" s="116"/>
      <c r="F552" s="114"/>
      <c r="G552" s="114"/>
    </row>
    <row r="553" spans="1:7">
      <c r="A553" s="114"/>
      <c r="B553" s="114"/>
      <c r="C553" s="114"/>
      <c r="D553" s="115"/>
      <c r="E553" s="116"/>
      <c r="F553" s="114"/>
      <c r="G553" s="114"/>
    </row>
    <row r="554" spans="1:7">
      <c r="A554" s="114"/>
      <c r="B554" s="114"/>
      <c r="C554" s="114"/>
      <c r="D554" s="115"/>
      <c r="E554" s="116"/>
      <c r="F554" s="114"/>
      <c r="G554" s="114"/>
    </row>
    <row r="555" spans="1:7">
      <c r="A555" s="114"/>
      <c r="B555" s="114"/>
      <c r="C555" s="114"/>
      <c r="D555" s="115"/>
      <c r="E555" s="116"/>
      <c r="F555" s="114"/>
      <c r="G555" s="114"/>
    </row>
    <row r="556" spans="1:7">
      <c r="A556" s="114"/>
      <c r="B556" s="114"/>
      <c r="C556" s="114"/>
      <c r="D556" s="115"/>
      <c r="E556" s="116"/>
      <c r="F556" s="114"/>
      <c r="G556" s="114"/>
    </row>
    <row r="557" spans="1:7">
      <c r="A557" s="114"/>
      <c r="B557" s="114"/>
      <c r="C557" s="114"/>
      <c r="D557" s="115"/>
      <c r="E557" s="116"/>
      <c r="F557" s="114"/>
      <c r="G557" s="114"/>
    </row>
    <row r="558" spans="1:7">
      <c r="A558" s="114"/>
      <c r="B558" s="114"/>
      <c r="C558" s="114"/>
      <c r="D558" s="115"/>
      <c r="E558" s="116"/>
      <c r="F558" s="114"/>
      <c r="G558" s="114"/>
    </row>
    <row r="559" spans="1:7">
      <c r="A559" s="114"/>
      <c r="B559" s="114"/>
      <c r="C559" s="114"/>
      <c r="D559" s="115"/>
      <c r="E559" s="116"/>
      <c r="F559" s="114"/>
      <c r="G559" s="114"/>
    </row>
    <row r="560" spans="1:7">
      <c r="A560" s="114"/>
      <c r="B560" s="114"/>
      <c r="C560" s="114"/>
      <c r="D560" s="115"/>
      <c r="E560" s="116"/>
      <c r="F560" s="114"/>
      <c r="G560" s="114"/>
    </row>
    <row r="561" spans="1:7">
      <c r="A561" s="114"/>
      <c r="B561" s="114"/>
      <c r="C561" s="114"/>
      <c r="D561" s="115"/>
      <c r="E561" s="116"/>
      <c r="F561" s="114"/>
      <c r="G561" s="114"/>
    </row>
    <row r="562" spans="1:7">
      <c r="A562" s="114"/>
      <c r="B562" s="114"/>
      <c r="C562" s="114"/>
      <c r="D562" s="115"/>
      <c r="E562" s="116"/>
      <c r="F562" s="114"/>
      <c r="G562" s="114"/>
    </row>
    <row r="563" spans="1:7">
      <c r="A563" s="114"/>
      <c r="B563" s="114"/>
      <c r="C563" s="114"/>
      <c r="D563" s="115"/>
      <c r="E563" s="116"/>
      <c r="F563" s="114"/>
      <c r="G563" s="114"/>
    </row>
    <row r="564" spans="1:7">
      <c r="A564" s="114"/>
      <c r="B564" s="114"/>
      <c r="C564" s="114"/>
      <c r="D564" s="115"/>
      <c r="E564" s="116"/>
      <c r="F564" s="114"/>
      <c r="G564" s="114"/>
    </row>
    <row r="565" spans="1:7">
      <c r="A565" s="114"/>
      <c r="B565" s="114"/>
      <c r="C565" s="114"/>
      <c r="D565" s="115"/>
      <c r="E565" s="116"/>
      <c r="F565" s="114"/>
      <c r="G565" s="114"/>
    </row>
    <row r="566" spans="1:7">
      <c r="A566" s="114"/>
      <c r="B566" s="114"/>
      <c r="C566" s="114"/>
      <c r="D566" s="115"/>
      <c r="E566" s="116"/>
      <c r="F566" s="114"/>
      <c r="G566" s="114"/>
    </row>
    <row r="567" spans="1:7">
      <c r="A567" s="114"/>
      <c r="B567" s="114"/>
      <c r="C567" s="114"/>
      <c r="D567" s="115"/>
      <c r="E567" s="116"/>
      <c r="F567" s="114"/>
      <c r="G567" s="114"/>
    </row>
    <row r="568" spans="1:7">
      <c r="A568" s="114"/>
      <c r="B568" s="114"/>
      <c r="C568" s="114"/>
      <c r="D568" s="115"/>
      <c r="E568" s="116"/>
      <c r="F568" s="114"/>
      <c r="G568" s="114"/>
    </row>
    <row r="569" spans="1:7">
      <c r="A569" s="114"/>
      <c r="B569" s="114"/>
      <c r="C569" s="114"/>
      <c r="D569" s="115"/>
      <c r="E569" s="116"/>
      <c r="F569" s="114"/>
      <c r="G569" s="114"/>
    </row>
    <row r="570" spans="1:7">
      <c r="A570" s="114"/>
      <c r="B570" s="114"/>
      <c r="C570" s="114"/>
      <c r="D570" s="115"/>
      <c r="E570" s="116"/>
      <c r="F570" s="114"/>
      <c r="G570" s="114"/>
    </row>
    <row r="571" spans="1:7">
      <c r="A571" s="114"/>
      <c r="B571" s="114"/>
      <c r="C571" s="114"/>
      <c r="D571" s="115"/>
      <c r="E571" s="116"/>
      <c r="F571" s="114"/>
      <c r="G571" s="114"/>
    </row>
    <row r="572" spans="1:7">
      <c r="A572" s="114"/>
      <c r="B572" s="114"/>
      <c r="C572" s="114"/>
      <c r="D572" s="115"/>
      <c r="E572" s="116"/>
      <c r="F572" s="114"/>
      <c r="G572" s="114"/>
    </row>
    <row r="573" spans="1:7">
      <c r="A573" s="114"/>
      <c r="B573" s="114"/>
      <c r="C573" s="114"/>
      <c r="D573" s="115"/>
      <c r="E573" s="116"/>
      <c r="F573" s="114"/>
      <c r="G573" s="114"/>
    </row>
    <row r="574" spans="1:7">
      <c r="A574" s="114"/>
      <c r="B574" s="114"/>
      <c r="C574" s="114"/>
      <c r="D574" s="115"/>
      <c r="E574" s="116"/>
      <c r="F574" s="114"/>
      <c r="G574" s="114"/>
    </row>
    <row r="575" spans="1:7">
      <c r="A575" s="114"/>
      <c r="B575" s="114"/>
      <c r="C575" s="114"/>
      <c r="D575" s="115"/>
      <c r="E575" s="116"/>
      <c r="F575" s="114"/>
      <c r="G575" s="114"/>
    </row>
    <row r="576" spans="1:7">
      <c r="A576" s="114"/>
      <c r="B576" s="114"/>
      <c r="C576" s="114"/>
      <c r="D576" s="115"/>
      <c r="E576" s="116"/>
      <c r="F576" s="114"/>
      <c r="G576" s="114"/>
    </row>
    <row r="577" spans="1:7">
      <c r="A577" s="114"/>
      <c r="B577" s="114"/>
      <c r="C577" s="114"/>
      <c r="D577" s="115"/>
      <c r="E577" s="116"/>
      <c r="F577" s="114"/>
      <c r="G577" s="114"/>
    </row>
    <row r="578" spans="1:7">
      <c r="A578" s="114"/>
      <c r="B578" s="114"/>
      <c r="C578" s="114"/>
      <c r="D578" s="115"/>
      <c r="E578" s="116"/>
      <c r="F578" s="114"/>
      <c r="G578" s="114"/>
    </row>
    <row r="579" spans="1:7">
      <c r="A579" s="114"/>
      <c r="B579" s="114"/>
      <c r="C579" s="114"/>
      <c r="D579" s="115"/>
      <c r="E579" s="116"/>
      <c r="F579" s="114"/>
      <c r="G579" s="114"/>
    </row>
    <row r="580" spans="1:7">
      <c r="A580" s="114"/>
      <c r="B580" s="114"/>
      <c r="C580" s="114"/>
      <c r="D580" s="115"/>
      <c r="E580" s="116"/>
      <c r="F580" s="114"/>
      <c r="G580" s="114"/>
    </row>
    <row r="581" spans="1:7">
      <c r="A581" s="114"/>
      <c r="B581" s="114"/>
      <c r="C581" s="114"/>
      <c r="D581" s="115"/>
      <c r="E581" s="116"/>
      <c r="F581" s="114"/>
      <c r="G581" s="114"/>
    </row>
    <row r="582" spans="1:7">
      <c r="A582" s="114"/>
      <c r="B582" s="114"/>
      <c r="C582" s="114"/>
      <c r="D582" s="115"/>
      <c r="E582" s="116"/>
      <c r="F582" s="114"/>
      <c r="G582" s="114"/>
    </row>
    <row r="583" spans="1:7">
      <c r="A583" s="114"/>
      <c r="B583" s="114"/>
      <c r="C583" s="114"/>
      <c r="D583" s="115"/>
      <c r="E583" s="116"/>
      <c r="F583" s="114"/>
      <c r="G583" s="114"/>
    </row>
    <row r="584" spans="1:7">
      <c r="A584" s="114"/>
      <c r="B584" s="114"/>
      <c r="C584" s="114"/>
      <c r="D584" s="115"/>
      <c r="E584" s="116"/>
      <c r="F584" s="114"/>
      <c r="G584" s="114"/>
    </row>
    <row r="585" spans="1:7">
      <c r="A585" s="114"/>
      <c r="B585" s="114"/>
      <c r="C585" s="114"/>
      <c r="D585" s="115"/>
      <c r="E585" s="116"/>
      <c r="F585" s="114"/>
      <c r="G585" s="114"/>
    </row>
    <row r="586" spans="1:7">
      <c r="A586" s="114"/>
      <c r="B586" s="114"/>
      <c r="C586" s="114"/>
      <c r="D586" s="115"/>
      <c r="E586" s="116"/>
      <c r="F586" s="114"/>
      <c r="G586" s="114"/>
    </row>
    <row r="587" spans="1:7">
      <c r="A587" s="114"/>
      <c r="B587" s="114"/>
      <c r="C587" s="114"/>
      <c r="D587" s="115"/>
      <c r="E587" s="116"/>
      <c r="F587" s="114"/>
      <c r="G587" s="114"/>
    </row>
    <row r="588" spans="1:7">
      <c r="A588" s="114"/>
      <c r="B588" s="114"/>
      <c r="C588" s="114"/>
      <c r="D588" s="115"/>
      <c r="E588" s="116"/>
      <c r="F588" s="114"/>
      <c r="G588" s="114"/>
    </row>
    <row r="589" spans="1:7">
      <c r="A589" s="114"/>
      <c r="B589" s="114"/>
      <c r="C589" s="114"/>
      <c r="D589" s="115"/>
      <c r="E589" s="116"/>
      <c r="F589" s="114"/>
      <c r="G589" s="114"/>
    </row>
    <row r="590" spans="1:7">
      <c r="A590" s="114"/>
      <c r="B590" s="114"/>
      <c r="C590" s="114"/>
      <c r="D590" s="115"/>
      <c r="E590" s="116"/>
      <c r="F590" s="114"/>
      <c r="G590" s="114"/>
    </row>
    <row r="591" spans="1:7">
      <c r="A591" s="114"/>
      <c r="B591" s="114"/>
      <c r="C591" s="114"/>
      <c r="D591" s="115"/>
      <c r="E591" s="116"/>
      <c r="F591" s="114"/>
      <c r="G591" s="114"/>
    </row>
    <row r="592" spans="1:7">
      <c r="A592" s="114"/>
      <c r="B592" s="114"/>
      <c r="C592" s="114"/>
      <c r="D592" s="115"/>
      <c r="E592" s="116"/>
      <c r="F592" s="114"/>
      <c r="G592" s="114"/>
    </row>
    <row r="593" spans="1:7">
      <c r="A593" s="114"/>
      <c r="B593" s="114"/>
      <c r="C593" s="114"/>
      <c r="D593" s="115"/>
      <c r="E593" s="116"/>
      <c r="F593" s="114"/>
      <c r="G593" s="114"/>
    </row>
    <row r="594" spans="1:7">
      <c r="A594" s="114"/>
      <c r="B594" s="114"/>
      <c r="C594" s="114"/>
      <c r="D594" s="115"/>
      <c r="E594" s="116"/>
      <c r="F594" s="114"/>
      <c r="G594" s="114"/>
    </row>
    <row r="595" spans="1:7">
      <c r="A595" s="114"/>
      <c r="B595" s="114"/>
      <c r="C595" s="114"/>
      <c r="D595" s="115"/>
      <c r="E595" s="116"/>
      <c r="F595" s="114"/>
      <c r="G595" s="114"/>
    </row>
    <row r="596" spans="1:7">
      <c r="A596" s="114"/>
      <c r="B596" s="114"/>
      <c r="C596" s="114"/>
      <c r="D596" s="115"/>
      <c r="E596" s="116"/>
      <c r="F596" s="114"/>
      <c r="G596" s="114"/>
    </row>
    <row r="597" spans="1:7">
      <c r="A597" s="114"/>
      <c r="B597" s="114"/>
      <c r="C597" s="114"/>
      <c r="D597" s="115"/>
      <c r="E597" s="116"/>
      <c r="F597" s="114"/>
      <c r="G597" s="114"/>
    </row>
    <row r="598" spans="1:7">
      <c r="A598" s="114"/>
      <c r="B598" s="114"/>
      <c r="C598" s="114"/>
      <c r="D598" s="115"/>
      <c r="E598" s="116"/>
      <c r="F598" s="114"/>
      <c r="G598" s="114"/>
    </row>
    <row r="599" spans="1:7">
      <c r="A599" s="114"/>
      <c r="B599" s="114"/>
      <c r="C599" s="114"/>
      <c r="D599" s="115"/>
      <c r="E599" s="116"/>
      <c r="F599" s="114"/>
      <c r="G599" s="114"/>
    </row>
    <row r="600" spans="1:7">
      <c r="A600" s="114"/>
      <c r="B600" s="114"/>
      <c r="C600" s="114"/>
      <c r="D600" s="115"/>
      <c r="E600" s="116"/>
      <c r="F600" s="114"/>
      <c r="G600" s="114"/>
    </row>
    <row r="601" spans="1:7">
      <c r="A601" s="114"/>
      <c r="B601" s="114"/>
      <c r="C601" s="114"/>
      <c r="D601" s="115"/>
      <c r="E601" s="116"/>
      <c r="F601" s="114"/>
      <c r="G601" s="114"/>
    </row>
    <row r="602" spans="1:7">
      <c r="A602" s="114"/>
      <c r="B602" s="114"/>
      <c r="C602" s="114"/>
      <c r="D602" s="115"/>
      <c r="E602" s="116"/>
      <c r="F602" s="114"/>
      <c r="G602" s="114"/>
    </row>
    <row r="603" spans="1:7">
      <c r="A603" s="114"/>
      <c r="B603" s="114"/>
      <c r="C603" s="114"/>
      <c r="D603" s="115"/>
      <c r="E603" s="116"/>
      <c r="F603" s="114"/>
      <c r="G603" s="114"/>
    </row>
    <row r="604" spans="1:7">
      <c r="A604" s="114"/>
      <c r="B604" s="114"/>
      <c r="C604" s="114"/>
      <c r="D604" s="115"/>
      <c r="E604" s="116"/>
      <c r="F604" s="114"/>
      <c r="G604" s="114"/>
    </row>
    <row r="605" spans="1:7">
      <c r="A605" s="114"/>
      <c r="B605" s="114"/>
      <c r="C605" s="114"/>
      <c r="D605" s="115"/>
      <c r="E605" s="116"/>
      <c r="F605" s="114"/>
      <c r="G605" s="114"/>
    </row>
    <row r="606" spans="1:7">
      <c r="A606" s="114"/>
      <c r="B606" s="114"/>
      <c r="C606" s="114"/>
      <c r="D606" s="115"/>
      <c r="E606" s="116"/>
      <c r="F606" s="114"/>
      <c r="G606" s="114"/>
    </row>
    <row r="607" spans="1:7">
      <c r="A607" s="114"/>
      <c r="B607" s="114"/>
      <c r="C607" s="114"/>
      <c r="D607" s="115"/>
      <c r="E607" s="116"/>
      <c r="F607" s="114"/>
      <c r="G607" s="114"/>
    </row>
    <row r="608" spans="1:7">
      <c r="A608" s="114"/>
      <c r="B608" s="114"/>
      <c r="C608" s="114"/>
      <c r="D608" s="115"/>
      <c r="E608" s="116"/>
      <c r="F608" s="114"/>
      <c r="G608" s="114"/>
    </row>
    <row r="609" spans="1:7">
      <c r="A609" s="114"/>
      <c r="B609" s="114"/>
      <c r="C609" s="114"/>
      <c r="D609" s="115"/>
      <c r="E609" s="116"/>
      <c r="F609" s="114"/>
      <c r="G609" s="114"/>
    </row>
    <row r="610" spans="1:7">
      <c r="A610" s="114"/>
      <c r="B610" s="114"/>
      <c r="C610" s="114"/>
      <c r="D610" s="115"/>
      <c r="E610" s="116"/>
      <c r="F610" s="114"/>
      <c r="G610" s="114"/>
    </row>
    <row r="611" spans="1:7">
      <c r="A611" s="114"/>
      <c r="B611" s="114"/>
      <c r="C611" s="114"/>
      <c r="D611" s="115"/>
      <c r="E611" s="116"/>
      <c r="F611" s="114"/>
      <c r="G611" s="114"/>
    </row>
    <row r="612" spans="1:7">
      <c r="A612" s="114"/>
      <c r="B612" s="114"/>
      <c r="C612" s="114"/>
      <c r="D612" s="115"/>
      <c r="E612" s="116"/>
      <c r="F612" s="114"/>
      <c r="G612" s="114"/>
    </row>
    <row r="613" spans="1:7">
      <c r="A613" s="114"/>
      <c r="B613" s="114"/>
      <c r="C613" s="114"/>
      <c r="D613" s="115"/>
      <c r="E613" s="116"/>
      <c r="F613" s="114"/>
      <c r="G613" s="114"/>
    </row>
    <row r="614" spans="1:7">
      <c r="A614" s="114"/>
      <c r="B614" s="114"/>
      <c r="C614" s="114"/>
      <c r="D614" s="115"/>
      <c r="E614" s="116"/>
      <c r="F614" s="114"/>
      <c r="G614" s="114"/>
    </row>
    <row r="615" spans="1:7">
      <c r="A615" s="114"/>
      <c r="B615" s="114"/>
      <c r="C615" s="114"/>
      <c r="D615" s="115"/>
      <c r="E615" s="116"/>
      <c r="F615" s="114"/>
      <c r="G615" s="114"/>
    </row>
    <row r="616" spans="1:7">
      <c r="A616" s="114"/>
      <c r="B616" s="114"/>
      <c r="C616" s="114"/>
      <c r="D616" s="115"/>
      <c r="E616" s="116"/>
      <c r="F616" s="114"/>
      <c r="G616" s="114"/>
    </row>
    <row r="617" spans="1:7">
      <c r="A617" s="114"/>
      <c r="B617" s="114"/>
      <c r="C617" s="114"/>
      <c r="D617" s="115"/>
      <c r="E617" s="116"/>
      <c r="F617" s="114"/>
      <c r="G617" s="114"/>
    </row>
    <row r="618" spans="1:7">
      <c r="A618" s="114"/>
      <c r="B618" s="114"/>
      <c r="C618" s="114"/>
      <c r="D618" s="115"/>
      <c r="E618" s="116"/>
      <c r="F618" s="114"/>
      <c r="G618" s="114"/>
    </row>
    <row r="619" spans="1:7">
      <c r="A619" s="114"/>
      <c r="B619" s="114"/>
      <c r="C619" s="114"/>
      <c r="D619" s="115"/>
      <c r="E619" s="116"/>
      <c r="F619" s="114"/>
      <c r="G619" s="114"/>
    </row>
    <row r="620" spans="1:7">
      <c r="A620" s="114"/>
      <c r="B620" s="114"/>
      <c r="C620" s="114"/>
      <c r="D620" s="115"/>
      <c r="E620" s="116"/>
      <c r="F620" s="114"/>
      <c r="G620" s="114"/>
    </row>
    <row r="621" spans="1:7">
      <c r="A621" s="114"/>
      <c r="B621" s="114"/>
      <c r="C621" s="114"/>
      <c r="D621" s="115"/>
      <c r="E621" s="116"/>
      <c r="F621" s="114"/>
      <c r="G621" s="114"/>
    </row>
    <row r="622" spans="1:7">
      <c r="A622" s="114"/>
      <c r="B622" s="114"/>
      <c r="C622" s="114"/>
      <c r="D622" s="115"/>
      <c r="E622" s="116"/>
      <c r="F622" s="114"/>
      <c r="G622" s="114"/>
    </row>
    <row r="623" spans="1:7">
      <c r="A623" s="114"/>
      <c r="B623" s="114"/>
      <c r="C623" s="114"/>
      <c r="D623" s="115"/>
      <c r="E623" s="116"/>
      <c r="F623" s="114"/>
      <c r="G623" s="114"/>
    </row>
    <row r="624" spans="1:7">
      <c r="A624" s="114"/>
      <c r="B624" s="114"/>
      <c r="C624" s="114"/>
      <c r="D624" s="115"/>
      <c r="E624" s="116"/>
      <c r="F624" s="114"/>
      <c r="G624" s="114"/>
    </row>
    <row r="625" spans="1:7">
      <c r="A625" s="114"/>
      <c r="B625" s="114"/>
      <c r="C625" s="114"/>
      <c r="D625" s="115"/>
      <c r="E625" s="116"/>
      <c r="F625" s="114"/>
      <c r="G625" s="114"/>
    </row>
    <row r="626" spans="1:7">
      <c r="A626" s="114"/>
      <c r="B626" s="114"/>
      <c r="C626" s="114"/>
      <c r="D626" s="115"/>
      <c r="E626" s="116"/>
      <c r="F626" s="114"/>
      <c r="G626" s="114"/>
    </row>
    <row r="627" spans="1:7">
      <c r="A627" s="114"/>
      <c r="B627" s="114"/>
      <c r="C627" s="114"/>
      <c r="D627" s="115"/>
      <c r="E627" s="116"/>
      <c r="F627" s="114"/>
      <c r="G627" s="114"/>
    </row>
    <row r="628" spans="1:7">
      <c r="A628" s="114"/>
      <c r="B628" s="114"/>
      <c r="C628" s="114"/>
      <c r="D628" s="115"/>
      <c r="E628" s="116"/>
      <c r="F628" s="114"/>
      <c r="G628" s="114"/>
    </row>
    <row r="629" spans="1:7">
      <c r="A629" s="114"/>
      <c r="B629" s="114"/>
      <c r="C629" s="114"/>
      <c r="D629" s="115"/>
      <c r="E629" s="116"/>
      <c r="F629" s="114"/>
      <c r="G629" s="114"/>
    </row>
    <row r="630" spans="1:7">
      <c r="A630" s="114"/>
      <c r="B630" s="114"/>
      <c r="C630" s="114"/>
      <c r="D630" s="115"/>
      <c r="E630" s="116"/>
      <c r="F630" s="114"/>
      <c r="G630" s="114"/>
    </row>
    <row r="631" spans="1:7">
      <c r="A631" s="114"/>
      <c r="B631" s="114"/>
      <c r="C631" s="114"/>
      <c r="D631" s="115"/>
      <c r="E631" s="116"/>
      <c r="F631" s="114"/>
      <c r="G631" s="114"/>
    </row>
    <row r="632" spans="1:7">
      <c r="A632" s="114"/>
      <c r="B632" s="114"/>
      <c r="C632" s="114"/>
      <c r="D632" s="115"/>
      <c r="E632" s="116"/>
      <c r="F632" s="114"/>
      <c r="G632" s="114"/>
    </row>
    <row r="633" spans="1:7">
      <c r="A633" s="114"/>
      <c r="B633" s="114"/>
      <c r="C633" s="114"/>
      <c r="D633" s="115"/>
      <c r="E633" s="116"/>
      <c r="F633" s="114"/>
      <c r="G633" s="114"/>
    </row>
    <row r="634" spans="1:7">
      <c r="A634" s="114"/>
      <c r="B634" s="114"/>
      <c r="C634" s="114"/>
      <c r="D634" s="115"/>
      <c r="E634" s="116"/>
      <c r="F634" s="114"/>
      <c r="G634" s="114"/>
    </row>
    <row r="635" spans="1:7">
      <c r="A635" s="114"/>
      <c r="B635" s="114"/>
      <c r="C635" s="114"/>
      <c r="D635" s="115"/>
      <c r="E635" s="116"/>
      <c r="F635" s="114"/>
      <c r="G635" s="114"/>
    </row>
    <row r="636" spans="1:7">
      <c r="A636" s="114"/>
      <c r="B636" s="114"/>
      <c r="C636" s="114"/>
      <c r="D636" s="115"/>
      <c r="E636" s="116"/>
      <c r="F636" s="114"/>
      <c r="G636" s="114"/>
    </row>
    <row r="637" spans="1:7">
      <c r="A637" s="114"/>
      <c r="B637" s="114"/>
      <c r="C637" s="114"/>
      <c r="D637" s="115"/>
      <c r="E637" s="116"/>
      <c r="F637" s="114"/>
      <c r="G637" s="114"/>
    </row>
    <row r="638" spans="1:7">
      <c r="A638" s="114"/>
      <c r="B638" s="114"/>
      <c r="C638" s="114"/>
      <c r="D638" s="115"/>
      <c r="E638" s="116"/>
      <c r="F638" s="114"/>
      <c r="G638" s="114"/>
    </row>
    <row r="639" spans="1:7">
      <c r="A639" s="114"/>
      <c r="B639" s="114"/>
      <c r="C639" s="114"/>
      <c r="D639" s="115"/>
      <c r="E639" s="116"/>
      <c r="F639" s="114"/>
      <c r="G639" s="114"/>
    </row>
    <row r="640" spans="1:7">
      <c r="A640" s="114"/>
      <c r="B640" s="114"/>
      <c r="C640" s="114"/>
      <c r="D640" s="115"/>
      <c r="E640" s="116"/>
      <c r="F640" s="114"/>
      <c r="G640" s="114"/>
    </row>
    <row r="641" spans="1:7">
      <c r="A641" s="114"/>
      <c r="B641" s="114"/>
      <c r="C641" s="114"/>
      <c r="D641" s="115"/>
      <c r="E641" s="116"/>
      <c r="F641" s="114"/>
      <c r="G641" s="114"/>
    </row>
    <row r="642" spans="1:7">
      <c r="A642" s="114"/>
      <c r="B642" s="114"/>
      <c r="C642" s="114"/>
      <c r="D642" s="115"/>
      <c r="E642" s="116"/>
      <c r="F642" s="114"/>
      <c r="G642" s="114"/>
    </row>
    <row r="643" spans="1:7">
      <c r="A643" s="114"/>
      <c r="B643" s="114"/>
      <c r="C643" s="114"/>
      <c r="D643" s="115"/>
      <c r="E643" s="116"/>
      <c r="F643" s="114"/>
      <c r="G643" s="114"/>
    </row>
    <row r="644" spans="1:7">
      <c r="A644" s="114"/>
      <c r="B644" s="114"/>
      <c r="C644" s="114"/>
      <c r="D644" s="115"/>
      <c r="E644" s="116"/>
      <c r="F644" s="114"/>
      <c r="G644" s="114"/>
    </row>
    <row r="645" spans="1:7">
      <c r="A645" s="114"/>
      <c r="B645" s="114"/>
      <c r="C645" s="114"/>
      <c r="D645" s="115"/>
      <c r="E645" s="116"/>
      <c r="F645" s="114"/>
      <c r="G645" s="114"/>
    </row>
    <row r="646" spans="1:7">
      <c r="A646" s="114"/>
      <c r="B646" s="114"/>
      <c r="C646" s="114"/>
      <c r="D646" s="115"/>
      <c r="E646" s="116"/>
      <c r="F646" s="114"/>
      <c r="G646" s="114"/>
    </row>
    <row r="647" spans="1:7">
      <c r="A647" s="114"/>
      <c r="B647" s="114"/>
      <c r="C647" s="114"/>
      <c r="D647" s="115"/>
      <c r="E647" s="116"/>
      <c r="F647" s="114"/>
      <c r="G647" s="114"/>
    </row>
    <row r="648" spans="1:7">
      <c r="A648" s="114"/>
      <c r="B648" s="114"/>
      <c r="C648" s="114"/>
      <c r="D648" s="115"/>
      <c r="E648" s="116"/>
      <c r="F648" s="114"/>
      <c r="G648" s="114"/>
    </row>
    <row r="649" spans="1:7">
      <c r="A649" s="114"/>
      <c r="B649" s="114"/>
      <c r="C649" s="114"/>
      <c r="D649" s="115"/>
      <c r="E649" s="116"/>
      <c r="F649" s="114"/>
      <c r="G649" s="114"/>
    </row>
    <row r="650" spans="1:7">
      <c r="A650" s="114"/>
      <c r="B650" s="114"/>
      <c r="C650" s="114"/>
      <c r="D650" s="115"/>
      <c r="E650" s="116"/>
      <c r="F650" s="114"/>
      <c r="G650" s="114"/>
    </row>
    <row r="651" spans="1:7">
      <c r="A651" s="114"/>
      <c r="B651" s="114"/>
      <c r="C651" s="114"/>
      <c r="D651" s="115"/>
      <c r="E651" s="116"/>
      <c r="F651" s="114"/>
      <c r="G651" s="114"/>
    </row>
    <row r="652" spans="1:7">
      <c r="A652" s="114"/>
      <c r="B652" s="114"/>
      <c r="C652" s="114"/>
      <c r="D652" s="115"/>
      <c r="E652" s="116"/>
      <c r="F652" s="114"/>
      <c r="G652" s="114"/>
    </row>
    <row r="653" spans="1:7">
      <c r="A653" s="114"/>
      <c r="B653" s="114"/>
      <c r="C653" s="114"/>
      <c r="D653" s="115"/>
      <c r="E653" s="116"/>
      <c r="F653" s="114"/>
      <c r="G653" s="114"/>
    </row>
    <row r="654" spans="1:7">
      <c r="A654" s="114"/>
      <c r="B654" s="114"/>
      <c r="C654" s="114"/>
      <c r="D654" s="115"/>
      <c r="E654" s="116"/>
      <c r="F654" s="114"/>
      <c r="G654" s="114"/>
    </row>
    <row r="655" spans="1:7">
      <c r="A655" s="114"/>
      <c r="B655" s="114"/>
      <c r="C655" s="114"/>
      <c r="D655" s="115"/>
      <c r="E655" s="116"/>
      <c r="F655" s="114"/>
      <c r="G655" s="114"/>
    </row>
    <row r="656" spans="1:7">
      <c r="A656" s="114"/>
      <c r="B656" s="114"/>
      <c r="C656" s="114"/>
      <c r="D656" s="115"/>
      <c r="E656" s="116"/>
      <c r="F656" s="114"/>
      <c r="G656" s="114"/>
    </row>
    <row r="657" spans="1:7">
      <c r="A657" s="114"/>
      <c r="B657" s="114"/>
      <c r="C657" s="114"/>
      <c r="D657" s="115"/>
      <c r="E657" s="116"/>
      <c r="F657" s="114"/>
      <c r="G657" s="114"/>
    </row>
    <row r="658" spans="1:7">
      <c r="A658" s="114"/>
      <c r="B658" s="114"/>
      <c r="C658" s="114"/>
      <c r="D658" s="115"/>
      <c r="E658" s="116"/>
      <c r="F658" s="114"/>
      <c r="G658" s="114"/>
    </row>
    <row r="659" spans="1:7">
      <c r="A659" s="114"/>
      <c r="B659" s="114"/>
      <c r="C659" s="114"/>
      <c r="D659" s="115"/>
      <c r="E659" s="116"/>
      <c r="F659" s="114"/>
      <c r="G659" s="114"/>
    </row>
    <row r="660" spans="1:7">
      <c r="A660" s="114"/>
      <c r="B660" s="114"/>
      <c r="C660" s="114"/>
      <c r="D660" s="115"/>
      <c r="E660" s="116"/>
      <c r="F660" s="114"/>
      <c r="G660" s="114"/>
    </row>
    <row r="661" spans="1:7">
      <c r="A661" s="114"/>
      <c r="B661" s="114"/>
      <c r="C661" s="114"/>
      <c r="D661" s="115"/>
      <c r="E661" s="116"/>
      <c r="F661" s="114"/>
      <c r="G661" s="114"/>
    </row>
    <row r="662" spans="1:7">
      <c r="A662" s="114"/>
      <c r="B662" s="114"/>
      <c r="C662" s="114"/>
      <c r="D662" s="115"/>
      <c r="E662" s="116"/>
      <c r="F662" s="114"/>
      <c r="G662" s="114"/>
    </row>
    <row r="663" spans="1:7">
      <c r="A663" s="114"/>
      <c r="B663" s="114"/>
      <c r="C663" s="114"/>
      <c r="D663" s="115"/>
      <c r="E663" s="116"/>
      <c r="F663" s="114"/>
      <c r="G663" s="114"/>
    </row>
    <row r="664" spans="1:7">
      <c r="A664" s="114"/>
      <c r="B664" s="114"/>
      <c r="C664" s="114"/>
      <c r="D664" s="115"/>
      <c r="E664" s="116"/>
      <c r="F664" s="114"/>
      <c r="G664" s="114"/>
    </row>
    <row r="665" spans="1:7">
      <c r="A665" s="114"/>
      <c r="B665" s="114"/>
      <c r="C665" s="114"/>
      <c r="D665" s="115"/>
      <c r="E665" s="116"/>
      <c r="F665" s="114"/>
      <c r="G665" s="114"/>
    </row>
    <row r="666" spans="1:7">
      <c r="A666" s="114"/>
      <c r="B666" s="114"/>
      <c r="C666" s="114"/>
      <c r="D666" s="115"/>
      <c r="E666" s="116"/>
      <c r="F666" s="114"/>
      <c r="G666" s="114"/>
    </row>
    <row r="667" spans="1:7">
      <c r="A667" s="114"/>
      <c r="B667" s="114"/>
      <c r="C667" s="114"/>
      <c r="D667" s="115"/>
      <c r="E667" s="116"/>
      <c r="F667" s="114"/>
      <c r="G667" s="114"/>
    </row>
    <row r="668" spans="1:7">
      <c r="A668" s="114"/>
      <c r="B668" s="114"/>
      <c r="C668" s="114"/>
      <c r="D668" s="115"/>
      <c r="E668" s="116"/>
      <c r="F668" s="114"/>
      <c r="G668" s="114"/>
    </row>
    <row r="669" spans="1:7">
      <c r="A669" s="114"/>
      <c r="B669" s="114"/>
      <c r="C669" s="114"/>
      <c r="D669" s="115"/>
      <c r="E669" s="116"/>
      <c r="F669" s="114"/>
      <c r="G669" s="114"/>
    </row>
    <row r="670" spans="1:7">
      <c r="A670" s="114"/>
      <c r="B670" s="114"/>
      <c r="C670" s="114"/>
      <c r="D670" s="115"/>
      <c r="E670" s="116"/>
      <c r="F670" s="114"/>
      <c r="G670" s="114"/>
    </row>
    <row r="671" spans="1:7">
      <c r="A671" s="114"/>
      <c r="B671" s="114"/>
      <c r="C671" s="114"/>
      <c r="D671" s="115"/>
      <c r="E671" s="116"/>
      <c r="F671" s="114"/>
      <c r="G671" s="114"/>
    </row>
    <row r="672" spans="1:7">
      <c r="A672" s="114"/>
      <c r="B672" s="114"/>
      <c r="C672" s="114"/>
      <c r="D672" s="115"/>
      <c r="E672" s="116"/>
      <c r="F672" s="114"/>
      <c r="G672" s="114"/>
    </row>
    <row r="673" spans="1:7">
      <c r="A673" s="114"/>
      <c r="B673" s="114"/>
      <c r="C673" s="114"/>
      <c r="D673" s="115"/>
      <c r="E673" s="116"/>
      <c r="F673" s="114"/>
      <c r="G673" s="114"/>
    </row>
    <row r="674" spans="1:7">
      <c r="A674" s="114"/>
      <c r="B674" s="114"/>
      <c r="C674" s="114"/>
      <c r="D674" s="115"/>
      <c r="E674" s="116"/>
      <c r="F674" s="114"/>
      <c r="G674" s="114"/>
    </row>
    <row r="675" spans="1:7">
      <c r="A675" s="114"/>
      <c r="B675" s="114"/>
      <c r="C675" s="114"/>
      <c r="D675" s="115"/>
      <c r="E675" s="116"/>
      <c r="F675" s="114"/>
      <c r="G675" s="114"/>
    </row>
    <row r="676" spans="1:7">
      <c r="A676" s="114"/>
      <c r="B676" s="114"/>
      <c r="C676" s="114"/>
      <c r="D676" s="115"/>
      <c r="E676" s="116"/>
      <c r="F676" s="114"/>
      <c r="G676" s="114"/>
    </row>
    <row r="677" spans="1:7">
      <c r="A677" s="114"/>
      <c r="B677" s="114"/>
      <c r="C677" s="114"/>
      <c r="D677" s="115"/>
      <c r="E677" s="116"/>
      <c r="F677" s="114"/>
      <c r="G677" s="114"/>
    </row>
    <row r="678" spans="1:7">
      <c r="A678" s="114"/>
      <c r="B678" s="114"/>
      <c r="C678" s="114"/>
      <c r="D678" s="115"/>
      <c r="E678" s="116"/>
      <c r="F678" s="114"/>
      <c r="G678" s="114"/>
    </row>
    <row r="679" spans="1:7">
      <c r="A679" s="114"/>
      <c r="B679" s="114"/>
      <c r="C679" s="114"/>
      <c r="D679" s="115"/>
      <c r="E679" s="116"/>
      <c r="F679" s="114"/>
      <c r="G679" s="114"/>
    </row>
    <row r="680" spans="1:7">
      <c r="A680" s="114"/>
      <c r="B680" s="114"/>
      <c r="C680" s="114"/>
      <c r="D680" s="115"/>
      <c r="E680" s="116"/>
      <c r="F680" s="114"/>
      <c r="G680" s="114"/>
    </row>
    <row r="681" spans="1:7">
      <c r="A681" s="114"/>
      <c r="B681" s="114"/>
      <c r="C681" s="114"/>
      <c r="D681" s="115"/>
      <c r="E681" s="116"/>
      <c r="F681" s="114"/>
      <c r="G681" s="114"/>
    </row>
    <row r="682" spans="1:7">
      <c r="A682" s="114"/>
      <c r="B682" s="114"/>
      <c r="C682" s="114"/>
      <c r="D682" s="115"/>
      <c r="E682" s="116"/>
      <c r="F682" s="114"/>
      <c r="G682" s="114"/>
    </row>
    <row r="683" spans="1:7">
      <c r="A683" s="114"/>
      <c r="B683" s="114"/>
      <c r="C683" s="114"/>
      <c r="D683" s="115"/>
      <c r="E683" s="116"/>
      <c r="F683" s="114"/>
      <c r="G683" s="114"/>
    </row>
    <row r="684" spans="1:7">
      <c r="A684" s="114"/>
      <c r="B684" s="114"/>
      <c r="C684" s="114"/>
      <c r="D684" s="115"/>
      <c r="E684" s="116"/>
      <c r="F684" s="114"/>
      <c r="G684" s="114"/>
    </row>
    <row r="685" spans="1:7">
      <c r="A685" s="114"/>
      <c r="B685" s="114"/>
      <c r="C685" s="114"/>
      <c r="D685" s="115"/>
      <c r="E685" s="116"/>
      <c r="F685" s="114"/>
      <c r="G685" s="114"/>
    </row>
    <row r="686" spans="1:7">
      <c r="A686" s="114"/>
      <c r="B686" s="114"/>
      <c r="C686" s="114"/>
      <c r="D686" s="115"/>
      <c r="E686" s="116"/>
      <c r="F686" s="114"/>
      <c r="G686" s="114"/>
    </row>
    <row r="687" spans="1:7">
      <c r="A687" s="114"/>
      <c r="B687" s="114"/>
      <c r="C687" s="114"/>
      <c r="D687" s="115"/>
      <c r="E687" s="116"/>
      <c r="F687" s="114"/>
      <c r="G687" s="114"/>
    </row>
  </sheetData>
  <mergeCells count="460">
    <mergeCell ref="A1:G1"/>
    <mergeCell ref="A2:G2"/>
    <mergeCell ref="A3:G3"/>
    <mergeCell ref="A4:G4"/>
    <mergeCell ref="A5:G5"/>
    <mergeCell ref="A6:G6"/>
    <mergeCell ref="A13:F13"/>
    <mergeCell ref="A14:F14"/>
    <mergeCell ref="A15:F15"/>
    <mergeCell ref="A16:F16"/>
    <mergeCell ref="A17:F17"/>
    <mergeCell ref="A18:F18"/>
    <mergeCell ref="A10:F10"/>
    <mergeCell ref="A11:F11"/>
    <mergeCell ref="A12:F12"/>
    <mergeCell ref="B23:D23"/>
    <mergeCell ref="E23:G23"/>
    <mergeCell ref="B24:D24"/>
    <mergeCell ref="E24:G24"/>
    <mergeCell ref="A26:G28"/>
    <mergeCell ref="A29:A30"/>
    <mergeCell ref="B29:C30"/>
    <mergeCell ref="D29:F29"/>
    <mergeCell ref="B31:F31"/>
    <mergeCell ref="B32:F32"/>
    <mergeCell ref="B25:D25"/>
    <mergeCell ref="E25:G25"/>
    <mergeCell ref="A19:G19"/>
    <mergeCell ref="A20:G20"/>
    <mergeCell ref="B21:D21"/>
    <mergeCell ref="E21:G21"/>
    <mergeCell ref="B22:D22"/>
    <mergeCell ref="E22:G22"/>
    <mergeCell ref="B41:C41"/>
    <mergeCell ref="B43:C43"/>
    <mergeCell ref="B44:C44"/>
    <mergeCell ref="B45:C45"/>
    <mergeCell ref="B46:C46"/>
    <mergeCell ref="B47:C47"/>
    <mergeCell ref="B40:C40"/>
    <mergeCell ref="B33:F33"/>
    <mergeCell ref="B34:F34"/>
    <mergeCell ref="B35:F35"/>
    <mergeCell ref="B36:F36"/>
    <mergeCell ref="B37:F37"/>
    <mergeCell ref="B38:C38"/>
    <mergeCell ref="B39:C39"/>
    <mergeCell ref="B54:C54"/>
    <mergeCell ref="B55:C55"/>
    <mergeCell ref="B56:C56"/>
    <mergeCell ref="B57:C57"/>
    <mergeCell ref="B58:C58"/>
    <mergeCell ref="B59:C59"/>
    <mergeCell ref="B48:C48"/>
    <mergeCell ref="B49:C49"/>
    <mergeCell ref="B50:C50"/>
    <mergeCell ref="B51:C51"/>
    <mergeCell ref="B52:C52"/>
    <mergeCell ref="B53:C53"/>
    <mergeCell ref="B66:C66"/>
    <mergeCell ref="B67:C67"/>
    <mergeCell ref="B68:C68"/>
    <mergeCell ref="B69:C69"/>
    <mergeCell ref="B70:C70"/>
    <mergeCell ref="B71:F71"/>
    <mergeCell ref="B60:C60"/>
    <mergeCell ref="B61:C61"/>
    <mergeCell ref="B62:C62"/>
    <mergeCell ref="B63:C63"/>
    <mergeCell ref="B64:C64"/>
    <mergeCell ref="B65:C65"/>
    <mergeCell ref="B99:C99"/>
    <mergeCell ref="B100:C100"/>
    <mergeCell ref="B101:C101"/>
    <mergeCell ref="B102:C102"/>
    <mergeCell ref="B103:C103"/>
    <mergeCell ref="B104:C104"/>
    <mergeCell ref="B105:C105"/>
    <mergeCell ref="B72:C72"/>
    <mergeCell ref="B73:C73"/>
    <mergeCell ref="B74:C74"/>
    <mergeCell ref="B75:C75"/>
    <mergeCell ref="B76:F76"/>
    <mergeCell ref="B77:C77"/>
    <mergeCell ref="B78:C78"/>
    <mergeCell ref="B79:F79"/>
    <mergeCell ref="B80:C80"/>
    <mergeCell ref="B81:C81"/>
    <mergeCell ref="B82:C82"/>
    <mergeCell ref="B83:C83"/>
    <mergeCell ref="B96:C96"/>
    <mergeCell ref="B97:C97"/>
    <mergeCell ref="B98:C98"/>
    <mergeCell ref="F468:G468"/>
    <mergeCell ref="F469:G469"/>
    <mergeCell ref="A7:G7"/>
    <mergeCell ref="A8:G8"/>
    <mergeCell ref="A9:G9"/>
    <mergeCell ref="B90:F90"/>
    <mergeCell ref="B91:C91"/>
    <mergeCell ref="B92:C92"/>
    <mergeCell ref="B93:C93"/>
    <mergeCell ref="B94:C94"/>
    <mergeCell ref="F462:G462"/>
    <mergeCell ref="F463:G463"/>
    <mergeCell ref="B108:C108"/>
    <mergeCell ref="B109:C109"/>
    <mergeCell ref="B110:C110"/>
    <mergeCell ref="B111:C111"/>
    <mergeCell ref="B112:C112"/>
    <mergeCell ref="B113:C113"/>
    <mergeCell ref="B84:C84"/>
    <mergeCell ref="B85:C85"/>
    <mergeCell ref="B86:F86"/>
    <mergeCell ref="B87:C87"/>
    <mergeCell ref="B88:C88"/>
    <mergeCell ref="B89:C89"/>
    <mergeCell ref="B106:C106"/>
    <mergeCell ref="B107:C107"/>
    <mergeCell ref="B120:C120"/>
    <mergeCell ref="B121:C121"/>
    <mergeCell ref="B122:C122"/>
    <mergeCell ref="B123:C123"/>
    <mergeCell ref="B124:F124"/>
    <mergeCell ref="B125:C125"/>
    <mergeCell ref="B114:C114"/>
    <mergeCell ref="B115:C115"/>
    <mergeCell ref="B116:C116"/>
    <mergeCell ref="B117:C117"/>
    <mergeCell ref="B118:C118"/>
    <mergeCell ref="B119:C119"/>
    <mergeCell ref="B132:F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F129"/>
    <mergeCell ref="B130:C130"/>
    <mergeCell ref="B131:C131"/>
    <mergeCell ref="B144:C144"/>
    <mergeCell ref="B145:C145"/>
    <mergeCell ref="B146:C146"/>
    <mergeCell ref="B147:C147"/>
    <mergeCell ref="B149:C149"/>
    <mergeCell ref="B150:C150"/>
    <mergeCell ref="B138:C138"/>
    <mergeCell ref="B139:F139"/>
    <mergeCell ref="B140:C140"/>
    <mergeCell ref="B141:C141"/>
    <mergeCell ref="B142:C142"/>
    <mergeCell ref="B143:F143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81:C181"/>
    <mergeCell ref="B182:F182"/>
    <mergeCell ref="B183:C183"/>
    <mergeCell ref="B184:C184"/>
    <mergeCell ref="B185:F185"/>
    <mergeCell ref="B186:C186"/>
    <mergeCell ref="B175:C175"/>
    <mergeCell ref="B176:C176"/>
    <mergeCell ref="B177:F177"/>
    <mergeCell ref="B178:C178"/>
    <mergeCell ref="B179:C179"/>
    <mergeCell ref="B180:C180"/>
    <mergeCell ref="B193:C193"/>
    <mergeCell ref="B194:C194"/>
    <mergeCell ref="B195:C195"/>
    <mergeCell ref="B196:F196"/>
    <mergeCell ref="B197:C197"/>
    <mergeCell ref="B198:C198"/>
    <mergeCell ref="B187:C187"/>
    <mergeCell ref="B188:C188"/>
    <mergeCell ref="B189:C189"/>
    <mergeCell ref="B190:C190"/>
    <mergeCell ref="B191:C191"/>
    <mergeCell ref="B192:F192"/>
    <mergeCell ref="B206:C206"/>
    <mergeCell ref="B207:C207"/>
    <mergeCell ref="B208:C208"/>
    <mergeCell ref="B209:C209"/>
    <mergeCell ref="B210:C210"/>
    <mergeCell ref="B211:C211"/>
    <mergeCell ref="B199:C199"/>
    <mergeCell ref="B200:C200"/>
    <mergeCell ref="B202:C202"/>
    <mergeCell ref="B203:C203"/>
    <mergeCell ref="B204:C204"/>
    <mergeCell ref="B205:C205"/>
    <mergeCell ref="B218:C218"/>
    <mergeCell ref="B219:C219"/>
    <mergeCell ref="B220:C220"/>
    <mergeCell ref="B221:C221"/>
    <mergeCell ref="B222:C222"/>
    <mergeCell ref="B223:C223"/>
    <mergeCell ref="B212:C212"/>
    <mergeCell ref="B213:C213"/>
    <mergeCell ref="B214:C214"/>
    <mergeCell ref="B215:C215"/>
    <mergeCell ref="B216:C216"/>
    <mergeCell ref="B217:C217"/>
    <mergeCell ref="B230:F230"/>
    <mergeCell ref="B231:C231"/>
    <mergeCell ref="B232:C232"/>
    <mergeCell ref="B233:C233"/>
    <mergeCell ref="B234:C234"/>
    <mergeCell ref="B235:F235"/>
    <mergeCell ref="B224:C224"/>
    <mergeCell ref="B225:C225"/>
    <mergeCell ref="B226:C226"/>
    <mergeCell ref="B227:C227"/>
    <mergeCell ref="B228:C228"/>
    <mergeCell ref="B229:C229"/>
    <mergeCell ref="B248:C248"/>
    <mergeCell ref="B242:C242"/>
    <mergeCell ref="B243:C243"/>
    <mergeCell ref="B244:C244"/>
    <mergeCell ref="B245:F245"/>
    <mergeCell ref="B246:C246"/>
    <mergeCell ref="B247:C247"/>
    <mergeCell ref="B236:C236"/>
    <mergeCell ref="B237:C237"/>
    <mergeCell ref="B238:F238"/>
    <mergeCell ref="B239:C239"/>
    <mergeCell ref="B240:C240"/>
    <mergeCell ref="B241:C241"/>
    <mergeCell ref="B249:F249"/>
    <mergeCell ref="B250:C250"/>
    <mergeCell ref="B251:C251"/>
    <mergeCell ref="B252:C252"/>
    <mergeCell ref="B253:C253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F283"/>
    <mergeCell ref="B284:C284"/>
    <mergeCell ref="B285:C285"/>
    <mergeCell ref="B286:C286"/>
    <mergeCell ref="B287:C287"/>
    <mergeCell ref="B288:F288"/>
    <mergeCell ref="B289:C289"/>
    <mergeCell ref="B290:C290"/>
    <mergeCell ref="B291:F291"/>
    <mergeCell ref="B292:C292"/>
    <mergeCell ref="B293:C293"/>
    <mergeCell ref="B294:C294"/>
    <mergeCell ref="B295:C295"/>
    <mergeCell ref="B296:C296"/>
    <mergeCell ref="B297:C297"/>
    <mergeCell ref="B298:F298"/>
    <mergeCell ref="B299:C299"/>
    <mergeCell ref="B300:C300"/>
    <mergeCell ref="B301:C301"/>
    <mergeCell ref="B302:F302"/>
    <mergeCell ref="B303:C303"/>
    <mergeCell ref="B304:C304"/>
    <mergeCell ref="B305:C305"/>
    <mergeCell ref="B306:C306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F336"/>
    <mergeCell ref="B337:C337"/>
    <mergeCell ref="B338:C338"/>
    <mergeCell ref="B339:C339"/>
    <mergeCell ref="B340:C340"/>
    <mergeCell ref="B341:F341"/>
    <mergeCell ref="B342:C342"/>
    <mergeCell ref="B343:C343"/>
    <mergeCell ref="B344:F344"/>
    <mergeCell ref="B345:C345"/>
    <mergeCell ref="B346:C346"/>
    <mergeCell ref="B347:C347"/>
    <mergeCell ref="B348:C348"/>
    <mergeCell ref="B349:C349"/>
    <mergeCell ref="B350:C350"/>
    <mergeCell ref="B351:F351"/>
    <mergeCell ref="B352:C352"/>
    <mergeCell ref="B353:C353"/>
    <mergeCell ref="B354:C354"/>
    <mergeCell ref="B355:F355"/>
    <mergeCell ref="B356:C356"/>
    <mergeCell ref="B357:C357"/>
    <mergeCell ref="B358:C358"/>
    <mergeCell ref="B359:C359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F389"/>
    <mergeCell ref="B390:C390"/>
    <mergeCell ref="B391:C391"/>
    <mergeCell ref="B392:C392"/>
    <mergeCell ref="B393:C393"/>
    <mergeCell ref="B394:F394"/>
    <mergeCell ref="B395:C395"/>
    <mergeCell ref="B396:C396"/>
    <mergeCell ref="B397:F397"/>
    <mergeCell ref="B398:C398"/>
    <mergeCell ref="B399:C399"/>
    <mergeCell ref="B400:C400"/>
    <mergeCell ref="B401:C401"/>
    <mergeCell ref="B402:C402"/>
    <mergeCell ref="B403:C403"/>
    <mergeCell ref="B404:F404"/>
    <mergeCell ref="B405:C405"/>
    <mergeCell ref="B406:C406"/>
    <mergeCell ref="B407:C407"/>
    <mergeCell ref="B408:F408"/>
    <mergeCell ref="B409:C409"/>
    <mergeCell ref="B410:C410"/>
    <mergeCell ref="B411:C411"/>
    <mergeCell ref="B412:C412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F442"/>
    <mergeCell ref="B443:C443"/>
    <mergeCell ref="B444:C444"/>
    <mergeCell ref="B445:C445"/>
    <mergeCell ref="B446:C446"/>
    <mergeCell ref="B447:F447"/>
    <mergeCell ref="B448:C448"/>
    <mergeCell ref="B449:C449"/>
    <mergeCell ref="B450:F450"/>
    <mergeCell ref="B460:C460"/>
    <mergeCell ref="B451:C451"/>
    <mergeCell ref="B452:C452"/>
    <mergeCell ref="B453:C453"/>
    <mergeCell ref="B454:C454"/>
    <mergeCell ref="B455:C455"/>
    <mergeCell ref="B456:C456"/>
    <mergeCell ref="B457:F457"/>
    <mergeCell ref="B458:C458"/>
    <mergeCell ref="B459:C4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5C88-90C7-43AE-A217-1A7099F1C997}">
  <sheetPr>
    <tabColor rgb="FF92D050"/>
  </sheetPr>
  <dimension ref="A1:CB413"/>
  <sheetViews>
    <sheetView zoomScale="85" zoomScaleNormal="85" workbookViewId="0">
      <selection activeCell="A3" sqref="A3:H3"/>
    </sheetView>
  </sheetViews>
  <sheetFormatPr defaultColWidth="9.140625" defaultRowHeight="15"/>
  <cols>
    <col min="1" max="1" width="21.7109375" style="44" customWidth="1"/>
    <col min="2" max="2" width="2.28515625" style="44" customWidth="1"/>
    <col min="3" max="3" width="36.5703125" style="44" customWidth="1"/>
    <col min="4" max="4" width="27.28515625" style="44" customWidth="1"/>
    <col min="5" max="5" width="14.42578125" style="109" customWidth="1"/>
    <col min="6" max="6" width="14" style="110" customWidth="1"/>
    <col min="7" max="7" width="21.28515625" style="44" customWidth="1"/>
    <col min="8" max="8" width="29.7109375" style="44" customWidth="1"/>
    <col min="9" max="9" width="13.42578125" style="44" bestFit="1" customWidth="1"/>
    <col min="10" max="16384" width="9.140625" style="44"/>
  </cols>
  <sheetData>
    <row r="1" spans="1:80" s="43" customFormat="1" ht="57.2" customHeight="1">
      <c r="A1" s="242" t="s">
        <v>128</v>
      </c>
      <c r="B1" s="243"/>
      <c r="C1" s="243"/>
      <c r="D1" s="243"/>
      <c r="E1" s="243"/>
      <c r="F1" s="243"/>
      <c r="G1" s="243"/>
      <c r="H1" s="244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</row>
    <row r="2" spans="1:80" s="43" customFormat="1" ht="36.6" customHeight="1">
      <c r="A2" s="245" t="s">
        <v>378</v>
      </c>
      <c r="B2" s="246"/>
      <c r="C2" s="246"/>
      <c r="D2" s="246"/>
      <c r="E2" s="246"/>
      <c r="F2" s="246"/>
      <c r="G2" s="246"/>
      <c r="H2" s="24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7"/>
      <c r="BO2" s="117"/>
      <c r="BP2" s="117"/>
      <c r="BQ2" s="117"/>
      <c r="BR2" s="117"/>
      <c r="BS2" s="117"/>
      <c r="BT2" s="117"/>
      <c r="BU2" s="117"/>
      <c r="BV2" s="117"/>
      <c r="BW2" s="117"/>
      <c r="BX2" s="117"/>
      <c r="BY2" s="117"/>
      <c r="BZ2" s="117"/>
      <c r="CA2" s="117"/>
      <c r="CB2" s="117"/>
    </row>
    <row r="3" spans="1:80" s="43" customFormat="1" ht="14.25" customHeight="1">
      <c r="A3" s="248" t="s">
        <v>129</v>
      </c>
      <c r="B3" s="249"/>
      <c r="C3" s="249"/>
      <c r="D3" s="249"/>
      <c r="E3" s="249"/>
      <c r="F3" s="249"/>
      <c r="G3" s="249"/>
      <c r="H3" s="250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7"/>
      <c r="BY3" s="117"/>
      <c r="BZ3" s="117"/>
      <c r="CA3" s="117"/>
      <c r="CB3" s="117"/>
    </row>
    <row r="4" spans="1:80" s="43" customFormat="1" ht="14.25" customHeight="1">
      <c r="A4" s="248" t="s">
        <v>130</v>
      </c>
      <c r="B4" s="249"/>
      <c r="C4" s="249"/>
      <c r="D4" s="249"/>
      <c r="E4" s="249"/>
      <c r="F4" s="249"/>
      <c r="G4" s="249"/>
      <c r="H4" s="25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7"/>
      <c r="BL4" s="117"/>
      <c r="BM4" s="117"/>
      <c r="BN4" s="117"/>
      <c r="BO4" s="117"/>
      <c r="BP4" s="117"/>
      <c r="BQ4" s="117"/>
      <c r="BR4" s="117"/>
      <c r="BS4" s="117"/>
      <c r="BT4" s="117"/>
      <c r="BU4" s="117"/>
      <c r="BV4" s="117"/>
      <c r="BW4" s="117"/>
      <c r="BX4" s="117"/>
      <c r="BY4" s="117"/>
      <c r="BZ4" s="117"/>
      <c r="CA4" s="117"/>
      <c r="CB4" s="117"/>
    </row>
    <row r="5" spans="1:80" s="43" customFormat="1" ht="14.25" customHeight="1">
      <c r="A5" s="248" t="s">
        <v>131</v>
      </c>
      <c r="B5" s="249"/>
      <c r="C5" s="249"/>
      <c r="D5" s="249"/>
      <c r="E5" s="249"/>
      <c r="F5" s="249"/>
      <c r="G5" s="249"/>
      <c r="H5" s="250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</row>
    <row r="6" spans="1:80" s="43" customFormat="1" ht="14.25" customHeight="1">
      <c r="A6" s="248" t="s">
        <v>132</v>
      </c>
      <c r="B6" s="249"/>
      <c r="C6" s="249"/>
      <c r="D6" s="249"/>
      <c r="E6" s="249"/>
      <c r="F6" s="249"/>
      <c r="G6" s="249"/>
      <c r="H6" s="250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</row>
    <row r="7" spans="1:80" s="43" customFormat="1" ht="14.25" customHeight="1">
      <c r="A7" s="248" t="s">
        <v>133</v>
      </c>
      <c r="B7" s="249"/>
      <c r="C7" s="249"/>
      <c r="D7" s="249"/>
      <c r="E7" s="249"/>
      <c r="F7" s="249"/>
      <c r="G7" s="249"/>
      <c r="H7" s="250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</row>
    <row r="8" spans="1:80" s="43" customFormat="1" ht="14.25" customHeight="1">
      <c r="A8" s="248" t="s">
        <v>134</v>
      </c>
      <c r="B8" s="249"/>
      <c r="C8" s="249"/>
      <c r="D8" s="249"/>
      <c r="E8" s="249"/>
      <c r="F8" s="249"/>
      <c r="G8" s="249"/>
      <c r="H8" s="250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</row>
    <row r="9" spans="1:80" s="43" customFormat="1" ht="14.25" customHeight="1">
      <c r="A9" s="248" t="s">
        <v>135</v>
      </c>
      <c r="B9" s="249"/>
      <c r="C9" s="249"/>
      <c r="D9" s="249"/>
      <c r="E9" s="249"/>
      <c r="F9" s="249"/>
      <c r="G9" s="249"/>
      <c r="H9" s="25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</row>
    <row r="10" spans="1:80" s="43" customFormat="1" ht="14.25" customHeight="1">
      <c r="A10" s="248" t="s">
        <v>136</v>
      </c>
      <c r="B10" s="249"/>
      <c r="C10" s="249"/>
      <c r="D10" s="249"/>
      <c r="E10" s="249"/>
      <c r="F10" s="249"/>
      <c r="G10" s="249"/>
      <c r="H10" s="250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</row>
    <row r="11" spans="1:80" s="43" customFormat="1" ht="14.25" customHeight="1">
      <c r="A11" s="248" t="s">
        <v>137</v>
      </c>
      <c r="B11" s="249"/>
      <c r="C11" s="249"/>
      <c r="D11" s="249"/>
      <c r="E11" s="249"/>
      <c r="F11" s="249"/>
      <c r="G11" s="249"/>
      <c r="H11" s="250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</row>
    <row r="12" spans="1:80" s="43" customFormat="1" ht="14.25" customHeight="1">
      <c r="A12" s="248" t="s">
        <v>138</v>
      </c>
      <c r="B12" s="249"/>
      <c r="C12" s="249"/>
      <c r="D12" s="249"/>
      <c r="E12" s="249"/>
      <c r="F12" s="249"/>
      <c r="G12" s="249"/>
      <c r="H12" s="250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</row>
    <row r="13" spans="1:80" s="43" customFormat="1" ht="14.25" customHeight="1">
      <c r="A13" s="248" t="s">
        <v>139</v>
      </c>
      <c r="B13" s="249"/>
      <c r="C13" s="249"/>
      <c r="D13" s="249"/>
      <c r="E13" s="249"/>
      <c r="F13" s="249"/>
      <c r="G13" s="249"/>
      <c r="H13" s="250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</row>
    <row r="14" spans="1:80" s="43" customFormat="1" ht="14.25" customHeight="1">
      <c r="A14" s="248" t="s">
        <v>140</v>
      </c>
      <c r="B14" s="249"/>
      <c r="C14" s="249"/>
      <c r="D14" s="249"/>
      <c r="E14" s="249"/>
      <c r="F14" s="249"/>
      <c r="G14" s="249"/>
      <c r="H14" s="250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</row>
    <row r="15" spans="1:80" s="43" customFormat="1" ht="14.25" customHeight="1">
      <c r="A15" s="248" t="s">
        <v>141</v>
      </c>
      <c r="B15" s="249"/>
      <c r="C15" s="249"/>
      <c r="D15" s="249"/>
      <c r="E15" s="249"/>
      <c r="F15" s="249"/>
      <c r="G15" s="249"/>
      <c r="H15" s="250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</row>
    <row r="16" spans="1:80" s="43" customFormat="1" ht="14.25" customHeight="1">
      <c r="A16" s="248" t="s">
        <v>323</v>
      </c>
      <c r="B16" s="249"/>
      <c r="C16" s="249"/>
      <c r="D16" s="249"/>
      <c r="E16" s="249"/>
      <c r="F16" s="249"/>
      <c r="G16" s="249"/>
      <c r="H16" s="250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</row>
    <row r="17" spans="1:80" s="43" customFormat="1" ht="14.25" customHeight="1">
      <c r="A17" s="248" t="s">
        <v>405</v>
      </c>
      <c r="B17" s="249"/>
      <c r="C17" s="249"/>
      <c r="D17" s="249"/>
      <c r="E17" s="249"/>
      <c r="F17" s="249"/>
      <c r="G17" s="249"/>
      <c r="H17" s="250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</row>
    <row r="18" spans="1:80" s="43" customFormat="1" ht="14.25" customHeight="1">
      <c r="A18" s="415" t="s">
        <v>406</v>
      </c>
      <c r="B18" s="416"/>
      <c r="C18" s="416"/>
      <c r="D18" s="416"/>
      <c r="E18" s="416"/>
      <c r="F18" s="416"/>
      <c r="G18" s="416"/>
      <c r="H18" s="4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</row>
    <row r="19" spans="1:80" ht="60.75" customHeight="1">
      <c r="A19" s="253" t="s">
        <v>142</v>
      </c>
      <c r="B19" s="254"/>
      <c r="C19" s="254"/>
      <c r="D19" s="254"/>
      <c r="E19" s="254"/>
      <c r="F19" s="254"/>
      <c r="G19" s="254"/>
      <c r="H19" s="255"/>
    </row>
    <row r="20" spans="1:80" ht="26.25" customHeight="1">
      <c r="A20" s="256" t="s">
        <v>22</v>
      </c>
      <c r="B20" s="256"/>
      <c r="C20" s="256"/>
      <c r="D20" s="256"/>
      <c r="E20" s="256"/>
      <c r="F20" s="256"/>
      <c r="G20" s="256"/>
      <c r="H20" s="256"/>
    </row>
    <row r="21" spans="1:80" ht="18.75" customHeight="1">
      <c r="A21" s="257" t="s">
        <v>23</v>
      </c>
      <c r="B21" s="257"/>
      <c r="C21" s="257" t="s">
        <v>24</v>
      </c>
      <c r="D21" s="257"/>
      <c r="E21" s="257"/>
      <c r="F21" s="257" t="s">
        <v>25</v>
      </c>
      <c r="G21" s="257"/>
      <c r="H21" s="257"/>
    </row>
    <row r="22" spans="1:80" ht="36" customHeight="1">
      <c r="A22" s="258" t="s">
        <v>26</v>
      </c>
      <c r="B22" s="258"/>
      <c r="C22" s="258" t="s">
        <v>143</v>
      </c>
      <c r="D22" s="258"/>
      <c r="E22" s="258"/>
      <c r="F22" s="259">
        <v>0.64</v>
      </c>
      <c r="G22" s="259"/>
      <c r="H22" s="259"/>
    </row>
    <row r="23" spans="1:80" ht="27" customHeight="1">
      <c r="A23" s="258" t="s">
        <v>28</v>
      </c>
      <c r="B23" s="258"/>
      <c r="C23" s="258" t="s">
        <v>29</v>
      </c>
      <c r="D23" s="258"/>
      <c r="E23" s="258"/>
      <c r="F23" s="258" t="s">
        <v>422</v>
      </c>
      <c r="G23" s="258"/>
      <c r="H23" s="258"/>
    </row>
    <row r="24" spans="1:80" ht="39.75" customHeight="1">
      <c r="A24" s="258" t="s">
        <v>30</v>
      </c>
      <c r="B24" s="258"/>
      <c r="C24" s="258" t="s">
        <v>144</v>
      </c>
      <c r="D24" s="258"/>
      <c r="E24" s="258"/>
      <c r="F24" s="258" t="s">
        <v>407</v>
      </c>
      <c r="G24" s="258"/>
      <c r="H24" s="258"/>
    </row>
    <row r="25" spans="1:80" ht="34.5" customHeight="1">
      <c r="A25" s="258" t="s">
        <v>33</v>
      </c>
      <c r="B25" s="258"/>
      <c r="C25" s="258" t="s">
        <v>34</v>
      </c>
      <c r="D25" s="258"/>
      <c r="E25" s="258"/>
      <c r="F25" s="259">
        <v>1</v>
      </c>
      <c r="G25" s="259"/>
      <c r="H25" s="259"/>
    </row>
    <row r="26" spans="1:80">
      <c r="A26" s="265" t="s">
        <v>35</v>
      </c>
      <c r="B26" s="266"/>
      <c r="C26" s="266"/>
      <c r="D26" s="266"/>
      <c r="E26" s="266"/>
      <c r="F26" s="266"/>
      <c r="G26" s="266"/>
      <c r="H26" s="267"/>
    </row>
    <row r="27" spans="1:80">
      <c r="A27" s="268"/>
      <c r="B27" s="269"/>
      <c r="C27" s="269"/>
      <c r="D27" s="269"/>
      <c r="E27" s="269"/>
      <c r="F27" s="269"/>
      <c r="G27" s="269"/>
      <c r="H27" s="270"/>
    </row>
    <row r="28" spans="1:80">
      <c r="A28" s="271"/>
      <c r="B28" s="272"/>
      <c r="C28" s="272"/>
      <c r="D28" s="272"/>
      <c r="E28" s="272"/>
      <c r="F28" s="272"/>
      <c r="G28" s="272"/>
      <c r="H28" s="273"/>
    </row>
    <row r="29" spans="1:80" ht="30.75" customHeight="1">
      <c r="A29" s="274" t="s">
        <v>36</v>
      </c>
      <c r="B29" s="413"/>
      <c r="C29" s="274" t="s">
        <v>37</v>
      </c>
      <c r="D29" s="276"/>
      <c r="E29" s="278" t="s">
        <v>38</v>
      </c>
      <c r="F29" s="279"/>
      <c r="G29" s="279"/>
      <c r="H29" s="48"/>
    </row>
    <row r="30" spans="1:80" ht="30.75" customHeight="1">
      <c r="A30" s="275"/>
      <c r="B30" s="414"/>
      <c r="C30" s="275"/>
      <c r="D30" s="277"/>
      <c r="E30" s="48" t="s">
        <v>39</v>
      </c>
      <c r="F30" s="49" t="s">
        <v>40</v>
      </c>
      <c r="G30" s="48" t="s">
        <v>41</v>
      </c>
      <c r="H30" s="48" t="s">
        <v>43</v>
      </c>
    </row>
    <row r="31" spans="1:80" ht="33.75" customHeight="1">
      <c r="A31" s="374">
        <v>5</v>
      </c>
      <c r="B31" s="375"/>
      <c r="C31" s="374" t="s">
        <v>44</v>
      </c>
      <c r="D31" s="410"/>
      <c r="E31" s="52"/>
      <c r="F31" s="53"/>
      <c r="G31" s="52"/>
      <c r="H31" s="54">
        <f>SUM(H32)</f>
        <v>12960185000.1</v>
      </c>
    </row>
    <row r="32" spans="1:80" ht="33.75" customHeight="1">
      <c r="A32" s="374">
        <v>5.0999999999999996</v>
      </c>
      <c r="B32" s="375"/>
      <c r="C32" s="374" t="s">
        <v>145</v>
      </c>
      <c r="D32" s="375"/>
      <c r="E32" s="52"/>
      <c r="F32" s="53"/>
      <c r="G32" s="52"/>
      <c r="H32" s="54">
        <f>SUM(H33)</f>
        <v>12960185000.1</v>
      </c>
    </row>
    <row r="33" spans="1:80" s="59" customFormat="1" ht="33.75" customHeight="1">
      <c r="A33" s="411" t="s">
        <v>146</v>
      </c>
      <c r="B33" s="412"/>
      <c r="C33" s="411" t="s">
        <v>147</v>
      </c>
      <c r="D33" s="412"/>
      <c r="E33" s="56"/>
      <c r="F33" s="57"/>
      <c r="G33" s="56"/>
      <c r="H33" s="58">
        <f>H35+H44+H46+H74+H79+H82+H86+H89+H92+H94+H136+H142+H144+H146+H149+H152+H154+H159+H161+H163+H165+H167+H175+H177+H179+H181+H183+H185</f>
        <v>12960185000.1</v>
      </c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</row>
    <row r="34" spans="1:80" ht="33.75" customHeight="1">
      <c r="A34" s="374" t="s">
        <v>148</v>
      </c>
      <c r="B34" s="375"/>
      <c r="C34" s="50" t="s">
        <v>149</v>
      </c>
      <c r="D34" s="51"/>
      <c r="E34" s="52"/>
      <c r="F34" s="53"/>
      <c r="G34" s="52"/>
      <c r="H34" s="54"/>
    </row>
    <row r="35" spans="1:80" ht="28.5" customHeight="1">
      <c r="A35" s="374" t="s">
        <v>192</v>
      </c>
      <c r="B35" s="375"/>
      <c r="C35" s="50" t="s">
        <v>193</v>
      </c>
      <c r="D35" s="51"/>
      <c r="E35" s="52"/>
      <c r="F35" s="53"/>
      <c r="G35" s="52"/>
      <c r="H35" s="54">
        <f>SUM(H36+H38+H40+H42)</f>
        <v>96897924</v>
      </c>
    </row>
    <row r="36" spans="1:80" s="80" customFormat="1" ht="28.5" customHeight="1">
      <c r="A36" s="220" t="s">
        <v>194</v>
      </c>
      <c r="B36" s="222"/>
      <c r="C36" s="220" t="s">
        <v>195</v>
      </c>
      <c r="D36" s="221"/>
      <c r="E36" s="221"/>
      <c r="F36" s="221"/>
      <c r="G36" s="222"/>
      <c r="H36" s="85">
        <f>SUM(H37)</f>
        <v>90000000</v>
      </c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</row>
    <row r="37" spans="1:80" ht="33.75" customHeight="1">
      <c r="A37" s="374"/>
      <c r="B37" s="375"/>
      <c r="C37" s="93" t="s">
        <v>196</v>
      </c>
      <c r="D37" s="94"/>
      <c r="E37" s="52" t="s">
        <v>197</v>
      </c>
      <c r="F37" s="95" t="s">
        <v>126</v>
      </c>
      <c r="G37" s="96">
        <v>2500000</v>
      </c>
      <c r="H37" s="78">
        <f>3*12*G37</f>
        <v>90000000</v>
      </c>
    </row>
    <row r="38" spans="1:80" s="80" customFormat="1" ht="33.75" customHeight="1">
      <c r="A38" s="220" t="s">
        <v>198</v>
      </c>
      <c r="B38" s="222"/>
      <c r="C38" s="220" t="s">
        <v>199</v>
      </c>
      <c r="D38" s="221"/>
      <c r="E38" s="221"/>
      <c r="F38" s="221"/>
      <c r="G38" s="222"/>
      <c r="H38" s="85">
        <f>SUM(H39)</f>
        <v>172800</v>
      </c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</row>
    <row r="39" spans="1:80" ht="48.75" customHeight="1">
      <c r="A39" s="374"/>
      <c r="B39" s="375"/>
      <c r="C39" s="406" t="s">
        <v>200</v>
      </c>
      <c r="D39" s="407"/>
      <c r="E39" s="52" t="s">
        <v>197</v>
      </c>
      <c r="F39" s="95" t="s">
        <v>126</v>
      </c>
      <c r="G39" s="96">
        <v>4800</v>
      </c>
      <c r="H39" s="78">
        <f>3*12*G39</f>
        <v>172800</v>
      </c>
    </row>
    <row r="40" spans="1:80" s="80" customFormat="1" ht="33.75" customHeight="1">
      <c r="A40" s="220" t="s">
        <v>201</v>
      </c>
      <c r="B40" s="222"/>
      <c r="C40" s="220" t="s">
        <v>202</v>
      </c>
      <c r="D40" s="221"/>
      <c r="E40" s="221"/>
      <c r="F40" s="221"/>
      <c r="G40" s="222"/>
      <c r="H40" s="85">
        <f>SUM(H41)</f>
        <v>216000</v>
      </c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</row>
    <row r="41" spans="1:80" ht="45.75" customHeight="1">
      <c r="A41" s="374"/>
      <c r="B41" s="375"/>
      <c r="C41" s="406" t="s">
        <v>203</v>
      </c>
      <c r="D41" s="407"/>
      <c r="E41" s="52" t="s">
        <v>197</v>
      </c>
      <c r="F41" s="95" t="s">
        <v>126</v>
      </c>
      <c r="G41" s="96">
        <v>6000</v>
      </c>
      <c r="H41" s="78">
        <f>3*12*G41</f>
        <v>216000</v>
      </c>
    </row>
    <row r="42" spans="1:80" s="80" customFormat="1" ht="33.75" customHeight="1">
      <c r="A42" s="220" t="s">
        <v>204</v>
      </c>
      <c r="B42" s="222"/>
      <c r="C42" s="220" t="s">
        <v>205</v>
      </c>
      <c r="D42" s="221"/>
      <c r="E42" s="221"/>
      <c r="F42" s="221"/>
      <c r="G42" s="222"/>
      <c r="H42" s="85">
        <f>SUM(H43)</f>
        <v>6509124</v>
      </c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</row>
    <row r="43" spans="1:80" ht="45.75" customHeight="1">
      <c r="A43" s="374"/>
      <c r="B43" s="375"/>
      <c r="C43" s="406" t="s">
        <v>206</v>
      </c>
      <c r="D43" s="407"/>
      <c r="E43" s="52" t="s">
        <v>197</v>
      </c>
      <c r="F43" s="95" t="s">
        <v>126</v>
      </c>
      <c r="G43" s="96">
        <v>180809</v>
      </c>
      <c r="H43" s="78">
        <f>3*12*G43</f>
        <v>6509124</v>
      </c>
    </row>
    <row r="44" spans="1:80" s="64" customFormat="1" ht="23.25" customHeight="1">
      <c r="A44" s="220" t="s">
        <v>150</v>
      </c>
      <c r="B44" s="222"/>
      <c r="C44" s="232" t="s">
        <v>151</v>
      </c>
      <c r="D44" s="233"/>
      <c r="E44" s="61"/>
      <c r="F44" s="62"/>
      <c r="G44" s="63"/>
      <c r="H44" s="63">
        <f>SUM(H45)</f>
        <v>3000000</v>
      </c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118"/>
      <c r="BM44" s="118"/>
      <c r="BN44" s="118"/>
      <c r="BO44" s="118"/>
      <c r="BP44" s="118"/>
      <c r="BQ44" s="118"/>
      <c r="BR44" s="118"/>
      <c r="BS44" s="118"/>
      <c r="BT44" s="118"/>
      <c r="BU44" s="118"/>
      <c r="BV44" s="118"/>
      <c r="BW44" s="118"/>
      <c r="BX44" s="118"/>
      <c r="BY44" s="118"/>
      <c r="BZ44" s="118"/>
      <c r="CA44" s="118"/>
      <c r="CB44" s="118"/>
    </row>
    <row r="45" spans="1:80" s="71" customFormat="1" ht="23.25" customHeight="1">
      <c r="A45" s="374"/>
      <c r="B45" s="375"/>
      <c r="C45" s="65" t="s">
        <v>75</v>
      </c>
      <c r="D45" s="66"/>
      <c r="E45" s="67">
        <v>300</v>
      </c>
      <c r="F45" s="68" t="s">
        <v>60</v>
      </c>
      <c r="G45" s="69">
        <v>10000</v>
      </c>
      <c r="H45" s="70">
        <f>E45*G45</f>
        <v>3000000</v>
      </c>
    </row>
    <row r="46" spans="1:80" s="75" customFormat="1" ht="23.25" customHeight="1">
      <c r="A46" s="220" t="s">
        <v>152</v>
      </c>
      <c r="B46" s="222"/>
      <c r="C46" s="232" t="s">
        <v>153</v>
      </c>
      <c r="D46" s="233"/>
      <c r="E46" s="72"/>
      <c r="F46" s="60"/>
      <c r="G46" s="73"/>
      <c r="H46" s="74">
        <f>SUM(H47:H73)</f>
        <v>11689250</v>
      </c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</row>
    <row r="47" spans="1:80" ht="23.25" customHeight="1">
      <c r="A47" s="374"/>
      <c r="B47" s="375"/>
      <c r="C47" s="208" t="s">
        <v>154</v>
      </c>
      <c r="D47" s="208"/>
      <c r="E47" s="67">
        <v>5</v>
      </c>
      <c r="F47" s="76" t="s">
        <v>54</v>
      </c>
      <c r="G47" s="77">
        <v>29100</v>
      </c>
      <c r="H47" s="78">
        <f t="shared" ref="H47:H73" si="0">E47*G47</f>
        <v>145500</v>
      </c>
    </row>
    <row r="48" spans="1:80" ht="23.25" customHeight="1">
      <c r="A48" s="374"/>
      <c r="B48" s="375"/>
      <c r="C48" s="208" t="s">
        <v>155</v>
      </c>
      <c r="D48" s="208"/>
      <c r="E48" s="67">
        <v>5</v>
      </c>
      <c r="F48" s="76" t="s">
        <v>54</v>
      </c>
      <c r="G48" s="77">
        <v>37300</v>
      </c>
      <c r="H48" s="78">
        <f t="shared" si="0"/>
        <v>186500</v>
      </c>
    </row>
    <row r="49" spans="1:8" ht="23.25" customHeight="1">
      <c r="A49" s="374"/>
      <c r="B49" s="375"/>
      <c r="C49" s="208" t="s">
        <v>156</v>
      </c>
      <c r="D49" s="208"/>
      <c r="E49" s="67">
        <v>10</v>
      </c>
      <c r="F49" s="76" t="s">
        <v>56</v>
      </c>
      <c r="G49" s="77">
        <v>283500</v>
      </c>
      <c r="H49" s="78">
        <f t="shared" si="0"/>
        <v>2835000</v>
      </c>
    </row>
    <row r="50" spans="1:8" ht="23.25" customHeight="1">
      <c r="A50" s="374"/>
      <c r="B50" s="375"/>
      <c r="C50" s="208" t="s">
        <v>157</v>
      </c>
      <c r="D50" s="208"/>
      <c r="E50" s="67">
        <v>3</v>
      </c>
      <c r="F50" s="76" t="s">
        <v>56</v>
      </c>
      <c r="G50" s="77">
        <v>55650</v>
      </c>
      <c r="H50" s="78">
        <f t="shared" si="0"/>
        <v>166950</v>
      </c>
    </row>
    <row r="51" spans="1:8" ht="23.25" customHeight="1">
      <c r="A51" s="374"/>
      <c r="B51" s="375"/>
      <c r="C51" s="208" t="s">
        <v>158</v>
      </c>
      <c r="D51" s="208"/>
      <c r="E51" s="67">
        <v>7</v>
      </c>
      <c r="F51" s="76" t="s">
        <v>54</v>
      </c>
      <c r="G51" s="77">
        <v>4725</v>
      </c>
      <c r="H51" s="78">
        <f t="shared" si="0"/>
        <v>33075</v>
      </c>
    </row>
    <row r="52" spans="1:8" ht="23.25" customHeight="1">
      <c r="A52" s="374"/>
      <c r="B52" s="375"/>
      <c r="C52" s="208" t="s">
        <v>159</v>
      </c>
      <c r="D52" s="208"/>
      <c r="E52" s="67">
        <v>7</v>
      </c>
      <c r="F52" s="76" t="s">
        <v>54</v>
      </c>
      <c r="G52" s="77">
        <v>14700</v>
      </c>
      <c r="H52" s="78">
        <f t="shared" si="0"/>
        <v>102900</v>
      </c>
    </row>
    <row r="53" spans="1:8" ht="23.25" customHeight="1">
      <c r="A53" s="374"/>
      <c r="B53" s="375"/>
      <c r="C53" s="208" t="s">
        <v>160</v>
      </c>
      <c r="D53" s="208"/>
      <c r="E53" s="67">
        <v>7</v>
      </c>
      <c r="F53" s="76" t="s">
        <v>54</v>
      </c>
      <c r="G53" s="77">
        <v>53500</v>
      </c>
      <c r="H53" s="78">
        <f t="shared" si="0"/>
        <v>374500</v>
      </c>
    </row>
    <row r="54" spans="1:8" ht="23.25" customHeight="1">
      <c r="A54" s="374"/>
      <c r="B54" s="375"/>
      <c r="C54" s="208" t="s">
        <v>161</v>
      </c>
      <c r="D54" s="208"/>
      <c r="E54" s="67">
        <v>30</v>
      </c>
      <c r="F54" s="76" t="s">
        <v>55</v>
      </c>
      <c r="G54" s="77">
        <v>60775</v>
      </c>
      <c r="H54" s="78">
        <f t="shared" si="0"/>
        <v>1823250</v>
      </c>
    </row>
    <row r="55" spans="1:8" ht="23.25" customHeight="1">
      <c r="A55" s="374"/>
      <c r="B55" s="375"/>
      <c r="C55" s="208" t="s">
        <v>162</v>
      </c>
      <c r="D55" s="208"/>
      <c r="E55" s="67">
        <v>5</v>
      </c>
      <c r="F55" s="76" t="s">
        <v>57</v>
      </c>
      <c r="G55" s="77">
        <v>22200</v>
      </c>
      <c r="H55" s="78">
        <f t="shared" si="0"/>
        <v>111000</v>
      </c>
    </row>
    <row r="56" spans="1:8" ht="23.25" customHeight="1">
      <c r="A56" s="374"/>
      <c r="B56" s="375"/>
      <c r="C56" s="208" t="s">
        <v>163</v>
      </c>
      <c r="D56" s="208"/>
      <c r="E56" s="67">
        <v>8</v>
      </c>
      <c r="F56" s="76" t="s">
        <v>54</v>
      </c>
      <c r="G56" s="77">
        <v>44100</v>
      </c>
      <c r="H56" s="78">
        <f t="shared" si="0"/>
        <v>352800</v>
      </c>
    </row>
    <row r="57" spans="1:8" ht="23.25" customHeight="1">
      <c r="A57" s="374"/>
      <c r="B57" s="375"/>
      <c r="C57" s="208" t="s">
        <v>164</v>
      </c>
      <c r="D57" s="208"/>
      <c r="E57" s="67">
        <v>8</v>
      </c>
      <c r="F57" s="76" t="s">
        <v>54</v>
      </c>
      <c r="G57" s="77">
        <v>37275</v>
      </c>
      <c r="H57" s="78">
        <f t="shared" si="0"/>
        <v>298200</v>
      </c>
    </row>
    <row r="58" spans="1:8" ht="23.25" customHeight="1">
      <c r="A58" s="374"/>
      <c r="B58" s="375"/>
      <c r="C58" s="208" t="s">
        <v>165</v>
      </c>
      <c r="D58" s="208"/>
      <c r="E58" s="67">
        <v>100</v>
      </c>
      <c r="F58" s="76" t="s">
        <v>55</v>
      </c>
      <c r="G58" s="77">
        <v>9800</v>
      </c>
      <c r="H58" s="78">
        <f t="shared" si="0"/>
        <v>980000</v>
      </c>
    </row>
    <row r="59" spans="1:8" ht="23.25" customHeight="1">
      <c r="A59" s="374"/>
      <c r="B59" s="375"/>
      <c r="C59" s="208" t="s">
        <v>166</v>
      </c>
      <c r="D59" s="208"/>
      <c r="E59" s="67">
        <v>20</v>
      </c>
      <c r="F59" s="76" t="s">
        <v>54</v>
      </c>
      <c r="G59" s="77">
        <v>130200</v>
      </c>
      <c r="H59" s="78">
        <f t="shared" si="0"/>
        <v>2604000</v>
      </c>
    </row>
    <row r="60" spans="1:8" ht="23.25" customHeight="1">
      <c r="A60" s="374"/>
      <c r="B60" s="375"/>
      <c r="C60" s="208" t="s">
        <v>167</v>
      </c>
      <c r="D60" s="208"/>
      <c r="E60" s="67">
        <v>4</v>
      </c>
      <c r="F60" s="76" t="s">
        <v>76</v>
      </c>
      <c r="G60" s="77">
        <v>34175</v>
      </c>
      <c r="H60" s="78">
        <f t="shared" si="0"/>
        <v>136700</v>
      </c>
    </row>
    <row r="61" spans="1:8" ht="23.25" customHeight="1">
      <c r="A61" s="374"/>
      <c r="B61" s="375"/>
      <c r="C61" s="208" t="s">
        <v>168</v>
      </c>
      <c r="D61" s="208"/>
      <c r="E61" s="67">
        <v>4</v>
      </c>
      <c r="F61" s="76" t="s">
        <v>76</v>
      </c>
      <c r="G61" s="77">
        <v>28875</v>
      </c>
      <c r="H61" s="78">
        <f t="shared" si="0"/>
        <v>115500</v>
      </c>
    </row>
    <row r="62" spans="1:8" ht="23.25" customHeight="1">
      <c r="A62" s="374"/>
      <c r="B62" s="375"/>
      <c r="C62" s="208" t="s">
        <v>169</v>
      </c>
      <c r="D62" s="208"/>
      <c r="E62" s="67">
        <v>4</v>
      </c>
      <c r="F62" s="76" t="s">
        <v>76</v>
      </c>
      <c r="G62" s="77">
        <v>20175</v>
      </c>
      <c r="H62" s="78">
        <f t="shared" si="0"/>
        <v>80700</v>
      </c>
    </row>
    <row r="63" spans="1:8" ht="23.25" customHeight="1">
      <c r="A63" s="374"/>
      <c r="B63" s="375"/>
      <c r="C63" s="208" t="s">
        <v>77</v>
      </c>
      <c r="D63" s="208"/>
      <c r="E63" s="67">
        <v>4</v>
      </c>
      <c r="F63" s="76" t="s">
        <v>55</v>
      </c>
      <c r="G63" s="77">
        <v>15000</v>
      </c>
      <c r="H63" s="78">
        <f t="shared" si="0"/>
        <v>60000</v>
      </c>
    </row>
    <row r="64" spans="1:8" ht="23.25" customHeight="1">
      <c r="A64" s="374"/>
      <c r="B64" s="375"/>
      <c r="C64" s="208" t="s">
        <v>78</v>
      </c>
      <c r="D64" s="208"/>
      <c r="E64" s="67">
        <v>2</v>
      </c>
      <c r="F64" s="76" t="s">
        <v>55</v>
      </c>
      <c r="G64" s="77">
        <v>20900</v>
      </c>
      <c r="H64" s="78">
        <f t="shared" si="0"/>
        <v>41800</v>
      </c>
    </row>
    <row r="65" spans="1:80" ht="23.25" customHeight="1">
      <c r="A65" s="374"/>
      <c r="B65" s="375"/>
      <c r="C65" s="208" t="s">
        <v>170</v>
      </c>
      <c r="D65" s="208"/>
      <c r="E65" s="67">
        <v>2</v>
      </c>
      <c r="F65" s="76" t="s">
        <v>55</v>
      </c>
      <c r="G65" s="77">
        <v>20800</v>
      </c>
      <c r="H65" s="78">
        <f t="shared" si="0"/>
        <v>41600</v>
      </c>
    </row>
    <row r="66" spans="1:80" ht="23.25" customHeight="1">
      <c r="A66" s="374"/>
      <c r="B66" s="375"/>
      <c r="C66" s="208" t="s">
        <v>171</v>
      </c>
      <c r="D66" s="208"/>
      <c r="E66" s="67">
        <v>2</v>
      </c>
      <c r="F66" s="76" t="s">
        <v>55</v>
      </c>
      <c r="G66" s="77">
        <v>10500</v>
      </c>
      <c r="H66" s="78">
        <f t="shared" si="0"/>
        <v>21000</v>
      </c>
    </row>
    <row r="67" spans="1:80" ht="23.25" customHeight="1">
      <c r="A67" s="374"/>
      <c r="B67" s="375"/>
      <c r="C67" s="208" t="s">
        <v>172</v>
      </c>
      <c r="D67" s="208"/>
      <c r="E67" s="67">
        <v>2</v>
      </c>
      <c r="F67" s="76" t="s">
        <v>55</v>
      </c>
      <c r="G67" s="77">
        <v>11000</v>
      </c>
      <c r="H67" s="78">
        <f t="shared" si="0"/>
        <v>22000</v>
      </c>
    </row>
    <row r="68" spans="1:80" ht="23.25" customHeight="1">
      <c r="A68" s="374"/>
      <c r="B68" s="375"/>
      <c r="C68" s="208" t="s">
        <v>173</v>
      </c>
      <c r="D68" s="208"/>
      <c r="E68" s="67">
        <v>2</v>
      </c>
      <c r="F68" s="76" t="s">
        <v>60</v>
      </c>
      <c r="G68" s="77">
        <v>13650</v>
      </c>
      <c r="H68" s="78">
        <f t="shared" si="0"/>
        <v>27300</v>
      </c>
    </row>
    <row r="69" spans="1:80" ht="23.25" customHeight="1">
      <c r="A69" s="374"/>
      <c r="B69" s="375"/>
      <c r="C69" s="208" t="s">
        <v>174</v>
      </c>
      <c r="D69" s="208"/>
      <c r="E69" s="67">
        <v>3</v>
      </c>
      <c r="F69" s="76" t="s">
        <v>55</v>
      </c>
      <c r="G69" s="77">
        <v>20325</v>
      </c>
      <c r="H69" s="78">
        <f t="shared" si="0"/>
        <v>60975</v>
      </c>
    </row>
    <row r="70" spans="1:80" ht="23.25" customHeight="1">
      <c r="A70" s="374"/>
      <c r="B70" s="375"/>
      <c r="C70" s="208" t="s">
        <v>79</v>
      </c>
      <c r="D70" s="208"/>
      <c r="E70" s="67">
        <v>3</v>
      </c>
      <c r="F70" s="76" t="s">
        <v>76</v>
      </c>
      <c r="G70" s="77">
        <v>157725</v>
      </c>
      <c r="H70" s="78">
        <f t="shared" si="0"/>
        <v>473175</v>
      </c>
    </row>
    <row r="71" spans="1:80" ht="23.25" customHeight="1">
      <c r="A71" s="374"/>
      <c r="B71" s="375"/>
      <c r="C71" s="208" t="s">
        <v>175</v>
      </c>
      <c r="D71" s="208"/>
      <c r="E71" s="67">
        <v>2</v>
      </c>
      <c r="F71" s="76" t="s">
        <v>76</v>
      </c>
      <c r="G71" s="77">
        <v>164850</v>
      </c>
      <c r="H71" s="78">
        <f t="shared" si="0"/>
        <v>329700</v>
      </c>
    </row>
    <row r="72" spans="1:80" ht="23.25" customHeight="1">
      <c r="A72" s="374"/>
      <c r="B72" s="375"/>
      <c r="C72" s="208" t="s">
        <v>80</v>
      </c>
      <c r="D72" s="208"/>
      <c r="E72" s="67">
        <v>5</v>
      </c>
      <c r="F72" s="76" t="s">
        <v>55</v>
      </c>
      <c r="G72" s="77">
        <v>27300</v>
      </c>
      <c r="H72" s="78">
        <f t="shared" si="0"/>
        <v>136500</v>
      </c>
    </row>
    <row r="73" spans="1:80" ht="23.25" customHeight="1">
      <c r="A73" s="374"/>
      <c r="B73" s="375"/>
      <c r="C73" s="208" t="s">
        <v>81</v>
      </c>
      <c r="D73" s="208"/>
      <c r="E73" s="67">
        <v>5</v>
      </c>
      <c r="F73" s="76" t="s">
        <v>55</v>
      </c>
      <c r="G73" s="77">
        <v>25725</v>
      </c>
      <c r="H73" s="78">
        <f t="shared" si="0"/>
        <v>128625</v>
      </c>
    </row>
    <row r="74" spans="1:80" s="80" customFormat="1" ht="23.25" customHeight="1">
      <c r="A74" s="220" t="s">
        <v>176</v>
      </c>
      <c r="B74" s="222"/>
      <c r="C74" s="251" t="s">
        <v>177</v>
      </c>
      <c r="D74" s="252"/>
      <c r="E74" s="252"/>
      <c r="F74" s="252"/>
      <c r="G74" s="252"/>
      <c r="H74" s="79">
        <f>SUM(H75:H78)</f>
        <v>7087500</v>
      </c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</row>
    <row r="75" spans="1:80" ht="23.25" customHeight="1">
      <c r="A75" s="374"/>
      <c r="B75" s="375"/>
      <c r="C75" s="208" t="s">
        <v>82</v>
      </c>
      <c r="D75" s="208"/>
      <c r="E75" s="67">
        <v>10</v>
      </c>
      <c r="F75" s="68" t="s">
        <v>55</v>
      </c>
      <c r="G75" s="69">
        <v>157500</v>
      </c>
      <c r="H75" s="78">
        <f>E75*G75</f>
        <v>1575000</v>
      </c>
    </row>
    <row r="76" spans="1:80" ht="23.25" customHeight="1">
      <c r="A76" s="374"/>
      <c r="B76" s="375"/>
      <c r="C76" s="208" t="s">
        <v>83</v>
      </c>
      <c r="D76" s="208"/>
      <c r="E76" s="67">
        <v>10</v>
      </c>
      <c r="F76" s="68" t="s">
        <v>55</v>
      </c>
      <c r="G76" s="69">
        <v>157500</v>
      </c>
      <c r="H76" s="78">
        <f>E76*G76</f>
        <v>1575000</v>
      </c>
    </row>
    <row r="77" spans="1:80" ht="23.25" customHeight="1">
      <c r="A77" s="374"/>
      <c r="B77" s="375"/>
      <c r="C77" s="208" t="s">
        <v>84</v>
      </c>
      <c r="D77" s="208"/>
      <c r="E77" s="67">
        <v>15</v>
      </c>
      <c r="F77" s="68" t="s">
        <v>55</v>
      </c>
      <c r="G77" s="69">
        <v>157500</v>
      </c>
      <c r="H77" s="78">
        <f>E77*G77</f>
        <v>2362500</v>
      </c>
    </row>
    <row r="78" spans="1:80" ht="23.25" customHeight="1">
      <c r="A78" s="374"/>
      <c r="B78" s="375"/>
      <c r="C78" s="208" t="s">
        <v>85</v>
      </c>
      <c r="D78" s="208"/>
      <c r="E78" s="67">
        <v>10</v>
      </c>
      <c r="F78" s="68" t="s">
        <v>55</v>
      </c>
      <c r="G78" s="69">
        <v>157500</v>
      </c>
      <c r="H78" s="78">
        <f>E78*G78</f>
        <v>1575000</v>
      </c>
    </row>
    <row r="79" spans="1:80" s="80" customFormat="1" ht="23.25" customHeight="1">
      <c r="A79" s="220" t="s">
        <v>178</v>
      </c>
      <c r="B79" s="222"/>
      <c r="C79" s="232" t="s">
        <v>179</v>
      </c>
      <c r="D79" s="233"/>
      <c r="E79" s="233"/>
      <c r="F79" s="233"/>
      <c r="G79" s="241"/>
      <c r="H79" s="81">
        <f>SUM(H80:H81)</f>
        <v>8422050</v>
      </c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</row>
    <row r="80" spans="1:80" ht="23.25" customHeight="1">
      <c r="A80" s="374"/>
      <c r="B80" s="375"/>
      <c r="C80" s="208" t="s">
        <v>180</v>
      </c>
      <c r="D80" s="208"/>
      <c r="E80" s="67">
        <v>63</v>
      </c>
      <c r="F80" s="68" t="s">
        <v>58</v>
      </c>
      <c r="G80" s="69">
        <v>96600</v>
      </c>
      <c r="H80" s="78">
        <f>E80*G80</f>
        <v>6085800</v>
      </c>
    </row>
    <row r="81" spans="1:80" ht="23.25" customHeight="1">
      <c r="A81" s="374"/>
      <c r="B81" s="375"/>
      <c r="C81" s="208" t="s">
        <v>181</v>
      </c>
      <c r="D81" s="208"/>
      <c r="E81" s="67">
        <v>25</v>
      </c>
      <c r="F81" s="68" t="s">
        <v>58</v>
      </c>
      <c r="G81" s="69">
        <v>93450</v>
      </c>
      <c r="H81" s="78">
        <f>E81*G81</f>
        <v>2336250</v>
      </c>
    </row>
    <row r="82" spans="1:80" s="80" customFormat="1" ht="23.25" customHeight="1">
      <c r="A82" s="220" t="s">
        <v>182</v>
      </c>
      <c r="B82" s="222"/>
      <c r="C82" s="232" t="s">
        <v>183</v>
      </c>
      <c r="D82" s="233"/>
      <c r="E82" s="233"/>
      <c r="F82" s="233"/>
      <c r="G82" s="241"/>
      <c r="H82" s="82">
        <f>SUM(H83:H85)</f>
        <v>32321526.100000001</v>
      </c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</row>
    <row r="83" spans="1:80" ht="23.25" customHeight="1">
      <c r="A83" s="374"/>
      <c r="B83" s="375"/>
      <c r="C83" s="208" t="s">
        <v>69</v>
      </c>
      <c r="D83" s="208"/>
      <c r="E83" s="67">
        <v>46978.646000000001</v>
      </c>
      <c r="F83" s="68" t="s">
        <v>62</v>
      </c>
      <c r="G83" s="69">
        <v>350</v>
      </c>
      <c r="H83" s="78">
        <f>E83*G83</f>
        <v>16442526.1</v>
      </c>
    </row>
    <row r="84" spans="1:80" ht="23.25" customHeight="1">
      <c r="A84" s="374"/>
      <c r="B84" s="375"/>
      <c r="C84" s="208" t="s">
        <v>70</v>
      </c>
      <c r="D84" s="208"/>
      <c r="E84" s="67">
        <v>25620</v>
      </c>
      <c r="F84" s="68" t="s">
        <v>62</v>
      </c>
      <c r="G84" s="69">
        <v>350</v>
      </c>
      <c r="H84" s="78">
        <f>E84*G84</f>
        <v>8967000</v>
      </c>
    </row>
    <row r="85" spans="1:80" ht="32.25" customHeight="1">
      <c r="A85" s="374"/>
      <c r="B85" s="375"/>
      <c r="C85" s="208" t="s">
        <v>71</v>
      </c>
      <c r="D85" s="208"/>
      <c r="E85" s="67">
        <v>96</v>
      </c>
      <c r="F85" s="68" t="s">
        <v>57</v>
      </c>
      <c r="G85" s="69">
        <v>72000</v>
      </c>
      <c r="H85" s="78">
        <f>E85*G85</f>
        <v>6912000</v>
      </c>
    </row>
    <row r="86" spans="1:80" s="80" customFormat="1" ht="23.25" customHeight="1">
      <c r="A86" s="220" t="s">
        <v>184</v>
      </c>
      <c r="B86" s="222"/>
      <c r="C86" s="232" t="s">
        <v>185</v>
      </c>
      <c r="D86" s="233"/>
      <c r="E86" s="72"/>
      <c r="F86" s="83"/>
      <c r="G86" s="84"/>
      <c r="H86" s="82">
        <f>SUM(H87:H88)</f>
        <v>13500000</v>
      </c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</row>
    <row r="87" spans="1:80" ht="36" customHeight="1">
      <c r="A87" s="374"/>
      <c r="B87" s="375"/>
      <c r="C87" s="218" t="s">
        <v>72</v>
      </c>
      <c r="D87" s="219"/>
      <c r="E87" s="67">
        <v>300</v>
      </c>
      <c r="F87" s="68" t="s">
        <v>73</v>
      </c>
      <c r="G87" s="69">
        <v>30000</v>
      </c>
      <c r="H87" s="78">
        <f>E87*G87</f>
        <v>9000000</v>
      </c>
    </row>
    <row r="88" spans="1:80" ht="35.25" customHeight="1">
      <c r="A88" s="374"/>
      <c r="B88" s="375"/>
      <c r="C88" s="218" t="s">
        <v>74</v>
      </c>
      <c r="D88" s="219"/>
      <c r="E88" s="67">
        <v>300</v>
      </c>
      <c r="F88" s="68" t="s">
        <v>73</v>
      </c>
      <c r="G88" s="69">
        <v>15000</v>
      </c>
      <c r="H88" s="78">
        <f>E88*G88</f>
        <v>4500000</v>
      </c>
    </row>
    <row r="89" spans="1:80" s="86" customFormat="1" ht="24" customHeight="1">
      <c r="A89" s="220" t="s">
        <v>186</v>
      </c>
      <c r="B89" s="222"/>
      <c r="C89" s="232" t="s">
        <v>187</v>
      </c>
      <c r="D89" s="233"/>
      <c r="E89" s="233"/>
      <c r="F89" s="233"/>
      <c r="G89" s="241"/>
      <c r="H89" s="85">
        <f>SUM(H91)</f>
        <v>13600000</v>
      </c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  <c r="BM89" s="92"/>
      <c r="BN89" s="92"/>
      <c r="BO89" s="92"/>
      <c r="BP89" s="92"/>
      <c r="BQ89" s="92"/>
      <c r="BR89" s="92"/>
      <c r="BS89" s="92"/>
      <c r="BT89" s="92"/>
      <c r="BU89" s="92"/>
      <c r="BV89" s="92"/>
      <c r="BW89" s="92"/>
      <c r="BX89" s="92"/>
      <c r="BY89" s="92"/>
      <c r="BZ89" s="92"/>
      <c r="CA89" s="92"/>
      <c r="CB89" s="92"/>
    </row>
    <row r="90" spans="1:80" s="92" customFormat="1" ht="17.25" customHeight="1">
      <c r="A90" s="374"/>
      <c r="B90" s="375"/>
      <c r="C90" s="87" t="s">
        <v>188</v>
      </c>
      <c r="D90" s="88"/>
      <c r="E90" s="89"/>
      <c r="F90" s="90"/>
      <c r="G90" s="91"/>
      <c r="H90" s="54"/>
    </row>
    <row r="91" spans="1:80" ht="26.1" customHeight="1">
      <c r="A91" s="374"/>
      <c r="B91" s="375"/>
      <c r="C91" s="218" t="s">
        <v>189</v>
      </c>
      <c r="D91" s="394"/>
      <c r="E91" s="67" t="s">
        <v>190</v>
      </c>
      <c r="F91" s="68" t="s">
        <v>191</v>
      </c>
      <c r="G91" s="69">
        <v>1700000</v>
      </c>
      <c r="H91" s="78">
        <f>2*4*G91</f>
        <v>13600000</v>
      </c>
    </row>
    <row r="92" spans="1:80" s="80" customFormat="1" ht="35.1" customHeight="1">
      <c r="A92" s="220" t="s">
        <v>207</v>
      </c>
      <c r="B92" s="222"/>
      <c r="C92" s="376" t="s">
        <v>208</v>
      </c>
      <c r="D92" s="377"/>
      <c r="E92" s="377"/>
      <c r="F92" s="377"/>
      <c r="G92" s="378"/>
      <c r="H92" s="81">
        <f>H93</f>
        <v>641207300</v>
      </c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</row>
    <row r="93" spans="1:80" ht="35.1" customHeight="1">
      <c r="A93" s="374"/>
      <c r="B93" s="375"/>
      <c r="C93" s="408" t="s">
        <v>209</v>
      </c>
      <c r="D93" s="409"/>
      <c r="E93" s="52">
        <v>1</v>
      </c>
      <c r="F93" s="99" t="s">
        <v>53</v>
      </c>
      <c r="G93" s="78">
        <v>641207300</v>
      </c>
      <c r="H93" s="78">
        <f>E93*G93</f>
        <v>641207300</v>
      </c>
    </row>
    <row r="94" spans="1:80" s="80" customFormat="1" ht="35.1" customHeight="1">
      <c r="A94" s="220" t="s">
        <v>210</v>
      </c>
      <c r="B94" s="222"/>
      <c r="C94" s="220" t="s">
        <v>211</v>
      </c>
      <c r="D94" s="221"/>
      <c r="E94" s="221"/>
      <c r="F94" s="221"/>
      <c r="G94" s="222"/>
      <c r="H94" s="81">
        <f>SUM(H95)</f>
        <v>119350000</v>
      </c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</row>
    <row r="95" spans="1:80" ht="35.1" customHeight="1">
      <c r="A95" s="374"/>
      <c r="B95" s="375"/>
      <c r="C95" s="212" t="s">
        <v>212</v>
      </c>
      <c r="D95" s="213"/>
      <c r="E95" s="52"/>
      <c r="F95" s="49"/>
      <c r="G95" s="78"/>
      <c r="H95" s="100">
        <f>SUM(H96:H135)</f>
        <v>119350000</v>
      </c>
    </row>
    <row r="96" spans="1:80" ht="35.1" customHeight="1">
      <c r="A96" s="374"/>
      <c r="B96" s="375"/>
      <c r="C96" s="208" t="s">
        <v>213</v>
      </c>
      <c r="D96" s="208"/>
      <c r="E96" s="67">
        <v>300</v>
      </c>
      <c r="F96" s="68" t="s">
        <v>61</v>
      </c>
      <c r="G96" s="69">
        <v>170000</v>
      </c>
      <c r="H96" s="78">
        <f t="shared" ref="H96:H141" si="1">E96*G96</f>
        <v>51000000</v>
      </c>
    </row>
    <row r="97" spans="1:8" ht="35.1" customHeight="1">
      <c r="A97" s="374"/>
      <c r="B97" s="375"/>
      <c r="C97" s="208" t="s">
        <v>214</v>
      </c>
      <c r="D97" s="208"/>
      <c r="E97" s="52">
        <v>10</v>
      </c>
      <c r="F97" s="68" t="s">
        <v>73</v>
      </c>
      <c r="G97" s="78">
        <v>135000</v>
      </c>
      <c r="H97" s="78">
        <f t="shared" si="1"/>
        <v>1350000</v>
      </c>
    </row>
    <row r="98" spans="1:8" ht="35.1" customHeight="1">
      <c r="A98" s="374"/>
      <c r="B98" s="375"/>
      <c r="C98" s="208" t="s">
        <v>215</v>
      </c>
      <c r="D98" s="208"/>
      <c r="E98" s="67">
        <v>10</v>
      </c>
      <c r="F98" s="68" t="s">
        <v>73</v>
      </c>
      <c r="G98" s="78">
        <v>90000</v>
      </c>
      <c r="H98" s="78">
        <f t="shared" si="1"/>
        <v>900000</v>
      </c>
    </row>
    <row r="99" spans="1:8" ht="35.1" customHeight="1">
      <c r="A99" s="374"/>
      <c r="B99" s="375"/>
      <c r="C99" s="208" t="s">
        <v>216</v>
      </c>
      <c r="D99" s="208"/>
      <c r="E99" s="52">
        <v>10</v>
      </c>
      <c r="F99" s="68" t="s">
        <v>73</v>
      </c>
      <c r="G99" s="78">
        <v>185000</v>
      </c>
      <c r="H99" s="78">
        <f t="shared" si="1"/>
        <v>1850000</v>
      </c>
    </row>
    <row r="100" spans="1:8" ht="35.1" customHeight="1">
      <c r="A100" s="374"/>
      <c r="B100" s="375"/>
      <c r="C100" s="208" t="s">
        <v>217</v>
      </c>
      <c r="D100" s="208"/>
      <c r="E100" s="52">
        <v>10</v>
      </c>
      <c r="F100" s="68" t="s">
        <v>73</v>
      </c>
      <c r="G100" s="78">
        <v>200000</v>
      </c>
      <c r="H100" s="78">
        <f t="shared" si="1"/>
        <v>2000000</v>
      </c>
    </row>
    <row r="101" spans="1:8" ht="35.1" customHeight="1">
      <c r="A101" s="374"/>
      <c r="B101" s="375"/>
      <c r="C101" s="208" t="s">
        <v>218</v>
      </c>
      <c r="D101" s="208"/>
      <c r="E101" s="67">
        <v>10</v>
      </c>
      <c r="F101" s="68" t="s">
        <v>73</v>
      </c>
      <c r="G101" s="78">
        <v>145000</v>
      </c>
      <c r="H101" s="78">
        <f t="shared" si="1"/>
        <v>1450000</v>
      </c>
    </row>
    <row r="102" spans="1:8" ht="35.1" customHeight="1">
      <c r="A102" s="374"/>
      <c r="B102" s="375"/>
      <c r="C102" s="208" t="s">
        <v>219</v>
      </c>
      <c r="D102" s="208"/>
      <c r="E102" s="52">
        <v>10</v>
      </c>
      <c r="F102" s="68" t="s">
        <v>73</v>
      </c>
      <c r="G102" s="78">
        <v>180000</v>
      </c>
      <c r="H102" s="78">
        <f t="shared" si="1"/>
        <v>1800000</v>
      </c>
    </row>
    <row r="103" spans="1:8" ht="35.1" customHeight="1">
      <c r="A103" s="374"/>
      <c r="B103" s="375"/>
      <c r="C103" s="208" t="s">
        <v>220</v>
      </c>
      <c r="D103" s="208"/>
      <c r="E103" s="52">
        <v>10</v>
      </c>
      <c r="F103" s="68" t="s">
        <v>73</v>
      </c>
      <c r="G103" s="78">
        <v>160000</v>
      </c>
      <c r="H103" s="78">
        <f t="shared" si="1"/>
        <v>1600000</v>
      </c>
    </row>
    <row r="104" spans="1:8" ht="35.1" customHeight="1">
      <c r="A104" s="374"/>
      <c r="B104" s="375"/>
      <c r="C104" s="208" t="s">
        <v>221</v>
      </c>
      <c r="D104" s="208"/>
      <c r="E104" s="67">
        <v>10</v>
      </c>
      <c r="F104" s="68" t="s">
        <v>73</v>
      </c>
      <c r="G104" s="78">
        <v>185000</v>
      </c>
      <c r="H104" s="78">
        <f t="shared" si="1"/>
        <v>1850000</v>
      </c>
    </row>
    <row r="105" spans="1:8" ht="35.1" customHeight="1">
      <c r="A105" s="374"/>
      <c r="B105" s="375"/>
      <c r="C105" s="208" t="s">
        <v>222</v>
      </c>
      <c r="D105" s="208"/>
      <c r="E105" s="52">
        <v>10</v>
      </c>
      <c r="F105" s="68" t="s">
        <v>73</v>
      </c>
      <c r="G105" s="78">
        <v>210000</v>
      </c>
      <c r="H105" s="78">
        <f t="shared" si="1"/>
        <v>2100000</v>
      </c>
    </row>
    <row r="106" spans="1:8" ht="35.1" customHeight="1">
      <c r="A106" s="374"/>
      <c r="B106" s="375"/>
      <c r="C106" s="208" t="s">
        <v>223</v>
      </c>
      <c r="D106" s="208"/>
      <c r="E106" s="52">
        <v>10</v>
      </c>
      <c r="F106" s="68" t="s">
        <v>73</v>
      </c>
      <c r="G106" s="78">
        <v>160000</v>
      </c>
      <c r="H106" s="78">
        <f t="shared" si="1"/>
        <v>1600000</v>
      </c>
    </row>
    <row r="107" spans="1:8" ht="35.1" customHeight="1">
      <c r="A107" s="374"/>
      <c r="B107" s="375"/>
      <c r="C107" s="208" t="s">
        <v>224</v>
      </c>
      <c r="D107" s="208"/>
      <c r="E107" s="67">
        <v>10</v>
      </c>
      <c r="F107" s="68" t="s">
        <v>73</v>
      </c>
      <c r="G107" s="78">
        <v>140000</v>
      </c>
      <c r="H107" s="78">
        <f t="shared" si="1"/>
        <v>1400000</v>
      </c>
    </row>
    <row r="108" spans="1:8" ht="35.1" customHeight="1">
      <c r="A108" s="374"/>
      <c r="B108" s="375"/>
      <c r="C108" s="208" t="s">
        <v>225</v>
      </c>
      <c r="D108" s="208"/>
      <c r="E108" s="52">
        <v>10</v>
      </c>
      <c r="F108" s="68" t="s">
        <v>73</v>
      </c>
      <c r="G108" s="78">
        <v>125000</v>
      </c>
      <c r="H108" s="78">
        <f t="shared" si="1"/>
        <v>1250000</v>
      </c>
    </row>
    <row r="109" spans="1:8" ht="35.1" customHeight="1">
      <c r="A109" s="374"/>
      <c r="B109" s="375"/>
      <c r="C109" s="208" t="s">
        <v>226</v>
      </c>
      <c r="D109" s="208"/>
      <c r="E109" s="52">
        <v>10</v>
      </c>
      <c r="F109" s="68" t="s">
        <v>73</v>
      </c>
      <c r="G109" s="78">
        <v>185000</v>
      </c>
      <c r="H109" s="78">
        <f t="shared" si="1"/>
        <v>1850000</v>
      </c>
    </row>
    <row r="110" spans="1:8" ht="35.1" customHeight="1">
      <c r="A110" s="374"/>
      <c r="B110" s="375"/>
      <c r="C110" s="208" t="s">
        <v>227</v>
      </c>
      <c r="D110" s="208"/>
      <c r="E110" s="67">
        <v>10</v>
      </c>
      <c r="F110" s="68" t="s">
        <v>73</v>
      </c>
      <c r="G110" s="78">
        <v>140000</v>
      </c>
      <c r="H110" s="78">
        <f t="shared" si="1"/>
        <v>1400000</v>
      </c>
    </row>
    <row r="111" spans="1:8" ht="35.1" customHeight="1">
      <c r="A111" s="374"/>
      <c r="B111" s="375"/>
      <c r="C111" s="208" t="s">
        <v>228</v>
      </c>
      <c r="D111" s="208"/>
      <c r="E111" s="52">
        <v>10</v>
      </c>
      <c r="F111" s="68" t="s">
        <v>73</v>
      </c>
      <c r="G111" s="78">
        <v>95000</v>
      </c>
      <c r="H111" s="78">
        <f t="shared" si="1"/>
        <v>950000</v>
      </c>
    </row>
    <row r="112" spans="1:8" ht="35.1" customHeight="1">
      <c r="A112" s="374"/>
      <c r="B112" s="375"/>
      <c r="C112" s="208" t="s">
        <v>229</v>
      </c>
      <c r="D112" s="208"/>
      <c r="E112" s="52">
        <v>10</v>
      </c>
      <c r="F112" s="68" t="s">
        <v>73</v>
      </c>
      <c r="G112" s="78">
        <v>140000</v>
      </c>
      <c r="H112" s="78">
        <f t="shared" si="1"/>
        <v>1400000</v>
      </c>
    </row>
    <row r="113" spans="1:8" ht="35.1" customHeight="1">
      <c r="A113" s="374"/>
      <c r="B113" s="375"/>
      <c r="C113" s="208" t="s">
        <v>230</v>
      </c>
      <c r="D113" s="208"/>
      <c r="E113" s="67">
        <v>10</v>
      </c>
      <c r="F113" s="68" t="s">
        <v>73</v>
      </c>
      <c r="G113" s="78">
        <v>365000</v>
      </c>
      <c r="H113" s="78">
        <f t="shared" si="1"/>
        <v>3650000</v>
      </c>
    </row>
    <row r="114" spans="1:8" ht="35.1" customHeight="1">
      <c r="A114" s="374"/>
      <c r="B114" s="375"/>
      <c r="C114" s="208" t="s">
        <v>231</v>
      </c>
      <c r="D114" s="208"/>
      <c r="E114" s="52">
        <v>10</v>
      </c>
      <c r="F114" s="68" t="s">
        <v>73</v>
      </c>
      <c r="G114" s="78">
        <v>145000</v>
      </c>
      <c r="H114" s="78">
        <f t="shared" si="1"/>
        <v>1450000</v>
      </c>
    </row>
    <row r="115" spans="1:8" ht="35.1" customHeight="1">
      <c r="A115" s="374"/>
      <c r="B115" s="375"/>
      <c r="C115" s="208" t="s">
        <v>232</v>
      </c>
      <c r="D115" s="208"/>
      <c r="E115" s="52">
        <v>10</v>
      </c>
      <c r="F115" s="68" t="s">
        <v>73</v>
      </c>
      <c r="G115" s="78">
        <v>245000</v>
      </c>
      <c r="H115" s="78">
        <f t="shared" si="1"/>
        <v>2450000</v>
      </c>
    </row>
    <row r="116" spans="1:8" ht="35.1" customHeight="1">
      <c r="A116" s="374"/>
      <c r="B116" s="375"/>
      <c r="C116" s="208" t="s">
        <v>233</v>
      </c>
      <c r="D116" s="208"/>
      <c r="E116" s="67">
        <v>10</v>
      </c>
      <c r="F116" s="68" t="s">
        <v>73</v>
      </c>
      <c r="G116" s="78">
        <v>165000</v>
      </c>
      <c r="H116" s="78">
        <f t="shared" si="1"/>
        <v>1650000</v>
      </c>
    </row>
    <row r="117" spans="1:8" ht="35.1" customHeight="1">
      <c r="A117" s="374"/>
      <c r="B117" s="375"/>
      <c r="C117" s="208" t="s">
        <v>234</v>
      </c>
      <c r="D117" s="208"/>
      <c r="E117" s="52">
        <v>10</v>
      </c>
      <c r="F117" s="68" t="s">
        <v>73</v>
      </c>
      <c r="G117" s="78">
        <v>115000</v>
      </c>
      <c r="H117" s="78">
        <f t="shared" si="1"/>
        <v>1150000</v>
      </c>
    </row>
    <row r="118" spans="1:8" ht="35.1" customHeight="1">
      <c r="A118" s="374"/>
      <c r="B118" s="375"/>
      <c r="C118" s="208" t="s">
        <v>235</v>
      </c>
      <c r="D118" s="208"/>
      <c r="E118" s="52">
        <v>10</v>
      </c>
      <c r="F118" s="68" t="s">
        <v>73</v>
      </c>
      <c r="G118" s="78">
        <v>120000</v>
      </c>
      <c r="H118" s="78">
        <f t="shared" si="1"/>
        <v>1200000</v>
      </c>
    </row>
    <row r="119" spans="1:8" ht="35.1" customHeight="1">
      <c r="A119" s="374"/>
      <c r="B119" s="375"/>
      <c r="C119" s="208" t="s">
        <v>236</v>
      </c>
      <c r="D119" s="208"/>
      <c r="E119" s="67">
        <v>10</v>
      </c>
      <c r="F119" s="68" t="s">
        <v>73</v>
      </c>
      <c r="G119" s="78">
        <v>210000</v>
      </c>
      <c r="H119" s="78">
        <f t="shared" si="1"/>
        <v>2100000</v>
      </c>
    </row>
    <row r="120" spans="1:8" ht="35.1" customHeight="1">
      <c r="A120" s="374"/>
      <c r="B120" s="375"/>
      <c r="C120" s="208" t="s">
        <v>237</v>
      </c>
      <c r="D120" s="208"/>
      <c r="E120" s="52">
        <v>10</v>
      </c>
      <c r="F120" s="68" t="s">
        <v>73</v>
      </c>
      <c r="G120" s="78">
        <v>220000</v>
      </c>
      <c r="H120" s="78">
        <f t="shared" si="1"/>
        <v>2200000</v>
      </c>
    </row>
    <row r="121" spans="1:8" ht="35.1" customHeight="1">
      <c r="A121" s="374"/>
      <c r="B121" s="375"/>
      <c r="C121" s="208" t="s">
        <v>238</v>
      </c>
      <c r="D121" s="208"/>
      <c r="E121" s="52">
        <v>10</v>
      </c>
      <c r="F121" s="68" t="s">
        <v>73</v>
      </c>
      <c r="G121" s="78">
        <v>160000</v>
      </c>
      <c r="H121" s="78">
        <f t="shared" si="1"/>
        <v>1600000</v>
      </c>
    </row>
    <row r="122" spans="1:8" ht="35.1" customHeight="1">
      <c r="A122" s="374"/>
      <c r="B122" s="375"/>
      <c r="C122" s="208" t="s">
        <v>239</v>
      </c>
      <c r="D122" s="208"/>
      <c r="E122" s="67">
        <v>10</v>
      </c>
      <c r="F122" s="68" t="s">
        <v>73</v>
      </c>
      <c r="G122" s="78">
        <v>255000</v>
      </c>
      <c r="H122" s="78">
        <f t="shared" si="1"/>
        <v>2550000</v>
      </c>
    </row>
    <row r="123" spans="1:8" ht="35.1" customHeight="1">
      <c r="A123" s="374"/>
      <c r="B123" s="375"/>
      <c r="C123" s="208" t="s">
        <v>240</v>
      </c>
      <c r="D123" s="208"/>
      <c r="E123" s="52">
        <v>10</v>
      </c>
      <c r="F123" s="68" t="s">
        <v>73</v>
      </c>
      <c r="G123" s="78">
        <v>210000</v>
      </c>
      <c r="H123" s="78">
        <f t="shared" si="1"/>
        <v>2100000</v>
      </c>
    </row>
    <row r="124" spans="1:8" ht="35.1" customHeight="1">
      <c r="A124" s="374"/>
      <c r="B124" s="375"/>
      <c r="C124" s="208" t="s">
        <v>241</v>
      </c>
      <c r="D124" s="208"/>
      <c r="E124" s="52">
        <v>10</v>
      </c>
      <c r="F124" s="68" t="s">
        <v>73</v>
      </c>
      <c r="G124" s="78">
        <v>130000</v>
      </c>
      <c r="H124" s="78">
        <f t="shared" si="1"/>
        <v>1300000</v>
      </c>
    </row>
    <row r="125" spans="1:8" ht="35.1" customHeight="1">
      <c r="A125" s="374"/>
      <c r="B125" s="375"/>
      <c r="C125" s="208" t="s">
        <v>242</v>
      </c>
      <c r="D125" s="208"/>
      <c r="E125" s="67">
        <v>10</v>
      </c>
      <c r="F125" s="68" t="s">
        <v>73</v>
      </c>
      <c r="G125" s="78">
        <v>205000</v>
      </c>
      <c r="H125" s="78">
        <f t="shared" si="1"/>
        <v>2050000</v>
      </c>
    </row>
    <row r="126" spans="1:8" ht="35.1" customHeight="1">
      <c r="A126" s="374"/>
      <c r="B126" s="375"/>
      <c r="C126" s="208" t="s">
        <v>243</v>
      </c>
      <c r="D126" s="208"/>
      <c r="E126" s="52">
        <v>10</v>
      </c>
      <c r="F126" s="68" t="s">
        <v>73</v>
      </c>
      <c r="G126" s="78">
        <v>125000</v>
      </c>
      <c r="H126" s="78">
        <f t="shared" si="1"/>
        <v>1250000</v>
      </c>
    </row>
    <row r="127" spans="1:8" ht="35.1" customHeight="1">
      <c r="A127" s="374"/>
      <c r="B127" s="375"/>
      <c r="C127" s="208" t="s">
        <v>244</v>
      </c>
      <c r="D127" s="208"/>
      <c r="E127" s="52">
        <v>10</v>
      </c>
      <c r="F127" s="68" t="s">
        <v>73</v>
      </c>
      <c r="G127" s="78">
        <v>170000</v>
      </c>
      <c r="H127" s="78">
        <f t="shared" si="1"/>
        <v>1700000</v>
      </c>
    </row>
    <row r="128" spans="1:8" ht="35.1" customHeight="1">
      <c r="A128" s="374"/>
      <c r="B128" s="375"/>
      <c r="C128" s="208" t="s">
        <v>245</v>
      </c>
      <c r="D128" s="208"/>
      <c r="E128" s="67">
        <v>10</v>
      </c>
      <c r="F128" s="68" t="s">
        <v>73</v>
      </c>
      <c r="G128" s="78">
        <v>255000</v>
      </c>
      <c r="H128" s="78">
        <f t="shared" si="1"/>
        <v>2550000</v>
      </c>
    </row>
    <row r="129" spans="1:80" ht="35.1" customHeight="1">
      <c r="A129" s="374"/>
      <c r="B129" s="375"/>
      <c r="C129" s="208" t="s">
        <v>246</v>
      </c>
      <c r="D129" s="208"/>
      <c r="E129" s="52">
        <v>10</v>
      </c>
      <c r="F129" s="68" t="s">
        <v>73</v>
      </c>
      <c r="G129" s="78">
        <v>175000</v>
      </c>
      <c r="H129" s="78">
        <f t="shared" si="1"/>
        <v>1750000</v>
      </c>
    </row>
    <row r="130" spans="1:80" ht="35.1" customHeight="1">
      <c r="A130" s="374"/>
      <c r="B130" s="375"/>
      <c r="C130" s="208" t="s">
        <v>247</v>
      </c>
      <c r="D130" s="208"/>
      <c r="E130" s="52">
        <v>10</v>
      </c>
      <c r="F130" s="68" t="s">
        <v>73</v>
      </c>
      <c r="G130" s="78">
        <v>120000</v>
      </c>
      <c r="H130" s="78">
        <f t="shared" si="1"/>
        <v>1200000</v>
      </c>
    </row>
    <row r="131" spans="1:80" ht="35.1" customHeight="1">
      <c r="A131" s="374"/>
      <c r="B131" s="375"/>
      <c r="C131" s="208" t="s">
        <v>248</v>
      </c>
      <c r="D131" s="208"/>
      <c r="E131" s="67">
        <v>10</v>
      </c>
      <c r="F131" s="68" t="s">
        <v>73</v>
      </c>
      <c r="G131" s="78">
        <v>100000</v>
      </c>
      <c r="H131" s="78">
        <f t="shared" si="1"/>
        <v>1000000</v>
      </c>
    </row>
    <row r="132" spans="1:80" ht="35.1" customHeight="1">
      <c r="A132" s="374"/>
      <c r="B132" s="375"/>
      <c r="C132" s="208" t="s">
        <v>249</v>
      </c>
      <c r="D132" s="208"/>
      <c r="E132" s="52">
        <v>10</v>
      </c>
      <c r="F132" s="68" t="s">
        <v>73</v>
      </c>
      <c r="G132" s="78">
        <v>165000</v>
      </c>
      <c r="H132" s="78">
        <f t="shared" si="1"/>
        <v>1650000</v>
      </c>
    </row>
    <row r="133" spans="1:80" ht="35.1" customHeight="1">
      <c r="A133" s="374"/>
      <c r="B133" s="375"/>
      <c r="C133" s="208" t="s">
        <v>250</v>
      </c>
      <c r="D133" s="208"/>
      <c r="E133" s="52">
        <v>10</v>
      </c>
      <c r="F133" s="68" t="s">
        <v>73</v>
      </c>
      <c r="G133" s="78">
        <v>220000</v>
      </c>
      <c r="H133" s="78">
        <f t="shared" si="1"/>
        <v>2200000</v>
      </c>
    </row>
    <row r="134" spans="1:80" ht="35.1" customHeight="1">
      <c r="A134" s="374"/>
      <c r="B134" s="375"/>
      <c r="C134" s="208" t="s">
        <v>251</v>
      </c>
      <c r="D134" s="208"/>
      <c r="E134" s="67">
        <v>10</v>
      </c>
      <c r="F134" s="68" t="s">
        <v>73</v>
      </c>
      <c r="G134" s="78">
        <v>320000</v>
      </c>
      <c r="H134" s="78">
        <f t="shared" si="1"/>
        <v>3200000</v>
      </c>
    </row>
    <row r="135" spans="1:80" ht="35.1" customHeight="1">
      <c r="A135" s="374"/>
      <c r="B135" s="375"/>
      <c r="C135" s="208" t="s">
        <v>252</v>
      </c>
      <c r="D135" s="208"/>
      <c r="E135" s="52">
        <v>10</v>
      </c>
      <c r="F135" s="68" t="s">
        <v>73</v>
      </c>
      <c r="G135" s="78">
        <v>165000</v>
      </c>
      <c r="H135" s="78">
        <f t="shared" si="1"/>
        <v>1650000</v>
      </c>
    </row>
    <row r="136" spans="1:80" s="64" customFormat="1" ht="35.1" customHeight="1">
      <c r="A136" s="220" t="s">
        <v>253</v>
      </c>
      <c r="B136" s="222"/>
      <c r="C136" s="251" t="s">
        <v>254</v>
      </c>
      <c r="D136" s="252"/>
      <c r="E136" s="252"/>
      <c r="F136" s="252"/>
      <c r="G136" s="405"/>
      <c r="H136" s="101">
        <f>SUM(H137:H141)</f>
        <v>17200000</v>
      </c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  <c r="AU136" s="118"/>
      <c r="AV136" s="118"/>
      <c r="AW136" s="118"/>
      <c r="AX136" s="118"/>
      <c r="AY136" s="118"/>
      <c r="AZ136" s="118"/>
      <c r="BA136" s="118"/>
      <c r="BB136" s="118"/>
      <c r="BC136" s="118"/>
      <c r="BD136" s="118"/>
      <c r="BE136" s="118"/>
      <c r="BF136" s="118"/>
      <c r="BG136" s="118"/>
      <c r="BH136" s="118"/>
      <c r="BI136" s="118"/>
      <c r="BJ136" s="118"/>
      <c r="BK136" s="118"/>
      <c r="BL136" s="118"/>
      <c r="BM136" s="118"/>
      <c r="BN136" s="118"/>
      <c r="BO136" s="118"/>
      <c r="BP136" s="118"/>
      <c r="BQ136" s="118"/>
      <c r="BR136" s="118"/>
      <c r="BS136" s="118"/>
      <c r="BT136" s="118"/>
      <c r="BU136" s="118"/>
      <c r="BV136" s="118"/>
      <c r="BW136" s="118"/>
      <c r="BX136" s="118"/>
      <c r="BY136" s="118"/>
      <c r="BZ136" s="118"/>
      <c r="CA136" s="118"/>
      <c r="CB136" s="118"/>
    </row>
    <row r="137" spans="1:80" ht="35.1" customHeight="1">
      <c r="A137" s="374"/>
      <c r="B137" s="375"/>
      <c r="C137" s="214" t="s">
        <v>66</v>
      </c>
      <c r="D137" s="216"/>
      <c r="E137" s="52">
        <v>20</v>
      </c>
      <c r="F137" s="68" t="s">
        <v>123</v>
      </c>
      <c r="G137" s="78">
        <v>430000</v>
      </c>
      <c r="H137" s="78">
        <f t="shared" si="1"/>
        <v>8600000</v>
      </c>
    </row>
    <row r="138" spans="1:80" ht="35.1" customHeight="1">
      <c r="A138" s="374"/>
      <c r="B138" s="375"/>
      <c r="C138" s="214" t="s">
        <v>255</v>
      </c>
      <c r="D138" s="215"/>
      <c r="E138" s="52">
        <v>5</v>
      </c>
      <c r="F138" s="68" t="s">
        <v>73</v>
      </c>
      <c r="G138" s="78">
        <v>185000</v>
      </c>
      <c r="H138" s="78">
        <f t="shared" si="1"/>
        <v>925000</v>
      </c>
    </row>
    <row r="139" spans="1:80" ht="35.1" customHeight="1">
      <c r="A139" s="374"/>
      <c r="B139" s="375"/>
      <c r="C139" s="214" t="s">
        <v>256</v>
      </c>
      <c r="D139" s="215"/>
      <c r="E139" s="52">
        <v>5</v>
      </c>
      <c r="F139" s="68" t="s">
        <v>73</v>
      </c>
      <c r="G139" s="78">
        <v>175000</v>
      </c>
      <c r="H139" s="78">
        <f t="shared" si="1"/>
        <v>875000</v>
      </c>
    </row>
    <row r="140" spans="1:80" ht="35.1" customHeight="1">
      <c r="A140" s="374"/>
      <c r="B140" s="375"/>
      <c r="C140" s="214" t="s">
        <v>257</v>
      </c>
      <c r="D140" s="216"/>
      <c r="E140" s="52">
        <v>10</v>
      </c>
      <c r="F140" s="68" t="s">
        <v>123</v>
      </c>
      <c r="G140" s="78">
        <v>530000</v>
      </c>
      <c r="H140" s="78">
        <f t="shared" si="1"/>
        <v>5300000</v>
      </c>
    </row>
    <row r="141" spans="1:80" ht="35.1" customHeight="1">
      <c r="A141" s="374"/>
      <c r="B141" s="375"/>
      <c r="C141" s="214" t="s">
        <v>258</v>
      </c>
      <c r="D141" s="215"/>
      <c r="E141" s="52">
        <v>5</v>
      </c>
      <c r="F141" s="68" t="s">
        <v>73</v>
      </c>
      <c r="G141" s="78">
        <v>300000</v>
      </c>
      <c r="H141" s="78">
        <f t="shared" si="1"/>
        <v>1500000</v>
      </c>
    </row>
    <row r="142" spans="1:80" s="86" customFormat="1" ht="35.1" customHeight="1">
      <c r="A142" s="401" t="s">
        <v>259</v>
      </c>
      <c r="B142" s="401"/>
      <c r="C142" s="236" t="s">
        <v>260</v>
      </c>
      <c r="D142" s="236"/>
      <c r="E142" s="236"/>
      <c r="F142" s="236"/>
      <c r="G142" s="81"/>
      <c r="H142" s="81">
        <f>SUM(H143)</f>
        <v>12000000</v>
      </c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  <c r="BM142" s="92"/>
      <c r="BN142" s="92"/>
      <c r="BO142" s="92"/>
      <c r="BP142" s="92"/>
      <c r="BQ142" s="92"/>
      <c r="BR142" s="92"/>
      <c r="BS142" s="92"/>
      <c r="BT142" s="92"/>
      <c r="BU142" s="92"/>
      <c r="BV142" s="92"/>
      <c r="BW142" s="92"/>
      <c r="BX142" s="92"/>
      <c r="BY142" s="92"/>
      <c r="BZ142" s="92"/>
      <c r="CA142" s="92"/>
      <c r="CB142" s="92"/>
    </row>
    <row r="143" spans="1:80" ht="35.1" customHeight="1">
      <c r="A143" s="278"/>
      <c r="B143" s="402"/>
      <c r="C143" s="214" t="s">
        <v>261</v>
      </c>
      <c r="D143" s="215"/>
      <c r="E143" s="52">
        <v>3</v>
      </c>
      <c r="F143" s="68" t="s">
        <v>123</v>
      </c>
      <c r="G143" s="102">
        <v>4000000</v>
      </c>
      <c r="H143" s="68">
        <f>E143*G143</f>
        <v>12000000</v>
      </c>
    </row>
    <row r="144" spans="1:80" s="64" customFormat="1" ht="21.75" customHeight="1">
      <c r="A144" s="220" t="s">
        <v>275</v>
      </c>
      <c r="B144" s="222"/>
      <c r="C144" s="232" t="s">
        <v>276</v>
      </c>
      <c r="D144" s="233"/>
      <c r="E144" s="233"/>
      <c r="F144" s="233"/>
      <c r="G144" s="233"/>
      <c r="H144" s="101">
        <f>H145</f>
        <v>216215000</v>
      </c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18"/>
      <c r="AV144" s="118"/>
      <c r="AW144" s="118"/>
      <c r="AX144" s="118"/>
      <c r="AY144" s="118"/>
      <c r="AZ144" s="118"/>
      <c r="BA144" s="118"/>
      <c r="BB144" s="118"/>
      <c r="BC144" s="118"/>
      <c r="BD144" s="118"/>
      <c r="BE144" s="118"/>
      <c r="BF144" s="118"/>
      <c r="BG144" s="118"/>
      <c r="BH144" s="118"/>
      <c r="BI144" s="118"/>
      <c r="BJ144" s="118"/>
      <c r="BK144" s="118"/>
      <c r="BL144" s="118"/>
      <c r="BM144" s="118"/>
      <c r="BN144" s="118"/>
      <c r="BO144" s="118"/>
      <c r="BP144" s="118"/>
      <c r="BQ144" s="118"/>
      <c r="BR144" s="118"/>
      <c r="BS144" s="118"/>
      <c r="BT144" s="118"/>
      <c r="BU144" s="118"/>
      <c r="BV144" s="118"/>
      <c r="BW144" s="118"/>
      <c r="BX144" s="118"/>
      <c r="BY144" s="118"/>
      <c r="BZ144" s="118"/>
      <c r="CA144" s="118"/>
      <c r="CB144" s="118"/>
    </row>
    <row r="145" spans="1:80" ht="47.25" customHeight="1">
      <c r="A145" s="374"/>
      <c r="B145" s="375"/>
      <c r="C145" s="218" t="s">
        <v>322</v>
      </c>
      <c r="D145" s="394"/>
      <c r="E145" s="52">
        <v>5</v>
      </c>
      <c r="F145" s="99" t="s">
        <v>265</v>
      </c>
      <c r="G145" s="78">
        <v>43243000</v>
      </c>
      <c r="H145" s="78">
        <f>E145*G145</f>
        <v>216215000</v>
      </c>
    </row>
    <row r="146" spans="1:80" s="80" customFormat="1" ht="35.1" customHeight="1">
      <c r="A146" s="220" t="s">
        <v>310</v>
      </c>
      <c r="B146" s="222"/>
      <c r="C146" s="376" t="s">
        <v>311</v>
      </c>
      <c r="D146" s="377"/>
      <c r="E146" s="377"/>
      <c r="F146" s="377"/>
      <c r="G146" s="377"/>
      <c r="H146" s="103">
        <f>H147+H148</f>
        <v>27972000</v>
      </c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</row>
    <row r="147" spans="1:80" s="106" customFormat="1" ht="35.1" customHeight="1">
      <c r="A147" s="374"/>
      <c r="B147" s="375"/>
      <c r="C147" s="399" t="s">
        <v>312</v>
      </c>
      <c r="D147" s="400"/>
      <c r="E147" s="104">
        <v>7</v>
      </c>
      <c r="F147" s="67" t="s">
        <v>265</v>
      </c>
      <c r="G147" s="105">
        <v>1998000</v>
      </c>
      <c r="H147" s="78">
        <f t="shared" ref="H147:H148" si="2">E147*G147</f>
        <v>13986000</v>
      </c>
    </row>
    <row r="148" spans="1:80" s="106" customFormat="1" ht="35.1" customHeight="1">
      <c r="A148" s="374"/>
      <c r="B148" s="375"/>
      <c r="C148" s="399" t="s">
        <v>313</v>
      </c>
      <c r="D148" s="400"/>
      <c r="E148" s="104">
        <v>7</v>
      </c>
      <c r="F148" s="67" t="s">
        <v>265</v>
      </c>
      <c r="G148" s="105">
        <v>1998000</v>
      </c>
      <c r="H148" s="78">
        <f t="shared" si="2"/>
        <v>13986000</v>
      </c>
    </row>
    <row r="149" spans="1:80" s="86" customFormat="1" ht="35.1" customHeight="1">
      <c r="A149" s="220" t="s">
        <v>314</v>
      </c>
      <c r="B149" s="222"/>
      <c r="C149" s="376" t="s">
        <v>315</v>
      </c>
      <c r="D149" s="377"/>
      <c r="E149" s="377"/>
      <c r="F149" s="377"/>
      <c r="G149" s="378"/>
      <c r="H149" s="81">
        <f>SUM(H150:H151)</f>
        <v>8760000</v>
      </c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2"/>
      <c r="AQ149" s="92"/>
      <c r="AR149" s="92"/>
      <c r="AS149" s="92"/>
      <c r="AT149" s="92"/>
      <c r="AU149" s="92"/>
      <c r="AV149" s="92"/>
      <c r="AW149" s="92"/>
      <c r="AX149" s="92"/>
      <c r="AY149" s="92"/>
      <c r="AZ149" s="92"/>
      <c r="BA149" s="92"/>
      <c r="BB149" s="92"/>
      <c r="BC149" s="92"/>
      <c r="BD149" s="92"/>
      <c r="BE149" s="92"/>
      <c r="BF149" s="92"/>
      <c r="BG149" s="92"/>
      <c r="BH149" s="92"/>
      <c r="BI149" s="92"/>
      <c r="BJ149" s="92"/>
      <c r="BK149" s="92"/>
      <c r="BL149" s="92"/>
      <c r="BM149" s="92"/>
      <c r="BN149" s="92"/>
      <c r="BO149" s="92"/>
      <c r="BP149" s="92"/>
      <c r="BQ149" s="92"/>
      <c r="BR149" s="92"/>
      <c r="BS149" s="92"/>
      <c r="BT149" s="92"/>
      <c r="BU149" s="92"/>
      <c r="BV149" s="92"/>
      <c r="BW149" s="92"/>
      <c r="BX149" s="92"/>
      <c r="BY149" s="92"/>
      <c r="BZ149" s="92"/>
      <c r="CA149" s="92"/>
      <c r="CB149" s="92"/>
    </row>
    <row r="150" spans="1:80" ht="35.1" customHeight="1">
      <c r="A150" s="374"/>
      <c r="B150" s="375"/>
      <c r="C150" s="97" t="s">
        <v>316</v>
      </c>
      <c r="D150" s="98"/>
      <c r="E150" s="52">
        <v>9</v>
      </c>
      <c r="F150" s="99" t="s">
        <v>317</v>
      </c>
      <c r="G150" s="78">
        <v>730000</v>
      </c>
      <c r="H150" s="78">
        <f t="shared" ref="H150:H153" si="3">E150*G150</f>
        <v>6570000</v>
      </c>
    </row>
    <row r="151" spans="1:80" ht="35.1" customHeight="1">
      <c r="A151" s="374"/>
      <c r="B151" s="375"/>
      <c r="C151" s="97" t="s">
        <v>318</v>
      </c>
      <c r="D151" s="98"/>
      <c r="E151" s="52">
        <v>3</v>
      </c>
      <c r="F151" s="99" t="s">
        <v>317</v>
      </c>
      <c r="G151" s="78">
        <v>730000</v>
      </c>
      <c r="H151" s="78">
        <f t="shared" si="3"/>
        <v>2190000</v>
      </c>
    </row>
    <row r="152" spans="1:80" s="86" customFormat="1" ht="35.1" customHeight="1">
      <c r="A152" s="220" t="s">
        <v>319</v>
      </c>
      <c r="B152" s="222"/>
      <c r="C152" s="376" t="s">
        <v>320</v>
      </c>
      <c r="D152" s="377"/>
      <c r="E152" s="377"/>
      <c r="F152" s="377"/>
      <c r="G152" s="378"/>
      <c r="H152" s="81">
        <f>H153</f>
        <v>4830000</v>
      </c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  <c r="BM152" s="92"/>
      <c r="BN152" s="92"/>
      <c r="BO152" s="92"/>
      <c r="BP152" s="92"/>
      <c r="BQ152" s="92"/>
      <c r="BR152" s="92"/>
      <c r="BS152" s="92"/>
      <c r="BT152" s="92"/>
      <c r="BU152" s="92"/>
      <c r="BV152" s="92"/>
      <c r="BW152" s="92"/>
      <c r="BX152" s="92"/>
      <c r="BY152" s="92"/>
      <c r="BZ152" s="92"/>
      <c r="CA152" s="92"/>
      <c r="CB152" s="92"/>
    </row>
    <row r="153" spans="1:80" ht="35.1" customHeight="1">
      <c r="A153" s="374"/>
      <c r="B153" s="375"/>
      <c r="C153" s="97" t="s">
        <v>321</v>
      </c>
      <c r="D153" s="98"/>
      <c r="E153" s="52">
        <v>7</v>
      </c>
      <c r="F153" s="99" t="s">
        <v>317</v>
      </c>
      <c r="G153" s="78">
        <v>690000</v>
      </c>
      <c r="H153" s="78">
        <f t="shared" si="3"/>
        <v>4830000</v>
      </c>
    </row>
    <row r="154" spans="1:80" s="132" customFormat="1" ht="35.1" customHeight="1">
      <c r="A154" s="369" t="s">
        <v>277</v>
      </c>
      <c r="B154" s="370"/>
      <c r="C154" s="379" t="s">
        <v>278</v>
      </c>
      <c r="D154" s="380"/>
      <c r="E154" s="380"/>
      <c r="F154" s="380"/>
      <c r="G154" s="381"/>
      <c r="H154" s="128">
        <f>H156+H157+H158+H155</f>
        <v>2281208000</v>
      </c>
    </row>
    <row r="155" spans="1:80" s="127" customFormat="1" ht="25.7" customHeight="1">
      <c r="A155" s="369"/>
      <c r="B155" s="370"/>
      <c r="C155" s="129" t="s">
        <v>279</v>
      </c>
      <c r="D155" s="134"/>
      <c r="E155" s="125">
        <v>6</v>
      </c>
      <c r="F155" s="131" t="s">
        <v>265</v>
      </c>
      <c r="G155" s="126">
        <v>26100000</v>
      </c>
      <c r="H155" s="126">
        <f t="shared" ref="H155:H169" si="4">E155*G155</f>
        <v>156600000</v>
      </c>
    </row>
    <row r="156" spans="1:80" s="127" customFormat="1" ht="26.85" customHeight="1">
      <c r="A156" s="369"/>
      <c r="B156" s="370"/>
      <c r="C156" s="382" t="s">
        <v>280</v>
      </c>
      <c r="D156" s="382"/>
      <c r="E156" s="125">
        <v>6</v>
      </c>
      <c r="F156" s="131" t="s">
        <v>265</v>
      </c>
      <c r="G156" s="126">
        <v>103250000</v>
      </c>
      <c r="H156" s="126">
        <f t="shared" si="4"/>
        <v>619500000</v>
      </c>
    </row>
    <row r="157" spans="1:80" s="127" customFormat="1" ht="26.1" customHeight="1">
      <c r="A157" s="369"/>
      <c r="B157" s="370"/>
      <c r="C157" s="142" t="s">
        <v>281</v>
      </c>
      <c r="D157" s="143"/>
      <c r="E157" s="125">
        <v>6</v>
      </c>
      <c r="F157" s="131" t="s">
        <v>265</v>
      </c>
      <c r="G157" s="126">
        <v>73018000</v>
      </c>
      <c r="H157" s="126">
        <f t="shared" si="4"/>
        <v>438108000</v>
      </c>
    </row>
    <row r="158" spans="1:80" s="127" customFormat="1" ht="35.1" customHeight="1">
      <c r="A158" s="369"/>
      <c r="B158" s="370"/>
      <c r="C158" s="397" t="s">
        <v>408</v>
      </c>
      <c r="D158" s="398"/>
      <c r="E158" s="125">
        <v>11</v>
      </c>
      <c r="F158" s="131" t="s">
        <v>265</v>
      </c>
      <c r="G158" s="126">
        <v>97000000</v>
      </c>
      <c r="H158" s="126">
        <f t="shared" si="4"/>
        <v>1067000000</v>
      </c>
    </row>
    <row r="159" spans="1:80" s="132" customFormat="1" ht="25.7" customHeight="1">
      <c r="A159" s="369" t="s">
        <v>282</v>
      </c>
      <c r="B159" s="370"/>
      <c r="C159" s="379" t="s">
        <v>283</v>
      </c>
      <c r="D159" s="380"/>
      <c r="E159" s="380"/>
      <c r="F159" s="380"/>
      <c r="G159" s="381"/>
      <c r="H159" s="135">
        <f>SUM(H160:H160)</f>
        <v>167500000</v>
      </c>
    </row>
    <row r="160" spans="1:80" s="147" customFormat="1" ht="28.5" customHeight="1">
      <c r="A160" s="144"/>
      <c r="B160" s="145"/>
      <c r="C160" s="403" t="s">
        <v>284</v>
      </c>
      <c r="D160" s="404"/>
      <c r="E160" s="125">
        <v>20</v>
      </c>
      <c r="F160" s="131" t="s">
        <v>265</v>
      </c>
      <c r="G160" s="146">
        <v>8375000</v>
      </c>
      <c r="H160" s="126">
        <f t="shared" ref="H160" si="5">E160*G160</f>
        <v>167500000</v>
      </c>
    </row>
    <row r="161" spans="1:8" s="132" customFormat="1" ht="35.1" customHeight="1">
      <c r="A161" s="369" t="s">
        <v>285</v>
      </c>
      <c r="B161" s="370"/>
      <c r="C161" s="369" t="s">
        <v>286</v>
      </c>
      <c r="D161" s="383"/>
      <c r="E161" s="383"/>
      <c r="F161" s="383"/>
      <c r="G161" s="370"/>
      <c r="H161" s="128">
        <f>+H162</f>
        <v>559440000</v>
      </c>
    </row>
    <row r="162" spans="1:8" s="127" customFormat="1" ht="35.1" customHeight="1">
      <c r="A162" s="369"/>
      <c r="B162" s="370"/>
      <c r="C162" s="395" t="s">
        <v>287</v>
      </c>
      <c r="D162" s="396"/>
      <c r="E162" s="125">
        <v>20</v>
      </c>
      <c r="F162" s="131" t="s">
        <v>265</v>
      </c>
      <c r="G162" s="126">
        <v>27972000</v>
      </c>
      <c r="H162" s="126">
        <f t="shared" si="4"/>
        <v>559440000</v>
      </c>
    </row>
    <row r="163" spans="1:8" s="122" customFormat="1" ht="35.1" customHeight="1">
      <c r="A163" s="369" t="s">
        <v>288</v>
      </c>
      <c r="B163" s="370"/>
      <c r="C163" s="371" t="s">
        <v>289</v>
      </c>
      <c r="D163" s="372"/>
      <c r="E163" s="372"/>
      <c r="F163" s="372"/>
      <c r="G163" s="373"/>
      <c r="H163" s="128">
        <f>+H164</f>
        <v>290709000</v>
      </c>
    </row>
    <row r="164" spans="1:8" s="127" customFormat="1" ht="35.1" customHeight="1">
      <c r="A164" s="369"/>
      <c r="B164" s="370"/>
      <c r="C164" s="382" t="s">
        <v>290</v>
      </c>
      <c r="D164" s="382"/>
      <c r="E164" s="125">
        <v>10</v>
      </c>
      <c r="F164" s="131" t="s">
        <v>265</v>
      </c>
      <c r="G164" s="126">
        <v>29070900</v>
      </c>
      <c r="H164" s="126">
        <f t="shared" ref="H164" si="6">E164*G164</f>
        <v>290709000</v>
      </c>
    </row>
    <row r="165" spans="1:8" s="122" customFormat="1" ht="35.1" customHeight="1">
      <c r="A165" s="369" t="s">
        <v>291</v>
      </c>
      <c r="B165" s="370"/>
      <c r="C165" s="371" t="s">
        <v>292</v>
      </c>
      <c r="D165" s="372"/>
      <c r="E165" s="372"/>
      <c r="F165" s="372"/>
      <c r="G165" s="373"/>
      <c r="H165" s="128">
        <f>SUM(H166)</f>
        <v>2600000000</v>
      </c>
    </row>
    <row r="166" spans="1:8" s="127" customFormat="1" ht="28.5" customHeight="1">
      <c r="A166" s="369"/>
      <c r="B166" s="370"/>
      <c r="C166" s="387" t="s">
        <v>293</v>
      </c>
      <c r="D166" s="388"/>
      <c r="E166" s="125">
        <v>10</v>
      </c>
      <c r="F166" s="131" t="s">
        <v>265</v>
      </c>
      <c r="G166" s="126">
        <v>260000000</v>
      </c>
      <c r="H166" s="126">
        <f>E166*G166</f>
        <v>2600000000</v>
      </c>
    </row>
    <row r="167" spans="1:8" s="132" customFormat="1" ht="34.5" customHeight="1">
      <c r="A167" s="369" t="s">
        <v>294</v>
      </c>
      <c r="B167" s="370"/>
      <c r="C167" s="379" t="s">
        <v>295</v>
      </c>
      <c r="D167" s="380"/>
      <c r="E167" s="380"/>
      <c r="F167" s="380"/>
      <c r="G167" s="381"/>
      <c r="H167" s="128">
        <f>SUM(H168:H174)</f>
        <v>1465213200</v>
      </c>
    </row>
    <row r="168" spans="1:8" s="127" customFormat="1" ht="19.5" customHeight="1">
      <c r="A168" s="369"/>
      <c r="B168" s="370"/>
      <c r="C168" s="133" t="s">
        <v>296</v>
      </c>
      <c r="D168" s="124"/>
      <c r="E168" s="125">
        <v>28</v>
      </c>
      <c r="F168" s="125" t="s">
        <v>265</v>
      </c>
      <c r="G168" s="126">
        <v>7720000</v>
      </c>
      <c r="H168" s="126">
        <f>E168*G168</f>
        <v>216160000</v>
      </c>
    </row>
    <row r="169" spans="1:8" s="127" customFormat="1" ht="19.5" customHeight="1">
      <c r="A169" s="369"/>
      <c r="B169" s="370"/>
      <c r="C169" s="133" t="s">
        <v>297</v>
      </c>
      <c r="D169" s="124"/>
      <c r="E169" s="125">
        <v>35</v>
      </c>
      <c r="F169" s="125" t="s">
        <v>265</v>
      </c>
      <c r="G169" s="126">
        <v>4050000</v>
      </c>
      <c r="H169" s="126">
        <f t="shared" si="4"/>
        <v>141750000</v>
      </c>
    </row>
    <row r="170" spans="1:8" s="127" customFormat="1" ht="19.5" customHeight="1">
      <c r="A170" s="369"/>
      <c r="B170" s="370"/>
      <c r="C170" s="123" t="s">
        <v>298</v>
      </c>
      <c r="D170" s="124"/>
      <c r="E170" s="125">
        <v>50</v>
      </c>
      <c r="F170" s="125" t="s">
        <v>265</v>
      </c>
      <c r="G170" s="126">
        <v>5850000</v>
      </c>
      <c r="H170" s="126">
        <f>E170*G170</f>
        <v>292500000</v>
      </c>
    </row>
    <row r="171" spans="1:8" s="127" customFormat="1" ht="18" customHeight="1">
      <c r="A171" s="369"/>
      <c r="B171" s="370"/>
      <c r="C171" s="123" t="s">
        <v>299</v>
      </c>
      <c r="D171" s="124"/>
      <c r="E171" s="125">
        <v>90</v>
      </c>
      <c r="F171" s="125" t="s">
        <v>265</v>
      </c>
      <c r="G171" s="126">
        <v>1638000</v>
      </c>
      <c r="H171" s="126">
        <f>E171*G171</f>
        <v>147420000</v>
      </c>
    </row>
    <row r="172" spans="1:8" s="127" customFormat="1" ht="18" customHeight="1">
      <c r="A172" s="119"/>
      <c r="B172" s="120"/>
      <c r="C172" s="387" t="s">
        <v>300</v>
      </c>
      <c r="D172" s="388"/>
      <c r="E172" s="125">
        <v>35</v>
      </c>
      <c r="F172" s="125" t="s">
        <v>265</v>
      </c>
      <c r="G172" s="126">
        <v>2890000</v>
      </c>
      <c r="H172" s="126">
        <f>E172*G172</f>
        <v>101150000</v>
      </c>
    </row>
    <row r="173" spans="1:8" s="127" customFormat="1" ht="42" customHeight="1">
      <c r="A173" s="119"/>
      <c r="B173" s="120"/>
      <c r="C173" s="387" t="s">
        <v>301</v>
      </c>
      <c r="D173" s="388"/>
      <c r="E173" s="125">
        <v>16</v>
      </c>
      <c r="F173" s="125" t="s">
        <v>265</v>
      </c>
      <c r="G173" s="126">
        <v>31268700</v>
      </c>
      <c r="H173" s="126">
        <f>E173*G173</f>
        <v>500299200</v>
      </c>
    </row>
    <row r="174" spans="1:8" s="127" customFormat="1" ht="40.5" customHeight="1">
      <c r="A174" s="119"/>
      <c r="B174" s="120"/>
      <c r="C174" s="387" t="s">
        <v>302</v>
      </c>
      <c r="D174" s="388"/>
      <c r="E174" s="125">
        <v>10</v>
      </c>
      <c r="F174" s="125" t="s">
        <v>265</v>
      </c>
      <c r="G174" s="126">
        <v>6593400</v>
      </c>
      <c r="H174" s="126">
        <f>E174*G174</f>
        <v>65934000</v>
      </c>
    </row>
    <row r="175" spans="1:8" s="122" customFormat="1" ht="31.5" customHeight="1">
      <c r="A175" s="369" t="s">
        <v>303</v>
      </c>
      <c r="B175" s="370"/>
      <c r="C175" s="384" t="s">
        <v>304</v>
      </c>
      <c r="D175" s="385"/>
      <c r="E175" s="385"/>
      <c r="F175" s="385"/>
      <c r="G175" s="386"/>
      <c r="H175" s="121">
        <f>SUM(H176)</f>
        <v>215906250</v>
      </c>
    </row>
    <row r="176" spans="1:8" s="127" customFormat="1" ht="31.5" customHeight="1">
      <c r="A176" s="369"/>
      <c r="B176" s="370"/>
      <c r="C176" s="123" t="s">
        <v>305</v>
      </c>
      <c r="D176" s="124"/>
      <c r="E176" s="125">
        <v>35</v>
      </c>
      <c r="F176" s="125" t="s">
        <v>265</v>
      </c>
      <c r="G176" s="126">
        <v>6168750</v>
      </c>
      <c r="H176" s="126">
        <f t="shared" ref="H176:H178" si="7">E176*G176</f>
        <v>215906250</v>
      </c>
    </row>
    <row r="177" spans="1:8" s="127" customFormat="1" ht="35.1" customHeight="1">
      <c r="A177" s="369" t="s">
        <v>306</v>
      </c>
      <c r="B177" s="370"/>
      <c r="C177" s="379" t="s">
        <v>307</v>
      </c>
      <c r="D177" s="380"/>
      <c r="E177" s="380"/>
      <c r="F177" s="380"/>
      <c r="G177" s="381"/>
      <c r="H177" s="128">
        <f>SUM(H178)</f>
        <v>1095000000</v>
      </c>
    </row>
    <row r="178" spans="1:8" s="127" customFormat="1" ht="28.7" customHeight="1">
      <c r="A178" s="369"/>
      <c r="B178" s="370"/>
      <c r="C178" s="129" t="s">
        <v>308</v>
      </c>
      <c r="D178" s="130"/>
      <c r="E178" s="125">
        <v>10</v>
      </c>
      <c r="F178" s="131" t="s">
        <v>309</v>
      </c>
      <c r="G178" s="126">
        <v>109500000</v>
      </c>
      <c r="H178" s="126">
        <f t="shared" si="7"/>
        <v>1095000000</v>
      </c>
    </row>
    <row r="179" spans="1:8" s="132" customFormat="1" ht="26.25" customHeight="1">
      <c r="A179" s="369" t="s">
        <v>262</v>
      </c>
      <c r="B179" s="370"/>
      <c r="C179" s="379" t="s">
        <v>263</v>
      </c>
      <c r="D179" s="380"/>
      <c r="E179" s="380"/>
      <c r="F179" s="380"/>
      <c r="G179" s="380"/>
      <c r="H179" s="135">
        <f>SUM(H180)</f>
        <v>929500000</v>
      </c>
    </row>
    <row r="180" spans="1:8" s="127" customFormat="1" ht="29.85" customHeight="1">
      <c r="A180" s="369"/>
      <c r="B180" s="370"/>
      <c r="C180" s="392" t="s">
        <v>264</v>
      </c>
      <c r="D180" s="393"/>
      <c r="E180" s="125">
        <v>5</v>
      </c>
      <c r="F180" s="131" t="s">
        <v>265</v>
      </c>
      <c r="G180" s="126">
        <v>185900000</v>
      </c>
      <c r="H180" s="126">
        <f>E180*G180</f>
        <v>929500000</v>
      </c>
    </row>
    <row r="181" spans="1:8" s="132" customFormat="1" ht="29.85" customHeight="1">
      <c r="A181" s="369" t="s">
        <v>266</v>
      </c>
      <c r="B181" s="370"/>
      <c r="C181" s="384" t="s">
        <v>267</v>
      </c>
      <c r="D181" s="385"/>
      <c r="E181" s="385"/>
      <c r="F181" s="385"/>
      <c r="G181" s="385"/>
      <c r="H181" s="136">
        <f>H182</f>
        <v>349656000</v>
      </c>
    </row>
    <row r="182" spans="1:8" s="127" customFormat="1" ht="42.75" customHeight="1">
      <c r="A182" s="369"/>
      <c r="B182" s="370"/>
      <c r="C182" s="391" t="s">
        <v>268</v>
      </c>
      <c r="D182" s="391"/>
      <c r="E182" s="125">
        <v>5</v>
      </c>
      <c r="F182" s="131" t="s">
        <v>265</v>
      </c>
      <c r="G182" s="126">
        <v>69931200</v>
      </c>
      <c r="H182" s="126">
        <f>E182*G182</f>
        <v>349656000</v>
      </c>
    </row>
    <row r="183" spans="1:8" s="132" customFormat="1" ht="24.95" customHeight="1">
      <c r="A183" s="369" t="s">
        <v>269</v>
      </c>
      <c r="B183" s="370"/>
      <c r="C183" s="369" t="s">
        <v>270</v>
      </c>
      <c r="D183" s="383"/>
      <c r="E183" s="383"/>
      <c r="F183" s="383"/>
      <c r="G183" s="383"/>
      <c r="H183" s="136">
        <f>H184</f>
        <v>1250000000</v>
      </c>
    </row>
    <row r="184" spans="1:8" s="127" customFormat="1" ht="39.950000000000003" customHeight="1">
      <c r="A184" s="369"/>
      <c r="B184" s="370"/>
      <c r="C184" s="123" t="s">
        <v>271</v>
      </c>
      <c r="D184" s="124"/>
      <c r="E184" s="125">
        <v>10</v>
      </c>
      <c r="F184" s="131" t="s">
        <v>265</v>
      </c>
      <c r="G184" s="126">
        <v>125000000</v>
      </c>
      <c r="H184" s="126">
        <f>E184*G184</f>
        <v>1250000000</v>
      </c>
    </row>
    <row r="185" spans="1:8" s="132" customFormat="1" ht="39.950000000000003" customHeight="1">
      <c r="A185" s="137" t="s">
        <v>272</v>
      </c>
      <c r="B185" s="138"/>
      <c r="C185" s="389" t="s">
        <v>273</v>
      </c>
      <c r="D185" s="390"/>
      <c r="E185" s="139"/>
      <c r="F185" s="140"/>
      <c r="G185" s="141"/>
      <c r="H185" s="136">
        <f>H186</f>
        <v>522000000</v>
      </c>
    </row>
    <row r="186" spans="1:8" s="127" customFormat="1" ht="38.25" customHeight="1">
      <c r="A186" s="119"/>
      <c r="B186" s="120"/>
      <c r="C186" s="391" t="s">
        <v>274</v>
      </c>
      <c r="D186" s="391"/>
      <c r="E186" s="125">
        <v>20</v>
      </c>
      <c r="F186" s="131" t="s">
        <v>265</v>
      </c>
      <c r="G186" s="126">
        <v>26100000</v>
      </c>
      <c r="H186" s="126">
        <f>E186*G186</f>
        <v>522000000</v>
      </c>
    </row>
    <row r="187" spans="1:8" ht="19.5" customHeight="1">
      <c r="A187" s="107"/>
      <c r="B187" s="107"/>
      <c r="C187" s="108"/>
      <c r="D187" s="108"/>
      <c r="F187" s="107"/>
      <c r="G187" s="55"/>
      <c r="H187" s="55"/>
    </row>
    <row r="188" spans="1:8" ht="19.5" customHeight="1">
      <c r="A188" s="107"/>
      <c r="B188" s="107"/>
      <c r="C188" s="108"/>
      <c r="D188" s="108"/>
      <c r="F188" s="107"/>
      <c r="G188" s="230"/>
      <c r="H188" s="230"/>
    </row>
    <row r="189" spans="1:8" ht="19.5" customHeight="1">
      <c r="G189" s="224"/>
      <c r="H189" s="224"/>
    </row>
    <row r="194" spans="1:8" ht="15.75">
      <c r="G194" s="223"/>
      <c r="H194" s="223"/>
    </row>
    <row r="195" spans="1:8" ht="15.75">
      <c r="G195" s="224"/>
      <c r="H195" s="224"/>
    </row>
    <row r="197" spans="1:8">
      <c r="A197" s="111"/>
      <c r="B197" s="111"/>
      <c r="C197" s="111"/>
      <c r="D197" s="111"/>
      <c r="E197" s="112"/>
      <c r="F197" s="113"/>
      <c r="G197" s="111"/>
      <c r="H197" s="111"/>
    </row>
    <row r="198" spans="1:8">
      <c r="A198" s="114"/>
      <c r="B198" s="114"/>
      <c r="C198" s="114"/>
      <c r="D198" s="114"/>
      <c r="E198" s="115"/>
      <c r="F198" s="116"/>
      <c r="G198" s="114"/>
      <c r="H198" s="114"/>
    </row>
    <row r="199" spans="1:8">
      <c r="A199" s="114"/>
      <c r="B199" s="114"/>
      <c r="C199" s="114"/>
      <c r="D199" s="114"/>
      <c r="E199" s="115"/>
      <c r="F199" s="116"/>
      <c r="G199" s="114"/>
      <c r="H199" s="114"/>
    </row>
    <row r="200" spans="1:8">
      <c r="A200" s="114"/>
      <c r="B200" s="114"/>
      <c r="C200" s="114"/>
      <c r="D200" s="114"/>
      <c r="E200" s="115"/>
      <c r="F200" s="116"/>
      <c r="G200" s="114"/>
      <c r="H200" s="114"/>
    </row>
    <row r="201" spans="1:8">
      <c r="A201" s="114"/>
      <c r="B201" s="114"/>
      <c r="C201" s="114"/>
      <c r="D201" s="114"/>
      <c r="E201" s="115"/>
      <c r="F201" s="116"/>
      <c r="G201" s="114"/>
      <c r="H201" s="114"/>
    </row>
    <row r="202" spans="1:8">
      <c r="A202" s="114"/>
      <c r="B202" s="114"/>
      <c r="C202" s="114"/>
      <c r="D202" s="114"/>
      <c r="E202" s="115"/>
      <c r="F202" s="116"/>
      <c r="G202" s="114"/>
      <c r="H202" s="114"/>
    </row>
    <row r="203" spans="1:8">
      <c r="A203" s="114"/>
      <c r="B203" s="114"/>
      <c r="C203" s="114"/>
      <c r="D203" s="114"/>
      <c r="E203" s="115"/>
      <c r="F203" s="116"/>
      <c r="G203" s="114"/>
      <c r="H203" s="114"/>
    </row>
    <row r="204" spans="1:8">
      <c r="A204" s="114"/>
      <c r="B204" s="114"/>
      <c r="C204" s="114"/>
      <c r="D204" s="114"/>
      <c r="E204" s="115"/>
      <c r="F204" s="116"/>
      <c r="G204" s="114"/>
      <c r="H204" s="114"/>
    </row>
    <row r="205" spans="1:8">
      <c r="A205" s="114"/>
      <c r="B205" s="114"/>
      <c r="C205" s="114"/>
      <c r="D205" s="114"/>
      <c r="E205" s="115"/>
      <c r="F205" s="116"/>
      <c r="G205" s="114"/>
      <c r="H205" s="114"/>
    </row>
    <row r="206" spans="1:8">
      <c r="A206" s="114"/>
      <c r="B206" s="114"/>
      <c r="C206" s="114"/>
      <c r="D206" s="114"/>
      <c r="E206" s="115"/>
      <c r="F206" s="116"/>
      <c r="G206" s="114"/>
      <c r="H206" s="114"/>
    </row>
    <row r="207" spans="1:8">
      <c r="A207" s="114"/>
      <c r="B207" s="114"/>
      <c r="C207" s="114"/>
      <c r="D207" s="114"/>
      <c r="E207" s="115"/>
      <c r="F207" s="116"/>
      <c r="G207" s="114"/>
      <c r="H207" s="114"/>
    </row>
    <row r="208" spans="1:8">
      <c r="A208" s="114"/>
      <c r="B208" s="114"/>
      <c r="C208" s="114"/>
      <c r="D208" s="114"/>
      <c r="E208" s="115"/>
      <c r="F208" s="116"/>
      <c r="G208" s="114"/>
      <c r="H208" s="114"/>
    </row>
    <row r="209" spans="1:8">
      <c r="A209" s="114"/>
      <c r="B209" s="114"/>
      <c r="C209" s="114"/>
      <c r="D209" s="114"/>
      <c r="E209" s="115"/>
      <c r="F209" s="116"/>
      <c r="G209" s="114"/>
      <c r="H209" s="114"/>
    </row>
    <row r="210" spans="1:8">
      <c r="A210" s="114"/>
      <c r="B210" s="114"/>
      <c r="C210" s="114"/>
      <c r="D210" s="114"/>
      <c r="E210" s="115"/>
      <c r="F210" s="116"/>
      <c r="G210" s="114"/>
      <c r="H210" s="114"/>
    </row>
    <row r="211" spans="1:8">
      <c r="A211" s="114"/>
      <c r="B211" s="114"/>
      <c r="C211" s="114"/>
      <c r="D211" s="114"/>
      <c r="E211" s="115"/>
      <c r="F211" s="116"/>
      <c r="G211" s="114"/>
      <c r="H211" s="114"/>
    </row>
    <row r="212" spans="1:8">
      <c r="A212" s="114"/>
      <c r="B212" s="114"/>
      <c r="C212" s="114"/>
      <c r="D212" s="114"/>
      <c r="E212" s="115"/>
      <c r="F212" s="116"/>
      <c r="G212" s="114"/>
      <c r="H212" s="114"/>
    </row>
    <row r="213" spans="1:8">
      <c r="A213" s="114"/>
      <c r="B213" s="114"/>
      <c r="C213" s="114"/>
      <c r="D213" s="114"/>
      <c r="E213" s="115"/>
      <c r="F213" s="116"/>
      <c r="G213" s="114"/>
      <c r="H213" s="114"/>
    </row>
    <row r="214" spans="1:8">
      <c r="A214" s="114"/>
      <c r="B214" s="114"/>
      <c r="C214" s="114"/>
      <c r="D214" s="114"/>
      <c r="E214" s="115"/>
      <c r="F214" s="116"/>
      <c r="G214" s="114"/>
      <c r="H214" s="114"/>
    </row>
    <row r="215" spans="1:8">
      <c r="A215" s="114"/>
      <c r="B215" s="114"/>
      <c r="C215" s="114"/>
      <c r="D215" s="114"/>
      <c r="E215" s="115"/>
      <c r="F215" s="116"/>
      <c r="G215" s="114"/>
      <c r="H215" s="114"/>
    </row>
    <row r="216" spans="1:8">
      <c r="A216" s="114"/>
      <c r="B216" s="114"/>
      <c r="C216" s="114"/>
      <c r="D216" s="114"/>
      <c r="E216" s="115"/>
      <c r="F216" s="116"/>
      <c r="G216" s="114"/>
      <c r="H216" s="114"/>
    </row>
    <row r="217" spans="1:8">
      <c r="A217" s="114"/>
      <c r="B217" s="114"/>
      <c r="C217" s="114"/>
      <c r="D217" s="114"/>
      <c r="E217" s="115"/>
      <c r="F217" s="116"/>
      <c r="G217" s="114"/>
      <c r="H217" s="114"/>
    </row>
    <row r="218" spans="1:8">
      <c r="A218" s="114"/>
      <c r="B218" s="114"/>
      <c r="C218" s="114"/>
      <c r="D218" s="114"/>
      <c r="E218" s="115"/>
      <c r="F218" s="116"/>
      <c r="G218" s="114"/>
      <c r="H218" s="114"/>
    </row>
    <row r="219" spans="1:8">
      <c r="A219" s="114"/>
      <c r="B219" s="114"/>
      <c r="C219" s="114"/>
      <c r="D219" s="114"/>
      <c r="E219" s="115"/>
      <c r="F219" s="116"/>
      <c r="G219" s="114"/>
      <c r="H219" s="114"/>
    </row>
    <row r="220" spans="1:8">
      <c r="A220" s="114"/>
      <c r="B220" s="114"/>
      <c r="C220" s="114"/>
      <c r="D220" s="114"/>
      <c r="E220" s="115"/>
      <c r="F220" s="116"/>
      <c r="G220" s="114"/>
      <c r="H220" s="114"/>
    </row>
    <row r="221" spans="1:8">
      <c r="A221" s="114"/>
      <c r="B221" s="114"/>
      <c r="C221" s="114"/>
      <c r="D221" s="114"/>
      <c r="E221" s="115"/>
      <c r="F221" s="116"/>
      <c r="G221" s="114"/>
      <c r="H221" s="114"/>
    </row>
    <row r="222" spans="1:8">
      <c r="A222" s="114"/>
      <c r="B222" s="114"/>
      <c r="C222" s="114"/>
      <c r="D222" s="114"/>
      <c r="E222" s="115"/>
      <c r="F222" s="116"/>
      <c r="G222" s="114"/>
      <c r="H222" s="114"/>
    </row>
    <row r="223" spans="1:8">
      <c r="A223" s="114"/>
      <c r="B223" s="114"/>
      <c r="C223" s="114"/>
      <c r="D223" s="114"/>
      <c r="E223" s="115"/>
      <c r="F223" s="116"/>
      <c r="G223" s="114"/>
      <c r="H223" s="114"/>
    </row>
    <row r="224" spans="1:8">
      <c r="A224" s="114"/>
      <c r="B224" s="114"/>
      <c r="C224" s="114"/>
      <c r="D224" s="114"/>
      <c r="E224" s="115"/>
      <c r="F224" s="116"/>
      <c r="G224" s="114"/>
      <c r="H224" s="114"/>
    </row>
    <row r="225" spans="1:8">
      <c r="A225" s="114"/>
      <c r="B225" s="114"/>
      <c r="C225" s="114"/>
      <c r="D225" s="114"/>
      <c r="E225" s="115"/>
      <c r="F225" s="116"/>
      <c r="G225" s="114"/>
      <c r="H225" s="114"/>
    </row>
    <row r="226" spans="1:8">
      <c r="A226" s="114"/>
      <c r="B226" s="114"/>
      <c r="C226" s="114"/>
      <c r="D226" s="114"/>
      <c r="E226" s="115"/>
      <c r="F226" s="116"/>
      <c r="G226" s="114"/>
      <c r="H226" s="114"/>
    </row>
    <row r="227" spans="1:8">
      <c r="A227" s="114"/>
      <c r="B227" s="114"/>
      <c r="C227" s="114"/>
      <c r="D227" s="114"/>
      <c r="E227" s="115"/>
      <c r="F227" s="116"/>
      <c r="G227" s="114"/>
      <c r="H227" s="114"/>
    </row>
    <row r="228" spans="1:8">
      <c r="A228" s="114"/>
      <c r="B228" s="114"/>
      <c r="C228" s="114"/>
      <c r="D228" s="114"/>
      <c r="E228" s="115"/>
      <c r="F228" s="116"/>
      <c r="G228" s="114"/>
      <c r="H228" s="114"/>
    </row>
    <row r="229" spans="1:8">
      <c r="A229" s="114"/>
      <c r="B229" s="114"/>
      <c r="C229" s="114"/>
      <c r="D229" s="114"/>
      <c r="E229" s="115"/>
      <c r="F229" s="116"/>
      <c r="G229" s="114"/>
      <c r="H229" s="114"/>
    </row>
    <row r="230" spans="1:8">
      <c r="A230" s="114"/>
      <c r="B230" s="114"/>
      <c r="C230" s="114"/>
      <c r="D230" s="114"/>
      <c r="E230" s="115"/>
      <c r="F230" s="116"/>
      <c r="G230" s="114"/>
      <c r="H230" s="114"/>
    </row>
    <row r="231" spans="1:8">
      <c r="A231" s="114"/>
      <c r="B231" s="114"/>
      <c r="C231" s="114"/>
      <c r="D231" s="114"/>
      <c r="E231" s="115"/>
      <c r="F231" s="116"/>
      <c r="G231" s="114"/>
      <c r="H231" s="114"/>
    </row>
    <row r="232" spans="1:8">
      <c r="A232" s="114"/>
      <c r="B232" s="114"/>
      <c r="C232" s="114"/>
      <c r="D232" s="114"/>
      <c r="E232" s="115"/>
      <c r="F232" s="116"/>
      <c r="G232" s="114"/>
      <c r="H232" s="114"/>
    </row>
    <row r="233" spans="1:8">
      <c r="A233" s="114"/>
      <c r="B233" s="114"/>
      <c r="C233" s="114"/>
      <c r="D233" s="114"/>
      <c r="E233" s="115"/>
      <c r="F233" s="116"/>
      <c r="G233" s="114"/>
      <c r="H233" s="114"/>
    </row>
    <row r="234" spans="1:8">
      <c r="A234" s="114"/>
      <c r="B234" s="114"/>
      <c r="C234" s="114"/>
      <c r="D234" s="114"/>
      <c r="E234" s="115"/>
      <c r="F234" s="116"/>
      <c r="G234" s="114"/>
      <c r="H234" s="114"/>
    </row>
    <row r="235" spans="1:8">
      <c r="A235" s="114"/>
      <c r="B235" s="114"/>
      <c r="C235" s="114"/>
      <c r="D235" s="114"/>
      <c r="E235" s="115"/>
      <c r="F235" s="116"/>
      <c r="G235" s="114"/>
      <c r="H235" s="114"/>
    </row>
    <row r="236" spans="1:8">
      <c r="A236" s="114"/>
      <c r="B236" s="114"/>
      <c r="C236" s="114"/>
      <c r="D236" s="114"/>
      <c r="E236" s="115"/>
      <c r="F236" s="116"/>
      <c r="G236" s="114"/>
      <c r="H236" s="114"/>
    </row>
    <row r="237" spans="1:8">
      <c r="A237" s="114"/>
      <c r="B237" s="114"/>
      <c r="C237" s="114"/>
      <c r="D237" s="114"/>
      <c r="E237" s="115"/>
      <c r="F237" s="116"/>
      <c r="G237" s="114"/>
      <c r="H237" s="114"/>
    </row>
    <row r="238" spans="1:8">
      <c r="A238" s="114"/>
      <c r="B238" s="114"/>
      <c r="C238" s="114"/>
      <c r="D238" s="114"/>
      <c r="E238" s="115"/>
      <c r="F238" s="116"/>
      <c r="G238" s="114"/>
      <c r="H238" s="114"/>
    </row>
    <row r="239" spans="1:8">
      <c r="A239" s="114"/>
      <c r="B239" s="114"/>
      <c r="C239" s="114"/>
      <c r="D239" s="114"/>
      <c r="E239" s="115"/>
      <c r="F239" s="116"/>
      <c r="G239" s="114"/>
      <c r="H239" s="114"/>
    </row>
    <row r="240" spans="1:8">
      <c r="A240" s="114"/>
      <c r="B240" s="114"/>
      <c r="C240" s="114"/>
      <c r="D240" s="114"/>
      <c r="E240" s="115"/>
      <c r="F240" s="116"/>
      <c r="G240" s="114"/>
      <c r="H240" s="114"/>
    </row>
    <row r="241" spans="1:8">
      <c r="A241" s="114"/>
      <c r="B241" s="114"/>
      <c r="C241" s="114"/>
      <c r="D241" s="114"/>
      <c r="E241" s="115"/>
      <c r="F241" s="116"/>
      <c r="G241" s="114"/>
      <c r="H241" s="114"/>
    </row>
    <row r="242" spans="1:8">
      <c r="A242" s="114"/>
      <c r="B242" s="114"/>
      <c r="C242" s="114"/>
      <c r="D242" s="114"/>
      <c r="E242" s="115"/>
      <c r="F242" s="116"/>
      <c r="G242" s="114"/>
      <c r="H242" s="114"/>
    </row>
    <row r="243" spans="1:8">
      <c r="A243" s="114"/>
      <c r="B243" s="114"/>
      <c r="C243" s="114"/>
      <c r="D243" s="114"/>
      <c r="E243" s="115"/>
      <c r="F243" s="116"/>
      <c r="G243" s="114"/>
      <c r="H243" s="114"/>
    </row>
    <row r="244" spans="1:8">
      <c r="A244" s="114"/>
      <c r="B244" s="114"/>
      <c r="C244" s="114"/>
      <c r="D244" s="114"/>
      <c r="E244" s="115"/>
      <c r="F244" s="116"/>
      <c r="G244" s="114"/>
      <c r="H244" s="114"/>
    </row>
    <row r="245" spans="1:8">
      <c r="A245" s="114"/>
      <c r="B245" s="114"/>
      <c r="C245" s="114"/>
      <c r="D245" s="114"/>
      <c r="E245" s="115"/>
      <c r="F245" s="116"/>
      <c r="G245" s="114"/>
      <c r="H245" s="114"/>
    </row>
    <row r="246" spans="1:8">
      <c r="A246" s="114"/>
      <c r="B246" s="114"/>
      <c r="C246" s="114"/>
      <c r="D246" s="114"/>
      <c r="E246" s="115"/>
      <c r="F246" s="116"/>
      <c r="G246" s="114"/>
      <c r="H246" s="114"/>
    </row>
    <row r="247" spans="1:8">
      <c r="A247" s="114"/>
      <c r="B247" s="114"/>
      <c r="C247" s="114"/>
      <c r="D247" s="114"/>
      <c r="E247" s="115"/>
      <c r="F247" s="116"/>
      <c r="G247" s="114"/>
      <c r="H247" s="114"/>
    </row>
    <row r="248" spans="1:8">
      <c r="A248" s="114"/>
      <c r="B248" s="114"/>
      <c r="C248" s="114"/>
      <c r="D248" s="114"/>
      <c r="E248" s="115"/>
      <c r="F248" s="116"/>
      <c r="G248" s="114"/>
      <c r="H248" s="114"/>
    </row>
    <row r="249" spans="1:8">
      <c r="A249" s="114"/>
      <c r="B249" s="114"/>
      <c r="C249" s="114"/>
      <c r="D249" s="114"/>
      <c r="E249" s="115"/>
      <c r="F249" s="116"/>
      <c r="G249" s="114"/>
      <c r="H249" s="114"/>
    </row>
    <row r="250" spans="1:8">
      <c r="A250" s="114"/>
      <c r="B250" s="114"/>
      <c r="C250" s="114"/>
      <c r="D250" s="114"/>
      <c r="E250" s="115"/>
      <c r="F250" s="116"/>
      <c r="G250" s="114"/>
      <c r="H250" s="114"/>
    </row>
    <row r="251" spans="1:8">
      <c r="A251" s="114"/>
      <c r="B251" s="114"/>
      <c r="C251" s="114"/>
      <c r="D251" s="114"/>
      <c r="E251" s="115"/>
      <c r="F251" s="116"/>
      <c r="G251" s="114"/>
      <c r="H251" s="114"/>
    </row>
    <row r="252" spans="1:8">
      <c r="A252" s="114"/>
      <c r="B252" s="114"/>
      <c r="C252" s="114"/>
      <c r="D252" s="114"/>
      <c r="E252" s="115"/>
      <c r="F252" s="116"/>
      <c r="G252" s="114"/>
      <c r="H252" s="114"/>
    </row>
    <row r="253" spans="1:8">
      <c r="A253" s="114"/>
      <c r="B253" s="114"/>
      <c r="C253" s="114"/>
      <c r="D253" s="114"/>
      <c r="E253" s="115"/>
      <c r="F253" s="116"/>
      <c r="G253" s="114"/>
      <c r="H253" s="114"/>
    </row>
    <row r="254" spans="1:8">
      <c r="A254" s="114"/>
      <c r="B254" s="114"/>
      <c r="C254" s="114"/>
      <c r="D254" s="114"/>
      <c r="E254" s="115"/>
      <c r="F254" s="116"/>
      <c r="G254" s="114"/>
      <c r="H254" s="114"/>
    </row>
    <row r="255" spans="1:8">
      <c r="A255" s="114"/>
      <c r="B255" s="114"/>
      <c r="C255" s="114"/>
      <c r="D255" s="114"/>
      <c r="E255" s="115"/>
      <c r="F255" s="116"/>
      <c r="G255" s="114"/>
      <c r="H255" s="114"/>
    </row>
    <row r="256" spans="1:8">
      <c r="A256" s="114"/>
      <c r="B256" s="114"/>
      <c r="C256" s="114"/>
      <c r="D256" s="114"/>
      <c r="E256" s="115"/>
      <c r="F256" s="116"/>
      <c r="G256" s="114"/>
      <c r="H256" s="114"/>
    </row>
    <row r="257" spans="1:8">
      <c r="A257" s="114"/>
      <c r="B257" s="114"/>
      <c r="C257" s="114"/>
      <c r="D257" s="114"/>
      <c r="E257" s="115"/>
      <c r="F257" s="116"/>
      <c r="G257" s="114"/>
      <c r="H257" s="114"/>
    </row>
    <row r="258" spans="1:8">
      <c r="A258" s="114"/>
      <c r="B258" s="114"/>
      <c r="C258" s="114"/>
      <c r="D258" s="114"/>
      <c r="E258" s="115"/>
      <c r="F258" s="116"/>
      <c r="G258" s="114"/>
      <c r="H258" s="114"/>
    </row>
    <row r="259" spans="1:8">
      <c r="A259" s="114"/>
      <c r="B259" s="114"/>
      <c r="C259" s="114"/>
      <c r="D259" s="114"/>
      <c r="E259" s="115"/>
      <c r="F259" s="116"/>
      <c r="G259" s="114"/>
      <c r="H259" s="114"/>
    </row>
    <row r="260" spans="1:8">
      <c r="A260" s="114"/>
      <c r="B260" s="114"/>
      <c r="C260" s="114"/>
      <c r="D260" s="114"/>
      <c r="E260" s="115"/>
      <c r="F260" s="116"/>
      <c r="G260" s="114"/>
      <c r="H260" s="114"/>
    </row>
    <row r="261" spans="1:8">
      <c r="A261" s="114"/>
      <c r="B261" s="114"/>
      <c r="C261" s="114"/>
      <c r="D261" s="114"/>
      <c r="E261" s="115"/>
      <c r="F261" s="116"/>
      <c r="G261" s="114"/>
      <c r="H261" s="114"/>
    </row>
    <row r="262" spans="1:8">
      <c r="A262" s="114"/>
      <c r="B262" s="114"/>
      <c r="C262" s="114"/>
      <c r="D262" s="114"/>
      <c r="E262" s="115"/>
      <c r="F262" s="116"/>
      <c r="G262" s="114"/>
      <c r="H262" s="114"/>
    </row>
    <row r="263" spans="1:8">
      <c r="A263" s="114"/>
      <c r="B263" s="114"/>
      <c r="C263" s="114"/>
      <c r="D263" s="114"/>
      <c r="E263" s="115"/>
      <c r="F263" s="116"/>
      <c r="G263" s="114"/>
      <c r="H263" s="114"/>
    </row>
    <row r="264" spans="1:8">
      <c r="A264" s="114"/>
      <c r="B264" s="114"/>
      <c r="C264" s="114"/>
      <c r="D264" s="114"/>
      <c r="E264" s="115"/>
      <c r="F264" s="116"/>
      <c r="G264" s="114"/>
      <c r="H264" s="114"/>
    </row>
    <row r="265" spans="1:8">
      <c r="A265" s="114"/>
      <c r="B265" s="114"/>
      <c r="C265" s="114"/>
      <c r="D265" s="114"/>
      <c r="E265" s="115"/>
      <c r="F265" s="116"/>
      <c r="G265" s="114"/>
      <c r="H265" s="114"/>
    </row>
    <row r="266" spans="1:8">
      <c r="A266" s="114"/>
      <c r="B266" s="114"/>
      <c r="C266" s="114"/>
      <c r="D266" s="114"/>
      <c r="E266" s="115"/>
      <c r="F266" s="116"/>
      <c r="G266" s="114"/>
      <c r="H266" s="114"/>
    </row>
    <row r="267" spans="1:8">
      <c r="A267" s="114"/>
      <c r="B267" s="114"/>
      <c r="C267" s="114"/>
      <c r="D267" s="114"/>
      <c r="E267" s="115"/>
      <c r="F267" s="116"/>
      <c r="G267" s="114"/>
      <c r="H267" s="114"/>
    </row>
    <row r="268" spans="1:8">
      <c r="A268" s="114"/>
      <c r="B268" s="114"/>
      <c r="C268" s="114"/>
      <c r="D268" s="114"/>
      <c r="E268" s="115"/>
      <c r="F268" s="116"/>
      <c r="G268" s="114"/>
      <c r="H268" s="114"/>
    </row>
    <row r="269" spans="1:8">
      <c r="A269" s="114"/>
      <c r="B269" s="114"/>
      <c r="C269" s="114"/>
      <c r="D269" s="114"/>
      <c r="E269" s="115"/>
      <c r="F269" s="116"/>
      <c r="G269" s="114"/>
      <c r="H269" s="114"/>
    </row>
    <row r="270" spans="1:8">
      <c r="A270" s="114"/>
      <c r="B270" s="114"/>
      <c r="C270" s="114"/>
      <c r="D270" s="114"/>
      <c r="E270" s="115"/>
      <c r="F270" s="116"/>
      <c r="G270" s="114"/>
      <c r="H270" s="114"/>
    </row>
    <row r="271" spans="1:8">
      <c r="A271" s="114"/>
      <c r="B271" s="114"/>
      <c r="C271" s="114"/>
      <c r="D271" s="114"/>
      <c r="E271" s="115"/>
      <c r="F271" s="116"/>
      <c r="G271" s="114"/>
      <c r="H271" s="114"/>
    </row>
    <row r="272" spans="1:8">
      <c r="A272" s="114"/>
      <c r="B272" s="114"/>
      <c r="C272" s="114"/>
      <c r="D272" s="114"/>
      <c r="E272" s="115"/>
      <c r="F272" s="116"/>
      <c r="G272" s="114"/>
      <c r="H272" s="114"/>
    </row>
    <row r="273" spans="1:8">
      <c r="A273" s="114"/>
      <c r="B273" s="114"/>
      <c r="C273" s="114"/>
      <c r="D273" s="114"/>
      <c r="E273" s="115"/>
      <c r="F273" s="116"/>
      <c r="G273" s="114"/>
      <c r="H273" s="114"/>
    </row>
    <row r="274" spans="1:8">
      <c r="A274" s="114"/>
      <c r="B274" s="114"/>
      <c r="C274" s="114"/>
      <c r="D274" s="114"/>
      <c r="E274" s="115"/>
      <c r="F274" s="116"/>
      <c r="G274" s="114"/>
      <c r="H274" s="114"/>
    </row>
    <row r="275" spans="1:8">
      <c r="A275" s="114"/>
      <c r="B275" s="114"/>
      <c r="C275" s="114"/>
      <c r="D275" s="114"/>
      <c r="E275" s="115"/>
      <c r="F275" s="116"/>
      <c r="G275" s="114"/>
      <c r="H275" s="114"/>
    </row>
    <row r="276" spans="1:8">
      <c r="A276" s="114"/>
      <c r="B276" s="114"/>
      <c r="C276" s="114"/>
      <c r="D276" s="114"/>
      <c r="E276" s="115"/>
      <c r="F276" s="116"/>
      <c r="G276" s="114"/>
      <c r="H276" s="114"/>
    </row>
    <row r="277" spans="1:8">
      <c r="A277" s="114"/>
      <c r="B277" s="114"/>
      <c r="C277" s="114"/>
      <c r="D277" s="114"/>
      <c r="E277" s="115"/>
      <c r="F277" s="116"/>
      <c r="G277" s="114"/>
      <c r="H277" s="114"/>
    </row>
    <row r="278" spans="1:8">
      <c r="A278" s="114"/>
      <c r="B278" s="114"/>
      <c r="C278" s="114"/>
      <c r="D278" s="114"/>
      <c r="E278" s="115"/>
      <c r="F278" s="116"/>
      <c r="G278" s="114"/>
      <c r="H278" s="114"/>
    </row>
    <row r="279" spans="1:8">
      <c r="A279" s="114"/>
      <c r="B279" s="114"/>
      <c r="C279" s="114"/>
      <c r="D279" s="114"/>
      <c r="E279" s="115"/>
      <c r="F279" s="116"/>
      <c r="G279" s="114"/>
      <c r="H279" s="114"/>
    </row>
    <row r="280" spans="1:8">
      <c r="A280" s="114"/>
      <c r="B280" s="114"/>
      <c r="C280" s="114"/>
      <c r="D280" s="114"/>
      <c r="E280" s="115"/>
      <c r="F280" s="116"/>
      <c r="G280" s="114"/>
      <c r="H280" s="114"/>
    </row>
    <row r="281" spans="1:8">
      <c r="A281" s="114"/>
      <c r="B281" s="114"/>
      <c r="C281" s="114"/>
      <c r="D281" s="114"/>
      <c r="E281" s="115"/>
      <c r="F281" s="116"/>
      <c r="G281" s="114"/>
      <c r="H281" s="114"/>
    </row>
    <row r="282" spans="1:8">
      <c r="A282" s="114"/>
      <c r="B282" s="114"/>
      <c r="C282" s="114"/>
      <c r="D282" s="114"/>
      <c r="E282" s="115"/>
      <c r="F282" s="116"/>
      <c r="G282" s="114"/>
      <c r="H282" s="114"/>
    </row>
    <row r="283" spans="1:8">
      <c r="A283" s="114"/>
      <c r="B283" s="114"/>
      <c r="C283" s="114"/>
      <c r="D283" s="114"/>
      <c r="E283" s="115"/>
      <c r="F283" s="116"/>
      <c r="G283" s="114"/>
      <c r="H283" s="114"/>
    </row>
    <row r="284" spans="1:8">
      <c r="A284" s="114"/>
      <c r="B284" s="114"/>
      <c r="C284" s="114"/>
      <c r="D284" s="114"/>
      <c r="E284" s="115"/>
      <c r="F284" s="116"/>
      <c r="G284" s="114"/>
      <c r="H284" s="114"/>
    </row>
    <row r="285" spans="1:8">
      <c r="A285" s="114"/>
      <c r="B285" s="114"/>
      <c r="C285" s="114"/>
      <c r="D285" s="114"/>
      <c r="E285" s="115"/>
      <c r="F285" s="116"/>
      <c r="G285" s="114"/>
      <c r="H285" s="114"/>
    </row>
    <row r="286" spans="1:8">
      <c r="A286" s="114"/>
      <c r="B286" s="114"/>
      <c r="C286" s="114"/>
      <c r="D286" s="114"/>
      <c r="E286" s="115"/>
      <c r="F286" s="116"/>
      <c r="G286" s="114"/>
      <c r="H286" s="114"/>
    </row>
    <row r="287" spans="1:8">
      <c r="A287" s="114"/>
      <c r="B287" s="114"/>
      <c r="C287" s="114"/>
      <c r="D287" s="114"/>
      <c r="E287" s="115"/>
      <c r="F287" s="116"/>
      <c r="G287" s="114"/>
      <c r="H287" s="114"/>
    </row>
    <row r="288" spans="1:8">
      <c r="A288" s="114"/>
      <c r="B288" s="114"/>
      <c r="C288" s="114"/>
      <c r="D288" s="114"/>
      <c r="E288" s="115"/>
      <c r="F288" s="116"/>
      <c r="G288" s="114"/>
      <c r="H288" s="114"/>
    </row>
    <row r="289" spans="1:8">
      <c r="A289" s="114"/>
      <c r="B289" s="114"/>
      <c r="C289" s="114"/>
      <c r="D289" s="114"/>
      <c r="E289" s="115"/>
      <c r="F289" s="116"/>
      <c r="G289" s="114"/>
      <c r="H289" s="114"/>
    </row>
    <row r="290" spans="1:8">
      <c r="A290" s="114"/>
      <c r="B290" s="114"/>
      <c r="C290" s="114"/>
      <c r="D290" s="114"/>
      <c r="E290" s="115"/>
      <c r="F290" s="116"/>
      <c r="G290" s="114"/>
      <c r="H290" s="114"/>
    </row>
    <row r="291" spans="1:8">
      <c r="A291" s="114"/>
      <c r="B291" s="114"/>
      <c r="C291" s="114"/>
      <c r="D291" s="114"/>
      <c r="E291" s="115"/>
      <c r="F291" s="116"/>
      <c r="G291" s="114"/>
      <c r="H291" s="114"/>
    </row>
    <row r="292" spans="1:8">
      <c r="A292" s="114"/>
      <c r="B292" s="114"/>
      <c r="C292" s="114"/>
      <c r="D292" s="114"/>
      <c r="E292" s="115"/>
      <c r="F292" s="116"/>
      <c r="G292" s="114"/>
      <c r="H292" s="114"/>
    </row>
    <row r="293" spans="1:8">
      <c r="A293" s="114"/>
      <c r="B293" s="114"/>
      <c r="C293" s="114"/>
      <c r="D293" s="114"/>
      <c r="E293" s="115"/>
      <c r="F293" s="116"/>
      <c r="G293" s="114"/>
      <c r="H293" s="114"/>
    </row>
    <row r="294" spans="1:8">
      <c r="A294" s="114"/>
      <c r="B294" s="114"/>
      <c r="C294" s="114"/>
      <c r="D294" s="114"/>
      <c r="E294" s="115"/>
      <c r="F294" s="116"/>
      <c r="G294" s="114"/>
      <c r="H294" s="114"/>
    </row>
    <row r="295" spans="1:8">
      <c r="A295" s="114"/>
      <c r="B295" s="114"/>
      <c r="C295" s="114"/>
      <c r="D295" s="114"/>
      <c r="E295" s="115"/>
      <c r="F295" s="116"/>
      <c r="G295" s="114"/>
      <c r="H295" s="114"/>
    </row>
    <row r="296" spans="1:8">
      <c r="A296" s="114"/>
      <c r="B296" s="114"/>
      <c r="C296" s="114"/>
      <c r="D296" s="114"/>
      <c r="E296" s="115"/>
      <c r="F296" s="116"/>
      <c r="G296" s="114"/>
      <c r="H296" s="114"/>
    </row>
    <row r="297" spans="1:8">
      <c r="A297" s="114"/>
      <c r="B297" s="114"/>
      <c r="C297" s="114"/>
      <c r="D297" s="114"/>
      <c r="E297" s="115"/>
      <c r="F297" s="116"/>
      <c r="G297" s="114"/>
      <c r="H297" s="114"/>
    </row>
    <row r="298" spans="1:8">
      <c r="A298" s="114"/>
      <c r="B298" s="114"/>
      <c r="C298" s="114"/>
      <c r="D298" s="114"/>
      <c r="E298" s="115"/>
      <c r="F298" s="116"/>
      <c r="G298" s="114"/>
      <c r="H298" s="114"/>
    </row>
    <row r="299" spans="1:8">
      <c r="A299" s="114"/>
      <c r="B299" s="114"/>
      <c r="C299" s="114"/>
      <c r="D299" s="114"/>
      <c r="E299" s="115"/>
      <c r="F299" s="116"/>
      <c r="G299" s="114"/>
      <c r="H299" s="114"/>
    </row>
    <row r="300" spans="1:8">
      <c r="A300" s="114"/>
      <c r="B300" s="114"/>
      <c r="C300" s="114"/>
      <c r="D300" s="114"/>
      <c r="E300" s="115"/>
      <c r="F300" s="116"/>
      <c r="G300" s="114"/>
      <c r="H300" s="114"/>
    </row>
    <row r="301" spans="1:8">
      <c r="A301" s="114"/>
      <c r="B301" s="114"/>
      <c r="C301" s="114"/>
      <c r="D301" s="114"/>
      <c r="E301" s="115"/>
      <c r="F301" s="116"/>
      <c r="G301" s="114"/>
      <c r="H301" s="114"/>
    </row>
    <row r="302" spans="1:8">
      <c r="A302" s="114"/>
      <c r="B302" s="114"/>
      <c r="C302" s="114"/>
      <c r="D302" s="114"/>
      <c r="E302" s="115"/>
      <c r="F302" s="116"/>
      <c r="G302" s="114"/>
      <c r="H302" s="114"/>
    </row>
    <row r="303" spans="1:8">
      <c r="A303" s="114"/>
      <c r="B303" s="114"/>
      <c r="C303" s="114"/>
      <c r="D303" s="114"/>
      <c r="E303" s="115"/>
      <c r="F303" s="116"/>
      <c r="G303" s="114"/>
      <c r="H303" s="114"/>
    </row>
    <row r="304" spans="1:8">
      <c r="A304" s="114"/>
      <c r="B304" s="114"/>
      <c r="C304" s="114"/>
      <c r="D304" s="114"/>
      <c r="E304" s="115"/>
      <c r="F304" s="116"/>
      <c r="G304" s="114"/>
      <c r="H304" s="114"/>
    </row>
    <row r="305" spans="1:8">
      <c r="A305" s="114"/>
      <c r="B305" s="114"/>
      <c r="C305" s="114"/>
      <c r="D305" s="114"/>
      <c r="E305" s="115"/>
      <c r="F305" s="116"/>
      <c r="G305" s="114"/>
      <c r="H305" s="114"/>
    </row>
    <row r="306" spans="1:8">
      <c r="A306" s="114"/>
      <c r="B306" s="114"/>
      <c r="C306" s="114"/>
      <c r="D306" s="114"/>
      <c r="E306" s="115"/>
      <c r="F306" s="116"/>
      <c r="G306" s="114"/>
      <c r="H306" s="114"/>
    </row>
    <row r="307" spans="1:8">
      <c r="A307" s="114"/>
      <c r="B307" s="114"/>
      <c r="C307" s="114"/>
      <c r="D307" s="114"/>
      <c r="E307" s="115"/>
      <c r="F307" s="116"/>
      <c r="G307" s="114"/>
      <c r="H307" s="114"/>
    </row>
    <row r="308" spans="1:8">
      <c r="A308" s="114"/>
      <c r="B308" s="114"/>
      <c r="C308" s="114"/>
      <c r="D308" s="114"/>
      <c r="E308" s="115"/>
      <c r="F308" s="116"/>
      <c r="G308" s="114"/>
      <c r="H308" s="114"/>
    </row>
    <row r="309" spans="1:8">
      <c r="A309" s="114"/>
      <c r="B309" s="114"/>
      <c r="C309" s="114"/>
      <c r="D309" s="114"/>
      <c r="E309" s="115"/>
      <c r="F309" s="116"/>
      <c r="G309" s="114"/>
      <c r="H309" s="114"/>
    </row>
    <row r="310" spans="1:8">
      <c r="A310" s="114"/>
      <c r="B310" s="114"/>
      <c r="C310" s="114"/>
      <c r="D310" s="114"/>
      <c r="E310" s="115"/>
      <c r="F310" s="116"/>
      <c r="G310" s="114"/>
      <c r="H310" s="114"/>
    </row>
    <row r="311" spans="1:8">
      <c r="A311" s="114"/>
      <c r="B311" s="114"/>
      <c r="C311" s="114"/>
      <c r="D311" s="114"/>
      <c r="E311" s="115"/>
      <c r="F311" s="116"/>
      <c r="G311" s="114"/>
      <c r="H311" s="114"/>
    </row>
    <row r="312" spans="1:8">
      <c r="A312" s="114"/>
      <c r="B312" s="114"/>
      <c r="C312" s="114"/>
      <c r="D312" s="114"/>
      <c r="E312" s="115"/>
      <c r="F312" s="116"/>
      <c r="G312" s="114"/>
      <c r="H312" s="114"/>
    </row>
    <row r="313" spans="1:8">
      <c r="A313" s="114"/>
      <c r="B313" s="114"/>
      <c r="C313" s="114"/>
      <c r="D313" s="114"/>
      <c r="E313" s="115"/>
      <c r="F313" s="116"/>
      <c r="G313" s="114"/>
      <c r="H313" s="114"/>
    </row>
    <row r="314" spans="1:8">
      <c r="A314" s="114"/>
      <c r="B314" s="114"/>
      <c r="C314" s="114"/>
      <c r="D314" s="114"/>
      <c r="E314" s="115"/>
      <c r="F314" s="116"/>
      <c r="G314" s="114"/>
      <c r="H314" s="114"/>
    </row>
    <row r="315" spans="1:8">
      <c r="A315" s="114"/>
      <c r="B315" s="114"/>
      <c r="C315" s="114"/>
      <c r="D315" s="114"/>
      <c r="E315" s="115"/>
      <c r="F315" s="116"/>
      <c r="G315" s="114"/>
      <c r="H315" s="114"/>
    </row>
    <row r="316" spans="1:8">
      <c r="A316" s="114"/>
      <c r="B316" s="114"/>
      <c r="C316" s="114"/>
      <c r="D316" s="114"/>
      <c r="E316" s="115"/>
      <c r="F316" s="116"/>
      <c r="G316" s="114"/>
      <c r="H316" s="114"/>
    </row>
    <row r="317" spans="1:8">
      <c r="A317" s="114"/>
      <c r="B317" s="114"/>
      <c r="C317" s="114"/>
      <c r="D317" s="114"/>
      <c r="E317" s="115"/>
      <c r="F317" s="116"/>
      <c r="G317" s="114"/>
      <c r="H317" s="114"/>
    </row>
    <row r="318" spans="1:8">
      <c r="A318" s="114"/>
      <c r="B318" s="114"/>
      <c r="C318" s="114"/>
      <c r="D318" s="114"/>
      <c r="E318" s="115"/>
      <c r="F318" s="116"/>
      <c r="G318" s="114"/>
      <c r="H318" s="114"/>
    </row>
    <row r="319" spans="1:8">
      <c r="A319" s="114"/>
      <c r="B319" s="114"/>
      <c r="C319" s="114"/>
      <c r="D319" s="114"/>
      <c r="E319" s="115"/>
      <c r="F319" s="116"/>
      <c r="G319" s="114"/>
      <c r="H319" s="114"/>
    </row>
    <row r="320" spans="1:8">
      <c r="A320" s="114"/>
      <c r="B320" s="114"/>
      <c r="C320" s="114"/>
      <c r="D320" s="114"/>
      <c r="E320" s="115"/>
      <c r="F320" s="116"/>
      <c r="G320" s="114"/>
      <c r="H320" s="114"/>
    </row>
    <row r="321" spans="1:8">
      <c r="A321" s="114"/>
      <c r="B321" s="114"/>
      <c r="C321" s="114"/>
      <c r="D321" s="114"/>
      <c r="E321" s="115"/>
      <c r="F321" s="116"/>
      <c r="G321" s="114"/>
      <c r="H321" s="114"/>
    </row>
    <row r="322" spans="1:8">
      <c r="A322" s="114"/>
      <c r="B322" s="114"/>
      <c r="C322" s="114"/>
      <c r="D322" s="114"/>
      <c r="E322" s="115"/>
      <c r="F322" s="116"/>
      <c r="G322" s="114"/>
      <c r="H322" s="114"/>
    </row>
    <row r="323" spans="1:8">
      <c r="A323" s="114"/>
      <c r="B323" s="114"/>
      <c r="C323" s="114"/>
      <c r="D323" s="114"/>
      <c r="E323" s="115"/>
      <c r="F323" s="116"/>
      <c r="G323" s="114"/>
      <c r="H323" s="114"/>
    </row>
    <row r="324" spans="1:8">
      <c r="A324" s="114"/>
      <c r="B324" s="114"/>
      <c r="C324" s="114"/>
      <c r="D324" s="114"/>
      <c r="E324" s="115"/>
      <c r="F324" s="116"/>
      <c r="G324" s="114"/>
      <c r="H324" s="114"/>
    </row>
    <row r="325" spans="1:8">
      <c r="A325" s="114"/>
      <c r="B325" s="114"/>
      <c r="C325" s="114"/>
      <c r="D325" s="114"/>
      <c r="E325" s="115"/>
      <c r="F325" s="116"/>
      <c r="G325" s="114"/>
      <c r="H325" s="114"/>
    </row>
    <row r="326" spans="1:8">
      <c r="A326" s="114"/>
      <c r="B326" s="114"/>
      <c r="C326" s="114"/>
      <c r="D326" s="114"/>
      <c r="E326" s="115"/>
      <c r="F326" s="116"/>
      <c r="G326" s="114"/>
      <c r="H326" s="114"/>
    </row>
    <row r="327" spans="1:8">
      <c r="A327" s="114"/>
      <c r="B327" s="114"/>
      <c r="C327" s="114"/>
      <c r="D327" s="114"/>
      <c r="E327" s="115"/>
      <c r="F327" s="116"/>
      <c r="G327" s="114"/>
      <c r="H327" s="114"/>
    </row>
    <row r="328" spans="1:8">
      <c r="A328" s="114"/>
      <c r="B328" s="114"/>
      <c r="C328" s="114"/>
      <c r="D328" s="114"/>
      <c r="E328" s="115"/>
      <c r="F328" s="116"/>
      <c r="G328" s="114"/>
      <c r="H328" s="114"/>
    </row>
    <row r="329" spans="1:8">
      <c r="A329" s="114"/>
      <c r="B329" s="114"/>
      <c r="C329" s="114"/>
      <c r="D329" s="114"/>
      <c r="E329" s="115"/>
      <c r="F329" s="116"/>
      <c r="G329" s="114"/>
      <c r="H329" s="114"/>
    </row>
    <row r="330" spans="1:8">
      <c r="A330" s="114"/>
      <c r="B330" s="114"/>
      <c r="C330" s="114"/>
      <c r="D330" s="114"/>
      <c r="E330" s="115"/>
      <c r="F330" s="116"/>
      <c r="G330" s="114"/>
      <c r="H330" s="114"/>
    </row>
    <row r="331" spans="1:8">
      <c r="A331" s="114"/>
      <c r="B331" s="114"/>
      <c r="C331" s="114"/>
      <c r="D331" s="114"/>
      <c r="E331" s="115"/>
      <c r="F331" s="116"/>
      <c r="G331" s="114"/>
      <c r="H331" s="114"/>
    </row>
    <row r="332" spans="1:8">
      <c r="A332" s="114"/>
      <c r="B332" s="114"/>
      <c r="C332" s="114"/>
      <c r="D332" s="114"/>
      <c r="E332" s="115"/>
      <c r="F332" s="116"/>
      <c r="G332" s="114"/>
      <c r="H332" s="114"/>
    </row>
    <row r="333" spans="1:8">
      <c r="A333" s="114"/>
      <c r="B333" s="114"/>
      <c r="C333" s="114"/>
      <c r="D333" s="114"/>
      <c r="E333" s="115"/>
      <c r="F333" s="116"/>
      <c r="G333" s="114"/>
      <c r="H333" s="114"/>
    </row>
    <row r="334" spans="1:8">
      <c r="A334" s="114"/>
      <c r="B334" s="114"/>
      <c r="C334" s="114"/>
      <c r="D334" s="114"/>
      <c r="E334" s="115"/>
      <c r="F334" s="116"/>
      <c r="G334" s="114"/>
      <c r="H334" s="114"/>
    </row>
    <row r="335" spans="1:8">
      <c r="A335" s="114"/>
      <c r="B335" s="114"/>
      <c r="C335" s="114"/>
      <c r="D335" s="114"/>
      <c r="E335" s="115"/>
      <c r="F335" s="116"/>
      <c r="G335" s="114"/>
      <c r="H335" s="114"/>
    </row>
    <row r="336" spans="1:8">
      <c r="A336" s="114"/>
      <c r="B336" s="114"/>
      <c r="C336" s="114"/>
      <c r="D336" s="114"/>
      <c r="E336" s="115"/>
      <c r="F336" s="116"/>
      <c r="G336" s="114"/>
      <c r="H336" s="114"/>
    </row>
    <row r="337" spans="1:8">
      <c r="A337" s="114"/>
      <c r="B337" s="114"/>
      <c r="C337" s="114"/>
      <c r="D337" s="114"/>
      <c r="E337" s="115"/>
      <c r="F337" s="116"/>
      <c r="G337" s="114"/>
      <c r="H337" s="114"/>
    </row>
    <row r="338" spans="1:8">
      <c r="A338" s="114"/>
      <c r="B338" s="114"/>
      <c r="C338" s="114"/>
      <c r="D338" s="114"/>
      <c r="E338" s="115"/>
      <c r="F338" s="116"/>
      <c r="G338" s="114"/>
      <c r="H338" s="114"/>
    </row>
    <row r="339" spans="1:8">
      <c r="A339" s="114"/>
      <c r="B339" s="114"/>
      <c r="C339" s="114"/>
      <c r="D339" s="114"/>
      <c r="E339" s="115"/>
      <c r="F339" s="116"/>
      <c r="G339" s="114"/>
      <c r="H339" s="114"/>
    </row>
    <row r="340" spans="1:8">
      <c r="A340" s="114"/>
      <c r="B340" s="114"/>
      <c r="C340" s="114"/>
      <c r="D340" s="114"/>
      <c r="E340" s="115"/>
      <c r="F340" s="116"/>
      <c r="G340" s="114"/>
      <c r="H340" s="114"/>
    </row>
    <row r="341" spans="1:8">
      <c r="A341" s="114"/>
      <c r="B341" s="114"/>
      <c r="C341" s="114"/>
      <c r="D341" s="114"/>
      <c r="E341" s="115"/>
      <c r="F341" s="116"/>
      <c r="G341" s="114"/>
      <c r="H341" s="114"/>
    </row>
    <row r="342" spans="1:8">
      <c r="A342" s="114"/>
      <c r="B342" s="114"/>
      <c r="C342" s="114"/>
      <c r="D342" s="114"/>
      <c r="E342" s="115"/>
      <c r="F342" s="116"/>
      <c r="G342" s="114"/>
      <c r="H342" s="114"/>
    </row>
    <row r="343" spans="1:8">
      <c r="A343" s="114"/>
      <c r="B343" s="114"/>
      <c r="C343" s="114"/>
      <c r="D343" s="114"/>
      <c r="E343" s="115"/>
      <c r="F343" s="116"/>
      <c r="G343" s="114"/>
      <c r="H343" s="114"/>
    </row>
    <row r="344" spans="1:8">
      <c r="A344" s="114"/>
      <c r="B344" s="114"/>
      <c r="C344" s="114"/>
      <c r="D344" s="114"/>
      <c r="E344" s="115"/>
      <c r="F344" s="116"/>
      <c r="G344" s="114"/>
      <c r="H344" s="114"/>
    </row>
    <row r="345" spans="1:8">
      <c r="A345" s="114"/>
      <c r="B345" s="114"/>
      <c r="C345" s="114"/>
      <c r="D345" s="114"/>
      <c r="E345" s="115"/>
      <c r="F345" s="116"/>
      <c r="G345" s="114"/>
      <c r="H345" s="114"/>
    </row>
    <row r="346" spans="1:8">
      <c r="A346" s="114"/>
      <c r="B346" s="114"/>
      <c r="C346" s="114"/>
      <c r="D346" s="114"/>
      <c r="E346" s="115"/>
      <c r="F346" s="116"/>
      <c r="G346" s="114"/>
      <c r="H346" s="114"/>
    </row>
    <row r="347" spans="1:8">
      <c r="A347" s="114"/>
      <c r="B347" s="114"/>
      <c r="C347" s="114"/>
      <c r="D347" s="114"/>
      <c r="E347" s="115"/>
      <c r="F347" s="116"/>
      <c r="G347" s="114"/>
      <c r="H347" s="114"/>
    </row>
    <row r="348" spans="1:8">
      <c r="A348" s="114"/>
      <c r="B348" s="114"/>
      <c r="C348" s="114"/>
      <c r="D348" s="114"/>
      <c r="E348" s="115"/>
      <c r="F348" s="116"/>
      <c r="G348" s="114"/>
      <c r="H348" s="114"/>
    </row>
    <row r="349" spans="1:8">
      <c r="A349" s="114"/>
      <c r="B349" s="114"/>
      <c r="C349" s="114"/>
      <c r="D349" s="114"/>
      <c r="E349" s="115"/>
      <c r="F349" s="116"/>
      <c r="G349" s="114"/>
      <c r="H349" s="114"/>
    </row>
    <row r="350" spans="1:8">
      <c r="A350" s="114"/>
      <c r="B350" s="114"/>
      <c r="C350" s="114"/>
      <c r="D350" s="114"/>
      <c r="E350" s="115"/>
      <c r="F350" s="116"/>
      <c r="G350" s="114"/>
      <c r="H350" s="114"/>
    </row>
    <row r="351" spans="1:8">
      <c r="A351" s="114"/>
      <c r="B351" s="114"/>
      <c r="C351" s="114"/>
      <c r="D351" s="114"/>
      <c r="E351" s="115"/>
      <c r="F351" s="116"/>
      <c r="G351" s="114"/>
      <c r="H351" s="114"/>
    </row>
    <row r="352" spans="1:8">
      <c r="A352" s="114"/>
      <c r="B352" s="114"/>
      <c r="C352" s="114"/>
      <c r="D352" s="114"/>
      <c r="E352" s="115"/>
      <c r="F352" s="116"/>
      <c r="G352" s="114"/>
      <c r="H352" s="114"/>
    </row>
    <row r="353" spans="1:8">
      <c r="A353" s="114"/>
      <c r="B353" s="114"/>
      <c r="C353" s="114"/>
      <c r="D353" s="114"/>
      <c r="E353" s="115"/>
      <c r="F353" s="116"/>
      <c r="G353" s="114"/>
      <c r="H353" s="114"/>
    </row>
    <row r="354" spans="1:8">
      <c r="A354" s="114"/>
      <c r="B354" s="114"/>
      <c r="C354" s="114"/>
      <c r="D354" s="114"/>
      <c r="E354" s="115"/>
      <c r="F354" s="116"/>
      <c r="G354" s="114"/>
      <c r="H354" s="114"/>
    </row>
    <row r="355" spans="1:8">
      <c r="A355" s="114"/>
      <c r="B355" s="114"/>
      <c r="C355" s="114"/>
      <c r="D355" s="114"/>
      <c r="E355" s="115"/>
      <c r="F355" s="116"/>
      <c r="G355" s="114"/>
      <c r="H355" s="114"/>
    </row>
    <row r="356" spans="1:8">
      <c r="A356" s="114"/>
      <c r="B356" s="114"/>
      <c r="C356" s="114"/>
      <c r="D356" s="114"/>
      <c r="E356" s="115"/>
      <c r="F356" s="116"/>
      <c r="G356" s="114"/>
      <c r="H356" s="114"/>
    </row>
    <row r="357" spans="1:8">
      <c r="A357" s="114"/>
      <c r="B357" s="114"/>
      <c r="C357" s="114"/>
      <c r="D357" s="114"/>
      <c r="E357" s="115"/>
      <c r="F357" s="116"/>
      <c r="G357" s="114"/>
      <c r="H357" s="114"/>
    </row>
    <row r="358" spans="1:8">
      <c r="A358" s="114"/>
      <c r="B358" s="114"/>
      <c r="C358" s="114"/>
      <c r="D358" s="114"/>
      <c r="E358" s="115"/>
      <c r="F358" s="116"/>
      <c r="G358" s="114"/>
      <c r="H358" s="114"/>
    </row>
    <row r="359" spans="1:8">
      <c r="A359" s="114"/>
      <c r="B359" s="114"/>
      <c r="C359" s="114"/>
      <c r="D359" s="114"/>
      <c r="E359" s="115"/>
      <c r="F359" s="116"/>
      <c r="G359" s="114"/>
      <c r="H359" s="114"/>
    </row>
    <row r="360" spans="1:8">
      <c r="A360" s="114"/>
      <c r="B360" s="114"/>
      <c r="C360" s="114"/>
      <c r="D360" s="114"/>
      <c r="E360" s="115"/>
      <c r="F360" s="116"/>
      <c r="G360" s="114"/>
      <c r="H360" s="114"/>
    </row>
    <row r="361" spans="1:8">
      <c r="A361" s="114"/>
      <c r="B361" s="114"/>
      <c r="C361" s="114"/>
      <c r="D361" s="114"/>
      <c r="E361" s="115"/>
      <c r="F361" s="116"/>
      <c r="G361" s="114"/>
      <c r="H361" s="114"/>
    </row>
    <row r="362" spans="1:8">
      <c r="A362" s="114"/>
      <c r="B362" s="114"/>
      <c r="C362" s="114"/>
      <c r="D362" s="114"/>
      <c r="E362" s="115"/>
      <c r="F362" s="116"/>
      <c r="G362" s="114"/>
      <c r="H362" s="114"/>
    </row>
    <row r="363" spans="1:8">
      <c r="A363" s="114"/>
      <c r="B363" s="114"/>
      <c r="C363" s="114"/>
      <c r="D363" s="114"/>
      <c r="E363" s="115"/>
      <c r="F363" s="116"/>
      <c r="G363" s="114"/>
      <c r="H363" s="114"/>
    </row>
    <row r="364" spans="1:8">
      <c r="A364" s="114"/>
      <c r="B364" s="114"/>
      <c r="C364" s="114"/>
      <c r="D364" s="114"/>
      <c r="E364" s="115"/>
      <c r="F364" s="116"/>
      <c r="G364" s="114"/>
      <c r="H364" s="114"/>
    </row>
    <row r="365" spans="1:8">
      <c r="A365" s="114"/>
      <c r="B365" s="114"/>
      <c r="C365" s="114"/>
      <c r="D365" s="114"/>
      <c r="E365" s="115"/>
      <c r="F365" s="116"/>
      <c r="G365" s="114"/>
      <c r="H365" s="114"/>
    </row>
    <row r="366" spans="1:8">
      <c r="A366" s="114"/>
      <c r="B366" s="114"/>
      <c r="C366" s="114"/>
      <c r="D366" s="114"/>
      <c r="E366" s="115"/>
      <c r="F366" s="116"/>
      <c r="G366" s="114"/>
      <c r="H366" s="114"/>
    </row>
    <row r="367" spans="1:8">
      <c r="A367" s="114"/>
      <c r="B367" s="114"/>
      <c r="C367" s="114"/>
      <c r="D367" s="114"/>
      <c r="E367" s="115"/>
      <c r="F367" s="116"/>
      <c r="G367" s="114"/>
      <c r="H367" s="114"/>
    </row>
    <row r="368" spans="1:8">
      <c r="A368" s="114"/>
      <c r="B368" s="114"/>
      <c r="C368" s="114"/>
      <c r="D368" s="114"/>
      <c r="E368" s="115"/>
      <c r="F368" s="116"/>
      <c r="G368" s="114"/>
      <c r="H368" s="114"/>
    </row>
    <row r="369" spans="1:8">
      <c r="A369" s="114"/>
      <c r="B369" s="114"/>
      <c r="C369" s="114"/>
      <c r="D369" s="114"/>
      <c r="E369" s="115"/>
      <c r="F369" s="116"/>
      <c r="G369" s="114"/>
      <c r="H369" s="114"/>
    </row>
    <row r="370" spans="1:8">
      <c r="A370" s="114"/>
      <c r="B370" s="114"/>
      <c r="C370" s="114"/>
      <c r="D370" s="114"/>
      <c r="E370" s="115"/>
      <c r="F370" s="116"/>
      <c r="G370" s="114"/>
      <c r="H370" s="114"/>
    </row>
    <row r="371" spans="1:8">
      <c r="A371" s="114"/>
      <c r="B371" s="114"/>
      <c r="C371" s="114"/>
      <c r="D371" s="114"/>
      <c r="E371" s="115"/>
      <c r="F371" s="116"/>
      <c r="G371" s="114"/>
      <c r="H371" s="114"/>
    </row>
    <row r="372" spans="1:8">
      <c r="A372" s="114"/>
      <c r="B372" s="114"/>
      <c r="C372" s="114"/>
      <c r="D372" s="114"/>
      <c r="E372" s="115"/>
      <c r="F372" s="116"/>
      <c r="G372" s="114"/>
      <c r="H372" s="114"/>
    </row>
    <row r="373" spans="1:8">
      <c r="A373" s="114"/>
      <c r="B373" s="114"/>
      <c r="C373" s="114"/>
      <c r="D373" s="114"/>
      <c r="E373" s="115"/>
      <c r="F373" s="116"/>
      <c r="G373" s="114"/>
      <c r="H373" s="114"/>
    </row>
    <row r="374" spans="1:8">
      <c r="A374" s="114"/>
      <c r="B374" s="114"/>
      <c r="C374" s="114"/>
      <c r="D374" s="114"/>
      <c r="E374" s="115"/>
      <c r="F374" s="116"/>
      <c r="G374" s="114"/>
      <c r="H374" s="114"/>
    </row>
    <row r="375" spans="1:8">
      <c r="A375" s="114"/>
      <c r="B375" s="114"/>
      <c r="C375" s="114"/>
      <c r="D375" s="114"/>
      <c r="E375" s="115"/>
      <c r="F375" s="116"/>
      <c r="G375" s="114"/>
      <c r="H375" s="114"/>
    </row>
    <row r="376" spans="1:8">
      <c r="A376" s="114"/>
      <c r="B376" s="114"/>
      <c r="C376" s="114"/>
      <c r="D376" s="114"/>
      <c r="E376" s="115"/>
      <c r="F376" s="116"/>
      <c r="G376" s="114"/>
      <c r="H376" s="114"/>
    </row>
    <row r="377" spans="1:8">
      <c r="A377" s="114"/>
      <c r="B377" s="114"/>
      <c r="C377" s="114"/>
      <c r="D377" s="114"/>
      <c r="E377" s="115"/>
      <c r="F377" s="116"/>
      <c r="G377" s="114"/>
      <c r="H377" s="114"/>
    </row>
    <row r="378" spans="1:8">
      <c r="A378" s="114"/>
      <c r="B378" s="114"/>
      <c r="C378" s="114"/>
      <c r="D378" s="114"/>
      <c r="E378" s="115"/>
      <c r="F378" s="116"/>
      <c r="G378" s="114"/>
      <c r="H378" s="114"/>
    </row>
    <row r="379" spans="1:8">
      <c r="A379" s="114"/>
      <c r="B379" s="114"/>
      <c r="C379" s="114"/>
      <c r="D379" s="114"/>
      <c r="E379" s="115"/>
      <c r="F379" s="116"/>
      <c r="G379" s="114"/>
      <c r="H379" s="114"/>
    </row>
    <row r="380" spans="1:8">
      <c r="A380" s="114"/>
      <c r="B380" s="114"/>
      <c r="C380" s="114"/>
      <c r="D380" s="114"/>
      <c r="E380" s="115"/>
      <c r="F380" s="116"/>
      <c r="G380" s="114"/>
      <c r="H380" s="114"/>
    </row>
    <row r="381" spans="1:8">
      <c r="A381" s="114"/>
      <c r="B381" s="114"/>
      <c r="C381" s="114"/>
      <c r="D381" s="114"/>
      <c r="E381" s="115"/>
      <c r="F381" s="116"/>
      <c r="G381" s="114"/>
      <c r="H381" s="114"/>
    </row>
    <row r="382" spans="1:8">
      <c r="A382" s="114"/>
      <c r="B382" s="114"/>
      <c r="C382" s="114"/>
      <c r="D382" s="114"/>
      <c r="E382" s="115"/>
      <c r="F382" s="116"/>
      <c r="G382" s="114"/>
      <c r="H382" s="114"/>
    </row>
    <row r="383" spans="1:8">
      <c r="A383" s="114"/>
      <c r="B383" s="114"/>
      <c r="C383" s="114"/>
      <c r="D383" s="114"/>
      <c r="E383" s="115"/>
      <c r="F383" s="116"/>
      <c r="G383" s="114"/>
      <c r="H383" s="114"/>
    </row>
    <row r="384" spans="1:8">
      <c r="A384" s="114"/>
      <c r="B384" s="114"/>
      <c r="C384" s="114"/>
      <c r="D384" s="114"/>
      <c r="E384" s="115"/>
      <c r="F384" s="116"/>
      <c r="G384" s="114"/>
      <c r="H384" s="114"/>
    </row>
    <row r="385" spans="1:8">
      <c r="A385" s="114"/>
      <c r="B385" s="114"/>
      <c r="C385" s="114"/>
      <c r="D385" s="114"/>
      <c r="E385" s="115"/>
      <c r="F385" s="116"/>
      <c r="G385" s="114"/>
      <c r="H385" s="114"/>
    </row>
    <row r="386" spans="1:8">
      <c r="A386" s="114"/>
      <c r="B386" s="114"/>
      <c r="C386" s="114"/>
      <c r="D386" s="114"/>
      <c r="E386" s="115"/>
      <c r="F386" s="116"/>
      <c r="G386" s="114"/>
      <c r="H386" s="114"/>
    </row>
    <row r="387" spans="1:8">
      <c r="A387" s="114"/>
      <c r="B387" s="114"/>
      <c r="C387" s="114"/>
      <c r="D387" s="114"/>
      <c r="E387" s="115"/>
      <c r="F387" s="116"/>
      <c r="G387" s="114"/>
      <c r="H387" s="114"/>
    </row>
    <row r="388" spans="1:8">
      <c r="A388" s="114"/>
      <c r="B388" s="114"/>
      <c r="C388" s="114"/>
      <c r="D388" s="114"/>
      <c r="E388" s="115"/>
      <c r="F388" s="116"/>
      <c r="G388" s="114"/>
      <c r="H388" s="114"/>
    </row>
    <row r="389" spans="1:8">
      <c r="A389" s="114"/>
      <c r="B389" s="114"/>
      <c r="C389" s="114"/>
      <c r="D389" s="114"/>
      <c r="E389" s="115"/>
      <c r="F389" s="116"/>
      <c r="G389" s="114"/>
      <c r="H389" s="114"/>
    </row>
    <row r="390" spans="1:8">
      <c r="A390" s="114"/>
      <c r="B390" s="114"/>
      <c r="C390" s="114"/>
      <c r="D390" s="114"/>
      <c r="E390" s="115"/>
      <c r="F390" s="116"/>
      <c r="G390" s="114"/>
      <c r="H390" s="114"/>
    </row>
    <row r="391" spans="1:8">
      <c r="A391" s="114"/>
      <c r="B391" s="114"/>
      <c r="C391" s="114"/>
      <c r="D391" s="114"/>
      <c r="E391" s="115"/>
      <c r="F391" s="116"/>
      <c r="G391" s="114"/>
      <c r="H391" s="114"/>
    </row>
    <row r="392" spans="1:8">
      <c r="A392" s="114"/>
      <c r="B392" s="114"/>
      <c r="C392" s="114"/>
      <c r="D392" s="114"/>
      <c r="E392" s="115"/>
      <c r="F392" s="116"/>
      <c r="G392" s="114"/>
      <c r="H392" s="114"/>
    </row>
    <row r="393" spans="1:8">
      <c r="A393" s="114"/>
      <c r="B393" s="114"/>
      <c r="C393" s="114"/>
      <c r="D393" s="114"/>
      <c r="E393" s="115"/>
      <c r="F393" s="116"/>
      <c r="G393" s="114"/>
      <c r="H393" s="114"/>
    </row>
    <row r="394" spans="1:8">
      <c r="A394" s="114"/>
      <c r="B394" s="114"/>
      <c r="C394" s="114"/>
      <c r="D394" s="114"/>
      <c r="E394" s="115"/>
      <c r="F394" s="116"/>
      <c r="G394" s="114"/>
      <c r="H394" s="114"/>
    </row>
    <row r="395" spans="1:8">
      <c r="A395" s="114"/>
      <c r="B395" s="114"/>
      <c r="C395" s="114"/>
      <c r="D395" s="114"/>
      <c r="E395" s="115"/>
      <c r="F395" s="116"/>
      <c r="G395" s="114"/>
      <c r="H395" s="114"/>
    </row>
    <row r="396" spans="1:8">
      <c r="A396" s="114"/>
      <c r="B396" s="114"/>
      <c r="C396" s="114"/>
      <c r="D396" s="114"/>
      <c r="E396" s="115"/>
      <c r="F396" s="116"/>
      <c r="G396" s="114"/>
      <c r="H396" s="114"/>
    </row>
    <row r="397" spans="1:8">
      <c r="A397" s="114"/>
      <c r="B397" s="114"/>
      <c r="C397" s="114"/>
      <c r="D397" s="114"/>
      <c r="E397" s="115"/>
      <c r="F397" s="116"/>
      <c r="G397" s="114"/>
      <c r="H397" s="114"/>
    </row>
    <row r="398" spans="1:8">
      <c r="A398" s="114"/>
      <c r="B398" s="114"/>
      <c r="C398" s="114"/>
      <c r="D398" s="114"/>
      <c r="E398" s="115"/>
      <c r="F398" s="116"/>
      <c r="G398" s="114"/>
      <c r="H398" s="114"/>
    </row>
    <row r="399" spans="1:8">
      <c r="A399" s="114"/>
      <c r="B399" s="114"/>
      <c r="C399" s="114"/>
      <c r="D399" s="114"/>
      <c r="E399" s="115"/>
      <c r="F399" s="116"/>
      <c r="G399" s="114"/>
      <c r="H399" s="114"/>
    </row>
    <row r="400" spans="1:8">
      <c r="A400" s="114"/>
      <c r="B400" s="114"/>
      <c r="C400" s="114"/>
      <c r="D400" s="114"/>
      <c r="E400" s="115"/>
      <c r="F400" s="116"/>
      <c r="G400" s="114"/>
      <c r="H400" s="114"/>
    </row>
    <row r="401" spans="1:8">
      <c r="A401" s="114"/>
      <c r="B401" s="114"/>
      <c r="C401" s="114"/>
      <c r="D401" s="114"/>
      <c r="E401" s="115"/>
      <c r="F401" s="116"/>
      <c r="G401" s="114"/>
      <c r="H401" s="114"/>
    </row>
    <row r="402" spans="1:8">
      <c r="A402" s="114"/>
      <c r="B402" s="114"/>
      <c r="C402" s="114"/>
      <c r="D402" s="114"/>
      <c r="E402" s="115"/>
      <c r="F402" s="116"/>
      <c r="G402" s="114"/>
      <c r="H402" s="114"/>
    </row>
    <row r="403" spans="1:8">
      <c r="A403" s="114"/>
      <c r="B403" s="114"/>
      <c r="C403" s="114"/>
      <c r="D403" s="114"/>
      <c r="E403" s="115"/>
      <c r="F403" s="116"/>
      <c r="G403" s="114"/>
      <c r="H403" s="114"/>
    </row>
    <row r="404" spans="1:8">
      <c r="A404" s="114"/>
      <c r="B404" s="114"/>
      <c r="C404" s="114"/>
      <c r="D404" s="114"/>
      <c r="E404" s="115"/>
      <c r="F404" s="116"/>
      <c r="G404" s="114"/>
      <c r="H404" s="114"/>
    </row>
    <row r="405" spans="1:8">
      <c r="A405" s="114"/>
      <c r="B405" s="114"/>
      <c r="C405" s="114"/>
      <c r="D405" s="114"/>
      <c r="E405" s="115"/>
      <c r="F405" s="116"/>
      <c r="G405" s="114"/>
      <c r="H405" s="114"/>
    </row>
    <row r="406" spans="1:8">
      <c r="A406" s="114"/>
      <c r="B406" s="114"/>
      <c r="C406" s="114"/>
      <c r="D406" s="114"/>
      <c r="E406" s="115"/>
      <c r="F406" s="116"/>
      <c r="G406" s="114"/>
      <c r="H406" s="114"/>
    </row>
    <row r="407" spans="1:8">
      <c r="A407" s="114"/>
      <c r="B407" s="114"/>
      <c r="C407" s="114"/>
      <c r="D407" s="114"/>
      <c r="E407" s="115"/>
      <c r="F407" s="116"/>
      <c r="G407" s="114"/>
      <c r="H407" s="114"/>
    </row>
    <row r="408" spans="1:8">
      <c r="A408" s="114"/>
      <c r="B408" s="114"/>
      <c r="C408" s="114"/>
      <c r="D408" s="114"/>
      <c r="E408" s="115"/>
      <c r="F408" s="116"/>
      <c r="G408" s="114"/>
      <c r="H408" s="114"/>
    </row>
    <row r="409" spans="1:8">
      <c r="A409" s="114"/>
      <c r="B409" s="114"/>
      <c r="C409" s="114"/>
      <c r="D409" s="114"/>
      <c r="E409" s="115"/>
      <c r="F409" s="116"/>
      <c r="G409" s="114"/>
      <c r="H409" s="114"/>
    </row>
    <row r="410" spans="1:8">
      <c r="A410" s="114"/>
      <c r="B410" s="114"/>
      <c r="C410" s="114"/>
      <c r="D410" s="114"/>
      <c r="E410" s="115"/>
      <c r="F410" s="116"/>
      <c r="G410" s="114"/>
      <c r="H410" s="114"/>
    </row>
    <row r="411" spans="1:8">
      <c r="A411" s="114"/>
      <c r="B411" s="114"/>
      <c r="C411" s="114"/>
      <c r="D411" s="114"/>
      <c r="E411" s="115"/>
      <c r="F411" s="116"/>
      <c r="G411" s="114"/>
      <c r="H411" s="114"/>
    </row>
    <row r="412" spans="1:8">
      <c r="A412" s="114"/>
      <c r="B412" s="114"/>
      <c r="C412" s="114"/>
      <c r="D412" s="114"/>
      <c r="E412" s="115"/>
      <c r="F412" s="116"/>
      <c r="G412" s="114"/>
      <c r="H412" s="114"/>
    </row>
    <row r="413" spans="1:8">
      <c r="A413" s="114"/>
      <c r="B413" s="114"/>
      <c r="C413" s="114"/>
      <c r="D413" s="114"/>
      <c r="E413" s="115"/>
      <c r="F413" s="116"/>
      <c r="G413" s="114"/>
      <c r="H413" s="114"/>
    </row>
  </sheetData>
  <mergeCells count="332">
    <mergeCell ref="A1:H1"/>
    <mergeCell ref="A2:H2"/>
    <mergeCell ref="A3:H3"/>
    <mergeCell ref="A4:H4"/>
    <mergeCell ref="A5:H5"/>
    <mergeCell ref="A6:H6"/>
    <mergeCell ref="A13:H13"/>
    <mergeCell ref="A14:H14"/>
    <mergeCell ref="A15:H15"/>
    <mergeCell ref="A16:H16"/>
    <mergeCell ref="A17:H17"/>
    <mergeCell ref="A18:H18"/>
    <mergeCell ref="A7:H7"/>
    <mergeCell ref="A8:H8"/>
    <mergeCell ref="A9:H9"/>
    <mergeCell ref="A10:H10"/>
    <mergeCell ref="A11:H11"/>
    <mergeCell ref="A12:H12"/>
    <mergeCell ref="A23:B23"/>
    <mergeCell ref="C23:E23"/>
    <mergeCell ref="F23:H23"/>
    <mergeCell ref="A24:B24"/>
    <mergeCell ref="C24:E24"/>
    <mergeCell ref="F24:H24"/>
    <mergeCell ref="A19:H19"/>
    <mergeCell ref="A20:H20"/>
    <mergeCell ref="A21:B21"/>
    <mergeCell ref="C21:E21"/>
    <mergeCell ref="F21:H21"/>
    <mergeCell ref="A22:B22"/>
    <mergeCell ref="C22:E22"/>
    <mergeCell ref="F22:H22"/>
    <mergeCell ref="A31:B31"/>
    <mergeCell ref="C31:D31"/>
    <mergeCell ref="A32:B32"/>
    <mergeCell ref="C32:D32"/>
    <mergeCell ref="A33:B33"/>
    <mergeCell ref="C33:D33"/>
    <mergeCell ref="A25:B25"/>
    <mergeCell ref="C25:E25"/>
    <mergeCell ref="F25:H25"/>
    <mergeCell ref="A26:H28"/>
    <mergeCell ref="A29:B30"/>
    <mergeCell ref="C29:D30"/>
    <mergeCell ref="E29:G29"/>
    <mergeCell ref="A47:B47"/>
    <mergeCell ref="C47:D47"/>
    <mergeCell ref="A48:B48"/>
    <mergeCell ref="C48:D48"/>
    <mergeCell ref="A49:B49"/>
    <mergeCell ref="C49:D49"/>
    <mergeCell ref="A34:B34"/>
    <mergeCell ref="A44:B44"/>
    <mergeCell ref="C44:D44"/>
    <mergeCell ref="A45:B45"/>
    <mergeCell ref="A46:B46"/>
    <mergeCell ref="C46:D46"/>
    <mergeCell ref="A35:B35"/>
    <mergeCell ref="A40:B40"/>
    <mergeCell ref="C40:G40"/>
    <mergeCell ref="A41:B41"/>
    <mergeCell ref="C41:D41"/>
    <mergeCell ref="A42:B42"/>
    <mergeCell ref="C42:G42"/>
    <mergeCell ref="A36:B36"/>
    <mergeCell ref="C36:G36"/>
    <mergeCell ref="A37:B37"/>
    <mergeCell ref="A38:B38"/>
    <mergeCell ref="C38:G38"/>
    <mergeCell ref="A53:B53"/>
    <mergeCell ref="C53:D53"/>
    <mergeCell ref="A54:B54"/>
    <mergeCell ref="C54:D54"/>
    <mergeCell ref="A55:B55"/>
    <mergeCell ref="C55:D55"/>
    <mergeCell ref="A50:B50"/>
    <mergeCell ref="C50:D50"/>
    <mergeCell ref="A51:B51"/>
    <mergeCell ref="C51:D51"/>
    <mergeCell ref="A52:B52"/>
    <mergeCell ref="C52:D52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71:B71"/>
    <mergeCell ref="C71:D71"/>
    <mergeCell ref="A72:B72"/>
    <mergeCell ref="C72:D72"/>
    <mergeCell ref="A73:B73"/>
    <mergeCell ref="C73:D73"/>
    <mergeCell ref="A68:B68"/>
    <mergeCell ref="C68:D68"/>
    <mergeCell ref="A69:B69"/>
    <mergeCell ref="C69:D69"/>
    <mergeCell ref="A70:B70"/>
    <mergeCell ref="C70:D70"/>
    <mergeCell ref="A79:B79"/>
    <mergeCell ref="A86:B86"/>
    <mergeCell ref="C86:D86"/>
    <mergeCell ref="A87:B87"/>
    <mergeCell ref="C87:D87"/>
    <mergeCell ref="A88:B88"/>
    <mergeCell ref="C88:D88"/>
    <mergeCell ref="A83:B83"/>
    <mergeCell ref="C83:D83"/>
    <mergeCell ref="A84:B84"/>
    <mergeCell ref="C84:D84"/>
    <mergeCell ref="A85:B85"/>
    <mergeCell ref="C85:D85"/>
    <mergeCell ref="A39:B39"/>
    <mergeCell ref="C39:D39"/>
    <mergeCell ref="A94:B94"/>
    <mergeCell ref="C94:G94"/>
    <mergeCell ref="A95:B95"/>
    <mergeCell ref="C95:D95"/>
    <mergeCell ref="A96:B96"/>
    <mergeCell ref="C96:D96"/>
    <mergeCell ref="A43:B43"/>
    <mergeCell ref="C43:D43"/>
    <mergeCell ref="A92:B92"/>
    <mergeCell ref="C92:G92"/>
    <mergeCell ref="A93:B93"/>
    <mergeCell ref="C93:D93"/>
    <mergeCell ref="A89:B89"/>
    <mergeCell ref="C89:G89"/>
    <mergeCell ref="A90:B90"/>
    <mergeCell ref="A91:B91"/>
    <mergeCell ref="C91:D91"/>
    <mergeCell ref="C79:G79"/>
    <mergeCell ref="A74:B74"/>
    <mergeCell ref="C74:G74"/>
    <mergeCell ref="A75:B75"/>
    <mergeCell ref="C75:D75"/>
    <mergeCell ref="A76:B76"/>
    <mergeCell ref="C76:D76"/>
    <mergeCell ref="A100:B100"/>
    <mergeCell ref="C100:D100"/>
    <mergeCell ref="A101:B101"/>
    <mergeCell ref="C101:D101"/>
    <mergeCell ref="A102:B102"/>
    <mergeCell ref="C102:D102"/>
    <mergeCell ref="A97:B97"/>
    <mergeCell ref="C97:D97"/>
    <mergeCell ref="A98:B98"/>
    <mergeCell ref="C98:D98"/>
    <mergeCell ref="A99:B99"/>
    <mergeCell ref="C99:D99"/>
    <mergeCell ref="A80:B80"/>
    <mergeCell ref="C80:D80"/>
    <mergeCell ref="A81:B81"/>
    <mergeCell ref="C81:D81"/>
    <mergeCell ref="A82:B82"/>
    <mergeCell ref="C82:G82"/>
    <mergeCell ref="A77:B77"/>
    <mergeCell ref="C77:D77"/>
    <mergeCell ref="A78:B78"/>
    <mergeCell ref="C78:D78"/>
    <mergeCell ref="A106:B106"/>
    <mergeCell ref="C106:D106"/>
    <mergeCell ref="A107:B107"/>
    <mergeCell ref="C107:D107"/>
    <mergeCell ref="A108:B108"/>
    <mergeCell ref="C108:D108"/>
    <mergeCell ref="A103:B103"/>
    <mergeCell ref="C103:D103"/>
    <mergeCell ref="A104:B104"/>
    <mergeCell ref="C104:D104"/>
    <mergeCell ref="A105:B105"/>
    <mergeCell ref="C105:D105"/>
    <mergeCell ref="A112:B112"/>
    <mergeCell ref="C112:D112"/>
    <mergeCell ref="A113:B113"/>
    <mergeCell ref="C113:D113"/>
    <mergeCell ref="A114:B114"/>
    <mergeCell ref="C114:D114"/>
    <mergeCell ref="A109:B109"/>
    <mergeCell ref="C109:D109"/>
    <mergeCell ref="A110:B110"/>
    <mergeCell ref="C110:D110"/>
    <mergeCell ref="A111:B111"/>
    <mergeCell ref="C111:D111"/>
    <mergeCell ref="A118:B118"/>
    <mergeCell ref="C118:D118"/>
    <mergeCell ref="A119:B119"/>
    <mergeCell ref="C119:D119"/>
    <mergeCell ref="A120:B120"/>
    <mergeCell ref="C120:D120"/>
    <mergeCell ref="A115:B115"/>
    <mergeCell ref="C115:D115"/>
    <mergeCell ref="A116:B116"/>
    <mergeCell ref="C116:D116"/>
    <mergeCell ref="A117:B117"/>
    <mergeCell ref="C117:D117"/>
    <mergeCell ref="A124:B124"/>
    <mergeCell ref="C124:D124"/>
    <mergeCell ref="A125:B125"/>
    <mergeCell ref="C125:D125"/>
    <mergeCell ref="A126:B126"/>
    <mergeCell ref="C126:D126"/>
    <mergeCell ref="A121:B121"/>
    <mergeCell ref="C121:D121"/>
    <mergeCell ref="A122:B122"/>
    <mergeCell ref="C122:D122"/>
    <mergeCell ref="A123:B123"/>
    <mergeCell ref="C123:D123"/>
    <mergeCell ref="A130:B130"/>
    <mergeCell ref="C130:D130"/>
    <mergeCell ref="A131:B131"/>
    <mergeCell ref="C131:D131"/>
    <mergeCell ref="A132:B132"/>
    <mergeCell ref="C132:D132"/>
    <mergeCell ref="A127:B127"/>
    <mergeCell ref="C127:D127"/>
    <mergeCell ref="A128:B128"/>
    <mergeCell ref="C128:D128"/>
    <mergeCell ref="A129:B129"/>
    <mergeCell ref="C129:D129"/>
    <mergeCell ref="A136:B136"/>
    <mergeCell ref="C136:G136"/>
    <mergeCell ref="A137:B137"/>
    <mergeCell ref="C137:D137"/>
    <mergeCell ref="A138:B138"/>
    <mergeCell ref="C138:D138"/>
    <mergeCell ref="A133:B133"/>
    <mergeCell ref="C133:D133"/>
    <mergeCell ref="A134:B134"/>
    <mergeCell ref="C134:D134"/>
    <mergeCell ref="A135:B135"/>
    <mergeCell ref="C135:D135"/>
    <mergeCell ref="A142:B142"/>
    <mergeCell ref="C142:F142"/>
    <mergeCell ref="A143:B143"/>
    <mergeCell ref="C143:D143"/>
    <mergeCell ref="A179:B179"/>
    <mergeCell ref="C179:G179"/>
    <mergeCell ref="A139:B139"/>
    <mergeCell ref="C139:D139"/>
    <mergeCell ref="A140:B140"/>
    <mergeCell ref="C140:D140"/>
    <mergeCell ref="A141:B141"/>
    <mergeCell ref="C141:D141"/>
    <mergeCell ref="C160:D160"/>
    <mergeCell ref="A154:B154"/>
    <mergeCell ref="C154:G154"/>
    <mergeCell ref="A155:B155"/>
    <mergeCell ref="A156:B156"/>
    <mergeCell ref="C156:D156"/>
    <mergeCell ref="A157:B157"/>
    <mergeCell ref="A146:B146"/>
    <mergeCell ref="C146:G146"/>
    <mergeCell ref="A147:B147"/>
    <mergeCell ref="C147:D147"/>
    <mergeCell ref="A175:B175"/>
    <mergeCell ref="C185:D185"/>
    <mergeCell ref="C186:D186"/>
    <mergeCell ref="A144:B144"/>
    <mergeCell ref="C144:G144"/>
    <mergeCell ref="A180:B180"/>
    <mergeCell ref="C180:D180"/>
    <mergeCell ref="A181:B181"/>
    <mergeCell ref="C181:G181"/>
    <mergeCell ref="A182:B182"/>
    <mergeCell ref="C182:D182"/>
    <mergeCell ref="A145:B145"/>
    <mergeCell ref="C145:D145"/>
    <mergeCell ref="A183:B183"/>
    <mergeCell ref="C183:G183"/>
    <mergeCell ref="A184:B184"/>
    <mergeCell ref="C162:D162"/>
    <mergeCell ref="A158:B158"/>
    <mergeCell ref="C158:D158"/>
    <mergeCell ref="A159:B159"/>
    <mergeCell ref="C159:G159"/>
    <mergeCell ref="A148:B148"/>
    <mergeCell ref="C148:D148"/>
    <mergeCell ref="C173:D173"/>
    <mergeCell ref="C174:D174"/>
    <mergeCell ref="C175:G175"/>
    <mergeCell ref="A168:B168"/>
    <mergeCell ref="A169:B169"/>
    <mergeCell ref="A170:B170"/>
    <mergeCell ref="A171:B171"/>
    <mergeCell ref="C172:D172"/>
    <mergeCell ref="A166:B166"/>
    <mergeCell ref="C166:D166"/>
    <mergeCell ref="A167:B167"/>
    <mergeCell ref="C167:G167"/>
    <mergeCell ref="A163:B163"/>
    <mergeCell ref="C163:G163"/>
    <mergeCell ref="G188:H188"/>
    <mergeCell ref="G189:H189"/>
    <mergeCell ref="G194:H194"/>
    <mergeCell ref="G195:H195"/>
    <mergeCell ref="A153:B153"/>
    <mergeCell ref="A149:B149"/>
    <mergeCell ref="C149:G149"/>
    <mergeCell ref="A150:B150"/>
    <mergeCell ref="A151:B151"/>
    <mergeCell ref="A152:B152"/>
    <mergeCell ref="C152:G152"/>
    <mergeCell ref="A178:B178"/>
    <mergeCell ref="A176:B176"/>
    <mergeCell ref="A177:B177"/>
    <mergeCell ref="C177:G177"/>
    <mergeCell ref="A164:B164"/>
    <mergeCell ref="C164:D164"/>
    <mergeCell ref="A165:B165"/>
    <mergeCell ref="C165:G165"/>
    <mergeCell ref="A161:B161"/>
    <mergeCell ref="C161:G161"/>
    <mergeCell ref="A162:B1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PEMBANGUNAN PUSKESMAS</vt:lpstr>
      <vt:lpstr>PEMBANGUNAN FASKES LAINNYA</vt:lpstr>
      <vt:lpstr>REHAB RS</vt:lpstr>
      <vt:lpstr>REHAB PUSKESMAS</vt:lpstr>
      <vt:lpstr>ALKES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DINKES-4</dc:creator>
  <cp:lastModifiedBy>DINKES-4</cp:lastModifiedBy>
  <dcterms:created xsi:type="dcterms:W3CDTF">2025-05-08T01:40:35Z</dcterms:created>
  <dcterms:modified xsi:type="dcterms:W3CDTF">2026-03-05T03:28:55Z</dcterms:modified>
</cp:coreProperties>
</file>