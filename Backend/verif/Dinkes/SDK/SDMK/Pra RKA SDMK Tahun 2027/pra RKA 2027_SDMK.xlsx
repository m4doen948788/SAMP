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INA 2026\"/>
    </mc:Choice>
  </mc:AlternateContent>
  <xr:revisionPtr revIDLastSave="0" documentId="13_ncr:1_{1C97BAEC-CFE7-4579-9B5A-24DE80089E9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erencanaan dan distribusi" sheetId="5" r:id="rId1"/>
    <sheet name="PEMENUHAN" sheetId="9" r:id="rId2"/>
    <sheet name="Pembinaan dan Pengawasana SDMK" sheetId="6" r:id="rId3"/>
    <sheet name="Pengembangan Mutu" sheetId="7" r:id="rId4"/>
    <sheet name="Sheet2" sheetId="2" r:id="rId5"/>
    <sheet name="Sheet3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1" i="7" l="1"/>
  <c r="G50" i="9"/>
  <c r="G49" i="9" s="1"/>
  <c r="G26" i="9"/>
  <c r="G57" i="9"/>
  <c r="G56" i="9" s="1"/>
  <c r="G55" i="9"/>
  <c r="G54" i="9" s="1"/>
  <c r="G52" i="9"/>
  <c r="G51" i="9" s="1"/>
  <c r="G47" i="9"/>
  <c r="G46" i="9"/>
  <c r="G45" i="9"/>
  <c r="G44" i="9"/>
  <c r="G43" i="9"/>
  <c r="G42" i="9"/>
  <c r="G41" i="9"/>
  <c r="G68" i="7"/>
  <c r="G67" i="7"/>
  <c r="G66" i="7"/>
  <c r="G65" i="7"/>
  <c r="G64" i="7"/>
  <c r="G63" i="7"/>
  <c r="G62" i="7"/>
  <c r="G59" i="7"/>
  <c r="G58" i="7" s="1"/>
  <c r="G57" i="7"/>
  <c r="G56" i="7" s="1"/>
  <c r="G55" i="7"/>
  <c r="G54" i="7" s="1"/>
  <c r="G53" i="7"/>
  <c r="G52" i="7" s="1"/>
  <c r="G51" i="7"/>
  <c r="G50" i="7" s="1"/>
  <c r="G49" i="7"/>
  <c r="G48" i="7" s="1"/>
  <c r="G47" i="7"/>
  <c r="G46" i="7" s="1"/>
  <c r="G45" i="7"/>
  <c r="G44" i="7" s="1"/>
  <c r="G38" i="9"/>
  <c r="G37" i="9"/>
  <c r="G35" i="9"/>
  <c r="G34" i="9"/>
  <c r="G32" i="9"/>
  <c r="G31" i="9"/>
  <c r="G29" i="9"/>
  <c r="G28" i="9"/>
  <c r="G90" i="6"/>
  <c r="G91" i="6"/>
  <c r="G69" i="6"/>
  <c r="G68" i="6" s="1"/>
  <c r="G67" i="6" s="1"/>
  <c r="G89" i="6" l="1"/>
  <c r="G88" i="6" s="1"/>
  <c r="G48" i="9"/>
  <c r="G53" i="9"/>
  <c r="G40" i="9"/>
  <c r="G39" i="9" s="1"/>
  <c r="G30" i="9"/>
  <c r="G27" i="9"/>
  <c r="G62" i="6" l="1"/>
  <c r="G61" i="6" s="1"/>
  <c r="G60" i="6" s="1"/>
  <c r="G64" i="6"/>
  <c r="G65" i="6"/>
  <c r="G66" i="6"/>
  <c r="G70" i="6"/>
  <c r="G71" i="6"/>
  <c r="G51" i="6"/>
  <c r="G50" i="6" s="1"/>
  <c r="G52" i="6"/>
  <c r="G42" i="6"/>
  <c r="G41" i="6" s="1"/>
  <c r="G33" i="6"/>
  <c r="G34" i="6"/>
  <c r="G27" i="6"/>
  <c r="G28" i="6"/>
  <c r="G29" i="6"/>
  <c r="G30" i="6"/>
  <c r="G63" i="6" l="1"/>
  <c r="G26" i="6"/>
  <c r="G32" i="6"/>
  <c r="B83" i="7" l="1"/>
  <c r="G70" i="7"/>
  <c r="B106" i="6"/>
  <c r="G93" i="6"/>
  <c r="B72" i="9"/>
  <c r="G59" i="9"/>
  <c r="B59" i="5"/>
  <c r="G46" i="5"/>
  <c r="G87" i="6" l="1"/>
  <c r="G86" i="6" s="1"/>
  <c r="G59" i="6"/>
  <c r="G58" i="6" s="1"/>
  <c r="G85" i="6"/>
  <c r="G84" i="6" s="1"/>
  <c r="G83" i="6"/>
  <c r="G82" i="6" s="1"/>
  <c r="G57" i="6"/>
  <c r="G56" i="6" s="1"/>
  <c r="G55" i="6"/>
  <c r="G54" i="6"/>
  <c r="G40" i="5"/>
  <c r="G41" i="5"/>
  <c r="G43" i="7"/>
  <c r="G42" i="7" s="1"/>
  <c r="G38" i="7"/>
  <c r="G37" i="7"/>
  <c r="G79" i="6"/>
  <c r="G78" i="6"/>
  <c r="G77" i="6"/>
  <c r="G75" i="6"/>
  <c r="G76" i="6"/>
  <c r="G37" i="5"/>
  <c r="G36" i="5"/>
  <c r="G44" i="5"/>
  <c r="G39" i="6"/>
  <c r="G40" i="6"/>
  <c r="G36" i="9" l="1"/>
  <c r="G33" i="9"/>
  <c r="G81" i="6"/>
  <c r="G53" i="6"/>
  <c r="G49" i="6" s="1"/>
  <c r="G39" i="5"/>
  <c r="G36" i="7"/>
  <c r="G38" i="6"/>
  <c r="G35" i="5"/>
  <c r="G34" i="5" s="1"/>
  <c r="G43" i="5"/>
  <c r="G42" i="5" s="1"/>
  <c r="G58" i="9" l="1"/>
  <c r="G33" i="5"/>
  <c r="G38" i="5"/>
  <c r="F20" i="9" l="1"/>
  <c r="G48" i="6"/>
  <c r="G47" i="6"/>
  <c r="G46" i="6" s="1"/>
  <c r="G45" i="6"/>
  <c r="G44" i="6"/>
  <c r="G37" i="6"/>
  <c r="G36" i="6"/>
  <c r="G35" i="7"/>
  <c r="G34" i="7"/>
  <c r="G33" i="7" l="1"/>
  <c r="G35" i="6"/>
  <c r="G31" i="6" s="1"/>
  <c r="G43" i="6"/>
  <c r="G32" i="7" l="1"/>
  <c r="G31" i="7"/>
  <c r="G30" i="7" l="1"/>
  <c r="G29" i="7" s="1"/>
  <c r="G29" i="5" l="1"/>
  <c r="G28" i="5"/>
  <c r="G28" i="7"/>
  <c r="G27" i="7"/>
  <c r="G26" i="7" l="1"/>
  <c r="G27" i="5"/>
  <c r="G26" i="5" s="1"/>
  <c r="G41" i="7"/>
  <c r="G31" i="5"/>
  <c r="G32" i="5"/>
  <c r="G3" i="8"/>
  <c r="G2" i="8"/>
  <c r="G80" i="6"/>
  <c r="G74" i="6"/>
  <c r="G30" i="5" l="1"/>
  <c r="G40" i="7"/>
  <c r="G39" i="7" s="1"/>
  <c r="G73" i="6"/>
  <c r="G72" i="6" s="1"/>
  <c r="G92" i="6" s="1"/>
  <c r="G60" i="7"/>
  <c r="G69" i="7" l="1"/>
  <c r="F20" i="7" s="1"/>
  <c r="F20" i="6"/>
  <c r="G45" i="5"/>
  <c r="F20" i="5" s="1"/>
</calcChain>
</file>

<file path=xl/sharedStrings.xml><?xml version="1.0" encoding="utf-8"?>
<sst xmlns="http://schemas.openxmlformats.org/spreadsheetml/2006/main" count="575" uniqueCount="210">
  <si>
    <t>RINCIAN BELANJA SUB KEGIATAN</t>
  </si>
  <si>
    <t>SATUAN KERJA PERANGKAT DAERAH</t>
  </si>
  <si>
    <t>Urusan</t>
  </si>
  <si>
    <t>Unit Organisasi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</si>
  <si>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</si>
  <si>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</si>
  <si>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</si>
  <si>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</si>
  <si>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</si>
  <si>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</si>
  <si>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</si>
  <si>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: 1.02 URUSAN PEMERINTAHAN WAJIB YANG BERKAITAN DENGAN PELAYANAN DASAR</t>
  </si>
  <si>
    <t>: 1.02.0.00.0.00.01.0000 DINAS KESEHATAN</t>
  </si>
  <si>
    <t>: 1.02.0.00.0.00.01.0003 Bidang Sumber Daya Kesehatan</t>
  </si>
  <si>
    <t>: 1.02.03 PROGRAM PENINGKATAN KAPASITAS SUMBER DAYA MANUSIA KESEHATAN</t>
  </si>
  <si>
    <t>: PENDAPATAN ASLI DAERAH (PAD)</t>
  </si>
  <si>
    <t>: Kabupaten Bogor</t>
  </si>
  <si>
    <t xml:space="preserve">: Januari s.d Desember </t>
  </si>
  <si>
    <t>Kelompok Sasaran</t>
  </si>
  <si>
    <t>: Tenaga Kesehatan</t>
  </si>
  <si>
    <t>Kode Rekening</t>
  </si>
  <si>
    <t>Uraian</t>
  </si>
  <si>
    <t>Rincian Perhitungan</t>
  </si>
  <si>
    <t>Koefisien</t>
  </si>
  <si>
    <t>Satuan</t>
  </si>
  <si>
    <t>Harga</t>
  </si>
  <si>
    <t>PPN</t>
  </si>
  <si>
    <t>Jumlah</t>
  </si>
  <si>
    <t>5.1.02.01.01.0052</t>
  </si>
  <si>
    <t>Belanja makanan dan minuman rapat</t>
  </si>
  <si>
    <t>Pertemuan Pembekalan dan Evaluasi Program Internsip Dokter Indonesia (PIDI)</t>
  </si>
  <si>
    <t>Beban makanan dan Minuman Rapat (Makan)</t>
  </si>
  <si>
    <t>orang</t>
  </si>
  <si>
    <t>Beban makanan dan Minuman Rapat (Snack)</t>
  </si>
  <si>
    <t>orang/ kali</t>
  </si>
  <si>
    <t>5.1.02.02.01.0003</t>
  </si>
  <si>
    <t>Honorarium Narasumber atau Pembahas, Moderator, Pembawa Acara, dan Panitia</t>
  </si>
  <si>
    <t>Grand Total</t>
  </si>
  <si>
    <t>5.1.02.04.01.0003</t>
  </si>
  <si>
    <t>Belanja Perjalanan Dinas Dalam Kota</t>
  </si>
  <si>
    <t>orang / hari</t>
  </si>
  <si>
    <t>Uang harian perjalanan dinas dalam daerah lebih dari 8 jam</t>
  </si>
  <si>
    <t>: 1.02.03.2.02 Perencanaan Kebutuhan dan Pendayagunaan Sumber Daya Manusia Kesehatan untuk UKP dan UKM di Wilayah Kabupaten/Kota</t>
  </si>
  <si>
    <t>: 1.02.03.2.03 Pengembangan Mutu dan Peningkatan Kompetensi Teknis Sumber Daya Manusia Kesehatan Tingkat Daerah Kabupaten/Kota</t>
  </si>
  <si>
    <t>Seleksi dan Pembinaan Tenaga Kesehatan Teladan</t>
  </si>
  <si>
    <t>5.1.02.01.01.0026</t>
  </si>
  <si>
    <t>Belanja Alat/Bahan Untuk Kegiatan Kantor - Bahan Cetak</t>
  </si>
  <si>
    <t>Foto Copy BW : Volume 1 lembar ukuran F4</t>
  </si>
  <si>
    <t>lembar</t>
  </si>
  <si>
    <t>Belanja Makanan dan Minuman Rapat</t>
  </si>
  <si>
    <t>Beban Makanan dan Minuman Rapat (Makan)</t>
  </si>
  <si>
    <t>orang / kali</t>
  </si>
  <si>
    <t>5.1.02.01.01.0075</t>
  </si>
  <si>
    <t>Belanja Pakaian Batik Tradisional</t>
  </si>
  <si>
    <t>buah</t>
  </si>
  <si>
    <t>Beban Sewa Ruang Rapat/pertemuan (Paket Fullboard)</t>
  </si>
  <si>
    <t>5.1.02.02.12.0001</t>
  </si>
  <si>
    <t>Belanja Kursus Singkat/Pelatihan</t>
  </si>
  <si>
    <t>Belanja Kepesertaan</t>
  </si>
  <si>
    <t>orang / kegiatan</t>
  </si>
  <si>
    <t>5.1.02.04.01.0005</t>
  </si>
  <si>
    <t>Belanja Perjalanan Dinas Paket Meeting Luar Kota</t>
  </si>
  <si>
    <t>Uang Harian Perjalanan Dinas Dalam Negeri ke Jawa Barat (Luar Kota)</t>
  </si>
  <si>
    <t>5.1.02.05.01.0001</t>
  </si>
  <si>
    <t>Belanja Hadiah yang bersifat perlombaan</t>
  </si>
  <si>
    <t>Uang Pembinaan dalam Kejuaraan Tingkat Kabupaten : Juara 1 Perorangan</t>
  </si>
  <si>
    <t>Uang Pembinaan dalam Kejuaraan Tingkat Kabupaten : Juara 2 Perorangan</t>
  </si>
  <si>
    <t>Uang Pembinaan dalam Kejuaraan Tingkat Kabupaten : Juara 3 Perorangan</t>
  </si>
  <si>
    <t>Belanja Alat/Bahan untuk kegiatan Kantor - Bahan Cetak</t>
  </si>
  <si>
    <t>Foto Copy BW (A4)</t>
  </si>
  <si>
    <t>Soft Cover Warna (dengan ketebalan s.d 1 rim)</t>
  </si>
  <si>
    <t xml:space="preserve"> buku</t>
  </si>
  <si>
    <t>GRAND TOTAL</t>
  </si>
  <si>
    <t>buku</t>
  </si>
  <si>
    <t>org per paket</t>
  </si>
  <si>
    <t>Cetakan Spanduk (Spesifikasi : Bahan China)</t>
  </si>
  <si>
    <t>Meter</t>
  </si>
  <si>
    <t>Rapat Persiapan dan Evaluasi Seleksi dan Pembinaan Tenaga Kesehatan Teladan</t>
  </si>
  <si>
    <t>Beban Makanan dan Minuman Rapat (Snack)</t>
  </si>
  <si>
    <t>5.1.02.01.01.0025</t>
  </si>
  <si>
    <t>Belanja Alat/Bahan Untuk Kegiatan Kantor - Kertas dan Cover</t>
  </si>
  <si>
    <t>Rim</t>
  </si>
  <si>
    <t>Pembinaan dan Pengawasan Sumber Daya Manusia Kesehatan</t>
  </si>
  <si>
    <t>Orientasi dan Pembekalan SDM Kesehatan</t>
  </si>
  <si>
    <t>Indikator &amp;Tolak Ukur Kinerja Belanja</t>
  </si>
  <si>
    <t xml:space="preserve">Indikator  </t>
  </si>
  <si>
    <t>Tolak Ukur Kinerja</t>
  </si>
  <si>
    <t>Target Kinerja</t>
  </si>
  <si>
    <t>Capaian Program</t>
  </si>
  <si>
    <t>Masukan</t>
  </si>
  <si>
    <t>Keluaran</t>
  </si>
  <si>
    <t>Hasil</t>
  </si>
  <si>
    <t>Persentase Jumlah SDM yang mengikuti Pendidikan dan Pelatihan</t>
  </si>
  <si>
    <t>Dana yang dibutuhkan</t>
  </si>
  <si>
    <t>Rincian Belanja Sub Kegiatan</t>
  </si>
  <si>
    <t>2 Dokumen</t>
  </si>
  <si>
    <t>Tersusunnya Dokumen perencanaan dan distribusi serta pemerataan Sumber Daya Manusia Kesehatan</t>
  </si>
  <si>
    <t>Meningkatnya Kinerja SDM Kesehatan</t>
  </si>
  <si>
    <t>Jumlah tenaga kesehatan yang ditingkatkan kompetensi dan kualifikasi SDM nya</t>
  </si>
  <si>
    <t>Terpenuhinya SDM Kesehatan yang berkualitas di Faskes Pemerintah</t>
  </si>
  <si>
    <t xml:space="preserve">Pertemuan Koordinasi Perencanaan Kebutuhan Diklat Tenaga Kesehatan Puskesmas </t>
  </si>
  <si>
    <t>30 org x 6 kali</t>
  </si>
  <si>
    <t>:</t>
  </si>
  <si>
    <t>Pakaian Batik (bahan primis)</t>
  </si>
  <si>
    <t>Belanja Alat/Bahan untuk Kegiatan Kantor - Souvenir/Cendera Mata</t>
  </si>
  <si>
    <t>45 org x 2 hr</t>
  </si>
  <si>
    <t>6 orang x 3 hari</t>
  </si>
  <si>
    <t>5x4</t>
  </si>
  <si>
    <t>120 orang</t>
  </si>
  <si>
    <t>Jumlah dokumen hasil perencanaan dan distribusi serta pemerataan sumber daya manusia kesehatan</t>
  </si>
  <si>
    <t>Jumlah dokumen hasil pembinaan dan pengawasan sumber daya manusia kesehatan</t>
  </si>
  <si>
    <t>[ - ] Workshop Penyusunan Rencana Kebutuhan SDMK</t>
  </si>
  <si>
    <t>orang/hari</t>
  </si>
  <si>
    <t>5 x 4</t>
  </si>
  <si>
    <t>Meter Meter</t>
  </si>
  <si>
    <t>5.1.02.01.01.0035</t>
  </si>
  <si>
    <t>Belanja Alat/Bahan untuk Kegiatan Kantor- Suvenir/Cendera Mata</t>
  </si>
  <si>
    <t>Buah</t>
  </si>
  <si>
    <t>Kaos
Spesifikasi : Bahan katun carded, custom</t>
  </si>
  <si>
    <t>Plakat
Spesifikasi : Bahan Acrilic</t>
  </si>
  <si>
    <r>
      <rPr>
        <sz val="12"/>
        <rFont val="Cambria"/>
        <family val="1"/>
      </rPr>
      <t>Spanduk
Spesifikasi : Bahan Fleksi Cina</t>
    </r>
  </si>
  <si>
    <r>
      <rPr>
        <sz val="12"/>
        <rFont val="Cambria"/>
        <family val="1"/>
        <scheme val="major"/>
      </rPr>
      <t>Tas
Spesifikasi : Model Ransel Laptop, Ukuran 45 cm x 32 cm x 20 cm</t>
    </r>
  </si>
  <si>
    <t>Orang Jam</t>
  </si>
  <si>
    <r>
      <rPr>
        <sz val="12"/>
        <rFont val="Cambria"/>
        <family val="1"/>
      </rPr>
      <t>Honorarium Narasumber/Pembahas
Spesifikasi : Pejabat Eselon III ke bawah/yang disetarakan</t>
    </r>
  </si>
  <si>
    <t xml:space="preserve"> </t>
  </si>
  <si>
    <t>Kegiatan SDMK</t>
  </si>
  <si>
    <t>1 Dokumen</t>
  </si>
  <si>
    <t>Jumlah 2026</t>
  </si>
  <si>
    <t>: 1.02.03.2.02.0001 Perencanaan dan Distribusi serta Pemerataan Sumber Daya Manusia Kesehatan</t>
  </si>
  <si>
    <t>Pertemuan Presentasi Mini Project Dokter Internsif</t>
  </si>
  <si>
    <t>5.1.02.04.01.0004</t>
  </si>
  <si>
    <t>Belanja Perjalanan Dinas Paket Meeting Dalam Kota</t>
  </si>
  <si>
    <t>Biaya Kegiatan rapat atau pertemuan diluar kantor (fullboard)</t>
  </si>
  <si>
    <t>2 x 4</t>
  </si>
  <si>
    <t>Workshop Penyusunan Perencanaan Kebutuhan SDMK</t>
  </si>
  <si>
    <t>Kaos
Spesifikasi : Berkerah, bahan katun combed, custom</t>
  </si>
  <si>
    <t>Tas
Spesifikasi : ukuran 15 inc, custom</t>
  </si>
  <si>
    <t>Uang harian kegiatan rapat/ pertemuan diluar kantor . Spesifikasi : Fullboard</t>
  </si>
  <si>
    <t>OH</t>
  </si>
  <si>
    <t>: 1.02.03.2.02.0003 Pembinaan dan Pengawasan Sumber Daya Manusia Kesehatan</t>
  </si>
  <si>
    <t>1 dokumen</t>
  </si>
  <si>
    <t>Kertas (spesifikasi : Kertas HVS A4 80 gr)</t>
  </si>
  <si>
    <t>Kertas (spesifikasi : Kertas HVS F4 80 gr)</t>
  </si>
  <si>
    <t>Biaya Transport Perjalanan Dinas antar kecamatan untuk mobil &lt;2000cc Spesifikasi : dari Cibinong ke Cariu</t>
  </si>
  <si>
    <t>Biaya Transport Perjalanan Dinas antar kecamatan untuk mobil &lt;2000cc Spesifikasi : dari Cibinong ke Cisarua</t>
  </si>
  <si>
    <t>Biaya Transport Perjalanan Dinas antar kecamatan untuk mobil &lt;2000cc Spesifikasi : dari Cibinong ke Gunung Sindur</t>
  </si>
  <si>
    <t>Biaya Transport Perjalanan Dinas antar kecamatan untuk mobil &lt;2000cc Spesifikasi : dari Cibinong ke Leuwiliang</t>
  </si>
  <si>
    <t>Biaya Transport Perjalanan Dinas antar kecamatan untuk mobil &lt;2000cc Spesifikasi : dari Cibinong ke Tanjungsari</t>
  </si>
  <si>
    <t>Biaya Transport Perjalanan Dinas antar kecamatan untuk mobil &lt;2000cc Spesifikasi : dari Cibinong ke Tenjo</t>
  </si>
  <si>
    <t>Soft Cover Warna (ukuran ketebalan sampai dengan 1 (satu) rim)</t>
  </si>
  <si>
    <t>: 1.02.03.2.03.0001 Pengembangan Mutu dan Peningkatan Kompetensi Teknis Sumber Daya Manusia Kesehatan Tingkat Daerah Kabupaten/Kota</t>
  </si>
  <si>
    <t>Piagam : bahan kertas lynen, custom</t>
  </si>
  <si>
    <t>Pertemuan  Institusi Pendidikan Tridarma Perguruan Tinggi</t>
  </si>
  <si>
    <t>Pertemuan Sosialisasi Tubel</t>
  </si>
  <si>
    <t>Pelatihan AKUPRESUR</t>
  </si>
  <si>
    <t>126x3</t>
  </si>
  <si>
    <t>Pertemuan Pembinaan dan Pengawasan SDM Kesehatan Puskesmas (Wilayah)</t>
  </si>
  <si>
    <t>Pertemuan Registrasi Fasyankes Bidan, Perawat, Dokter, Dokter Gigi</t>
  </si>
  <si>
    <t>Biaya Kegiatan rapat atau pertemuan diluar kantor (fullday)</t>
  </si>
  <si>
    <t>Pembinaan dan Pengawasan Sumber Daya Manusia Kesehatan RS</t>
  </si>
  <si>
    <t>Pembinaan dan Pengawasan Sumber Daya Manusia Kesehatan Puskesmas</t>
  </si>
  <si>
    <t>Pembinaan dan Pengawasan Sumber Daya Manusia Kesehatan Klinik</t>
  </si>
  <si>
    <t>45x3</t>
  </si>
  <si>
    <t xml:space="preserve">  </t>
  </si>
  <si>
    <t>: 1.02.03.2.02.0002 Pemenuhan Kebutuhan Sumber Daya Manusia Kesehatan Sesuai Standar</t>
  </si>
  <si>
    <t>Jumlah dokumen hasil Pemenuhan Kebutuhan Sumber Daya Manusia Kesehatan Sesuai Standar</t>
  </si>
  <si>
    <t>Tersusunnya Dokumen Pemenuhan Kebutuhan Sumber Daya Manusia Kesehatan Sesuai Standar</t>
  </si>
  <si>
    <t xml:space="preserve">Pemerintah Kabupaten Bogor Tahun Anggaran 2027 </t>
  </si>
  <si>
    <t>Januari</t>
  </si>
  <si>
    <t>Kabupaten Bogor,                                2026</t>
  </si>
  <si>
    <t>Februari</t>
  </si>
  <si>
    <t>Kepala ...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</si>
  <si>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</si>
  <si>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</si>
  <si>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</si>
  <si>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</si>
  <si>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</si>
  <si>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</si>
  <si>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</si>
  <si>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</si>
  <si>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</si>
  <si>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</si>
  <si>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Pertemuan Sosialisasi Rencana Kebutuhan Tenaga Kesehatan Tingkat Kabupaten Bogor</t>
  </si>
  <si>
    <t>Pemerintah Kabupaten Bogor Tahun Anggaran 2027</t>
  </si>
  <si>
    <t>Jumlah 2027</t>
  </si>
  <si>
    <t>Jumlah 2028</t>
  </si>
  <si>
    <t xml:space="preserve">: </t>
  </si>
  <si>
    <t>5.1.02.02.001.00037</t>
  </si>
  <si>
    <t>Belanja Jasa Juri Perlombaan / Pertandingan</t>
  </si>
  <si>
    <t>Juri Kegiatan
Spesifikasi : Juri Tingkat Kabupaten</t>
  </si>
  <si>
    <t>Pelatihan Manajemen Puskesmas</t>
  </si>
  <si>
    <t>: Rp. 431.526.200,-</t>
  </si>
  <si>
    <t>Pertemuan Koordinasi Pemutakhiran Data SISDMK Puskesmas</t>
  </si>
  <si>
    <t>Pertemuan Koordinasi Pemutakhiran Data SISDMK RS</t>
  </si>
  <si>
    <t>Pertemuan Koordinasi Pemutakhiran Data SISDMK Apotek</t>
  </si>
  <si>
    <t>Pertemuan Koordinasi Pemutakhiran Data SISDMK Praktik Mandiri</t>
  </si>
  <si>
    <t>30 x 6 kali</t>
  </si>
  <si>
    <t>30 x 3 kali</t>
  </si>
  <si>
    <t>: Rp. 336.455.975,-</t>
  </si>
  <si>
    <t>Pelatihan BTCLS</t>
  </si>
  <si>
    <t>Pelatihan GELS</t>
  </si>
  <si>
    <t>Pelatihan Pelayanan Prima</t>
  </si>
  <si>
    <t>Pelatihan Manajemen Data</t>
  </si>
  <si>
    <t>Pelatihan EKG</t>
  </si>
  <si>
    <t>Pelatihan Tata Kelola Penyelenggaraan Laboratorium Kesehatan Masyarakat (Labkesmas)</t>
  </si>
  <si>
    <t>Pelatihan Deteksi Dini Penyakit Gigi dan Mulut</t>
  </si>
  <si>
    <t>Pelatihan Pelayanan ANC dan Penggunaan USG Dasar Obstetri Terbatas Melalui Blended Learning</t>
  </si>
  <si>
    <t>Monitoring dan evaluasi</t>
  </si>
  <si>
    <t>: Rp. 189.175.000,-</t>
  </si>
  <si>
    <t>: Rp. 2.675.179.750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</si>
</sst>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[$Rp-421]* #,##0_);_([$Rp-421]* \(#,##0\);_([$Rp-421]* &quot;-&quot;_);_(@_)"/>
    <numFmt numFmtId="167" formatCode="_-* #,##0_-;\-* #,##0_-;_-* &quot;-&quot;??_-;_-@_-"/>
    <numFmt numFmtId="168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0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b/>
      <sz val="12"/>
      <name val="Cambria"/>
      <family val="1"/>
    </font>
    <font>
      <b/>
      <sz val="12"/>
      <color rgb="FF000000"/>
      <name val="Cambria"/>
      <family val="1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1"/>
      <color theme="1"/>
      <name val="Calibri"/>
    </font>
    <font>
      <sz val="11"/>
      <name val="Calibri"/>
    </font>
    <font>
      <b/>
      <u/>
      <sz val="12"/>
      <color theme="1"/>
      <name val="Cambria"/>
      <family val="1"/>
      <scheme val="major"/>
    </font>
    <font>
      <b/>
      <sz val="8"/>
      <name val="Aptos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43" fontId="4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41" fontId="12" fillId="0" borderId="1" xfId="0" applyNumberFormat="1" applyFont="1" applyBorder="1" applyAlignment="1">
      <alignment vertical="center"/>
    </xf>
    <xf numFmtId="0" fontId="14" fillId="0" borderId="1" xfId="1" applyFont="1" applyBorder="1" applyAlignment="1">
      <alignment vertical="top" wrapText="1"/>
    </xf>
    <xf numFmtId="1" fontId="15" fillId="0" borderId="1" xfId="1" applyNumberFormat="1" applyFont="1" applyBorder="1" applyAlignment="1">
      <alignment vertical="center" shrinkToFit="1"/>
    </xf>
    <xf numFmtId="0" fontId="14" fillId="0" borderId="1" xfId="1" applyFont="1" applyBorder="1" applyAlignment="1">
      <alignment vertical="center" wrapText="1"/>
    </xf>
    <xf numFmtId="41" fontId="14" fillId="0" borderId="1" xfId="1" applyNumberFormat="1" applyFont="1" applyBorder="1" applyAlignment="1">
      <alignment vertical="center"/>
    </xf>
    <xf numFmtId="0" fontId="16" fillId="0" borderId="1" xfId="1" applyFont="1" applyBorder="1" applyAlignment="1">
      <alignment vertical="top"/>
    </xf>
    <xf numFmtId="0" fontId="16" fillId="0" borderId="1" xfId="1" applyFont="1" applyBorder="1" applyAlignment="1">
      <alignment vertical="top" wrapText="1"/>
    </xf>
    <xf numFmtId="0" fontId="12" fillId="0" borderId="2" xfId="0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41" fontId="5" fillId="0" borderId="0" xfId="0" applyNumberFormat="1" applyFont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41" fontId="5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7" fillId="0" borderId="1" xfId="1" applyFont="1" applyBorder="1" applyAlignment="1">
      <alignment vertical="center"/>
    </xf>
    <xf numFmtId="41" fontId="7" fillId="0" borderId="1" xfId="1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7" fontId="9" fillId="0" borderId="1" xfId="2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top" wrapText="1"/>
    </xf>
    <xf numFmtId="0" fontId="10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1" applyFont="1" applyBorder="1" applyAlignment="1">
      <alignment vertical="top" wrapText="1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 wrapText="1"/>
    </xf>
    <xf numFmtId="41" fontId="9" fillId="0" borderId="1" xfId="1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164" fontId="12" fillId="0" borderId="7" xfId="0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164" fontId="1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164" fontId="12" fillId="0" borderId="5" xfId="0" applyNumberFormat="1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41" fontId="12" fillId="0" borderId="0" xfId="0" applyNumberFormat="1" applyFont="1" applyAlignment="1">
      <alignment vertical="center"/>
    </xf>
    <xf numFmtId="41" fontId="12" fillId="0" borderId="5" xfId="0" applyNumberFormat="1" applyFont="1" applyBorder="1" applyAlignment="1">
      <alignment vertical="center"/>
    </xf>
    <xf numFmtId="41" fontId="12" fillId="0" borderId="1" xfId="0" applyNumberFormat="1" applyFont="1" applyBorder="1" applyAlignment="1">
      <alignment horizontal="center" vertical="center"/>
    </xf>
    <xf numFmtId="0" fontId="15" fillId="0" borderId="1" xfId="1" applyFont="1" applyBorder="1" applyAlignment="1">
      <alignment vertical="top" wrapText="1"/>
    </xf>
    <xf numFmtId="3" fontId="15" fillId="0" borderId="0" xfId="0" applyNumberFormat="1" applyFont="1" applyAlignment="1">
      <alignment horizontal="right" vertical="top" shrinkToFit="1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9" fontId="12" fillId="0" borderId="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7" fillId="0" borderId="13" xfId="0" applyFont="1" applyBorder="1" applyAlignment="1">
      <alignment vertical="top"/>
    </xf>
    <xf numFmtId="0" fontId="17" fillId="0" borderId="14" xfId="0" applyFont="1" applyBorder="1" applyAlignment="1">
      <alignment horizontal="left" vertical="top" wrapText="1"/>
    </xf>
    <xf numFmtId="0" fontId="18" fillId="0" borderId="15" xfId="0" applyFont="1" applyBorder="1"/>
    <xf numFmtId="0" fontId="17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vertical="top"/>
    </xf>
    <xf numFmtId="168" fontId="17" fillId="0" borderId="17" xfId="0" applyNumberFormat="1" applyFont="1" applyBorder="1" applyAlignment="1">
      <alignment vertical="top"/>
    </xf>
    <xf numFmtId="0" fontId="5" fillId="0" borderId="8" xfId="0" applyFont="1" applyBorder="1" applyAlignment="1">
      <alignment horizontal="left" vertical="center"/>
    </xf>
    <xf numFmtId="0" fontId="12" fillId="0" borderId="13" xfId="0" applyFont="1" applyBorder="1"/>
    <xf numFmtId="168" fontId="12" fillId="0" borderId="17" xfId="0" applyNumberFormat="1" applyFont="1" applyBorder="1"/>
    <xf numFmtId="0" fontId="12" fillId="0" borderId="18" xfId="0" applyFont="1" applyBorder="1" applyAlignment="1">
      <alignment horizontal="center"/>
    </xf>
    <xf numFmtId="0" fontId="12" fillId="0" borderId="0" xfId="0" applyFont="1"/>
    <xf numFmtId="0" fontId="14" fillId="0" borderId="19" xfId="0" applyFont="1" applyBorder="1"/>
    <xf numFmtId="0" fontId="12" fillId="0" borderId="18" xfId="0" applyFont="1" applyBorder="1"/>
    <xf numFmtId="0" fontId="12" fillId="0" borderId="0" xfId="0" applyFont="1"/>
    <xf numFmtId="168" fontId="12" fillId="0" borderId="19" xfId="0" applyNumberFormat="1" applyFont="1" applyBorder="1"/>
    <xf numFmtId="0" fontId="19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168" fontId="12" fillId="0" borderId="21" xfId="0" applyNumberFormat="1" applyFont="1" applyBorder="1"/>
    <xf numFmtId="0" fontId="12" fillId="0" borderId="22" xfId="0" applyFont="1" applyBorder="1"/>
    <xf numFmtId="0" fontId="12" fillId="0" borderId="23" xfId="0" applyFont="1" applyBorder="1"/>
    <xf numFmtId="168" fontId="12" fillId="0" borderId="24" xfId="0" applyNumberFormat="1" applyFont="1" applyBorder="1"/>
    <xf numFmtId="0" fontId="12" fillId="0" borderId="13" xfId="0" applyFont="1" applyBorder="1" applyAlignment="1">
      <alignment vertical="top"/>
    </xf>
    <xf numFmtId="0" fontId="12" fillId="0" borderId="14" xfId="0" applyFont="1" applyBorder="1" applyAlignment="1">
      <alignment horizontal="left" vertical="top" wrapText="1"/>
    </xf>
    <xf numFmtId="0" fontId="14" fillId="0" borderId="15" xfId="0" applyFont="1" applyBorder="1"/>
    <xf numFmtId="0" fontId="12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vertical="top"/>
    </xf>
    <xf numFmtId="168" fontId="12" fillId="0" borderId="17" xfId="0" applyNumberFormat="1" applyFont="1" applyBorder="1" applyAlignment="1">
      <alignment vertical="top"/>
    </xf>
    <xf numFmtId="0" fontId="20" fillId="0" borderId="16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1" fillId="0" borderId="1" xfId="1" applyFont="1" applyBorder="1" applyAlignment="1">
      <alignment vertical="top"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"/>
  <sheetViews>
    <sheetView topLeftCell="A22" zoomScaleNormal="100" workbookViewId="0">
      <selection activeCell="K29" sqref="K29"/>
    </sheetView>
  </sheetViews>
  <sheetFormatPr defaultColWidth="9.140625" defaultRowHeight="15.75"/>
  <cols>
    <col min="1" max="1" width="19.42578125" style="23" customWidth="1"/>
    <col min="2" max="2" width="39.42578125" style="22" customWidth="1"/>
    <col min="3" max="3" width="11.85546875" style="22" customWidth="1"/>
    <col min="4" max="4" width="9.140625" style="24"/>
    <col min="5" max="5" width="11.5703125" style="25" bestFit="1" customWidth="1"/>
    <col min="6" max="6" width="7" style="22" customWidth="1"/>
    <col min="7" max="7" width="27.7109375" style="22" customWidth="1"/>
    <col min="8" max="8" width="20" style="22" customWidth="1"/>
    <col min="9" max="16384" width="9.140625" style="22"/>
  </cols>
  <sheetData>
    <row r="1" spans="1:7">
      <c r="A1" s="91" t="s">
        <v>0</v>
      </c>
      <c r="B1" s="92"/>
      <c r="C1" s="92"/>
      <c r="D1" s="92"/>
      <c r="E1" s="92"/>
      <c r="F1" s="92"/>
      <c r="G1" s="93"/>
    </row>
    <row r="2" spans="1:7">
      <c r="A2" s="94" t="s">
        <v>1</v>
      </c>
      <c r="B2" s="95"/>
      <c r="C2" s="95"/>
      <c r="D2" s="95"/>
      <c r="E2" s="95"/>
      <c r="F2" s="95"/>
      <c r="G2" s="96"/>
    </row>
    <row r="3" spans="1:7" ht="26.25" customHeight="1">
      <c r="A3" s="97" t="s">
        <v>167</v>
      </c>
      <c r="B3" s="98"/>
      <c r="C3" s="98"/>
      <c r="D3" s="98"/>
      <c r="E3" s="98"/>
      <c r="F3" s="98"/>
      <c r="G3" s="99"/>
    </row>
    <row r="4" spans="1:7">
      <c r="A4" s="138" t="s">
        <v>2</v>
      </c>
      <c r="B4" s="22" t="s">
        <v>11</v>
      </c>
      <c r="G4" s="26"/>
    </row>
    <row r="5" spans="1:7">
      <c r="A5" s="138" t="s">
        <v>3</v>
      </c>
      <c r="B5" s="22" t="s">
        <v>12</v>
      </c>
      <c r="G5" s="26"/>
    </row>
    <row r="6" spans="1:7">
      <c r="A6" s="138" t="s">
        <v>4</v>
      </c>
      <c r="B6" s="22" t="s">
        <v>13</v>
      </c>
      <c r="G6" s="26"/>
    </row>
    <row r="7" spans="1:7">
      <c r="A7" s="138" t="s">
        <v>5</v>
      </c>
      <c r="B7" s="22" t="s">
        <v>14</v>
      </c>
      <c r="G7" s="26"/>
    </row>
    <row r="8" spans="1:7" ht="33" customHeight="1">
      <c r="A8" s="138" t="s">
        <v>6</v>
      </c>
      <c r="B8" s="106" t="s">
        <v>42</v>
      </c>
      <c r="C8" s="106"/>
      <c r="D8" s="106"/>
      <c r="E8" s="106"/>
      <c r="F8" s="106"/>
      <c r="G8" s="107"/>
    </row>
    <row r="9" spans="1:7">
      <c r="A9" s="138" t="s">
        <v>7</v>
      </c>
      <c r="B9" s="22" t="s">
        <v>128</v>
      </c>
      <c r="G9" s="26"/>
    </row>
    <row r="10" spans="1:7">
      <c r="A10" s="138" t="s">
        <v>8</v>
      </c>
      <c r="B10" s="22" t="s">
        <v>15</v>
      </c>
      <c r="G10" s="26"/>
    </row>
    <row r="11" spans="1:7">
      <c r="A11" s="138" t="s">
        <v>9</v>
      </c>
      <c r="B11" s="22" t="s">
        <v>16</v>
      </c>
      <c r="G11" s="26"/>
    </row>
    <row r="12" spans="1:7">
      <c r="A12" s="138" t="s">
        <v>10</v>
      </c>
      <c r="B12" s="22" t="s">
        <v>17</v>
      </c>
      <c r="G12" s="26"/>
    </row>
    <row r="13" spans="1:7">
      <c r="A13" s="138" t="s">
        <v>18</v>
      </c>
      <c r="B13" s="22" t="s">
        <v>19</v>
      </c>
      <c r="G13" s="26"/>
    </row>
    <row r="14" spans="1:7">
      <c r="A14" s="138" t="s">
        <v>127</v>
      </c>
      <c r="B14" s="22" t="s">
        <v>102</v>
      </c>
      <c r="G14" s="26"/>
    </row>
    <row r="15" spans="1:7">
      <c r="A15" s="138" t="s">
        <v>184</v>
      </c>
      <c r="B15" s="22" t="s">
        <v>191</v>
      </c>
      <c r="G15" s="26"/>
    </row>
    <row r="16" spans="1:7">
      <c r="A16" s="138" t="s">
        <v>185</v>
      </c>
      <c r="B16" s="22" t="s">
        <v>186</v>
      </c>
      <c r="G16" s="26"/>
    </row>
    <row r="17" spans="1:11">
      <c r="A17" s="90" t="s">
        <v>84</v>
      </c>
      <c r="B17" s="90"/>
      <c r="C17" s="90"/>
      <c r="D17" s="90"/>
      <c r="E17" s="90"/>
      <c r="F17" s="90"/>
      <c r="G17" s="90"/>
    </row>
    <row r="18" spans="1:11">
      <c r="A18" s="27" t="s">
        <v>85</v>
      </c>
      <c r="B18" s="90" t="s">
        <v>86</v>
      </c>
      <c r="C18" s="90"/>
      <c r="D18" s="90"/>
      <c r="E18" s="90"/>
      <c r="F18" s="90" t="s">
        <v>87</v>
      </c>
      <c r="G18" s="90"/>
    </row>
    <row r="19" spans="1:11">
      <c r="A19" s="88" t="s">
        <v>88</v>
      </c>
      <c r="B19" s="100" t="s">
        <v>92</v>
      </c>
      <c r="C19" s="100"/>
      <c r="D19" s="100"/>
      <c r="E19" s="100"/>
      <c r="F19" s="105">
        <v>1</v>
      </c>
      <c r="G19" s="90"/>
    </row>
    <row r="20" spans="1:11">
      <c r="A20" s="88" t="s">
        <v>89</v>
      </c>
      <c r="B20" s="100" t="s">
        <v>93</v>
      </c>
      <c r="C20" s="100"/>
      <c r="D20" s="100"/>
      <c r="E20" s="100"/>
      <c r="F20" s="101">
        <f>G45</f>
        <v>431526200</v>
      </c>
      <c r="G20" s="101"/>
      <c r="H20" s="84"/>
    </row>
    <row r="21" spans="1:11" ht="32.25" customHeight="1">
      <c r="A21" s="88" t="s">
        <v>90</v>
      </c>
      <c r="B21" s="102" t="s">
        <v>109</v>
      </c>
      <c r="C21" s="103"/>
      <c r="D21" s="103"/>
      <c r="E21" s="104"/>
      <c r="F21" s="90" t="s">
        <v>95</v>
      </c>
      <c r="G21" s="90"/>
      <c r="H21" s="84"/>
    </row>
    <row r="22" spans="1:11" ht="31.5" customHeight="1">
      <c r="A22" s="88" t="s">
        <v>91</v>
      </c>
      <c r="B22" s="102" t="s">
        <v>96</v>
      </c>
      <c r="C22" s="103"/>
      <c r="D22" s="103"/>
      <c r="E22" s="104"/>
      <c r="F22" s="105" t="s">
        <v>95</v>
      </c>
      <c r="G22" s="90"/>
    </row>
    <row r="23" spans="1:11" ht="27.75" customHeight="1">
      <c r="A23" s="90" t="s">
        <v>94</v>
      </c>
      <c r="B23" s="90"/>
      <c r="C23" s="90"/>
      <c r="D23" s="90"/>
      <c r="E23" s="90"/>
      <c r="F23" s="90"/>
      <c r="G23" s="90"/>
    </row>
    <row r="24" spans="1:11">
      <c r="A24" s="90" t="s">
        <v>20</v>
      </c>
      <c r="B24" s="90" t="s">
        <v>21</v>
      </c>
      <c r="C24" s="90" t="s">
        <v>22</v>
      </c>
      <c r="D24" s="90"/>
      <c r="E24" s="90"/>
      <c r="F24" s="90"/>
      <c r="G24" s="90" t="s">
        <v>27</v>
      </c>
    </row>
    <row r="25" spans="1:11">
      <c r="A25" s="90"/>
      <c r="B25" s="90"/>
      <c r="C25" s="27" t="s">
        <v>23</v>
      </c>
      <c r="D25" s="28" t="s">
        <v>24</v>
      </c>
      <c r="E25" s="29" t="s">
        <v>25</v>
      </c>
      <c r="F25" s="27" t="s">
        <v>26</v>
      </c>
      <c r="G25" s="90"/>
    </row>
    <row r="26" spans="1:11" ht="31.5">
      <c r="A26" s="30" t="s">
        <v>28</v>
      </c>
      <c r="B26" s="31" t="s">
        <v>29</v>
      </c>
      <c r="C26" s="32"/>
      <c r="D26" s="33"/>
      <c r="E26" s="34"/>
      <c r="F26" s="32"/>
      <c r="G26" s="35">
        <f>G27</f>
        <v>6187500</v>
      </c>
    </row>
    <row r="27" spans="1:11" ht="47.25">
      <c r="A27" s="30"/>
      <c r="B27" s="31" t="s">
        <v>182</v>
      </c>
      <c r="C27" s="32"/>
      <c r="D27" s="33"/>
      <c r="E27" s="34"/>
      <c r="F27" s="32"/>
      <c r="G27" s="35">
        <f>G28+G29</f>
        <v>6187500</v>
      </c>
    </row>
    <row r="28" spans="1:11" ht="31.5">
      <c r="A28" s="30"/>
      <c r="B28" s="33" t="s">
        <v>31</v>
      </c>
      <c r="C28" s="32">
        <v>125</v>
      </c>
      <c r="D28" s="28" t="s">
        <v>34</v>
      </c>
      <c r="E28" s="34">
        <v>33000</v>
      </c>
      <c r="F28" s="32">
        <v>0</v>
      </c>
      <c r="G28" s="36">
        <f>C28*E28</f>
        <v>4125000</v>
      </c>
    </row>
    <row r="29" spans="1:11" ht="31.5">
      <c r="A29" s="30"/>
      <c r="B29" s="33" t="s">
        <v>33</v>
      </c>
      <c r="C29" s="32">
        <v>125</v>
      </c>
      <c r="D29" s="28" t="s">
        <v>34</v>
      </c>
      <c r="E29" s="34">
        <v>16500</v>
      </c>
      <c r="F29" s="32">
        <v>0</v>
      </c>
      <c r="G29" s="36">
        <f t="shared" ref="G29" si="0">C29*E29</f>
        <v>2062500</v>
      </c>
    </row>
    <row r="30" spans="1:11" ht="31.5">
      <c r="A30" s="30" t="s">
        <v>45</v>
      </c>
      <c r="B30" s="31" t="s">
        <v>68</v>
      </c>
      <c r="C30" s="32"/>
      <c r="D30" s="38"/>
      <c r="E30" s="39"/>
      <c r="F30" s="38"/>
      <c r="G30" s="40">
        <f>SUM(G31:G33)</f>
        <v>3423200</v>
      </c>
    </row>
    <row r="31" spans="1:11">
      <c r="A31" s="30"/>
      <c r="B31" s="33" t="s">
        <v>69</v>
      </c>
      <c r="C31" s="32">
        <v>6052</v>
      </c>
      <c r="D31" s="28" t="s">
        <v>48</v>
      </c>
      <c r="E31" s="34">
        <v>350</v>
      </c>
      <c r="F31" s="32"/>
      <c r="G31" s="36">
        <f t="shared" ref="G31:G32" si="1">C31*E31</f>
        <v>2118200</v>
      </c>
      <c r="K31" s="37"/>
    </row>
    <row r="32" spans="1:11" ht="31.5">
      <c r="A32" s="30"/>
      <c r="B32" s="33" t="s">
        <v>70</v>
      </c>
      <c r="C32" s="32">
        <v>5</v>
      </c>
      <c r="D32" s="32" t="s">
        <v>71</v>
      </c>
      <c r="E32" s="34">
        <v>72000</v>
      </c>
      <c r="F32" s="32"/>
      <c r="G32" s="36">
        <f t="shared" si="1"/>
        <v>360000</v>
      </c>
    </row>
    <row r="33" spans="1:9" ht="31.5">
      <c r="A33" s="30"/>
      <c r="B33" s="41" t="s">
        <v>120</v>
      </c>
      <c r="C33" s="42" t="s">
        <v>113</v>
      </c>
      <c r="D33" s="43" t="s">
        <v>114</v>
      </c>
      <c r="E33" s="44">
        <v>47250</v>
      </c>
      <c r="F33" s="32"/>
      <c r="G33" s="36">
        <f>20*E33</f>
        <v>945000</v>
      </c>
    </row>
    <row r="34" spans="1:9" s="7" customFormat="1" ht="35.25" customHeight="1">
      <c r="A34" s="18" t="s">
        <v>115</v>
      </c>
      <c r="B34" s="19" t="s">
        <v>116</v>
      </c>
      <c r="C34" s="8"/>
      <c r="D34" s="9"/>
      <c r="E34" s="13"/>
      <c r="F34" s="8"/>
      <c r="G34" s="21">
        <f>G35</f>
        <v>44383500</v>
      </c>
    </row>
    <row r="35" spans="1:9" s="7" customFormat="1" ht="31.5">
      <c r="A35" s="8"/>
      <c r="B35" s="10" t="s">
        <v>134</v>
      </c>
      <c r="C35" s="8"/>
      <c r="D35" s="9"/>
      <c r="E35" s="13"/>
      <c r="F35" s="8"/>
      <c r="G35" s="21">
        <f>G36+G37</f>
        <v>44383500</v>
      </c>
    </row>
    <row r="36" spans="1:9" s="7" customFormat="1" ht="31.5">
      <c r="A36" s="20"/>
      <c r="B36" s="14" t="s">
        <v>136</v>
      </c>
      <c r="C36" s="15">
        <v>126</v>
      </c>
      <c r="D36" s="16" t="s">
        <v>117</v>
      </c>
      <c r="E36" s="17">
        <v>152250</v>
      </c>
      <c r="F36" s="12"/>
      <c r="G36" s="11">
        <f t="shared" ref="G36:G37" si="2">C36*E36</f>
        <v>19183500</v>
      </c>
    </row>
    <row r="37" spans="1:9" s="7" customFormat="1" ht="47.25">
      <c r="A37" s="20"/>
      <c r="B37" s="14" t="s">
        <v>135</v>
      </c>
      <c r="C37" s="15">
        <v>126</v>
      </c>
      <c r="D37" s="16" t="s">
        <v>117</v>
      </c>
      <c r="E37" s="17">
        <v>200000</v>
      </c>
      <c r="F37" s="12"/>
      <c r="G37" s="11">
        <f t="shared" si="2"/>
        <v>25200000</v>
      </c>
    </row>
    <row r="38" spans="1:9" ht="31.5">
      <c r="A38" s="45" t="s">
        <v>130</v>
      </c>
      <c r="B38" s="46" t="s">
        <v>131</v>
      </c>
      <c r="C38" s="32"/>
      <c r="D38" s="32"/>
      <c r="E38" s="34"/>
      <c r="F38" s="32"/>
      <c r="G38" s="35">
        <f>G39</f>
        <v>370332000</v>
      </c>
    </row>
    <row r="39" spans="1:9" ht="31.5">
      <c r="A39" s="47"/>
      <c r="B39" s="46" t="s">
        <v>111</v>
      </c>
      <c r="C39" s="32"/>
      <c r="D39" s="32"/>
      <c r="E39" s="34"/>
      <c r="F39" s="32"/>
      <c r="G39" s="35">
        <f>G40+G41</f>
        <v>370332000</v>
      </c>
    </row>
    <row r="40" spans="1:9" ht="31.5">
      <c r="A40" s="47"/>
      <c r="B40" s="48" t="s">
        <v>132</v>
      </c>
      <c r="C40" s="32" t="s">
        <v>155</v>
      </c>
      <c r="D40" s="33" t="s">
        <v>112</v>
      </c>
      <c r="E40" s="34">
        <v>822000</v>
      </c>
      <c r="F40" s="32"/>
      <c r="G40" s="36">
        <f>127*3*E40</f>
        <v>313182000</v>
      </c>
    </row>
    <row r="41" spans="1:9" ht="47.25">
      <c r="A41" s="47"/>
      <c r="B41" s="48" t="s">
        <v>137</v>
      </c>
      <c r="C41" s="32" t="s">
        <v>155</v>
      </c>
      <c r="D41" s="33" t="s">
        <v>138</v>
      </c>
      <c r="E41" s="34">
        <v>150000</v>
      </c>
      <c r="F41" s="32"/>
      <c r="G41" s="36">
        <f>127*3*E41</f>
        <v>57150000</v>
      </c>
    </row>
    <row r="42" spans="1:9" ht="47.25">
      <c r="A42" s="49" t="s">
        <v>35</v>
      </c>
      <c r="B42" s="50" t="s">
        <v>36</v>
      </c>
      <c r="C42" s="32"/>
      <c r="D42" s="33"/>
      <c r="E42" s="34"/>
      <c r="F42" s="32"/>
      <c r="G42" s="35">
        <f>G43</f>
        <v>7200000</v>
      </c>
    </row>
    <row r="43" spans="1:9" ht="31.5">
      <c r="A43" s="51"/>
      <c r="B43" s="46" t="s">
        <v>111</v>
      </c>
      <c r="C43" s="32"/>
      <c r="D43" s="33"/>
      <c r="E43" s="34"/>
      <c r="F43" s="32"/>
      <c r="G43" s="35">
        <f>G44</f>
        <v>7200000</v>
      </c>
    </row>
    <row r="44" spans="1:9" ht="47.25">
      <c r="A44" s="52"/>
      <c r="B44" s="53" t="s">
        <v>123</v>
      </c>
      <c r="C44" s="54" t="s">
        <v>133</v>
      </c>
      <c r="D44" s="55" t="s">
        <v>122</v>
      </c>
      <c r="E44" s="56">
        <v>900000</v>
      </c>
      <c r="F44" s="57"/>
      <c r="G44" s="36">
        <f>2*4*900000</f>
        <v>7200000</v>
      </c>
    </row>
    <row r="45" spans="1:9" s="58" customFormat="1">
      <c r="A45" s="108" t="s">
        <v>72</v>
      </c>
      <c r="B45" s="109"/>
      <c r="C45" s="109"/>
      <c r="D45" s="109"/>
      <c r="E45" s="109"/>
      <c r="F45" s="110"/>
      <c r="G45" s="35">
        <f>G26+G30+G34+G38+G42</f>
        <v>431526200</v>
      </c>
      <c r="I45" s="59"/>
    </row>
    <row r="46" spans="1:9">
      <c r="A46" s="132"/>
      <c r="B46" s="133"/>
      <c r="C46" s="134"/>
      <c r="D46" s="135"/>
      <c r="E46" s="136"/>
      <c r="F46" s="136"/>
      <c r="G46" s="137">
        <f>D46*F46</f>
        <v>0</v>
      </c>
    </row>
    <row r="47" spans="1:9">
      <c r="A47" s="139" t="s">
        <v>168</v>
      </c>
      <c r="B47" s="140"/>
      <c r="C47" s="141" t="s">
        <v>169</v>
      </c>
      <c r="D47" s="142"/>
      <c r="E47" s="142"/>
      <c r="F47" s="142"/>
      <c r="G47" s="143"/>
    </row>
    <row r="48" spans="1:9">
      <c r="A48" s="139" t="s">
        <v>170</v>
      </c>
      <c r="B48" s="140"/>
      <c r="C48" s="141" t="s">
        <v>171</v>
      </c>
      <c r="D48" s="142"/>
      <c r="E48" s="142"/>
      <c r="F48" s="142"/>
      <c r="G48" s="143"/>
    </row>
    <row r="49" spans="1:7">
      <c r="A49" s="139" t="s">
        <v>172</v>
      </c>
      <c r="B49" s="140"/>
      <c r="C49" s="144"/>
      <c r="D49" s="145"/>
      <c r="E49" s="145"/>
      <c r="F49" s="145"/>
      <c r="G49" s="146"/>
    </row>
    <row r="50" spans="1:7">
      <c r="A50" s="139" t="s">
        <v>173</v>
      </c>
      <c r="B50" s="140"/>
      <c r="C50" s="144"/>
      <c r="D50" s="145"/>
      <c r="E50" s="145"/>
      <c r="F50" s="145"/>
      <c r="G50" s="146"/>
    </row>
    <row r="51" spans="1:7">
      <c r="A51" s="139" t="s">
        <v>174</v>
      </c>
      <c r="B51" s="140"/>
      <c r="C51" s="144"/>
      <c r="D51" s="145"/>
      <c r="E51" s="145"/>
      <c r="F51" s="145"/>
      <c r="G51" s="146"/>
    </row>
    <row r="52" spans="1:7">
      <c r="A52" s="139" t="s">
        <v>175</v>
      </c>
      <c r="B52" s="140"/>
      <c r="C52" s="144"/>
      <c r="D52" s="145"/>
      <c r="E52" s="145"/>
      <c r="F52" s="145"/>
      <c r="G52" s="146"/>
    </row>
    <row r="53" spans="1:7">
      <c r="A53" s="139" t="s">
        <v>176</v>
      </c>
      <c r="B53" s="140"/>
      <c r="C53" s="147"/>
      <c r="D53" s="142"/>
      <c r="E53" s="142"/>
      <c r="F53" s="142"/>
      <c r="G53" s="143"/>
    </row>
    <row r="54" spans="1:7">
      <c r="A54" s="139" t="s">
        <v>177</v>
      </c>
      <c r="B54" s="140"/>
      <c r="C54" s="141"/>
      <c r="D54" s="142"/>
      <c r="E54" s="142"/>
      <c r="F54" s="142"/>
      <c r="G54" s="143"/>
    </row>
    <row r="55" spans="1:7">
      <c r="A55" s="139" t="s">
        <v>178</v>
      </c>
      <c r="B55" s="140"/>
      <c r="C55" s="144"/>
      <c r="D55" s="145"/>
      <c r="E55" s="145"/>
      <c r="F55" s="145"/>
      <c r="G55" s="146"/>
    </row>
    <row r="56" spans="1:7">
      <c r="A56" s="139" t="s">
        <v>179</v>
      </c>
      <c r="B56" s="140"/>
      <c r="C56" s="144"/>
      <c r="D56" s="145"/>
      <c r="E56" s="145"/>
      <c r="F56" s="145"/>
      <c r="G56" s="146"/>
    </row>
    <row r="57" spans="1:7">
      <c r="A57" s="139" t="s">
        <v>180</v>
      </c>
      <c r="B57" s="140"/>
      <c r="C57" s="144"/>
      <c r="D57" s="145"/>
      <c r="E57" s="145"/>
      <c r="F57" s="145"/>
      <c r="G57" s="146"/>
    </row>
    <row r="58" spans="1:7">
      <c r="A58" s="139" t="s">
        <v>181</v>
      </c>
      <c r="B58" s="140"/>
      <c r="C58" s="144"/>
      <c r="D58" s="145"/>
      <c r="E58" s="145"/>
      <c r="F58" s="145"/>
      <c r="G58" s="146"/>
    </row>
    <row r="59" spans="1:7" ht="16.5" thickBot="1">
      <c r="A59" s="148" t="s">
        <v>27</v>
      </c>
      <c r="B59" s="149">
        <f>SUM(B47:B58)</f>
        <v>0</v>
      </c>
      <c r="C59" s="150"/>
      <c r="D59" s="151"/>
      <c r="E59" s="151"/>
      <c r="F59" s="151"/>
      <c r="G59" s="152"/>
    </row>
    <row r="60" spans="1:7">
      <c r="D60" s="22"/>
    </row>
    <row r="61" spans="1:7">
      <c r="D61" s="22"/>
    </row>
    <row r="62" spans="1:7">
      <c r="D62" s="22"/>
    </row>
    <row r="63" spans="1:7">
      <c r="D63" s="22"/>
    </row>
    <row r="64" spans="1:7">
      <c r="D64" s="22"/>
    </row>
    <row r="65" spans="4:4">
      <c r="D65" s="22"/>
    </row>
    <row r="66" spans="4:4">
      <c r="D66" s="22"/>
    </row>
    <row r="67" spans="4:4">
      <c r="D67" s="22"/>
    </row>
    <row r="68" spans="4:4">
      <c r="D68" s="22"/>
    </row>
    <row r="69" spans="4:4">
      <c r="D69" s="22"/>
    </row>
    <row r="70" spans="4:4">
      <c r="D70" s="22"/>
    </row>
    <row r="71" spans="4:4">
      <c r="D71" s="22"/>
    </row>
    <row r="72" spans="4:4">
      <c r="D72" s="22"/>
    </row>
    <row r="73" spans="4:4">
      <c r="D73" s="22"/>
    </row>
  </sheetData>
  <mergeCells count="26">
    <mergeCell ref="A24:A25"/>
    <mergeCell ref="B24:B25"/>
    <mergeCell ref="C24:F24"/>
    <mergeCell ref="G24:G25"/>
    <mergeCell ref="A45:F45"/>
    <mergeCell ref="B46:C46"/>
    <mergeCell ref="C47:G47"/>
    <mergeCell ref="C48:G48"/>
    <mergeCell ref="C53:G53"/>
    <mergeCell ref="C54:G54"/>
    <mergeCell ref="A23:G23"/>
    <mergeCell ref="A1:G1"/>
    <mergeCell ref="A2:G2"/>
    <mergeCell ref="A3:G3"/>
    <mergeCell ref="B20:E20"/>
    <mergeCell ref="F20:G20"/>
    <mergeCell ref="B21:E21"/>
    <mergeCell ref="F21:G21"/>
    <mergeCell ref="B22:E22"/>
    <mergeCell ref="F22:G22"/>
    <mergeCell ref="B8:G8"/>
    <mergeCell ref="A17:G17"/>
    <mergeCell ref="B18:E18"/>
    <mergeCell ref="F18:G18"/>
    <mergeCell ref="B19:E19"/>
    <mergeCell ref="F19:G19"/>
  </mergeCells>
  <printOptions horizontalCentered="1"/>
  <pageMargins left="0.19685039370078741" right="0.19685039370078741" top="0.74803149606299213" bottom="0.74803149606299213" header="0.31496062992125984" footer="0.31496062992125984"/>
  <pageSetup paperSize="10000" scale="7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032C-4DBA-4D7C-8FE1-1B1C63F8B851}">
  <dimension ref="A1:Q86"/>
  <sheetViews>
    <sheetView topLeftCell="A46" zoomScaleNormal="100" workbookViewId="0">
      <selection activeCell="H26" sqref="H26"/>
    </sheetView>
  </sheetViews>
  <sheetFormatPr defaultColWidth="9.140625" defaultRowHeight="15.75"/>
  <cols>
    <col min="1" max="1" width="21.85546875" style="23" customWidth="1"/>
    <col min="2" max="2" width="39.42578125" style="22" customWidth="1"/>
    <col min="3" max="3" width="11.85546875" style="22" customWidth="1"/>
    <col min="4" max="4" width="9.140625" style="24"/>
    <col min="5" max="5" width="11.5703125" style="25" bestFit="1" customWidth="1"/>
    <col min="6" max="6" width="7" style="22" customWidth="1"/>
    <col min="7" max="7" width="27.7109375" style="22" customWidth="1"/>
    <col min="8" max="8" width="20" style="22" customWidth="1"/>
    <col min="9" max="16384" width="9.140625" style="22"/>
  </cols>
  <sheetData>
    <row r="1" spans="1:7">
      <c r="A1" s="91" t="s">
        <v>0</v>
      </c>
      <c r="B1" s="92"/>
      <c r="C1" s="92"/>
      <c r="D1" s="92"/>
      <c r="E1" s="92"/>
      <c r="F1" s="92"/>
      <c r="G1" s="93"/>
    </row>
    <row r="2" spans="1:7">
      <c r="A2" s="94" t="s">
        <v>1</v>
      </c>
      <c r="B2" s="95"/>
      <c r="C2" s="95"/>
      <c r="D2" s="95"/>
      <c r="E2" s="95"/>
      <c r="F2" s="95"/>
      <c r="G2" s="96"/>
    </row>
    <row r="3" spans="1:7" ht="26.25" customHeight="1">
      <c r="A3" s="97" t="s">
        <v>183</v>
      </c>
      <c r="B3" s="98"/>
      <c r="C3" s="98"/>
      <c r="D3" s="98"/>
      <c r="E3" s="98"/>
      <c r="F3" s="98"/>
      <c r="G3" s="99"/>
    </row>
    <row r="4" spans="1:7">
      <c r="A4" s="138" t="s">
        <v>2</v>
      </c>
      <c r="B4" s="22" t="s">
        <v>11</v>
      </c>
      <c r="G4" s="26"/>
    </row>
    <row r="5" spans="1:7">
      <c r="A5" s="138" t="s">
        <v>3</v>
      </c>
      <c r="B5" s="22" t="s">
        <v>12</v>
      </c>
      <c r="G5" s="26"/>
    </row>
    <row r="6" spans="1:7">
      <c r="A6" s="138" t="s">
        <v>4</v>
      </c>
      <c r="B6" s="22" t="s">
        <v>13</v>
      </c>
      <c r="G6" s="26"/>
    </row>
    <row r="7" spans="1:7">
      <c r="A7" s="138" t="s">
        <v>5</v>
      </c>
      <c r="B7" s="22" t="s">
        <v>14</v>
      </c>
      <c r="G7" s="26"/>
    </row>
    <row r="8" spans="1:7" ht="33" customHeight="1">
      <c r="A8" s="138" t="s">
        <v>6</v>
      </c>
      <c r="B8" s="106" t="s">
        <v>42</v>
      </c>
      <c r="C8" s="106"/>
      <c r="D8" s="106"/>
      <c r="E8" s="106"/>
      <c r="F8" s="106"/>
      <c r="G8" s="107"/>
    </row>
    <row r="9" spans="1:7">
      <c r="A9" s="138" t="s">
        <v>7</v>
      </c>
      <c r="B9" s="22" t="s">
        <v>164</v>
      </c>
      <c r="G9" s="26"/>
    </row>
    <row r="10" spans="1:7">
      <c r="A10" s="138" t="s">
        <v>8</v>
      </c>
      <c r="B10" s="22" t="s">
        <v>15</v>
      </c>
      <c r="G10" s="26"/>
    </row>
    <row r="11" spans="1:7">
      <c r="A11" s="138" t="s">
        <v>9</v>
      </c>
      <c r="B11" s="22" t="s">
        <v>16</v>
      </c>
      <c r="G11" s="26"/>
    </row>
    <row r="12" spans="1:7">
      <c r="A12" s="138" t="s">
        <v>10</v>
      </c>
      <c r="B12" s="22" t="s">
        <v>17</v>
      </c>
      <c r="G12" s="26"/>
    </row>
    <row r="13" spans="1:7">
      <c r="A13" s="138" t="s">
        <v>18</v>
      </c>
      <c r="B13" s="22" t="s">
        <v>19</v>
      </c>
      <c r="G13" s="26"/>
    </row>
    <row r="14" spans="1:7">
      <c r="A14" s="138" t="s">
        <v>127</v>
      </c>
      <c r="B14" s="22" t="s">
        <v>102</v>
      </c>
      <c r="G14" s="26"/>
    </row>
    <row r="15" spans="1:7">
      <c r="A15" s="138" t="s">
        <v>184</v>
      </c>
      <c r="B15" s="22" t="s">
        <v>208</v>
      </c>
      <c r="G15" s="26"/>
    </row>
    <row r="16" spans="1:7">
      <c r="A16" s="138" t="s">
        <v>185</v>
      </c>
      <c r="B16" s="22" t="s">
        <v>186</v>
      </c>
      <c r="G16" s="26"/>
    </row>
    <row r="17" spans="1:8">
      <c r="A17" s="90" t="s">
        <v>84</v>
      </c>
      <c r="B17" s="90"/>
      <c r="C17" s="90"/>
      <c r="D17" s="90"/>
      <c r="E17" s="90"/>
      <c r="F17" s="90"/>
      <c r="G17" s="90"/>
    </row>
    <row r="18" spans="1:8">
      <c r="A18" s="87" t="s">
        <v>85</v>
      </c>
      <c r="B18" s="90" t="s">
        <v>86</v>
      </c>
      <c r="C18" s="90"/>
      <c r="D18" s="90"/>
      <c r="E18" s="90"/>
      <c r="F18" s="90" t="s">
        <v>87</v>
      </c>
      <c r="G18" s="90"/>
    </row>
    <row r="19" spans="1:8">
      <c r="A19" s="88" t="s">
        <v>88</v>
      </c>
      <c r="B19" s="100" t="s">
        <v>92</v>
      </c>
      <c r="C19" s="100"/>
      <c r="D19" s="100"/>
      <c r="E19" s="100"/>
      <c r="F19" s="105">
        <v>1</v>
      </c>
      <c r="G19" s="90"/>
    </row>
    <row r="20" spans="1:8">
      <c r="A20" s="88" t="s">
        <v>89</v>
      </c>
      <c r="B20" s="100" t="s">
        <v>93</v>
      </c>
      <c r="C20" s="100"/>
      <c r="D20" s="100"/>
      <c r="E20" s="100"/>
      <c r="F20" s="101">
        <f>G58</f>
        <v>189175000</v>
      </c>
      <c r="G20" s="101"/>
      <c r="H20" s="84"/>
    </row>
    <row r="21" spans="1:8" ht="32.25" customHeight="1">
      <c r="A21" s="88" t="s">
        <v>90</v>
      </c>
      <c r="B21" s="102" t="s">
        <v>165</v>
      </c>
      <c r="C21" s="103"/>
      <c r="D21" s="103"/>
      <c r="E21" s="104"/>
      <c r="F21" s="90" t="s">
        <v>126</v>
      </c>
      <c r="G21" s="90"/>
      <c r="H21" s="84"/>
    </row>
    <row r="22" spans="1:8" ht="31.5" customHeight="1">
      <c r="A22" s="88" t="s">
        <v>91</v>
      </c>
      <c r="B22" s="102" t="s">
        <v>166</v>
      </c>
      <c r="C22" s="103"/>
      <c r="D22" s="103"/>
      <c r="E22" s="104"/>
      <c r="F22" s="105" t="s">
        <v>126</v>
      </c>
      <c r="G22" s="90"/>
    </row>
    <row r="23" spans="1:8" ht="27.75" customHeight="1">
      <c r="A23" s="90" t="s">
        <v>94</v>
      </c>
      <c r="B23" s="90"/>
      <c r="C23" s="90"/>
      <c r="D23" s="90"/>
      <c r="E23" s="90"/>
      <c r="F23" s="90"/>
      <c r="G23" s="90"/>
    </row>
    <row r="24" spans="1:8">
      <c r="A24" s="90" t="s">
        <v>20</v>
      </c>
      <c r="B24" s="90" t="s">
        <v>21</v>
      </c>
      <c r="C24" s="90" t="s">
        <v>22</v>
      </c>
      <c r="D24" s="90"/>
      <c r="E24" s="90"/>
      <c r="F24" s="90"/>
      <c r="G24" s="90" t="s">
        <v>27</v>
      </c>
    </row>
    <row r="25" spans="1:8">
      <c r="A25" s="90"/>
      <c r="B25" s="90"/>
      <c r="C25" s="27" t="s">
        <v>23</v>
      </c>
      <c r="D25" s="28" t="s">
        <v>24</v>
      </c>
      <c r="E25" s="29" t="s">
        <v>25</v>
      </c>
      <c r="F25" s="27" t="s">
        <v>26</v>
      </c>
      <c r="G25" s="90"/>
    </row>
    <row r="26" spans="1:8" ht="31.5">
      <c r="A26" s="30" t="s">
        <v>28</v>
      </c>
      <c r="B26" s="31" t="s">
        <v>29</v>
      </c>
      <c r="C26" s="32"/>
      <c r="D26" s="33"/>
      <c r="E26" s="34"/>
      <c r="F26" s="32"/>
      <c r="G26" s="35">
        <f>G27+G30+G33+G36</f>
        <v>24255000</v>
      </c>
    </row>
    <row r="27" spans="1:8" ht="47.25">
      <c r="A27" s="30"/>
      <c r="B27" s="31" t="s">
        <v>194</v>
      </c>
      <c r="C27" s="32"/>
      <c r="D27" s="28"/>
      <c r="E27" s="34"/>
      <c r="F27" s="32"/>
      <c r="G27" s="35">
        <f>G28+G29</f>
        <v>5445000</v>
      </c>
    </row>
    <row r="28" spans="1:8" ht="31.5">
      <c r="A28" s="30"/>
      <c r="B28" s="33" t="s">
        <v>31</v>
      </c>
      <c r="C28" s="32">
        <v>110</v>
      </c>
      <c r="D28" s="28" t="s">
        <v>34</v>
      </c>
      <c r="E28" s="34">
        <v>33000</v>
      </c>
      <c r="F28" s="32">
        <v>0</v>
      </c>
      <c r="G28" s="36">
        <f t="shared" ref="G28:G29" si="0">C28*E28</f>
        <v>3630000</v>
      </c>
    </row>
    <row r="29" spans="1:8" ht="31.5">
      <c r="A29" s="30"/>
      <c r="B29" s="33" t="s">
        <v>33</v>
      </c>
      <c r="C29" s="32">
        <v>110</v>
      </c>
      <c r="D29" s="28" t="s">
        <v>34</v>
      </c>
      <c r="E29" s="34">
        <v>16500</v>
      </c>
      <c r="F29" s="32">
        <v>0</v>
      </c>
      <c r="G29" s="36">
        <f t="shared" si="0"/>
        <v>1815000</v>
      </c>
    </row>
    <row r="30" spans="1:8" ht="47.25">
      <c r="A30" s="30"/>
      <c r="B30" s="31" t="s">
        <v>195</v>
      </c>
      <c r="C30" s="32"/>
      <c r="D30" s="28"/>
      <c r="E30" s="34"/>
      <c r="F30" s="32"/>
      <c r="G30" s="35">
        <f>G31+G32</f>
        <v>5445000</v>
      </c>
    </row>
    <row r="31" spans="1:8" ht="31.5">
      <c r="A31" s="30"/>
      <c r="B31" s="33" t="s">
        <v>31</v>
      </c>
      <c r="C31" s="32">
        <v>110</v>
      </c>
      <c r="D31" s="28" t="s">
        <v>34</v>
      </c>
      <c r="E31" s="34">
        <v>33000</v>
      </c>
      <c r="F31" s="32">
        <v>0</v>
      </c>
      <c r="G31" s="36">
        <f t="shared" ref="G31:G32" si="1">C31*E31</f>
        <v>3630000</v>
      </c>
    </row>
    <row r="32" spans="1:8" ht="31.5">
      <c r="A32" s="30"/>
      <c r="B32" s="33" t="s">
        <v>33</v>
      </c>
      <c r="C32" s="32">
        <v>110</v>
      </c>
      <c r="D32" s="28" t="s">
        <v>34</v>
      </c>
      <c r="E32" s="34">
        <v>16500</v>
      </c>
      <c r="F32" s="32">
        <v>0</v>
      </c>
      <c r="G32" s="36">
        <f t="shared" si="1"/>
        <v>1815000</v>
      </c>
    </row>
    <row r="33" spans="1:8" ht="31.5">
      <c r="A33" s="30"/>
      <c r="B33" s="31" t="s">
        <v>83</v>
      </c>
      <c r="C33" s="32"/>
      <c r="D33" s="28"/>
      <c r="E33" s="34"/>
      <c r="F33" s="32"/>
      <c r="G33" s="35">
        <f>G34+G35</f>
        <v>8910000</v>
      </c>
    </row>
    <row r="34" spans="1:8" ht="31.5">
      <c r="A34" s="30"/>
      <c r="B34" s="33" t="s">
        <v>31</v>
      </c>
      <c r="C34" s="32" t="s">
        <v>196</v>
      </c>
      <c r="D34" s="28" t="s">
        <v>34</v>
      </c>
      <c r="E34" s="34">
        <v>33000</v>
      </c>
      <c r="F34" s="32">
        <v>0</v>
      </c>
      <c r="G34" s="36">
        <f>30*6*E34</f>
        <v>5940000</v>
      </c>
      <c r="H34" s="37"/>
    </row>
    <row r="35" spans="1:8" ht="31.5">
      <c r="A35" s="30"/>
      <c r="B35" s="33" t="s">
        <v>33</v>
      </c>
      <c r="C35" s="32" t="s">
        <v>196</v>
      </c>
      <c r="D35" s="28" t="s">
        <v>34</v>
      </c>
      <c r="E35" s="34">
        <v>16500</v>
      </c>
      <c r="F35" s="32">
        <v>0</v>
      </c>
      <c r="G35" s="36">
        <f>30*6*E35</f>
        <v>2970000</v>
      </c>
    </row>
    <row r="36" spans="1:8" ht="31.5">
      <c r="A36" s="30"/>
      <c r="B36" s="31" t="s">
        <v>129</v>
      </c>
      <c r="C36" s="32"/>
      <c r="D36" s="28"/>
      <c r="E36" s="34"/>
      <c r="F36" s="32"/>
      <c r="G36" s="35">
        <f>G37+G38</f>
        <v>4455000</v>
      </c>
    </row>
    <row r="37" spans="1:8" ht="31.5">
      <c r="A37" s="30"/>
      <c r="B37" s="33" t="s">
        <v>31</v>
      </c>
      <c r="C37" s="32" t="s">
        <v>197</v>
      </c>
      <c r="D37" s="28" t="s">
        <v>34</v>
      </c>
      <c r="E37" s="34">
        <v>33000</v>
      </c>
      <c r="F37" s="32">
        <v>0</v>
      </c>
      <c r="G37" s="36">
        <f>30*3*E37</f>
        <v>2970000</v>
      </c>
      <c r="H37" s="37"/>
    </row>
    <row r="38" spans="1:8" ht="31.5">
      <c r="A38" s="30"/>
      <c r="B38" s="33" t="s">
        <v>33</v>
      </c>
      <c r="C38" s="32" t="s">
        <v>197</v>
      </c>
      <c r="D38" s="28" t="s">
        <v>34</v>
      </c>
      <c r="E38" s="34">
        <v>16500</v>
      </c>
      <c r="F38" s="32">
        <v>0</v>
      </c>
      <c r="G38" s="36">
        <f>30*3*E38</f>
        <v>1485000</v>
      </c>
    </row>
    <row r="39" spans="1:8" s="7" customFormat="1" ht="31.5">
      <c r="A39" s="8" t="s">
        <v>38</v>
      </c>
      <c r="B39" s="10" t="s">
        <v>39</v>
      </c>
      <c r="C39" s="8"/>
      <c r="D39" s="76"/>
      <c r="E39" s="11"/>
      <c r="F39" s="8"/>
      <c r="G39" s="21">
        <f>G40</f>
        <v>19000000</v>
      </c>
    </row>
    <row r="40" spans="1:8" s="7" customFormat="1">
      <c r="A40" s="8"/>
      <c r="B40" s="10" t="s">
        <v>207</v>
      </c>
      <c r="C40" s="8"/>
      <c r="D40" s="76"/>
      <c r="E40" s="11"/>
      <c r="F40" s="8"/>
      <c r="G40" s="21">
        <f>G41+G47</f>
        <v>19000000</v>
      </c>
    </row>
    <row r="41" spans="1:8" s="7" customFormat="1" ht="63">
      <c r="A41" s="8"/>
      <c r="B41" s="76" t="s">
        <v>143</v>
      </c>
      <c r="C41" s="8">
        <v>10</v>
      </c>
      <c r="D41" s="9" t="s">
        <v>40</v>
      </c>
      <c r="E41" s="11">
        <v>200000</v>
      </c>
      <c r="F41" s="8">
        <v>0</v>
      </c>
      <c r="G41" s="11">
        <f t="shared" ref="G41:G47" si="2">C41*E41</f>
        <v>2000000</v>
      </c>
    </row>
    <row r="42" spans="1:8" s="7" customFormat="1" ht="63">
      <c r="A42" s="8"/>
      <c r="B42" s="76" t="s">
        <v>144</v>
      </c>
      <c r="C42" s="8">
        <v>10</v>
      </c>
      <c r="D42" s="9" t="s">
        <v>40</v>
      </c>
      <c r="E42" s="11">
        <v>185000</v>
      </c>
      <c r="F42" s="8">
        <v>0</v>
      </c>
      <c r="G42" s="11">
        <f t="shared" si="2"/>
        <v>1850000</v>
      </c>
    </row>
    <row r="43" spans="1:8" s="7" customFormat="1" ht="63">
      <c r="A43" s="8"/>
      <c r="B43" s="76" t="s">
        <v>145</v>
      </c>
      <c r="C43" s="8">
        <v>10</v>
      </c>
      <c r="D43" s="9" t="s">
        <v>40</v>
      </c>
      <c r="E43" s="11">
        <v>145000</v>
      </c>
      <c r="F43" s="8">
        <v>0</v>
      </c>
      <c r="G43" s="11">
        <f t="shared" si="2"/>
        <v>1450000</v>
      </c>
    </row>
    <row r="44" spans="1:8" s="7" customFormat="1" ht="63">
      <c r="A44" s="8"/>
      <c r="B44" s="76" t="s">
        <v>146</v>
      </c>
      <c r="C44" s="8">
        <v>10</v>
      </c>
      <c r="D44" s="9" t="s">
        <v>40</v>
      </c>
      <c r="E44" s="11">
        <v>210000</v>
      </c>
      <c r="F44" s="8">
        <v>0</v>
      </c>
      <c r="G44" s="11">
        <f t="shared" si="2"/>
        <v>2100000</v>
      </c>
    </row>
    <row r="45" spans="1:8" s="7" customFormat="1" ht="63">
      <c r="A45" s="8"/>
      <c r="B45" s="76" t="s">
        <v>147</v>
      </c>
      <c r="C45" s="8">
        <v>10</v>
      </c>
      <c r="D45" s="9" t="s">
        <v>40</v>
      </c>
      <c r="E45" s="11">
        <v>220000</v>
      </c>
      <c r="F45" s="8">
        <v>0</v>
      </c>
      <c r="G45" s="11">
        <f t="shared" si="2"/>
        <v>2200000</v>
      </c>
    </row>
    <row r="46" spans="1:8" s="7" customFormat="1" ht="63">
      <c r="A46" s="8"/>
      <c r="B46" s="76" t="s">
        <v>148</v>
      </c>
      <c r="C46" s="8">
        <v>10</v>
      </c>
      <c r="D46" s="9" t="s">
        <v>40</v>
      </c>
      <c r="E46" s="11">
        <v>320000</v>
      </c>
      <c r="F46" s="8">
        <v>0</v>
      </c>
      <c r="G46" s="11">
        <f t="shared" si="2"/>
        <v>3200000</v>
      </c>
    </row>
    <row r="47" spans="1:8" s="7" customFormat="1" ht="31.5">
      <c r="A47" s="8"/>
      <c r="B47" s="76" t="s">
        <v>41</v>
      </c>
      <c r="C47" s="8">
        <v>100</v>
      </c>
      <c r="D47" s="9" t="s">
        <v>40</v>
      </c>
      <c r="E47" s="11">
        <v>170000</v>
      </c>
      <c r="F47" s="8">
        <v>0</v>
      </c>
      <c r="G47" s="11">
        <f t="shared" si="2"/>
        <v>17000000</v>
      </c>
    </row>
    <row r="48" spans="1:8" ht="31.5">
      <c r="A48" s="86" t="s">
        <v>130</v>
      </c>
      <c r="B48" s="46" t="s">
        <v>131</v>
      </c>
      <c r="C48" s="32"/>
      <c r="D48" s="32"/>
      <c r="E48" s="34"/>
      <c r="F48" s="32"/>
      <c r="G48" s="35">
        <f>G49+G51</f>
        <v>131520000</v>
      </c>
    </row>
    <row r="49" spans="1:17" ht="47.25">
      <c r="A49" s="86"/>
      <c r="B49" s="31" t="s">
        <v>192</v>
      </c>
      <c r="C49" s="32"/>
      <c r="D49" s="32"/>
      <c r="E49" s="34"/>
      <c r="F49" s="32"/>
      <c r="G49" s="35">
        <f>G50</f>
        <v>94530000</v>
      </c>
    </row>
    <row r="50" spans="1:17" s="7" customFormat="1" ht="31.5">
      <c r="A50" s="8"/>
      <c r="B50" s="76" t="s">
        <v>55</v>
      </c>
      <c r="C50" s="76">
        <v>115</v>
      </c>
      <c r="D50" s="9" t="s">
        <v>74</v>
      </c>
      <c r="E50" s="13">
        <v>822000</v>
      </c>
      <c r="F50" s="8">
        <v>0</v>
      </c>
      <c r="G50" s="11">
        <f>C50*E50</f>
        <v>94530000</v>
      </c>
    </row>
    <row r="51" spans="1:17" ht="31.5">
      <c r="A51" s="47"/>
      <c r="B51" s="31" t="s">
        <v>193</v>
      </c>
      <c r="C51" s="32"/>
      <c r="D51" s="32"/>
      <c r="E51" s="34"/>
      <c r="F51" s="32"/>
      <c r="G51" s="35">
        <f>G52</f>
        <v>36990000</v>
      </c>
    </row>
    <row r="52" spans="1:17" ht="31.5">
      <c r="A52" s="47"/>
      <c r="B52" s="48" t="s">
        <v>132</v>
      </c>
      <c r="C52" s="32">
        <v>45</v>
      </c>
      <c r="D52" s="33" t="s">
        <v>112</v>
      </c>
      <c r="E52" s="34">
        <v>822000</v>
      </c>
      <c r="F52" s="32"/>
      <c r="G52" s="36">
        <f>C52*E52</f>
        <v>36990000</v>
      </c>
    </row>
    <row r="53" spans="1:17" ht="47.25">
      <c r="A53" s="49" t="s">
        <v>35</v>
      </c>
      <c r="B53" s="50" t="s">
        <v>36</v>
      </c>
      <c r="C53" s="32"/>
      <c r="D53" s="33"/>
      <c r="E53" s="34"/>
      <c r="F53" s="32"/>
      <c r="G53" s="35">
        <f>G54+G56</f>
        <v>14400000</v>
      </c>
    </row>
    <row r="54" spans="1:17" ht="47.25">
      <c r="A54" s="51"/>
      <c r="B54" s="31" t="s">
        <v>192</v>
      </c>
      <c r="C54" s="32"/>
      <c r="D54" s="33"/>
      <c r="E54" s="34"/>
      <c r="F54" s="32"/>
      <c r="G54" s="35">
        <f>G55</f>
        <v>7200000</v>
      </c>
    </row>
    <row r="55" spans="1:17" ht="47.25">
      <c r="A55" s="52"/>
      <c r="B55" s="53" t="s">
        <v>123</v>
      </c>
      <c r="C55" s="54" t="s">
        <v>133</v>
      </c>
      <c r="D55" s="55" t="s">
        <v>122</v>
      </c>
      <c r="E55" s="56">
        <v>900000</v>
      </c>
      <c r="F55" s="57"/>
      <c r="G55" s="36">
        <f>2*4*900000</f>
        <v>7200000</v>
      </c>
    </row>
    <row r="56" spans="1:17" ht="31.5">
      <c r="A56" s="51"/>
      <c r="B56" s="31" t="s">
        <v>193</v>
      </c>
      <c r="C56" s="32"/>
      <c r="D56" s="33"/>
      <c r="E56" s="34"/>
      <c r="F56" s="32"/>
      <c r="G56" s="35">
        <f>G57</f>
        <v>7200000</v>
      </c>
      <c r="L56" s="159"/>
      <c r="M56" s="160"/>
      <c r="N56" s="161"/>
      <c r="O56" s="161"/>
      <c r="P56" s="161"/>
      <c r="Q56" s="162"/>
    </row>
    <row r="57" spans="1:17" ht="47.25">
      <c r="A57" s="52"/>
      <c r="B57" s="53" t="s">
        <v>123</v>
      </c>
      <c r="C57" s="54" t="s">
        <v>133</v>
      </c>
      <c r="D57" s="55" t="s">
        <v>122</v>
      </c>
      <c r="E57" s="56">
        <v>900000</v>
      </c>
      <c r="F57" s="57"/>
      <c r="G57" s="36">
        <f>2*4*900000</f>
        <v>7200000</v>
      </c>
    </row>
    <row r="58" spans="1:17" s="58" customFormat="1">
      <c r="A58" s="108" t="s">
        <v>72</v>
      </c>
      <c r="B58" s="109"/>
      <c r="C58" s="109"/>
      <c r="D58" s="109"/>
      <c r="E58" s="109"/>
      <c r="F58" s="110"/>
      <c r="G58" s="35">
        <f>G26+G39+G48+G53</f>
        <v>189175000</v>
      </c>
      <c r="I58" s="59"/>
    </row>
    <row r="59" spans="1:17">
      <c r="A59" s="132"/>
      <c r="B59" s="133"/>
      <c r="C59" s="134"/>
      <c r="D59" s="135"/>
      <c r="E59" s="136"/>
      <c r="F59" s="136"/>
      <c r="G59" s="137">
        <f>D59*F59</f>
        <v>0</v>
      </c>
    </row>
    <row r="60" spans="1:17">
      <c r="A60" s="139" t="s">
        <v>168</v>
      </c>
      <c r="B60" s="140"/>
      <c r="C60" s="141" t="s">
        <v>169</v>
      </c>
      <c r="D60" s="142"/>
      <c r="E60" s="142"/>
      <c r="F60" s="142"/>
      <c r="G60" s="143"/>
    </row>
    <row r="61" spans="1:17">
      <c r="A61" s="139" t="s">
        <v>170</v>
      </c>
      <c r="B61" s="140"/>
      <c r="C61" s="141" t="s">
        <v>171</v>
      </c>
      <c r="D61" s="142"/>
      <c r="E61" s="142"/>
      <c r="F61" s="142"/>
      <c r="G61" s="143"/>
    </row>
    <row r="62" spans="1:17">
      <c r="A62" s="139" t="s">
        <v>172</v>
      </c>
      <c r="B62" s="140"/>
      <c r="C62" s="144"/>
      <c r="D62" s="145"/>
      <c r="E62" s="145"/>
      <c r="F62" s="145"/>
      <c r="G62" s="146"/>
    </row>
    <row r="63" spans="1:17">
      <c r="A63" s="139" t="s">
        <v>173</v>
      </c>
      <c r="B63" s="140"/>
      <c r="C63" s="144"/>
      <c r="D63" s="145"/>
      <c r="E63" s="145"/>
      <c r="F63" s="145"/>
      <c r="G63" s="146"/>
    </row>
    <row r="64" spans="1:17">
      <c r="A64" s="139" t="s">
        <v>174</v>
      </c>
      <c r="B64" s="140"/>
      <c r="C64" s="144"/>
      <c r="D64" s="145"/>
      <c r="E64" s="145"/>
      <c r="F64" s="145"/>
      <c r="G64" s="146"/>
    </row>
    <row r="65" spans="1:7">
      <c r="A65" s="139" t="s">
        <v>175</v>
      </c>
      <c r="B65" s="140"/>
      <c r="C65" s="144"/>
      <c r="D65" s="145"/>
      <c r="E65" s="145"/>
      <c r="F65" s="145"/>
      <c r="G65" s="146"/>
    </row>
    <row r="66" spans="1:7">
      <c r="A66" s="139" t="s">
        <v>176</v>
      </c>
      <c r="B66" s="140"/>
      <c r="C66" s="147"/>
      <c r="D66" s="142"/>
      <c r="E66" s="142"/>
      <c r="F66" s="142"/>
      <c r="G66" s="143"/>
    </row>
    <row r="67" spans="1:7">
      <c r="A67" s="139" t="s">
        <v>177</v>
      </c>
      <c r="B67" s="140"/>
      <c r="C67" s="141"/>
      <c r="D67" s="142"/>
      <c r="E67" s="142"/>
      <c r="F67" s="142"/>
      <c r="G67" s="143"/>
    </row>
    <row r="68" spans="1:7">
      <c r="A68" s="139" t="s">
        <v>178</v>
      </c>
      <c r="B68" s="140"/>
      <c r="C68" s="144"/>
      <c r="D68" s="145"/>
      <c r="E68" s="145"/>
      <c r="F68" s="145"/>
      <c r="G68" s="146"/>
    </row>
    <row r="69" spans="1:7">
      <c r="A69" s="139" t="s">
        <v>179</v>
      </c>
      <c r="B69" s="140"/>
      <c r="C69" s="144"/>
      <c r="D69" s="145"/>
      <c r="E69" s="145"/>
      <c r="F69" s="145"/>
      <c r="G69" s="146"/>
    </row>
    <row r="70" spans="1:7">
      <c r="A70" s="139" t="s">
        <v>180</v>
      </c>
      <c r="B70" s="140"/>
      <c r="C70" s="144"/>
      <c r="D70" s="145"/>
      <c r="E70" s="145"/>
      <c r="F70" s="145"/>
      <c r="G70" s="146"/>
    </row>
    <row r="71" spans="1:7">
      <c r="A71" s="139" t="s">
        <v>181</v>
      </c>
      <c r="B71" s="140"/>
      <c r="C71" s="144"/>
      <c r="D71" s="145"/>
      <c r="E71" s="145"/>
      <c r="F71" s="145"/>
      <c r="G71" s="146"/>
    </row>
    <row r="72" spans="1:7" ht="16.5" thickBot="1">
      <c r="A72" s="148" t="s">
        <v>27</v>
      </c>
      <c r="B72" s="149">
        <f>SUM(B60:B71)</f>
        <v>0</v>
      </c>
      <c r="C72" s="150"/>
      <c r="D72" s="151"/>
      <c r="E72" s="151"/>
      <c r="F72" s="151"/>
      <c r="G72" s="152"/>
    </row>
    <row r="73" spans="1:7">
      <c r="A73" s="89"/>
      <c r="B73" s="7"/>
      <c r="C73" s="7"/>
      <c r="D73" s="7"/>
      <c r="E73" s="77"/>
      <c r="F73" s="7"/>
      <c r="G73" s="7"/>
    </row>
    <row r="74" spans="1:7">
      <c r="A74" s="89"/>
      <c r="B74" s="7"/>
      <c r="C74" s="7"/>
      <c r="D74" s="7"/>
      <c r="E74" s="77"/>
      <c r="F74" s="7"/>
      <c r="G74" s="7"/>
    </row>
    <row r="75" spans="1:7">
      <c r="A75" s="89"/>
      <c r="B75" s="7"/>
      <c r="C75" s="7"/>
      <c r="D75" s="7"/>
      <c r="E75" s="77"/>
      <c r="F75" s="7"/>
      <c r="G75" s="7"/>
    </row>
    <row r="76" spans="1:7">
      <c r="D76" s="22"/>
    </row>
    <row r="77" spans="1:7">
      <c r="D77" s="22"/>
    </row>
    <row r="78" spans="1:7">
      <c r="D78" s="22"/>
    </row>
    <row r="79" spans="1:7">
      <c r="D79" s="22"/>
    </row>
    <row r="80" spans="1:7">
      <c r="D80" s="22"/>
    </row>
    <row r="81" spans="1:11">
      <c r="D81" s="22"/>
    </row>
    <row r="82" spans="1:11">
      <c r="D82" s="22"/>
    </row>
    <row r="83" spans="1:11">
      <c r="D83" s="22"/>
    </row>
    <row r="84" spans="1:11" s="25" customFormat="1">
      <c r="A84" s="23"/>
      <c r="B84" s="22"/>
      <c r="C84" s="22"/>
      <c r="D84" s="22"/>
      <c r="F84" s="22"/>
      <c r="G84" s="22"/>
      <c r="H84" s="22"/>
      <c r="I84" s="22"/>
      <c r="J84" s="22"/>
      <c r="K84" s="22"/>
    </row>
    <row r="85" spans="1:11" s="25" customFormat="1">
      <c r="A85" s="23"/>
      <c r="B85" s="22"/>
      <c r="C85" s="22"/>
      <c r="D85" s="22"/>
      <c r="F85" s="22"/>
      <c r="G85" s="22"/>
      <c r="H85" s="22"/>
      <c r="I85" s="22"/>
      <c r="J85" s="22"/>
      <c r="K85" s="22"/>
    </row>
    <row r="86" spans="1:11" s="25" customFormat="1">
      <c r="A86" s="23"/>
      <c r="B86" s="22"/>
      <c r="C86" s="22"/>
      <c r="D86" s="22"/>
      <c r="F86" s="22"/>
      <c r="G86" s="22"/>
      <c r="H86" s="22"/>
      <c r="I86" s="22"/>
      <c r="J86" s="22"/>
      <c r="K86" s="22"/>
    </row>
  </sheetData>
  <mergeCells count="27">
    <mergeCell ref="M56:Q56"/>
    <mergeCell ref="A58:F58"/>
    <mergeCell ref="B59:C59"/>
    <mergeCell ref="C60:G60"/>
    <mergeCell ref="C61:G61"/>
    <mergeCell ref="C66:G66"/>
    <mergeCell ref="C67:G67"/>
    <mergeCell ref="B22:E22"/>
    <mergeCell ref="F22:G22"/>
    <mergeCell ref="A23:G23"/>
    <mergeCell ref="A24:A25"/>
    <mergeCell ref="B24:B25"/>
    <mergeCell ref="C24:F24"/>
    <mergeCell ref="G24:G25"/>
    <mergeCell ref="B19:E19"/>
    <mergeCell ref="F19:G19"/>
    <mergeCell ref="B20:E20"/>
    <mergeCell ref="F20:G20"/>
    <mergeCell ref="B21:E21"/>
    <mergeCell ref="F21:G21"/>
    <mergeCell ref="B18:E18"/>
    <mergeCell ref="F18:G18"/>
    <mergeCell ref="A1:G1"/>
    <mergeCell ref="A2:G2"/>
    <mergeCell ref="A3:G3"/>
    <mergeCell ref="B8:G8"/>
    <mergeCell ref="A17:G17"/>
  </mergeCells>
  <printOptions horizontalCentered="1"/>
  <pageMargins left="0.19685039370078741" right="0.19685039370078741" top="0.74803149606299213" bottom="0.74803149606299213" header="0.31496062992125984" footer="0.31496062992125984"/>
  <pageSetup paperSize="10000" scale="7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topLeftCell="A81" zoomScaleNormal="100" workbookViewId="0">
      <selection activeCell="L81" sqref="L1:R1048576"/>
    </sheetView>
  </sheetViews>
  <sheetFormatPr defaultColWidth="9.140625" defaultRowHeight="15.75"/>
  <cols>
    <col min="1" max="1" width="24.28515625" style="7" customWidth="1"/>
    <col min="2" max="2" width="39.42578125" style="7" customWidth="1"/>
    <col min="3" max="3" width="11.85546875" style="7" customWidth="1"/>
    <col min="4" max="4" width="9.140625" style="66"/>
    <col min="5" max="5" width="15.140625" style="67" customWidth="1"/>
    <col min="6" max="6" width="9.42578125" style="7" bestFit="1" customWidth="1"/>
    <col min="7" max="7" width="26.85546875" style="7" customWidth="1"/>
    <col min="8" max="8" width="20.7109375" style="7" customWidth="1"/>
    <col min="9" max="9" width="9.140625" style="7"/>
    <col min="10" max="10" width="11.5703125" style="7" bestFit="1" customWidth="1"/>
    <col min="11" max="16384" width="9.140625" style="7"/>
  </cols>
  <sheetData>
    <row r="1" spans="1:7">
      <c r="A1" s="118" t="s">
        <v>0</v>
      </c>
      <c r="B1" s="119"/>
      <c r="C1" s="119"/>
      <c r="D1" s="119"/>
      <c r="E1" s="119"/>
      <c r="F1" s="119"/>
      <c r="G1" s="120"/>
    </row>
    <row r="2" spans="1:7">
      <c r="A2" s="121" t="s">
        <v>1</v>
      </c>
      <c r="B2" s="122"/>
      <c r="C2" s="122"/>
      <c r="D2" s="122"/>
      <c r="E2" s="122"/>
      <c r="F2" s="122"/>
      <c r="G2" s="123"/>
    </row>
    <row r="3" spans="1:7" ht="26.25" customHeight="1">
      <c r="A3" s="118" t="s">
        <v>183</v>
      </c>
      <c r="B3" s="119"/>
      <c r="C3" s="119"/>
      <c r="D3" s="119"/>
      <c r="E3" s="119"/>
      <c r="F3" s="119"/>
      <c r="G3" s="120"/>
    </row>
    <row r="4" spans="1:7">
      <c r="A4" s="60" t="s">
        <v>2</v>
      </c>
      <c r="B4" s="61" t="s">
        <v>11</v>
      </c>
      <c r="C4" s="61"/>
      <c r="D4" s="62"/>
      <c r="E4" s="63"/>
      <c r="F4" s="61"/>
      <c r="G4" s="64"/>
    </row>
    <row r="5" spans="1:7">
      <c r="A5" s="65" t="s">
        <v>3</v>
      </c>
      <c r="B5" s="7" t="s">
        <v>12</v>
      </c>
      <c r="G5" s="68"/>
    </row>
    <row r="6" spans="1:7">
      <c r="A6" s="65" t="s">
        <v>4</v>
      </c>
      <c r="B6" s="7" t="s">
        <v>13</v>
      </c>
      <c r="G6" s="68"/>
    </row>
    <row r="7" spans="1:7">
      <c r="A7" s="65" t="s">
        <v>5</v>
      </c>
      <c r="B7" s="7" t="s">
        <v>14</v>
      </c>
      <c r="G7" s="68"/>
    </row>
    <row r="8" spans="1:7" ht="39" customHeight="1">
      <c r="A8" s="65" t="s">
        <v>6</v>
      </c>
      <c r="B8" s="124" t="s">
        <v>42</v>
      </c>
      <c r="C8" s="124"/>
      <c r="D8" s="124"/>
      <c r="E8" s="124"/>
      <c r="F8" s="124"/>
      <c r="G8" s="125"/>
    </row>
    <row r="9" spans="1:7" ht="18.75" customHeight="1">
      <c r="A9" s="65" t="s">
        <v>7</v>
      </c>
      <c r="B9" s="124" t="s">
        <v>139</v>
      </c>
      <c r="C9" s="124"/>
      <c r="D9" s="124"/>
      <c r="E9" s="124"/>
      <c r="F9" s="124"/>
      <c r="G9" s="125"/>
    </row>
    <row r="10" spans="1:7">
      <c r="A10" s="65" t="s">
        <v>8</v>
      </c>
      <c r="B10" s="7" t="s">
        <v>15</v>
      </c>
      <c r="G10" s="68"/>
    </row>
    <row r="11" spans="1:7">
      <c r="A11" s="65" t="s">
        <v>9</v>
      </c>
      <c r="B11" s="7" t="s">
        <v>16</v>
      </c>
      <c r="G11" s="68"/>
    </row>
    <row r="12" spans="1:7">
      <c r="A12" s="65" t="s">
        <v>10</v>
      </c>
      <c r="B12" s="7" t="s">
        <v>17</v>
      </c>
      <c r="G12" s="68"/>
    </row>
    <row r="13" spans="1:7">
      <c r="A13" s="69" t="s">
        <v>18</v>
      </c>
      <c r="B13" s="70" t="s">
        <v>19</v>
      </c>
      <c r="C13" s="70"/>
      <c r="D13" s="71"/>
      <c r="E13" s="72"/>
      <c r="F13" s="70"/>
      <c r="G13" s="73"/>
    </row>
    <row r="14" spans="1:7">
      <c r="A14" s="65" t="s">
        <v>127</v>
      </c>
      <c r="B14" s="7" t="s">
        <v>102</v>
      </c>
      <c r="G14" s="68"/>
    </row>
    <row r="15" spans="1:7">
      <c r="A15" s="65" t="s">
        <v>184</v>
      </c>
      <c r="B15" s="7" t="s">
        <v>198</v>
      </c>
      <c r="G15" s="68"/>
    </row>
    <row r="16" spans="1:7">
      <c r="A16" s="69" t="s">
        <v>185</v>
      </c>
      <c r="B16" s="70" t="s">
        <v>102</v>
      </c>
      <c r="C16" s="70"/>
      <c r="D16" s="71"/>
      <c r="E16" s="72"/>
      <c r="F16" s="70"/>
      <c r="G16" s="73"/>
    </row>
    <row r="17" spans="1:8">
      <c r="A17" s="111" t="s">
        <v>84</v>
      </c>
      <c r="B17" s="111"/>
      <c r="C17" s="111"/>
      <c r="D17" s="111"/>
      <c r="E17" s="111"/>
      <c r="F17" s="111"/>
      <c r="G17" s="111"/>
    </row>
    <row r="18" spans="1:8">
      <c r="A18" s="74" t="s">
        <v>85</v>
      </c>
      <c r="B18" s="111" t="s">
        <v>86</v>
      </c>
      <c r="C18" s="111"/>
      <c r="D18" s="111"/>
      <c r="E18" s="111"/>
      <c r="F18" s="111" t="s">
        <v>87</v>
      </c>
      <c r="G18" s="111"/>
    </row>
    <row r="19" spans="1:8">
      <c r="A19" s="8" t="s">
        <v>88</v>
      </c>
      <c r="B19" s="112" t="s">
        <v>92</v>
      </c>
      <c r="C19" s="112"/>
      <c r="D19" s="112"/>
      <c r="E19" s="112"/>
      <c r="F19" s="117">
        <v>1</v>
      </c>
      <c r="G19" s="111"/>
    </row>
    <row r="20" spans="1:8">
      <c r="A20" s="8" t="s">
        <v>89</v>
      </c>
      <c r="B20" s="112" t="s">
        <v>93</v>
      </c>
      <c r="C20" s="112"/>
      <c r="D20" s="112"/>
      <c r="E20" s="112"/>
      <c r="F20" s="113">
        <f>G92</f>
        <v>336455975</v>
      </c>
      <c r="G20" s="113"/>
    </row>
    <row r="21" spans="1:8" ht="33" customHeight="1">
      <c r="A21" s="8" t="s">
        <v>90</v>
      </c>
      <c r="B21" s="114" t="s">
        <v>110</v>
      </c>
      <c r="C21" s="115"/>
      <c r="D21" s="115"/>
      <c r="E21" s="116"/>
      <c r="F21" s="111" t="s">
        <v>140</v>
      </c>
      <c r="G21" s="111"/>
      <c r="H21" s="85"/>
    </row>
    <row r="22" spans="1:8">
      <c r="A22" s="8" t="s">
        <v>91</v>
      </c>
      <c r="B22" s="112" t="s">
        <v>97</v>
      </c>
      <c r="C22" s="112"/>
      <c r="D22" s="112"/>
      <c r="E22" s="112"/>
      <c r="F22" s="117">
        <v>1</v>
      </c>
      <c r="G22" s="111"/>
      <c r="H22" s="85"/>
    </row>
    <row r="23" spans="1:8" ht="27.75" customHeight="1">
      <c r="A23" s="111" t="s">
        <v>94</v>
      </c>
      <c r="B23" s="111"/>
      <c r="C23" s="111"/>
      <c r="D23" s="111"/>
      <c r="E23" s="111"/>
      <c r="F23" s="111"/>
      <c r="G23" s="111"/>
    </row>
    <row r="24" spans="1:8">
      <c r="A24" s="111" t="s">
        <v>20</v>
      </c>
      <c r="B24" s="111" t="s">
        <v>21</v>
      </c>
      <c r="C24" s="111" t="s">
        <v>22</v>
      </c>
      <c r="D24" s="111"/>
      <c r="E24" s="111"/>
      <c r="F24" s="111"/>
      <c r="G24" s="111" t="s">
        <v>27</v>
      </c>
    </row>
    <row r="25" spans="1:8">
      <c r="A25" s="111"/>
      <c r="B25" s="111"/>
      <c r="C25" s="74" t="s">
        <v>23</v>
      </c>
      <c r="D25" s="9" t="s">
        <v>24</v>
      </c>
      <c r="E25" s="75" t="s">
        <v>25</v>
      </c>
      <c r="F25" s="74" t="s">
        <v>26</v>
      </c>
      <c r="G25" s="111"/>
    </row>
    <row r="26" spans="1:8" ht="31.5">
      <c r="A26" s="8" t="s">
        <v>45</v>
      </c>
      <c r="B26" s="10" t="s">
        <v>46</v>
      </c>
      <c r="C26" s="8"/>
      <c r="D26" s="9"/>
      <c r="E26" s="13"/>
      <c r="F26" s="8"/>
      <c r="G26" s="21">
        <f>G27+G28+G29+G30</f>
        <v>3616750</v>
      </c>
    </row>
    <row r="27" spans="1:8" ht="31.5">
      <c r="A27" s="8"/>
      <c r="B27" s="76" t="s">
        <v>75</v>
      </c>
      <c r="C27" s="76" t="s">
        <v>107</v>
      </c>
      <c r="D27" s="9" t="s">
        <v>76</v>
      </c>
      <c r="E27" s="13">
        <v>47000</v>
      </c>
      <c r="F27" s="8">
        <v>0</v>
      </c>
      <c r="G27" s="11">
        <f>E27*5*4</f>
        <v>940000</v>
      </c>
    </row>
    <row r="28" spans="1:8" ht="31.5">
      <c r="A28" s="8"/>
      <c r="B28" s="76" t="s">
        <v>47</v>
      </c>
      <c r="C28" s="8">
        <v>5025</v>
      </c>
      <c r="D28" s="9" t="s">
        <v>48</v>
      </c>
      <c r="E28" s="13">
        <v>350</v>
      </c>
      <c r="F28" s="8">
        <v>0</v>
      </c>
      <c r="G28" s="11">
        <f>C28*E28</f>
        <v>1758750</v>
      </c>
    </row>
    <row r="29" spans="1:8">
      <c r="A29" s="8"/>
      <c r="B29" s="76" t="s">
        <v>151</v>
      </c>
      <c r="C29" s="76">
        <v>18</v>
      </c>
      <c r="D29" s="9" t="s">
        <v>48</v>
      </c>
      <c r="E29" s="13">
        <v>35000</v>
      </c>
      <c r="F29" s="8">
        <v>0</v>
      </c>
      <c r="G29" s="11">
        <f>E29*C29</f>
        <v>630000</v>
      </c>
    </row>
    <row r="30" spans="1:8" ht="31.5">
      <c r="A30" s="8"/>
      <c r="B30" s="76" t="s">
        <v>149</v>
      </c>
      <c r="C30" s="12">
        <v>4</v>
      </c>
      <c r="D30" s="9" t="s">
        <v>73</v>
      </c>
      <c r="E30" s="13">
        <v>72000</v>
      </c>
      <c r="F30" s="8"/>
      <c r="G30" s="11">
        <f>C30*E30</f>
        <v>288000</v>
      </c>
    </row>
    <row r="31" spans="1:8" ht="31.5">
      <c r="A31" s="8" t="s">
        <v>28</v>
      </c>
      <c r="B31" s="10" t="s">
        <v>29</v>
      </c>
      <c r="C31" s="8"/>
      <c r="D31" s="76"/>
      <c r="E31" s="11"/>
      <c r="F31" s="8"/>
      <c r="G31" s="21">
        <f>G35+G38+G32</f>
        <v>21532500</v>
      </c>
    </row>
    <row r="32" spans="1:8" ht="47.25">
      <c r="A32" s="8"/>
      <c r="B32" s="10" t="s">
        <v>77</v>
      </c>
      <c r="C32" s="8"/>
      <c r="D32" s="9"/>
      <c r="E32" s="13"/>
      <c r="F32" s="8"/>
      <c r="G32" s="21">
        <f>G33+G34</f>
        <v>3712500</v>
      </c>
    </row>
    <row r="33" spans="1:8" ht="31.5">
      <c r="A33" s="8"/>
      <c r="B33" s="76" t="s">
        <v>50</v>
      </c>
      <c r="C33" s="76">
        <v>60</v>
      </c>
      <c r="D33" s="9" t="s">
        <v>51</v>
      </c>
      <c r="E33" s="13">
        <v>33000</v>
      </c>
      <c r="F33" s="8">
        <v>0</v>
      </c>
      <c r="G33" s="11">
        <f>E33*25*3</f>
        <v>2475000</v>
      </c>
    </row>
    <row r="34" spans="1:8" ht="31.5">
      <c r="A34" s="8"/>
      <c r="B34" s="76" t="s">
        <v>78</v>
      </c>
      <c r="C34" s="76">
        <v>60</v>
      </c>
      <c r="D34" s="9" t="s">
        <v>51</v>
      </c>
      <c r="E34" s="13">
        <v>16500</v>
      </c>
      <c r="F34" s="8">
        <v>0</v>
      </c>
      <c r="G34" s="11">
        <f>E34*25*3</f>
        <v>1237500</v>
      </c>
    </row>
    <row r="35" spans="1:8" ht="47.25">
      <c r="A35" s="8"/>
      <c r="B35" s="10" t="s">
        <v>156</v>
      </c>
      <c r="C35" s="8"/>
      <c r="D35" s="9"/>
      <c r="E35" s="11"/>
      <c r="F35" s="8"/>
      <c r="G35" s="21">
        <f>G36+G37</f>
        <v>8910000</v>
      </c>
    </row>
    <row r="36" spans="1:8" ht="31.5">
      <c r="A36" s="8"/>
      <c r="B36" s="76" t="s">
        <v>31</v>
      </c>
      <c r="C36" s="76" t="s">
        <v>101</v>
      </c>
      <c r="D36" s="9" t="s">
        <v>34</v>
      </c>
      <c r="E36" s="11">
        <v>33000</v>
      </c>
      <c r="F36" s="8">
        <v>0</v>
      </c>
      <c r="G36" s="11">
        <f>E36*30*6</f>
        <v>5940000</v>
      </c>
      <c r="H36" s="67"/>
    </row>
    <row r="37" spans="1:8" ht="31.5">
      <c r="A37" s="8"/>
      <c r="B37" s="76" t="s">
        <v>33</v>
      </c>
      <c r="C37" s="76" t="s">
        <v>101</v>
      </c>
      <c r="D37" s="9" t="s">
        <v>34</v>
      </c>
      <c r="E37" s="11">
        <v>16500</v>
      </c>
      <c r="F37" s="8">
        <v>0</v>
      </c>
      <c r="G37" s="11">
        <f>E37*30*6</f>
        <v>2970000</v>
      </c>
    </row>
    <row r="38" spans="1:8" ht="37.5" customHeight="1">
      <c r="A38" s="8"/>
      <c r="B38" s="10" t="s">
        <v>157</v>
      </c>
      <c r="C38" s="8"/>
      <c r="D38" s="9"/>
      <c r="E38" s="11"/>
      <c r="F38" s="8"/>
      <c r="G38" s="21">
        <f>G39+G40</f>
        <v>8910000</v>
      </c>
    </row>
    <row r="39" spans="1:8" ht="31.5">
      <c r="A39" s="8"/>
      <c r="B39" s="76" t="s">
        <v>31</v>
      </c>
      <c r="C39" s="76">
        <v>400</v>
      </c>
      <c r="D39" s="9" t="s">
        <v>34</v>
      </c>
      <c r="E39" s="11">
        <v>33000</v>
      </c>
      <c r="F39" s="8">
        <v>0</v>
      </c>
      <c r="G39" s="11">
        <f>E39*30*6</f>
        <v>5940000</v>
      </c>
      <c r="H39" s="67"/>
    </row>
    <row r="40" spans="1:8" ht="31.5">
      <c r="A40" s="8"/>
      <c r="B40" s="76" t="s">
        <v>33</v>
      </c>
      <c r="C40" s="76">
        <v>400</v>
      </c>
      <c r="D40" s="9" t="s">
        <v>34</v>
      </c>
      <c r="E40" s="11">
        <v>16500</v>
      </c>
      <c r="F40" s="8">
        <v>0</v>
      </c>
      <c r="G40" s="11">
        <f>E40*30*6</f>
        <v>2970000</v>
      </c>
    </row>
    <row r="41" spans="1:8">
      <c r="A41" s="8" t="s">
        <v>52</v>
      </c>
      <c r="B41" s="10" t="s">
        <v>53</v>
      </c>
      <c r="C41" s="76"/>
      <c r="D41" s="9"/>
      <c r="E41" s="13"/>
      <c r="F41" s="8"/>
      <c r="G41" s="21">
        <f>G42</f>
        <v>2593500</v>
      </c>
    </row>
    <row r="42" spans="1:8">
      <c r="A42" s="8"/>
      <c r="B42" s="76" t="s">
        <v>103</v>
      </c>
      <c r="C42" s="76">
        <v>12</v>
      </c>
      <c r="D42" s="9" t="s">
        <v>54</v>
      </c>
      <c r="E42" s="13">
        <v>259350</v>
      </c>
      <c r="F42" s="8">
        <v>0</v>
      </c>
      <c r="G42" s="11">
        <f>E42*5*2</f>
        <v>2593500</v>
      </c>
    </row>
    <row r="43" spans="1:8" ht="47.25">
      <c r="A43" s="8" t="s">
        <v>79</v>
      </c>
      <c r="B43" s="10" t="s">
        <v>80</v>
      </c>
      <c r="C43" s="12"/>
      <c r="D43" s="9"/>
      <c r="E43" s="11"/>
      <c r="F43" s="8"/>
      <c r="G43" s="21">
        <f>G44+G45</f>
        <v>19005000</v>
      </c>
    </row>
    <row r="44" spans="1:8" ht="31.5">
      <c r="A44" s="8"/>
      <c r="B44" s="76" t="s">
        <v>141</v>
      </c>
      <c r="C44" s="12">
        <v>100</v>
      </c>
      <c r="D44" s="9" t="s">
        <v>81</v>
      </c>
      <c r="E44" s="11">
        <v>93450</v>
      </c>
      <c r="F44" s="8">
        <v>0</v>
      </c>
      <c r="G44" s="11">
        <f>C44*E44</f>
        <v>9345000</v>
      </c>
    </row>
    <row r="45" spans="1:8" ht="31.5">
      <c r="A45" s="8"/>
      <c r="B45" s="76" t="s">
        <v>142</v>
      </c>
      <c r="C45" s="12">
        <v>100</v>
      </c>
      <c r="D45" s="9" t="s">
        <v>81</v>
      </c>
      <c r="E45" s="11">
        <v>96600</v>
      </c>
      <c r="F45" s="8">
        <v>0</v>
      </c>
      <c r="G45" s="11">
        <f>C45*E45</f>
        <v>9660000</v>
      </c>
    </row>
    <row r="46" spans="1:8" ht="31.5">
      <c r="A46" s="8" t="s">
        <v>45</v>
      </c>
      <c r="B46" s="10" t="s">
        <v>46</v>
      </c>
      <c r="C46" s="8"/>
      <c r="D46" s="9"/>
      <c r="E46" s="11"/>
      <c r="F46" s="8"/>
      <c r="G46" s="21">
        <f>G47+G48</f>
        <v>1954350</v>
      </c>
    </row>
    <row r="47" spans="1:8" ht="31.5">
      <c r="A47" s="8"/>
      <c r="B47" s="76" t="s">
        <v>47</v>
      </c>
      <c r="C47" s="8">
        <v>4761</v>
      </c>
      <c r="D47" s="9" t="s">
        <v>48</v>
      </c>
      <c r="E47" s="11">
        <v>350</v>
      </c>
      <c r="F47" s="8">
        <v>0</v>
      </c>
      <c r="G47" s="11">
        <f t="shared" ref="G47" si="0">C47*E47</f>
        <v>1666350</v>
      </c>
    </row>
    <row r="48" spans="1:8" ht="31.5">
      <c r="A48" s="8"/>
      <c r="B48" s="76" t="s">
        <v>149</v>
      </c>
      <c r="C48" s="12">
        <v>4</v>
      </c>
      <c r="D48" s="9" t="s">
        <v>73</v>
      </c>
      <c r="E48" s="11">
        <v>72000</v>
      </c>
      <c r="F48" s="8"/>
      <c r="G48" s="11">
        <f>C48*E48</f>
        <v>288000</v>
      </c>
    </row>
    <row r="49" spans="1:7" s="22" customFormat="1" ht="31.5">
      <c r="A49" s="86" t="s">
        <v>130</v>
      </c>
      <c r="B49" s="46" t="s">
        <v>131</v>
      </c>
      <c r="C49" s="32"/>
      <c r="D49" s="32"/>
      <c r="E49" s="34"/>
      <c r="F49" s="32"/>
      <c r="G49" s="35">
        <f>G53+G56+G58</f>
        <v>160785000</v>
      </c>
    </row>
    <row r="50" spans="1:7" s="22" customFormat="1" ht="31.5">
      <c r="A50" s="86"/>
      <c r="B50" s="46" t="s">
        <v>44</v>
      </c>
      <c r="C50" s="32"/>
      <c r="D50" s="32"/>
      <c r="E50" s="34"/>
      <c r="F50" s="32"/>
      <c r="G50" s="35">
        <f>G51+G52</f>
        <v>94230000</v>
      </c>
    </row>
    <row r="51" spans="1:7" ht="31.5">
      <c r="A51" s="8"/>
      <c r="B51" s="76" t="s">
        <v>55</v>
      </c>
      <c r="C51" s="76" t="s">
        <v>105</v>
      </c>
      <c r="D51" s="9" t="s">
        <v>74</v>
      </c>
      <c r="E51" s="13">
        <v>822000</v>
      </c>
      <c r="F51" s="8">
        <v>0</v>
      </c>
      <c r="G51" s="11">
        <f>E51*45*2</f>
        <v>73980000</v>
      </c>
    </row>
    <row r="52" spans="1:7" s="22" customFormat="1" ht="47.25">
      <c r="A52" s="47"/>
      <c r="B52" s="48" t="s">
        <v>137</v>
      </c>
      <c r="C52" s="32" t="s">
        <v>162</v>
      </c>
      <c r="D52" s="33" t="s">
        <v>138</v>
      </c>
      <c r="E52" s="34">
        <v>150000</v>
      </c>
      <c r="F52" s="32"/>
      <c r="G52" s="36">
        <f>45*3*E52</f>
        <v>20250000</v>
      </c>
    </row>
    <row r="53" spans="1:7" s="22" customFormat="1" ht="47.25">
      <c r="A53" s="47"/>
      <c r="B53" s="46" t="s">
        <v>160</v>
      </c>
      <c r="C53" s="32"/>
      <c r="D53" s="32"/>
      <c r="E53" s="34"/>
      <c r="F53" s="32"/>
      <c r="G53" s="35">
        <f>G54+G55</f>
        <v>106920000</v>
      </c>
    </row>
    <row r="54" spans="1:7" s="22" customFormat="1" ht="31.5">
      <c r="A54" s="47"/>
      <c r="B54" s="48" t="s">
        <v>132</v>
      </c>
      <c r="C54" s="32">
        <v>110</v>
      </c>
      <c r="D54" s="33" t="s">
        <v>112</v>
      </c>
      <c r="E54" s="34">
        <v>822000</v>
      </c>
      <c r="F54" s="32"/>
      <c r="G54" s="36">
        <f>C54*E54</f>
        <v>90420000</v>
      </c>
    </row>
    <row r="55" spans="1:7" s="22" customFormat="1" ht="47.25">
      <c r="A55" s="47"/>
      <c r="B55" s="48" t="s">
        <v>137</v>
      </c>
      <c r="C55" s="32">
        <v>110</v>
      </c>
      <c r="D55" s="33" t="s">
        <v>138</v>
      </c>
      <c r="E55" s="34">
        <v>150000</v>
      </c>
      <c r="F55" s="32"/>
      <c r="G55" s="36">
        <f>C55*E55</f>
        <v>16500000</v>
      </c>
    </row>
    <row r="56" spans="1:7" s="22" customFormat="1" ht="47.25">
      <c r="A56" s="47"/>
      <c r="B56" s="46" t="s">
        <v>159</v>
      </c>
      <c r="C56" s="32"/>
      <c r="D56" s="32"/>
      <c r="E56" s="34"/>
      <c r="F56" s="32"/>
      <c r="G56" s="35">
        <f>G57</f>
        <v>15960000</v>
      </c>
    </row>
    <row r="57" spans="1:7" s="22" customFormat="1" ht="31.5">
      <c r="A57" s="47"/>
      <c r="B57" s="48" t="s">
        <v>158</v>
      </c>
      <c r="C57" s="32">
        <v>40</v>
      </c>
      <c r="D57" s="33" t="s">
        <v>112</v>
      </c>
      <c r="E57" s="34">
        <v>399000</v>
      </c>
      <c r="F57" s="32"/>
      <c r="G57" s="36">
        <f>C57*E57</f>
        <v>15960000</v>
      </c>
    </row>
    <row r="58" spans="1:7" s="22" customFormat="1" ht="47.25">
      <c r="A58" s="47"/>
      <c r="B58" s="46" t="s">
        <v>161</v>
      </c>
      <c r="C58" s="32"/>
      <c r="D58" s="32"/>
      <c r="E58" s="34"/>
      <c r="F58" s="32"/>
      <c r="G58" s="35">
        <f>G59</f>
        <v>37905000</v>
      </c>
    </row>
    <row r="59" spans="1:7" s="22" customFormat="1" ht="31.5">
      <c r="A59" s="47"/>
      <c r="B59" s="48" t="s">
        <v>158</v>
      </c>
      <c r="C59" s="32">
        <v>95</v>
      </c>
      <c r="D59" s="33" t="s">
        <v>112</v>
      </c>
      <c r="E59" s="34">
        <v>399000</v>
      </c>
      <c r="F59" s="32"/>
      <c r="G59" s="36">
        <f>C59*E59</f>
        <v>37905000</v>
      </c>
    </row>
    <row r="60" spans="1:7" ht="31.5">
      <c r="A60" s="8" t="s">
        <v>60</v>
      </c>
      <c r="B60" s="10" t="s">
        <v>61</v>
      </c>
      <c r="C60" s="76"/>
      <c r="D60" s="9"/>
      <c r="E60" s="13"/>
      <c r="F60" s="8"/>
      <c r="G60" s="21">
        <f>G61</f>
        <v>7740000</v>
      </c>
    </row>
    <row r="61" spans="1:7" ht="31.5">
      <c r="A61" s="8"/>
      <c r="B61" s="10" t="s">
        <v>44</v>
      </c>
      <c r="C61" s="76"/>
      <c r="D61" s="9"/>
      <c r="E61" s="13"/>
      <c r="F61" s="8"/>
      <c r="G61" s="11">
        <f>G62</f>
        <v>7740000</v>
      </c>
    </row>
    <row r="62" spans="1:7" ht="31.5">
      <c r="A62" s="8"/>
      <c r="B62" s="76" t="s">
        <v>62</v>
      </c>
      <c r="C62" s="76" t="s">
        <v>106</v>
      </c>
      <c r="D62" s="9" t="s">
        <v>40</v>
      </c>
      <c r="E62" s="13">
        <v>430000</v>
      </c>
      <c r="F62" s="8">
        <v>0</v>
      </c>
      <c r="G62" s="11">
        <f>E62*6*3</f>
        <v>7740000</v>
      </c>
    </row>
    <row r="63" spans="1:7" ht="31.5">
      <c r="A63" s="8" t="s">
        <v>63</v>
      </c>
      <c r="B63" s="10" t="s">
        <v>64</v>
      </c>
      <c r="C63" s="76"/>
      <c r="D63" s="9"/>
      <c r="E63" s="13"/>
      <c r="F63" s="8"/>
      <c r="G63" s="21">
        <f>G64+G65+G66</f>
        <v>51000000</v>
      </c>
    </row>
    <row r="64" spans="1:7" ht="47.25">
      <c r="A64" s="8"/>
      <c r="B64" s="76" t="s">
        <v>65</v>
      </c>
      <c r="C64" s="8">
        <v>6</v>
      </c>
      <c r="D64" s="9" t="s">
        <v>32</v>
      </c>
      <c r="E64" s="13">
        <v>4000000</v>
      </c>
      <c r="F64" s="8">
        <v>0</v>
      </c>
      <c r="G64" s="11">
        <f>C64*E64</f>
        <v>24000000</v>
      </c>
    </row>
    <row r="65" spans="1:7" ht="47.25">
      <c r="A65" s="8"/>
      <c r="B65" s="76" t="s">
        <v>66</v>
      </c>
      <c r="C65" s="8">
        <v>6</v>
      </c>
      <c r="D65" s="9" t="s">
        <v>32</v>
      </c>
      <c r="E65" s="13">
        <v>3000000</v>
      </c>
      <c r="F65" s="8">
        <v>0</v>
      </c>
      <c r="G65" s="11">
        <f>C65*E65</f>
        <v>18000000</v>
      </c>
    </row>
    <row r="66" spans="1:7" ht="47.25">
      <c r="A66" s="8"/>
      <c r="B66" s="76" t="s">
        <v>67</v>
      </c>
      <c r="C66" s="8">
        <v>6</v>
      </c>
      <c r="D66" s="9" t="s">
        <v>32</v>
      </c>
      <c r="E66" s="13">
        <v>1500000</v>
      </c>
      <c r="F66" s="8">
        <v>0</v>
      </c>
      <c r="G66" s="11">
        <f>C66*E66</f>
        <v>9000000</v>
      </c>
    </row>
    <row r="67" spans="1:7" s="22" customFormat="1" ht="31.5">
      <c r="A67" s="47" t="s">
        <v>187</v>
      </c>
      <c r="B67" s="163" t="s">
        <v>188</v>
      </c>
      <c r="C67" s="54"/>
      <c r="D67" s="55"/>
      <c r="E67" s="56"/>
      <c r="F67" s="32"/>
      <c r="G67" s="35">
        <f>G68</f>
        <v>13500000</v>
      </c>
    </row>
    <row r="68" spans="1:7" ht="31.5">
      <c r="A68" s="8"/>
      <c r="B68" s="10" t="s">
        <v>44</v>
      </c>
      <c r="C68" s="76"/>
      <c r="D68" s="9"/>
      <c r="E68" s="13"/>
      <c r="F68" s="8"/>
      <c r="G68" s="11">
        <f>G69</f>
        <v>13500000</v>
      </c>
    </row>
    <row r="69" spans="1:7" ht="31.5">
      <c r="A69" s="8"/>
      <c r="B69" s="76" t="s">
        <v>189</v>
      </c>
      <c r="C69" s="76" t="s">
        <v>106</v>
      </c>
      <c r="D69" s="9" t="s">
        <v>40</v>
      </c>
      <c r="E69" s="13">
        <v>750000</v>
      </c>
      <c r="F69" s="8">
        <v>0</v>
      </c>
      <c r="G69" s="11">
        <f>E69*6*3</f>
        <v>13500000</v>
      </c>
    </row>
    <row r="70" spans="1:7" ht="47.25">
      <c r="A70" s="8" t="s">
        <v>63</v>
      </c>
      <c r="B70" s="10" t="s">
        <v>104</v>
      </c>
      <c r="C70" s="76"/>
      <c r="D70" s="9"/>
      <c r="E70" s="13"/>
      <c r="F70" s="8"/>
      <c r="G70" s="11">
        <f>G71</f>
        <v>6615000</v>
      </c>
    </row>
    <row r="71" spans="1:7" ht="39" customHeight="1">
      <c r="A71" s="8"/>
      <c r="B71" s="14" t="s">
        <v>119</v>
      </c>
      <c r="C71" s="15">
        <v>18</v>
      </c>
      <c r="D71" s="16" t="s">
        <v>117</v>
      </c>
      <c r="E71" s="17">
        <v>367500</v>
      </c>
      <c r="F71" s="8">
        <v>0</v>
      </c>
      <c r="G71" s="11">
        <f>C71*E71</f>
        <v>6615000</v>
      </c>
    </row>
    <row r="72" spans="1:7" ht="31.5">
      <c r="A72" s="8" t="s">
        <v>38</v>
      </c>
      <c r="B72" s="10" t="s">
        <v>39</v>
      </c>
      <c r="C72" s="8"/>
      <c r="D72" s="76"/>
      <c r="E72" s="11"/>
      <c r="F72" s="8"/>
      <c r="G72" s="21">
        <f>G73</f>
        <v>19000000</v>
      </c>
    </row>
    <row r="73" spans="1:7" ht="31.5">
      <c r="A73" s="8"/>
      <c r="B73" s="10" t="s">
        <v>82</v>
      </c>
      <c r="C73" s="8"/>
      <c r="D73" s="76"/>
      <c r="E73" s="11"/>
      <c r="F73" s="8"/>
      <c r="G73" s="21">
        <f>G74+G80</f>
        <v>19000000</v>
      </c>
    </row>
    <row r="74" spans="1:7" ht="63">
      <c r="A74" s="8"/>
      <c r="B74" s="76" t="s">
        <v>143</v>
      </c>
      <c r="C74" s="8">
        <v>10</v>
      </c>
      <c r="D74" s="9" t="s">
        <v>40</v>
      </c>
      <c r="E74" s="11">
        <v>200000</v>
      </c>
      <c r="F74" s="8">
        <v>0</v>
      </c>
      <c r="G74" s="11">
        <f t="shared" ref="G74:G79" si="1">C74*E74</f>
        <v>2000000</v>
      </c>
    </row>
    <row r="75" spans="1:7" ht="63">
      <c r="A75" s="8"/>
      <c r="B75" s="76" t="s">
        <v>144</v>
      </c>
      <c r="C75" s="8">
        <v>10</v>
      </c>
      <c r="D75" s="9" t="s">
        <v>40</v>
      </c>
      <c r="E75" s="11">
        <v>185000</v>
      </c>
      <c r="F75" s="8">
        <v>0</v>
      </c>
      <c r="G75" s="11">
        <f t="shared" si="1"/>
        <v>1850000</v>
      </c>
    </row>
    <row r="76" spans="1:7" ht="63">
      <c r="A76" s="8"/>
      <c r="B76" s="76" t="s">
        <v>145</v>
      </c>
      <c r="C76" s="8">
        <v>10</v>
      </c>
      <c r="D76" s="9" t="s">
        <v>40</v>
      </c>
      <c r="E76" s="11">
        <v>145000</v>
      </c>
      <c r="F76" s="8">
        <v>0</v>
      </c>
      <c r="G76" s="11">
        <f t="shared" si="1"/>
        <v>1450000</v>
      </c>
    </row>
    <row r="77" spans="1:7" ht="63">
      <c r="A77" s="8"/>
      <c r="B77" s="76" t="s">
        <v>146</v>
      </c>
      <c r="C77" s="8">
        <v>10</v>
      </c>
      <c r="D77" s="9" t="s">
        <v>40</v>
      </c>
      <c r="E77" s="11">
        <v>210000</v>
      </c>
      <c r="F77" s="8">
        <v>0</v>
      </c>
      <c r="G77" s="11">
        <f t="shared" si="1"/>
        <v>2100000</v>
      </c>
    </row>
    <row r="78" spans="1:7" ht="63">
      <c r="A78" s="8"/>
      <c r="B78" s="76" t="s">
        <v>147</v>
      </c>
      <c r="C78" s="8">
        <v>10</v>
      </c>
      <c r="D78" s="9" t="s">
        <v>40</v>
      </c>
      <c r="E78" s="11">
        <v>220000</v>
      </c>
      <c r="F78" s="8">
        <v>0</v>
      </c>
      <c r="G78" s="11">
        <f t="shared" si="1"/>
        <v>2200000</v>
      </c>
    </row>
    <row r="79" spans="1:7" ht="63">
      <c r="A79" s="8"/>
      <c r="B79" s="76" t="s">
        <v>148</v>
      </c>
      <c r="C79" s="8">
        <v>10</v>
      </c>
      <c r="D79" s="9" t="s">
        <v>40</v>
      </c>
      <c r="E79" s="11">
        <v>320000</v>
      </c>
      <c r="F79" s="8">
        <v>0</v>
      </c>
      <c r="G79" s="11">
        <f t="shared" si="1"/>
        <v>3200000</v>
      </c>
    </row>
    <row r="80" spans="1:7" ht="31.5">
      <c r="A80" s="8"/>
      <c r="B80" s="76" t="s">
        <v>41</v>
      </c>
      <c r="C80" s="8">
        <v>100</v>
      </c>
      <c r="D80" s="9" t="s">
        <v>40</v>
      </c>
      <c r="E80" s="11">
        <v>170000</v>
      </c>
      <c r="F80" s="8">
        <v>0</v>
      </c>
      <c r="G80" s="11">
        <f t="shared" ref="G80" si="2">C80*E80</f>
        <v>17000000</v>
      </c>
    </row>
    <row r="81" spans="1:9" s="22" customFormat="1" ht="47.25">
      <c r="A81" s="49" t="s">
        <v>35</v>
      </c>
      <c r="B81" s="50" t="s">
        <v>36</v>
      </c>
      <c r="C81" s="32"/>
      <c r="D81" s="33"/>
      <c r="E81" s="34"/>
      <c r="F81" s="32"/>
      <c r="G81" s="35">
        <f>G82+G84</f>
        <v>14400000</v>
      </c>
    </row>
    <row r="82" spans="1:9" s="22" customFormat="1" ht="47.25">
      <c r="A82" s="51"/>
      <c r="B82" s="46" t="s">
        <v>160</v>
      </c>
      <c r="C82" s="32"/>
      <c r="D82" s="33"/>
      <c r="E82" s="34"/>
      <c r="F82" s="32"/>
      <c r="G82" s="35">
        <f>G83</f>
        <v>7200000</v>
      </c>
    </row>
    <row r="83" spans="1:9" s="22" customFormat="1" ht="47.25">
      <c r="A83" s="52"/>
      <c r="B83" s="53" t="s">
        <v>123</v>
      </c>
      <c r="C83" s="54" t="s">
        <v>133</v>
      </c>
      <c r="D83" s="55" t="s">
        <v>122</v>
      </c>
      <c r="E83" s="56">
        <v>900000</v>
      </c>
      <c r="F83" s="57"/>
      <c r="G83" s="36">
        <f>2*4*900000</f>
        <v>7200000</v>
      </c>
    </row>
    <row r="84" spans="1:9" s="22" customFormat="1" ht="47.25">
      <c r="A84" s="51"/>
      <c r="B84" s="46" t="s">
        <v>159</v>
      </c>
      <c r="C84" s="32"/>
      <c r="D84" s="33"/>
      <c r="E84" s="34"/>
      <c r="F84" s="32"/>
      <c r="G84" s="35">
        <f>G85</f>
        <v>7200000</v>
      </c>
    </row>
    <row r="85" spans="1:9" s="22" customFormat="1" ht="47.25">
      <c r="A85" s="52"/>
      <c r="B85" s="53" t="s">
        <v>123</v>
      </c>
      <c r="C85" s="54" t="s">
        <v>133</v>
      </c>
      <c r="D85" s="55" t="s">
        <v>122</v>
      </c>
      <c r="E85" s="56">
        <v>900000</v>
      </c>
      <c r="F85" s="57"/>
      <c r="G85" s="36">
        <f>2*4*900000</f>
        <v>7200000</v>
      </c>
    </row>
    <row r="86" spans="1:9" s="22" customFormat="1" ht="47.25">
      <c r="A86" s="51"/>
      <c r="B86" s="46" t="s">
        <v>161</v>
      </c>
      <c r="C86" s="32"/>
      <c r="D86" s="33"/>
      <c r="E86" s="34"/>
      <c r="F86" s="32"/>
      <c r="G86" s="35">
        <f>G87</f>
        <v>7200000</v>
      </c>
    </row>
    <row r="87" spans="1:9" s="22" customFormat="1" ht="47.25">
      <c r="A87" s="52"/>
      <c r="B87" s="53" t="s">
        <v>123</v>
      </c>
      <c r="C87" s="54" t="s">
        <v>133</v>
      </c>
      <c r="D87" s="55" t="s">
        <v>122</v>
      </c>
      <c r="E87" s="56">
        <v>900000</v>
      </c>
      <c r="F87" s="57"/>
      <c r="G87" s="36">
        <f>2*4*900000</f>
        <v>7200000</v>
      </c>
    </row>
    <row r="88" spans="1:9" ht="35.25" customHeight="1">
      <c r="A88" s="18" t="s">
        <v>115</v>
      </c>
      <c r="B88" s="19" t="s">
        <v>116</v>
      </c>
      <c r="C88" s="8"/>
      <c r="D88" s="9"/>
      <c r="E88" s="13"/>
      <c r="F88" s="8"/>
      <c r="G88" s="21">
        <f>G89</f>
        <v>14713875</v>
      </c>
    </row>
    <row r="89" spans="1:9" ht="31.5">
      <c r="A89" s="8"/>
      <c r="B89" s="10" t="s">
        <v>44</v>
      </c>
      <c r="C89" s="8"/>
      <c r="D89" s="9"/>
      <c r="E89" s="13"/>
      <c r="F89" s="8"/>
      <c r="G89" s="21">
        <f>G90+G91</f>
        <v>14713875</v>
      </c>
    </row>
    <row r="90" spans="1:9" ht="47.25">
      <c r="A90" s="20"/>
      <c r="B90" s="80" t="s">
        <v>121</v>
      </c>
      <c r="C90" s="15">
        <v>45</v>
      </c>
      <c r="D90" s="16" t="s">
        <v>117</v>
      </c>
      <c r="E90" s="17">
        <v>174825</v>
      </c>
      <c r="F90" s="12"/>
      <c r="G90" s="11">
        <f>C90*E90</f>
        <v>7867125</v>
      </c>
    </row>
    <row r="91" spans="1:9" ht="47.25">
      <c r="A91" s="20"/>
      <c r="B91" s="14" t="s">
        <v>118</v>
      </c>
      <c r="C91" s="15">
        <v>45</v>
      </c>
      <c r="D91" s="16" t="s">
        <v>117</v>
      </c>
      <c r="E91" s="17">
        <v>152150</v>
      </c>
      <c r="F91" s="12"/>
      <c r="G91" s="11">
        <f>C91*E91</f>
        <v>6846750</v>
      </c>
    </row>
    <row r="92" spans="1:9">
      <c r="A92" s="126" t="s">
        <v>37</v>
      </c>
      <c r="B92" s="127"/>
      <c r="C92" s="127"/>
      <c r="D92" s="127"/>
      <c r="E92" s="127"/>
      <c r="F92" s="128"/>
      <c r="G92" s="21">
        <f>G26+G31+G41+G43+G46+G49+G60+G63+G67+G70+G72+G81+G88</f>
        <v>336455975</v>
      </c>
      <c r="I92" s="67"/>
    </row>
    <row r="93" spans="1:9">
      <c r="A93" s="153"/>
      <c r="B93" s="154"/>
      <c r="C93" s="155"/>
      <c r="D93" s="156"/>
      <c r="E93" s="157"/>
      <c r="F93" s="157"/>
      <c r="G93" s="158">
        <f>D93*F93</f>
        <v>0</v>
      </c>
    </row>
    <row r="94" spans="1:9">
      <c r="A94" s="139" t="s">
        <v>168</v>
      </c>
      <c r="B94" s="140"/>
      <c r="C94" s="141" t="s">
        <v>169</v>
      </c>
      <c r="D94" s="142"/>
      <c r="E94" s="142"/>
      <c r="F94" s="142"/>
      <c r="G94" s="143"/>
    </row>
    <row r="95" spans="1:9">
      <c r="A95" s="139" t="s">
        <v>170</v>
      </c>
      <c r="B95" s="140"/>
      <c r="C95" s="141" t="s">
        <v>171</v>
      </c>
      <c r="D95" s="142"/>
      <c r="E95" s="142"/>
      <c r="F95" s="142"/>
      <c r="G95" s="143"/>
    </row>
    <row r="96" spans="1:9">
      <c r="A96" s="139" t="s">
        <v>172</v>
      </c>
      <c r="B96" s="140"/>
      <c r="C96" s="144"/>
      <c r="D96" s="145"/>
      <c r="E96" s="145"/>
      <c r="F96" s="145"/>
      <c r="G96" s="146"/>
    </row>
    <row r="97" spans="1:7">
      <c r="A97" s="139" t="s">
        <v>173</v>
      </c>
      <c r="B97" s="140"/>
      <c r="C97" s="144"/>
      <c r="D97" s="145"/>
      <c r="E97" s="145"/>
      <c r="F97" s="145"/>
      <c r="G97" s="146"/>
    </row>
    <row r="98" spans="1:7">
      <c r="A98" s="139" t="s">
        <v>174</v>
      </c>
      <c r="B98" s="140"/>
      <c r="C98" s="144"/>
      <c r="D98" s="145"/>
      <c r="E98" s="145"/>
      <c r="F98" s="145"/>
      <c r="G98" s="146"/>
    </row>
    <row r="99" spans="1:7">
      <c r="A99" s="139" t="s">
        <v>175</v>
      </c>
      <c r="B99" s="140"/>
      <c r="C99" s="144"/>
      <c r="D99" s="145"/>
      <c r="E99" s="145"/>
      <c r="F99" s="145"/>
      <c r="G99" s="146"/>
    </row>
    <row r="100" spans="1:7">
      <c r="A100" s="139" t="s">
        <v>176</v>
      </c>
      <c r="B100" s="140"/>
      <c r="C100" s="147"/>
      <c r="D100" s="142"/>
      <c r="E100" s="142"/>
      <c r="F100" s="142"/>
      <c r="G100" s="143"/>
    </row>
    <row r="101" spans="1:7">
      <c r="A101" s="139" t="s">
        <v>177</v>
      </c>
      <c r="B101" s="140"/>
      <c r="C101" s="141"/>
      <c r="D101" s="142"/>
      <c r="E101" s="142"/>
      <c r="F101" s="142"/>
      <c r="G101" s="143"/>
    </row>
    <row r="102" spans="1:7">
      <c r="A102" s="139" t="s">
        <v>178</v>
      </c>
      <c r="B102" s="140"/>
      <c r="C102" s="144"/>
      <c r="D102" s="145"/>
      <c r="E102" s="145"/>
      <c r="F102" s="145"/>
      <c r="G102" s="146"/>
    </row>
    <row r="103" spans="1:7">
      <c r="A103" s="139" t="s">
        <v>179</v>
      </c>
      <c r="B103" s="140"/>
      <c r="C103" s="144"/>
      <c r="D103" s="145"/>
      <c r="E103" s="145"/>
      <c r="F103" s="145"/>
      <c r="G103" s="146"/>
    </row>
    <row r="104" spans="1:7">
      <c r="A104" s="139" t="s">
        <v>180</v>
      </c>
      <c r="B104" s="140"/>
      <c r="C104" s="144"/>
      <c r="D104" s="145"/>
      <c r="E104" s="145"/>
      <c r="F104" s="145"/>
      <c r="G104" s="146"/>
    </row>
    <row r="105" spans="1:7">
      <c r="A105" s="139" t="s">
        <v>181</v>
      </c>
      <c r="B105" s="140"/>
      <c r="C105" s="144"/>
      <c r="D105" s="145"/>
      <c r="E105" s="145"/>
      <c r="F105" s="145"/>
      <c r="G105" s="146"/>
    </row>
    <row r="106" spans="1:7" ht="16.5" thickBot="1">
      <c r="A106" s="148" t="s">
        <v>27</v>
      </c>
      <c r="B106" s="149">
        <f>SUM(B94:B105)</f>
        <v>0</v>
      </c>
      <c r="C106" s="150"/>
      <c r="D106" s="151"/>
      <c r="E106" s="151"/>
      <c r="F106" s="151"/>
      <c r="G106" s="152"/>
    </row>
  </sheetData>
  <mergeCells count="27">
    <mergeCell ref="A92:F92"/>
    <mergeCell ref="A24:A25"/>
    <mergeCell ref="B24:B25"/>
    <mergeCell ref="C24:F24"/>
    <mergeCell ref="G24:G25"/>
    <mergeCell ref="B93:C93"/>
    <mergeCell ref="C94:G94"/>
    <mergeCell ref="C95:G95"/>
    <mergeCell ref="C100:G100"/>
    <mergeCell ref="C101:G101"/>
    <mergeCell ref="A1:G1"/>
    <mergeCell ref="A2:G2"/>
    <mergeCell ref="A3:G3"/>
    <mergeCell ref="B9:G9"/>
    <mergeCell ref="B8:G8"/>
    <mergeCell ref="A17:G17"/>
    <mergeCell ref="B18:E18"/>
    <mergeCell ref="F18:G18"/>
    <mergeCell ref="B19:E19"/>
    <mergeCell ref="F19:G19"/>
    <mergeCell ref="A23:G23"/>
    <mergeCell ref="B20:E20"/>
    <mergeCell ref="F20:G20"/>
    <mergeCell ref="B21:E21"/>
    <mergeCell ref="F21:G21"/>
    <mergeCell ref="B22:E22"/>
    <mergeCell ref="F22:G22"/>
  </mergeCells>
  <printOptions horizontalCentered="1"/>
  <pageMargins left="0.19685039370078741" right="0.19685039370078741" top="0.74803149606299213" bottom="0.74803149606299213" header="0.31496062992125984" footer="0.31496062992125984"/>
  <pageSetup paperSize="10000" scale="72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3"/>
  <sheetViews>
    <sheetView tabSelected="1" topLeftCell="A25" zoomScaleNormal="100" workbookViewId="0">
      <selection activeCell="I25" sqref="I25"/>
    </sheetView>
  </sheetViews>
  <sheetFormatPr defaultColWidth="9.140625" defaultRowHeight="15.75"/>
  <cols>
    <col min="1" max="1" width="22.5703125" style="7" customWidth="1"/>
    <col min="2" max="2" width="39.42578125" style="7" customWidth="1"/>
    <col min="3" max="3" width="11.85546875" style="7" customWidth="1"/>
    <col min="4" max="4" width="9.7109375" style="66" customWidth="1"/>
    <col min="5" max="5" width="14" style="77" bestFit="1" customWidth="1"/>
    <col min="6" max="6" width="9.28515625" style="7" bestFit="1" customWidth="1"/>
    <col min="7" max="7" width="19.5703125" style="7" customWidth="1"/>
    <col min="8" max="8" width="26.28515625" style="7" customWidth="1"/>
    <col min="9" max="9" width="12.7109375" style="7" bestFit="1" customWidth="1"/>
    <col min="10" max="16384" width="9.140625" style="7"/>
  </cols>
  <sheetData>
    <row r="1" spans="1:7">
      <c r="A1" s="118" t="s">
        <v>124</v>
      </c>
      <c r="B1" s="119"/>
      <c r="C1" s="119"/>
      <c r="D1" s="119"/>
      <c r="E1" s="119"/>
      <c r="F1" s="119"/>
      <c r="G1" s="120"/>
    </row>
    <row r="2" spans="1:7">
      <c r="A2" s="121" t="s">
        <v>1</v>
      </c>
      <c r="B2" s="122"/>
      <c r="C2" s="122"/>
      <c r="D2" s="122"/>
      <c r="E2" s="122"/>
      <c r="F2" s="122"/>
      <c r="G2" s="123"/>
    </row>
    <row r="3" spans="1:7" ht="26.25" customHeight="1">
      <c r="A3" s="129" t="s">
        <v>183</v>
      </c>
      <c r="B3" s="130"/>
      <c r="C3" s="130"/>
      <c r="D3" s="130"/>
      <c r="E3" s="130"/>
      <c r="F3" s="130"/>
      <c r="G3" s="131"/>
    </row>
    <row r="4" spans="1:7">
      <c r="A4" s="65" t="s">
        <v>2</v>
      </c>
      <c r="B4" s="7" t="s">
        <v>11</v>
      </c>
      <c r="G4" s="68"/>
    </row>
    <row r="5" spans="1:7">
      <c r="A5" s="65" t="s">
        <v>3</v>
      </c>
      <c r="B5" s="7" t="s">
        <v>12</v>
      </c>
      <c r="G5" s="68"/>
    </row>
    <row r="6" spans="1:7">
      <c r="A6" s="65" t="s">
        <v>4</v>
      </c>
      <c r="B6" s="7" t="s">
        <v>13</v>
      </c>
      <c r="G6" s="68"/>
    </row>
    <row r="7" spans="1:7">
      <c r="A7" s="65" t="s">
        <v>5</v>
      </c>
      <c r="B7" s="7" t="s">
        <v>14</v>
      </c>
      <c r="G7" s="68"/>
    </row>
    <row r="8" spans="1:7" ht="33" customHeight="1">
      <c r="A8" s="65" t="s">
        <v>6</v>
      </c>
      <c r="B8" s="124" t="s">
        <v>43</v>
      </c>
      <c r="C8" s="124"/>
      <c r="D8" s="124"/>
      <c r="E8" s="124"/>
      <c r="F8" s="124"/>
      <c r="G8" s="125"/>
    </row>
    <row r="9" spans="1:7" ht="33" customHeight="1">
      <c r="A9" s="65" t="s">
        <v>7</v>
      </c>
      <c r="B9" s="124" t="s">
        <v>150</v>
      </c>
      <c r="C9" s="124"/>
      <c r="D9" s="124"/>
      <c r="E9" s="124"/>
      <c r="F9" s="124"/>
      <c r="G9" s="125"/>
    </row>
    <row r="10" spans="1:7">
      <c r="A10" s="65" t="s">
        <v>8</v>
      </c>
      <c r="B10" s="7" t="s">
        <v>15</v>
      </c>
      <c r="G10" s="68"/>
    </row>
    <row r="11" spans="1:7">
      <c r="A11" s="65" t="s">
        <v>9</v>
      </c>
      <c r="B11" s="7" t="s">
        <v>16</v>
      </c>
      <c r="G11" s="68"/>
    </row>
    <row r="12" spans="1:7">
      <c r="A12" s="65" t="s">
        <v>10</v>
      </c>
      <c r="B12" s="7" t="s">
        <v>17</v>
      </c>
      <c r="G12" s="68"/>
    </row>
    <row r="13" spans="1:7">
      <c r="A13" s="65" t="s">
        <v>18</v>
      </c>
      <c r="B13" s="7" t="s">
        <v>19</v>
      </c>
      <c r="G13" s="68"/>
    </row>
    <row r="14" spans="1:7">
      <c r="A14" s="65" t="s">
        <v>127</v>
      </c>
      <c r="B14" s="7" t="s">
        <v>102</v>
      </c>
      <c r="G14" s="68"/>
    </row>
    <row r="15" spans="1:7">
      <c r="A15" s="65" t="s">
        <v>184</v>
      </c>
      <c r="B15" s="7" t="s">
        <v>209</v>
      </c>
      <c r="G15" s="68"/>
    </row>
    <row r="16" spans="1:7">
      <c r="A16" s="69" t="s">
        <v>185</v>
      </c>
      <c r="B16" s="70" t="s">
        <v>186</v>
      </c>
      <c r="C16" s="70"/>
      <c r="D16" s="71"/>
      <c r="E16" s="78"/>
      <c r="F16" s="70"/>
      <c r="G16" s="73"/>
    </row>
    <row r="17" spans="1:12">
      <c r="A17" s="111" t="s">
        <v>84</v>
      </c>
      <c r="B17" s="111"/>
      <c r="C17" s="111"/>
      <c r="D17" s="111"/>
      <c r="E17" s="111"/>
      <c r="F17" s="111"/>
      <c r="G17" s="111"/>
    </row>
    <row r="18" spans="1:12">
      <c r="A18" s="74" t="s">
        <v>85</v>
      </c>
      <c r="B18" s="111" t="s">
        <v>86</v>
      </c>
      <c r="C18" s="111"/>
      <c r="D18" s="111"/>
      <c r="E18" s="111"/>
      <c r="F18" s="111" t="s">
        <v>87</v>
      </c>
      <c r="G18" s="111"/>
    </row>
    <row r="19" spans="1:12">
      <c r="A19" s="8" t="s">
        <v>88</v>
      </c>
      <c r="B19" s="112" t="s">
        <v>92</v>
      </c>
      <c r="C19" s="112"/>
      <c r="D19" s="112"/>
      <c r="E19" s="112"/>
      <c r="F19" s="117">
        <v>1</v>
      </c>
      <c r="G19" s="111"/>
    </row>
    <row r="20" spans="1:12">
      <c r="A20" s="8" t="s">
        <v>89</v>
      </c>
      <c r="B20" s="112" t="s">
        <v>93</v>
      </c>
      <c r="C20" s="112"/>
      <c r="D20" s="112"/>
      <c r="E20" s="112"/>
      <c r="F20" s="113">
        <f>G69</f>
        <v>2675179750</v>
      </c>
      <c r="G20" s="113"/>
      <c r="H20" s="85"/>
    </row>
    <row r="21" spans="1:12" ht="33" customHeight="1">
      <c r="A21" s="8" t="s">
        <v>90</v>
      </c>
      <c r="B21" s="114" t="s">
        <v>98</v>
      </c>
      <c r="C21" s="115"/>
      <c r="D21" s="115"/>
      <c r="E21" s="116"/>
      <c r="F21" s="111" t="s">
        <v>108</v>
      </c>
      <c r="G21" s="111"/>
      <c r="H21" s="85"/>
    </row>
    <row r="22" spans="1:12">
      <c r="A22" s="8" t="s">
        <v>91</v>
      </c>
      <c r="B22" s="112" t="s">
        <v>99</v>
      </c>
      <c r="C22" s="112"/>
      <c r="D22" s="112"/>
      <c r="E22" s="112"/>
      <c r="F22" s="117">
        <v>1</v>
      </c>
      <c r="G22" s="111"/>
    </row>
    <row r="23" spans="1:12" ht="27.75" customHeight="1">
      <c r="A23" s="111" t="s">
        <v>94</v>
      </c>
      <c r="B23" s="111"/>
      <c r="C23" s="111"/>
      <c r="D23" s="111"/>
      <c r="E23" s="111"/>
      <c r="F23" s="111"/>
      <c r="G23" s="111"/>
    </row>
    <row r="24" spans="1:12">
      <c r="A24" s="111" t="s">
        <v>20</v>
      </c>
      <c r="B24" s="111" t="s">
        <v>21</v>
      </c>
      <c r="C24" s="111" t="s">
        <v>22</v>
      </c>
      <c r="D24" s="111"/>
      <c r="E24" s="111"/>
      <c r="F24" s="111"/>
      <c r="G24" s="111" t="s">
        <v>27</v>
      </c>
    </row>
    <row r="25" spans="1:12">
      <c r="A25" s="111"/>
      <c r="B25" s="111"/>
      <c r="C25" s="74" t="s">
        <v>23</v>
      </c>
      <c r="D25" s="9" t="s">
        <v>24</v>
      </c>
      <c r="E25" s="79" t="s">
        <v>25</v>
      </c>
      <c r="F25" s="74" t="s">
        <v>26</v>
      </c>
      <c r="G25" s="111"/>
    </row>
    <row r="26" spans="1:12" ht="47.25">
      <c r="A26" s="8" t="s">
        <v>79</v>
      </c>
      <c r="B26" s="10" t="s">
        <v>80</v>
      </c>
      <c r="C26" s="12"/>
      <c r="D26" s="9"/>
      <c r="E26" s="13"/>
      <c r="F26" s="8"/>
      <c r="G26" s="21">
        <f>G27+G28</f>
        <v>18054750</v>
      </c>
      <c r="L26" s="7" t="s">
        <v>163</v>
      </c>
    </row>
    <row r="27" spans="1:12" ht="31.5">
      <c r="A27" s="8"/>
      <c r="B27" s="76" t="s">
        <v>141</v>
      </c>
      <c r="C27" s="12">
        <v>95</v>
      </c>
      <c r="D27" s="9" t="s">
        <v>81</v>
      </c>
      <c r="E27" s="13">
        <v>93450</v>
      </c>
      <c r="F27" s="8">
        <v>0</v>
      </c>
      <c r="G27" s="11">
        <f>C27*E27</f>
        <v>8877750</v>
      </c>
    </row>
    <row r="28" spans="1:12" ht="31.5">
      <c r="A28" s="8"/>
      <c r="B28" s="76" t="s">
        <v>142</v>
      </c>
      <c r="C28" s="12">
        <v>95</v>
      </c>
      <c r="D28" s="9" t="s">
        <v>81</v>
      </c>
      <c r="E28" s="13">
        <v>96600</v>
      </c>
      <c r="F28" s="8">
        <v>0</v>
      </c>
      <c r="G28" s="11">
        <f>C28*E28</f>
        <v>9177000</v>
      </c>
    </row>
    <row r="29" spans="1:12" ht="31.5">
      <c r="A29" s="8" t="s">
        <v>28</v>
      </c>
      <c r="B29" s="10" t="s">
        <v>49</v>
      </c>
      <c r="C29" s="8"/>
      <c r="D29" s="9"/>
      <c r="E29" s="13"/>
      <c r="F29" s="8"/>
      <c r="G29" s="21">
        <f>G30+G33+G36</f>
        <v>17325000</v>
      </c>
    </row>
    <row r="30" spans="1:12" ht="47.25">
      <c r="A30" s="8"/>
      <c r="B30" s="10" t="s">
        <v>100</v>
      </c>
      <c r="C30" s="8"/>
      <c r="D30" s="9"/>
      <c r="E30" s="13"/>
      <c r="F30" s="8"/>
      <c r="G30" s="21">
        <f>G31+G32</f>
        <v>5940000</v>
      </c>
    </row>
    <row r="31" spans="1:12" ht="31.5">
      <c r="A31" s="8"/>
      <c r="B31" s="76" t="s">
        <v>50</v>
      </c>
      <c r="C31" s="76">
        <v>120</v>
      </c>
      <c r="D31" s="9" t="s">
        <v>51</v>
      </c>
      <c r="E31" s="13">
        <v>33000</v>
      </c>
      <c r="F31" s="8">
        <v>0</v>
      </c>
      <c r="G31" s="11">
        <f>C31*E31</f>
        <v>3960000</v>
      </c>
    </row>
    <row r="32" spans="1:12" ht="31.5">
      <c r="A32" s="8"/>
      <c r="B32" s="76" t="s">
        <v>78</v>
      </c>
      <c r="C32" s="76">
        <v>120</v>
      </c>
      <c r="D32" s="9" t="s">
        <v>51</v>
      </c>
      <c r="E32" s="13">
        <v>16500</v>
      </c>
      <c r="F32" s="8">
        <v>0</v>
      </c>
      <c r="G32" s="11">
        <f>C32*E32</f>
        <v>1980000</v>
      </c>
    </row>
    <row r="33" spans="1:7" ht="31.5">
      <c r="A33" s="8"/>
      <c r="B33" s="10" t="s">
        <v>152</v>
      </c>
      <c r="C33" s="8"/>
      <c r="D33" s="9"/>
      <c r="E33" s="13"/>
      <c r="F33" s="8"/>
      <c r="G33" s="21">
        <f>G34+G35</f>
        <v>4950000</v>
      </c>
    </row>
    <row r="34" spans="1:7" ht="31.5">
      <c r="A34" s="8"/>
      <c r="B34" s="76" t="s">
        <v>50</v>
      </c>
      <c r="C34" s="76">
        <v>100</v>
      </c>
      <c r="D34" s="9" t="s">
        <v>51</v>
      </c>
      <c r="E34" s="13">
        <v>33000</v>
      </c>
      <c r="F34" s="8">
        <v>0</v>
      </c>
      <c r="G34" s="11">
        <f>C34*E34</f>
        <v>3300000</v>
      </c>
    </row>
    <row r="35" spans="1:7" ht="31.5">
      <c r="A35" s="8"/>
      <c r="B35" s="76" t="s">
        <v>78</v>
      </c>
      <c r="C35" s="76">
        <v>100</v>
      </c>
      <c r="D35" s="9" t="s">
        <v>51</v>
      </c>
      <c r="E35" s="13">
        <v>16500</v>
      </c>
      <c r="F35" s="8">
        <v>0</v>
      </c>
      <c r="G35" s="11">
        <f>C35*E35</f>
        <v>1650000</v>
      </c>
    </row>
    <row r="36" spans="1:7">
      <c r="A36" s="8"/>
      <c r="B36" s="10" t="s">
        <v>153</v>
      </c>
      <c r="C36" s="8"/>
      <c r="D36" s="9"/>
      <c r="E36" s="13"/>
      <c r="F36" s="8"/>
      <c r="G36" s="21">
        <f>G37+G38</f>
        <v>6435000</v>
      </c>
    </row>
    <row r="37" spans="1:7" ht="31.5">
      <c r="A37" s="8"/>
      <c r="B37" s="76" t="s">
        <v>50</v>
      </c>
      <c r="C37" s="76">
        <v>130</v>
      </c>
      <c r="D37" s="9" t="s">
        <v>51</v>
      </c>
      <c r="E37" s="13">
        <v>33000</v>
      </c>
      <c r="F37" s="8">
        <v>0</v>
      </c>
      <c r="G37" s="11">
        <f>C37*E37</f>
        <v>4290000</v>
      </c>
    </row>
    <row r="38" spans="1:7" ht="31.5">
      <c r="A38" s="8"/>
      <c r="B38" s="76" t="s">
        <v>78</v>
      </c>
      <c r="C38" s="76">
        <v>130</v>
      </c>
      <c r="D38" s="9" t="s">
        <v>51</v>
      </c>
      <c r="E38" s="13">
        <v>16500</v>
      </c>
      <c r="F38" s="8">
        <v>0</v>
      </c>
      <c r="G38" s="11">
        <f>C38*E38</f>
        <v>2145000</v>
      </c>
    </row>
    <row r="39" spans="1:7">
      <c r="A39" s="8" t="s">
        <v>56</v>
      </c>
      <c r="B39" s="10" t="s">
        <v>57</v>
      </c>
      <c r="C39" s="76"/>
      <c r="D39" s="9"/>
      <c r="E39" s="13"/>
      <c r="F39" s="8"/>
      <c r="G39" s="21">
        <f>G40+G42+G44+G46+G48+G50+G52+G54+G56+G58</f>
        <v>2610000000</v>
      </c>
    </row>
    <row r="40" spans="1:7">
      <c r="A40" s="8"/>
      <c r="B40" s="10" t="s">
        <v>190</v>
      </c>
      <c r="C40" s="76"/>
      <c r="D40" s="9"/>
      <c r="E40" s="13"/>
      <c r="F40" s="8"/>
      <c r="G40" s="21">
        <f>G41</f>
        <v>480000000</v>
      </c>
    </row>
    <row r="41" spans="1:7" ht="31.5">
      <c r="A41" s="8"/>
      <c r="B41" s="76" t="s">
        <v>58</v>
      </c>
      <c r="C41" s="12">
        <v>60</v>
      </c>
      <c r="D41" s="9" t="s">
        <v>59</v>
      </c>
      <c r="E41" s="13">
        <v>8000000</v>
      </c>
      <c r="F41" s="8">
        <v>0</v>
      </c>
      <c r="G41" s="11">
        <f>C41*E41</f>
        <v>480000000</v>
      </c>
    </row>
    <row r="42" spans="1:7">
      <c r="A42" s="8"/>
      <c r="B42" s="10" t="s">
        <v>154</v>
      </c>
      <c r="C42" s="76"/>
      <c r="D42" s="9"/>
      <c r="E42" s="13"/>
      <c r="F42" s="8"/>
      <c r="G42" s="21">
        <f>G43</f>
        <v>240000000</v>
      </c>
    </row>
    <row r="43" spans="1:7" ht="31.5">
      <c r="A43" s="8"/>
      <c r="B43" s="76" t="s">
        <v>58</v>
      </c>
      <c r="C43" s="12">
        <v>30</v>
      </c>
      <c r="D43" s="9" t="s">
        <v>59</v>
      </c>
      <c r="E43" s="13">
        <v>8000000</v>
      </c>
      <c r="F43" s="8">
        <v>0</v>
      </c>
      <c r="G43" s="11">
        <f>C43*E43</f>
        <v>240000000</v>
      </c>
    </row>
    <row r="44" spans="1:7">
      <c r="A44" s="8"/>
      <c r="B44" s="10" t="s">
        <v>200</v>
      </c>
      <c r="C44" s="76"/>
      <c r="D44" s="9"/>
      <c r="E44" s="13"/>
      <c r="F44" s="8"/>
      <c r="G44" s="21">
        <f>G45</f>
        <v>180000000</v>
      </c>
    </row>
    <row r="45" spans="1:7" ht="30" customHeight="1">
      <c r="A45" s="8"/>
      <c r="B45" s="76" t="s">
        <v>58</v>
      </c>
      <c r="C45" s="12">
        <v>30</v>
      </c>
      <c r="D45" s="9" t="s">
        <v>59</v>
      </c>
      <c r="E45" s="13">
        <v>6000000</v>
      </c>
      <c r="F45" s="8">
        <v>0</v>
      </c>
      <c r="G45" s="11">
        <f>C45*E45</f>
        <v>180000000</v>
      </c>
    </row>
    <row r="46" spans="1:7">
      <c r="A46" s="8"/>
      <c r="B46" s="10" t="s">
        <v>199</v>
      </c>
      <c r="C46" s="76"/>
      <c r="D46" s="9"/>
      <c r="E46" s="13"/>
      <c r="F46" s="8"/>
      <c r="G46" s="21">
        <f>G47</f>
        <v>180000000</v>
      </c>
    </row>
    <row r="47" spans="1:7" ht="31.5">
      <c r="A47" s="8"/>
      <c r="B47" s="76" t="s">
        <v>58</v>
      </c>
      <c r="C47" s="12">
        <v>30</v>
      </c>
      <c r="D47" s="9" t="s">
        <v>59</v>
      </c>
      <c r="E47" s="13">
        <v>6000000</v>
      </c>
      <c r="F47" s="8">
        <v>0</v>
      </c>
      <c r="G47" s="11">
        <f>C47*E47</f>
        <v>180000000</v>
      </c>
    </row>
    <row r="48" spans="1:7">
      <c r="A48" s="8"/>
      <c r="B48" s="10" t="s">
        <v>201</v>
      </c>
      <c r="C48" s="76"/>
      <c r="D48" s="9"/>
      <c r="E48" s="13"/>
      <c r="F48" s="8"/>
      <c r="G48" s="21">
        <f>G49</f>
        <v>180000000</v>
      </c>
    </row>
    <row r="49" spans="1:7" ht="31.5">
      <c r="A49" s="8"/>
      <c r="B49" s="76" t="s">
        <v>58</v>
      </c>
      <c r="C49" s="12">
        <v>30</v>
      </c>
      <c r="D49" s="9" t="s">
        <v>59</v>
      </c>
      <c r="E49" s="13">
        <v>6000000</v>
      </c>
      <c r="F49" s="8">
        <v>0</v>
      </c>
      <c r="G49" s="11">
        <f>C49*E49</f>
        <v>180000000</v>
      </c>
    </row>
    <row r="50" spans="1:7">
      <c r="A50" s="8"/>
      <c r="B50" s="10" t="s">
        <v>202</v>
      </c>
      <c r="C50" s="76"/>
      <c r="D50" s="9"/>
      <c r="E50" s="13"/>
      <c r="F50" s="8"/>
      <c r="G50" s="21">
        <f>G51</f>
        <v>150000000</v>
      </c>
    </row>
    <row r="51" spans="1:7" ht="31.5">
      <c r="A51" s="8"/>
      <c r="B51" s="76" t="s">
        <v>58</v>
      </c>
      <c r="C51" s="12">
        <v>30</v>
      </c>
      <c r="D51" s="9" t="s">
        <v>59</v>
      </c>
      <c r="E51" s="13">
        <v>5000000</v>
      </c>
      <c r="F51" s="8">
        <v>0</v>
      </c>
      <c r="G51" s="11">
        <f>C51*E51</f>
        <v>150000000</v>
      </c>
    </row>
    <row r="52" spans="1:7">
      <c r="A52" s="8"/>
      <c r="B52" s="10" t="s">
        <v>203</v>
      </c>
      <c r="C52" s="76"/>
      <c r="D52" s="9"/>
      <c r="E52" s="13"/>
      <c r="F52" s="8"/>
      <c r="G52" s="21">
        <f>G53</f>
        <v>300000000</v>
      </c>
    </row>
    <row r="53" spans="1:7" ht="31.5">
      <c r="A53" s="8"/>
      <c r="B53" s="76" t="s">
        <v>58</v>
      </c>
      <c r="C53" s="12">
        <v>60</v>
      </c>
      <c r="D53" s="9" t="s">
        <v>59</v>
      </c>
      <c r="E53" s="13">
        <v>5000000</v>
      </c>
      <c r="F53" s="8">
        <v>0</v>
      </c>
      <c r="G53" s="11">
        <f>C53*E53</f>
        <v>300000000</v>
      </c>
    </row>
    <row r="54" spans="1:7" ht="48" customHeight="1">
      <c r="A54" s="8"/>
      <c r="B54" s="10" t="s">
        <v>204</v>
      </c>
      <c r="C54" s="76"/>
      <c r="D54" s="9"/>
      <c r="E54" s="13"/>
      <c r="F54" s="8"/>
      <c r="G54" s="21">
        <f>G55</f>
        <v>450000000</v>
      </c>
    </row>
    <row r="55" spans="1:7" ht="31.5">
      <c r="A55" s="8"/>
      <c r="B55" s="76" t="s">
        <v>58</v>
      </c>
      <c r="C55" s="12">
        <v>60</v>
      </c>
      <c r="D55" s="9" t="s">
        <v>59</v>
      </c>
      <c r="E55" s="13">
        <v>7500000</v>
      </c>
      <c r="F55" s="8">
        <v>0</v>
      </c>
      <c r="G55" s="11">
        <f>C55*E55</f>
        <v>450000000</v>
      </c>
    </row>
    <row r="56" spans="1:7" ht="31.5" customHeight="1">
      <c r="A56" s="8"/>
      <c r="B56" s="10" t="s">
        <v>205</v>
      </c>
      <c r="C56" s="76"/>
      <c r="D56" s="9"/>
      <c r="E56" s="13"/>
      <c r="F56" s="8"/>
      <c r="G56" s="21">
        <f>G57</f>
        <v>225000000</v>
      </c>
    </row>
    <row r="57" spans="1:7" ht="31.5">
      <c r="A57" s="8"/>
      <c r="B57" s="76" t="s">
        <v>58</v>
      </c>
      <c r="C57" s="12">
        <v>30</v>
      </c>
      <c r="D57" s="9" t="s">
        <v>59</v>
      </c>
      <c r="E57" s="13">
        <v>7500000</v>
      </c>
      <c r="F57" s="8">
        <v>0</v>
      </c>
      <c r="G57" s="11">
        <f>C57*E57</f>
        <v>225000000</v>
      </c>
    </row>
    <row r="58" spans="1:7" ht="48.75" customHeight="1">
      <c r="A58" s="8"/>
      <c r="B58" s="10" t="s">
        <v>206</v>
      </c>
      <c r="C58" s="76"/>
      <c r="D58" s="9"/>
      <c r="E58" s="13"/>
      <c r="F58" s="8"/>
      <c r="G58" s="21">
        <f>G59</f>
        <v>225000000</v>
      </c>
    </row>
    <row r="59" spans="1:7" ht="31.5">
      <c r="A59" s="8"/>
      <c r="B59" s="76" t="s">
        <v>58</v>
      </c>
      <c r="C59" s="12">
        <v>30</v>
      </c>
      <c r="D59" s="9" t="s">
        <v>59</v>
      </c>
      <c r="E59" s="13">
        <v>7500000</v>
      </c>
      <c r="F59" s="8">
        <v>0</v>
      </c>
      <c r="G59" s="11">
        <f>C59*E59</f>
        <v>225000000</v>
      </c>
    </row>
    <row r="60" spans="1:7" ht="31.5">
      <c r="A60" s="8" t="s">
        <v>38</v>
      </c>
      <c r="B60" s="10" t="s">
        <v>39</v>
      </c>
      <c r="C60" s="8"/>
      <c r="D60" s="9"/>
      <c r="E60" s="13"/>
      <c r="F60" s="8"/>
      <c r="G60" s="21">
        <f>G61</f>
        <v>29800000</v>
      </c>
    </row>
    <row r="61" spans="1:7">
      <c r="A61" s="8"/>
      <c r="B61" s="10" t="s">
        <v>125</v>
      </c>
      <c r="C61" s="76"/>
      <c r="D61" s="9"/>
      <c r="E61" s="13"/>
      <c r="F61" s="8"/>
      <c r="G61" s="21">
        <f>SUM(G62:G68)</f>
        <v>29800000</v>
      </c>
    </row>
    <row r="62" spans="1:7" ht="63">
      <c r="A62" s="8"/>
      <c r="B62" s="76" t="s">
        <v>143</v>
      </c>
      <c r="C62" s="8">
        <v>10</v>
      </c>
      <c r="D62" s="9" t="s">
        <v>40</v>
      </c>
      <c r="E62" s="11">
        <v>200000</v>
      </c>
      <c r="F62" s="8">
        <v>0</v>
      </c>
      <c r="G62" s="11">
        <f t="shared" ref="G62:G68" si="0">C62*E62</f>
        <v>2000000</v>
      </c>
    </row>
    <row r="63" spans="1:7" ht="63">
      <c r="A63" s="8"/>
      <c r="B63" s="76" t="s">
        <v>144</v>
      </c>
      <c r="C63" s="8">
        <v>10</v>
      </c>
      <c r="D63" s="9" t="s">
        <v>40</v>
      </c>
      <c r="E63" s="11">
        <v>185000</v>
      </c>
      <c r="F63" s="8">
        <v>0</v>
      </c>
      <c r="G63" s="11">
        <f t="shared" si="0"/>
        <v>1850000</v>
      </c>
    </row>
    <row r="64" spans="1:7" ht="63">
      <c r="A64" s="8"/>
      <c r="B64" s="76" t="s">
        <v>145</v>
      </c>
      <c r="C64" s="8">
        <v>10</v>
      </c>
      <c r="D64" s="9" t="s">
        <v>40</v>
      </c>
      <c r="E64" s="11">
        <v>145000</v>
      </c>
      <c r="F64" s="8">
        <v>0</v>
      </c>
      <c r="G64" s="11">
        <f t="shared" si="0"/>
        <v>1450000</v>
      </c>
    </row>
    <row r="65" spans="1:9" ht="63">
      <c r="A65" s="8"/>
      <c r="B65" s="76" t="s">
        <v>146</v>
      </c>
      <c r="C65" s="8">
        <v>10</v>
      </c>
      <c r="D65" s="9" t="s">
        <v>40</v>
      </c>
      <c r="E65" s="11">
        <v>210000</v>
      </c>
      <c r="F65" s="8">
        <v>0</v>
      </c>
      <c r="G65" s="11">
        <f t="shared" si="0"/>
        <v>2100000</v>
      </c>
    </row>
    <row r="66" spans="1:9" ht="63">
      <c r="A66" s="8"/>
      <c r="B66" s="76" t="s">
        <v>147</v>
      </c>
      <c r="C66" s="8">
        <v>10</v>
      </c>
      <c r="D66" s="9" t="s">
        <v>40</v>
      </c>
      <c r="E66" s="11">
        <v>220000</v>
      </c>
      <c r="F66" s="8">
        <v>0</v>
      </c>
      <c r="G66" s="11">
        <f t="shared" si="0"/>
        <v>2200000</v>
      </c>
    </row>
    <row r="67" spans="1:9" ht="63">
      <c r="A67" s="8"/>
      <c r="B67" s="76" t="s">
        <v>148</v>
      </c>
      <c r="C67" s="8">
        <v>10</v>
      </c>
      <c r="D67" s="9" t="s">
        <v>40</v>
      </c>
      <c r="E67" s="11">
        <v>320000</v>
      </c>
      <c r="F67" s="8">
        <v>0</v>
      </c>
      <c r="G67" s="11">
        <f t="shared" si="0"/>
        <v>3200000</v>
      </c>
    </row>
    <row r="68" spans="1:9" ht="31.5">
      <c r="A68" s="8"/>
      <c r="B68" s="76" t="s">
        <v>41</v>
      </c>
      <c r="C68" s="8">
        <v>100</v>
      </c>
      <c r="D68" s="9" t="s">
        <v>40</v>
      </c>
      <c r="E68" s="11">
        <v>170000</v>
      </c>
      <c r="F68" s="8">
        <v>0</v>
      </c>
      <c r="G68" s="11">
        <f t="shared" si="0"/>
        <v>17000000</v>
      </c>
    </row>
    <row r="69" spans="1:9" s="83" customFormat="1">
      <c r="A69" s="126" t="s">
        <v>37</v>
      </c>
      <c r="B69" s="127"/>
      <c r="C69" s="127"/>
      <c r="D69" s="127"/>
      <c r="E69" s="127"/>
      <c r="F69" s="128"/>
      <c r="G69" s="21">
        <f>G26+G29+G39+G60</f>
        <v>2675179750</v>
      </c>
      <c r="H69" s="81"/>
      <c r="I69" s="82"/>
    </row>
    <row r="70" spans="1:9">
      <c r="A70" s="153"/>
      <c r="B70" s="154"/>
      <c r="C70" s="155"/>
      <c r="D70" s="156"/>
      <c r="E70" s="157"/>
      <c r="F70" s="157"/>
      <c r="G70" s="158">
        <f>D70*F70</f>
        <v>0</v>
      </c>
    </row>
    <row r="71" spans="1:9">
      <c r="A71" s="139" t="s">
        <v>168</v>
      </c>
      <c r="B71" s="140"/>
      <c r="C71" s="141" t="s">
        <v>169</v>
      </c>
      <c r="D71" s="142"/>
      <c r="E71" s="142"/>
      <c r="F71" s="142"/>
      <c r="G71" s="143"/>
    </row>
    <row r="72" spans="1:9">
      <c r="A72" s="139" t="s">
        <v>170</v>
      </c>
      <c r="B72" s="140"/>
      <c r="C72" s="141" t="s">
        <v>171</v>
      </c>
      <c r="D72" s="142"/>
      <c r="E72" s="142"/>
      <c r="F72" s="142"/>
      <c r="G72" s="143"/>
    </row>
    <row r="73" spans="1:9">
      <c r="A73" s="139" t="s">
        <v>172</v>
      </c>
      <c r="B73" s="140"/>
      <c r="C73" s="144"/>
      <c r="D73" s="145"/>
      <c r="E73" s="145"/>
      <c r="F73" s="145"/>
      <c r="G73" s="146"/>
    </row>
    <row r="74" spans="1:9">
      <c r="A74" s="139" t="s">
        <v>173</v>
      </c>
      <c r="B74" s="140"/>
      <c r="C74" s="144"/>
      <c r="D74" s="145"/>
      <c r="E74" s="145"/>
      <c r="F74" s="145"/>
      <c r="G74" s="146"/>
    </row>
    <row r="75" spans="1:9">
      <c r="A75" s="139" t="s">
        <v>174</v>
      </c>
      <c r="B75" s="140"/>
      <c r="C75" s="144"/>
      <c r="D75" s="145"/>
      <c r="E75" s="145"/>
      <c r="F75" s="145"/>
      <c r="G75" s="146"/>
    </row>
    <row r="76" spans="1:9">
      <c r="A76" s="139" t="s">
        <v>175</v>
      </c>
      <c r="B76" s="140"/>
      <c r="C76" s="144"/>
      <c r="D76" s="145"/>
      <c r="E76" s="145"/>
      <c r="F76" s="145"/>
      <c r="G76" s="146"/>
    </row>
    <row r="77" spans="1:9">
      <c r="A77" s="139" t="s">
        <v>176</v>
      </c>
      <c r="B77" s="140"/>
      <c r="C77" s="147"/>
      <c r="D77" s="142"/>
      <c r="E77" s="142"/>
      <c r="F77" s="142"/>
      <c r="G77" s="143"/>
    </row>
    <row r="78" spans="1:9">
      <c r="A78" s="139" t="s">
        <v>177</v>
      </c>
      <c r="B78" s="140"/>
      <c r="C78" s="141"/>
      <c r="D78" s="142"/>
      <c r="E78" s="142"/>
      <c r="F78" s="142"/>
      <c r="G78" s="143"/>
    </row>
    <row r="79" spans="1:9">
      <c r="A79" s="139" t="s">
        <v>178</v>
      </c>
      <c r="B79" s="140"/>
      <c r="C79" s="144"/>
      <c r="D79" s="145"/>
      <c r="E79" s="145"/>
      <c r="F79" s="145"/>
      <c r="G79" s="146"/>
    </row>
    <row r="80" spans="1:9">
      <c r="A80" s="139" t="s">
        <v>179</v>
      </c>
      <c r="B80" s="140"/>
      <c r="C80" s="144"/>
      <c r="D80" s="145"/>
      <c r="E80" s="145"/>
      <c r="F80" s="145"/>
      <c r="G80" s="146"/>
    </row>
    <row r="81" spans="1:7">
      <c r="A81" s="139" t="s">
        <v>180</v>
      </c>
      <c r="B81" s="140"/>
      <c r="C81" s="144"/>
      <c r="D81" s="145"/>
      <c r="E81" s="145"/>
      <c r="F81" s="145"/>
      <c r="G81" s="146"/>
    </row>
    <row r="82" spans="1:7">
      <c r="A82" s="139" t="s">
        <v>181</v>
      </c>
      <c r="B82" s="140"/>
      <c r="C82" s="144"/>
      <c r="D82" s="145"/>
      <c r="E82" s="145"/>
      <c r="F82" s="145"/>
      <c r="G82" s="146"/>
    </row>
    <row r="83" spans="1:7" ht="16.5" thickBot="1">
      <c r="A83" s="148" t="s">
        <v>27</v>
      </c>
      <c r="B83" s="149">
        <f>SUM(B71:B82)</f>
        <v>0</v>
      </c>
      <c r="C83" s="150"/>
      <c r="D83" s="151"/>
      <c r="E83" s="151"/>
      <c r="F83" s="151"/>
      <c r="G83" s="152"/>
    </row>
  </sheetData>
  <mergeCells count="27">
    <mergeCell ref="B8:G8"/>
    <mergeCell ref="F20:G20"/>
    <mergeCell ref="B21:E21"/>
    <mergeCell ref="F21:G21"/>
    <mergeCell ref="B22:E22"/>
    <mergeCell ref="F22:G22"/>
    <mergeCell ref="A23:G23"/>
    <mergeCell ref="B70:C70"/>
    <mergeCell ref="C71:G71"/>
    <mergeCell ref="C72:G72"/>
    <mergeCell ref="C77:G77"/>
    <mergeCell ref="C78:G78"/>
    <mergeCell ref="A1:G1"/>
    <mergeCell ref="A2:G2"/>
    <mergeCell ref="A3:G3"/>
    <mergeCell ref="A69:F69"/>
    <mergeCell ref="B9:G9"/>
    <mergeCell ref="A24:A25"/>
    <mergeCell ref="B24:B25"/>
    <mergeCell ref="C24:F24"/>
    <mergeCell ref="G24:G25"/>
    <mergeCell ref="A17:G17"/>
    <mergeCell ref="B18:E18"/>
    <mergeCell ref="F18:G18"/>
    <mergeCell ref="B19:E19"/>
    <mergeCell ref="F19:G19"/>
    <mergeCell ref="B20:E20"/>
  </mergeCells>
  <pageMargins left="0.19685039370078741" right="0.19685039370078741" top="0.74803149606299213" bottom="1.1417322834645669" header="0.31496062992125984" footer="0.31496062992125984"/>
  <pageSetup paperSize="10000" scale="81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M8" sqref="M8"/>
    </sheetView>
  </sheetViews>
  <sheetFormatPr defaultRowHeight="15"/>
  <sheetData>
    <row r="1" spans="1:7" s="1" customFormat="1" ht="225">
      <c r="A1" s="2"/>
      <c r="B1" s="5" t="s">
        <v>30</v>
      </c>
      <c r="C1" s="2"/>
      <c r="D1" s="3"/>
      <c r="E1" s="6"/>
      <c r="F1" s="2"/>
      <c r="G1" s="2"/>
    </row>
    <row r="2" spans="1:7" s="1" customFormat="1" ht="99">
      <c r="A2" s="2"/>
      <c r="B2" s="3" t="s">
        <v>31</v>
      </c>
      <c r="C2" s="2">
        <v>500</v>
      </c>
      <c r="D2" s="4" t="s">
        <v>34</v>
      </c>
      <c r="E2" s="6">
        <v>25000</v>
      </c>
      <c r="F2" s="2">
        <v>0</v>
      </c>
      <c r="G2" s="6">
        <f>C2*E2</f>
        <v>12500000</v>
      </c>
    </row>
    <row r="3" spans="1:7" s="1" customFormat="1" ht="99">
      <c r="A3" s="2"/>
      <c r="B3" s="3" t="s">
        <v>33</v>
      </c>
      <c r="C3" s="2">
        <v>500</v>
      </c>
      <c r="D3" s="4" t="s">
        <v>34</v>
      </c>
      <c r="E3" s="6">
        <v>15000</v>
      </c>
      <c r="F3" s="2">
        <v>0</v>
      </c>
      <c r="G3" s="6">
        <f>C3*E3</f>
        <v>7500000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perencanaan dan distribusi</vt:lpstr>
      <vt:lpstr>PEMENUHAN</vt:lpstr>
      <vt:lpstr>Pembinaan dan Pengawasana SDMK</vt:lpstr>
      <vt:lpstr>Pengembangan Mutu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aam-amelia</dc:creator>
  <cp:lastModifiedBy>MyPC One Pro K7-24</cp:lastModifiedBy>
  <cp:lastPrinted>2025-06-24T06:57:58Z</cp:lastPrinted>
  <dcterms:created xsi:type="dcterms:W3CDTF">2021-06-11T05:12:55Z</dcterms:created>
  <dcterms:modified xsi:type="dcterms:W3CDTF">2026-02-23T08:09:59Z</dcterms:modified>
</cp:coreProperties>
</file>