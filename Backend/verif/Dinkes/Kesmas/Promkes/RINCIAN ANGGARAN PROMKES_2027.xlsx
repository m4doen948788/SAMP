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MKES 2027\"/>
    </mc:Choice>
  </mc:AlternateContent>
  <xr:revisionPtr revIDLastSave="0" documentId="13_ncr:1_{0BE5388E-C969-4FBD-BA12-58536BEEE58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imtek2027" sheetId="82" r:id="rId1"/>
    <sheet name="Germas2027" sheetId="84" r:id="rId2"/>
    <sheet name="Advo2027" sheetId="83" r:id="rId3"/>
    <sheet name="Promkes2027" sheetId="85" r:id="rId4"/>
  </sheets>
  <definedNames>
    <definedName name="_xlnm.Print_Area" localSheetId="2">Advo2027!$A$1:$H$68</definedName>
    <definedName name="_xlnm.Print_Area" localSheetId="0">Bimtek2027!$A$1:$H$68</definedName>
    <definedName name="_xlnm.Print_Area" localSheetId="1">Germas2027!$A$1:$H$95</definedName>
    <definedName name="_xlnm.Print_Area" localSheetId="3">Promkes2027!$A$1:$H$117</definedName>
  </definedNames>
  <calcPr calcId="181029"/>
</workbook>
</file>

<file path=xl/calcChain.xml><?xml version="1.0" encoding="utf-8"?>
<calcChain xmlns="http://schemas.openxmlformats.org/spreadsheetml/2006/main">
  <c r="H38" i="85" l="1"/>
  <c r="H45" i="85"/>
  <c r="H43" i="85"/>
  <c r="D90" i="84"/>
  <c r="H90" i="84"/>
  <c r="H88" i="84" s="1"/>
  <c r="D51" i="84"/>
  <c r="D50" i="84"/>
  <c r="D87" i="84"/>
  <c r="D83" i="84"/>
  <c r="H87" i="84"/>
  <c r="H86" i="84"/>
  <c r="H85" i="84"/>
  <c r="H83" i="84"/>
  <c r="H71" i="84" s="1"/>
  <c r="H82" i="84"/>
  <c r="H81" i="84"/>
  <c r="H64" i="84"/>
  <c r="H51" i="84"/>
  <c r="H50" i="84"/>
  <c r="D92" i="84"/>
  <c r="H92" i="84"/>
  <c r="D66" i="84"/>
  <c r="H66" i="84" s="1"/>
  <c r="D54" i="84"/>
  <c r="H54" i="84" s="1"/>
  <c r="D53" i="84"/>
  <c r="H53" i="84" s="1"/>
  <c r="D66" i="85"/>
  <c r="H66" i="85" s="1"/>
  <c r="H116" i="85"/>
  <c r="H115" i="85"/>
  <c r="D112" i="85"/>
  <c r="H112" i="85" s="1"/>
  <c r="H113" i="85"/>
  <c r="D109" i="85"/>
  <c r="H109" i="85" s="1"/>
  <c r="D107" i="85"/>
  <c r="H107" i="85" s="1"/>
  <c r="H106" i="85"/>
  <c r="H105" i="85"/>
  <c r="H104" i="85"/>
  <c r="H103" i="85"/>
  <c r="H102" i="85"/>
  <c r="H101" i="85"/>
  <c r="D99" i="85"/>
  <c r="H99" i="85" s="1"/>
  <c r="H98" i="85"/>
  <c r="H97" i="85"/>
  <c r="H96" i="85"/>
  <c r="H95" i="85"/>
  <c r="H94" i="85"/>
  <c r="H93" i="85"/>
  <c r="H90" i="85"/>
  <c r="H89" i="85"/>
  <c r="H87" i="85"/>
  <c r="D86" i="85"/>
  <c r="H86" i="85" s="1"/>
  <c r="D81" i="85"/>
  <c r="H81" i="85" s="1"/>
  <c r="H80" i="85" s="1"/>
  <c r="D79" i="85"/>
  <c r="H79" i="85" s="1"/>
  <c r="H78" i="85" s="1"/>
  <c r="D77" i="85"/>
  <c r="H77" i="85" s="1"/>
  <c r="H76" i="85" s="1"/>
  <c r="H74" i="85"/>
  <c r="H73" i="85"/>
  <c r="H72" i="85"/>
  <c r="D70" i="85"/>
  <c r="H70" i="85" s="1"/>
  <c r="H69" i="85"/>
  <c r="D64" i="85"/>
  <c r="H64" i="85" s="1"/>
  <c r="H62" i="85"/>
  <c r="H60" i="85"/>
  <c r="H58" i="85" s="1"/>
  <c r="D55" i="85"/>
  <c r="H55" i="85" s="1"/>
  <c r="D54" i="85"/>
  <c r="H54" i="85" s="1"/>
  <c r="H52" i="85"/>
  <c r="H51" i="85"/>
  <c r="H49" i="85"/>
  <c r="H48" i="85"/>
  <c r="H44" i="85"/>
  <c r="H42" i="85"/>
  <c r="H41" i="85"/>
  <c r="H40" i="85"/>
  <c r="H39" i="85"/>
  <c r="H37" i="85"/>
  <c r="H36" i="85"/>
  <c r="H94" i="84"/>
  <c r="D79" i="84"/>
  <c r="H79" i="84" s="1"/>
  <c r="H78" i="84"/>
  <c r="H77" i="84"/>
  <c r="H76" i="84"/>
  <c r="H75" i="84"/>
  <c r="H74" i="84"/>
  <c r="H73" i="84"/>
  <c r="H68" i="84"/>
  <c r="H62" i="84"/>
  <c r="H60" i="84"/>
  <c r="D48" i="84"/>
  <c r="H48" i="84" s="1"/>
  <c r="H45" i="84"/>
  <c r="H44" i="84"/>
  <c r="H42" i="84"/>
  <c r="H41" i="84"/>
  <c r="J38" i="84"/>
  <c r="H38" i="84"/>
  <c r="H37" i="84"/>
  <c r="H35" i="84"/>
  <c r="H34" i="84"/>
  <c r="H65" i="83"/>
  <c r="H64" i="83"/>
  <c r="H63" i="83"/>
  <c r="D67" i="83"/>
  <c r="H50" i="83"/>
  <c r="D42" i="83"/>
  <c r="H42" i="83" s="1"/>
  <c r="D41" i="83"/>
  <c r="H41" i="83" s="1"/>
  <c r="H67" i="83"/>
  <c r="H61" i="83"/>
  <c r="D60" i="83"/>
  <c r="H60" i="83" s="1"/>
  <c r="H59" i="83"/>
  <c r="H57" i="83"/>
  <c r="H56" i="83"/>
  <c r="H55" i="83"/>
  <c r="H48" i="83"/>
  <c r="H44" i="83" s="1"/>
  <c r="H43" i="83" s="1"/>
  <c r="H46" i="83"/>
  <c r="J38" i="83"/>
  <c r="H38" i="83"/>
  <c r="H37" i="83"/>
  <c r="H35" i="83"/>
  <c r="H34" i="83"/>
  <c r="D35" i="82"/>
  <c r="H35" i="82"/>
  <c r="D67" i="82"/>
  <c r="D64" i="82"/>
  <c r="D44" i="82"/>
  <c r="D43" i="82"/>
  <c r="H43" i="82" s="1"/>
  <c r="D39" i="82"/>
  <c r="H64" i="82"/>
  <c r="H39" i="82"/>
  <c r="H63" i="82"/>
  <c r="H62" i="82"/>
  <c r="H61" i="82"/>
  <c r="H60" i="82"/>
  <c r="H59" i="82"/>
  <c r="H58" i="82"/>
  <c r="H67" i="82"/>
  <c r="D56" i="82"/>
  <c r="H56" i="82" s="1"/>
  <c r="H55" i="82"/>
  <c r="H53" i="82"/>
  <c r="H52" i="82"/>
  <c r="D50" i="82"/>
  <c r="H50" i="82" s="1"/>
  <c r="H49" i="82"/>
  <c r="H44" i="82"/>
  <c r="H36" i="82"/>
  <c r="H34" i="82"/>
  <c r="H33" i="82"/>
  <c r="H46" i="84" l="1"/>
  <c r="H35" i="85"/>
  <c r="H110" i="85"/>
  <c r="H71" i="85"/>
  <c r="H84" i="85"/>
  <c r="H67" i="85"/>
  <c r="H46" i="85"/>
  <c r="H75" i="85"/>
  <c r="H91" i="85"/>
  <c r="H70" i="84"/>
  <c r="H69" i="84" s="1"/>
  <c r="H36" i="84"/>
  <c r="H33" i="84"/>
  <c r="H58" i="84"/>
  <c r="H57" i="84" s="1"/>
  <c r="H56" i="84" s="1"/>
  <c r="H39" i="84"/>
  <c r="H33" i="83"/>
  <c r="H53" i="83"/>
  <c r="H36" i="83"/>
  <c r="H52" i="83"/>
  <c r="H51" i="83" s="1"/>
  <c r="H39" i="83"/>
  <c r="H41" i="82"/>
  <c r="H32" i="82"/>
  <c r="D40" i="82"/>
  <c r="H40" i="82" s="1"/>
  <c r="H37" i="82" s="1"/>
  <c r="H65" i="82"/>
  <c r="H47" i="82"/>
  <c r="H83" i="85" l="1"/>
  <c r="H82" i="85" s="1"/>
  <c r="H34" i="85"/>
  <c r="H33" i="85" s="1"/>
  <c r="H57" i="85"/>
  <c r="H56" i="85"/>
  <c r="H32" i="84"/>
  <c r="H31" i="84" s="1"/>
  <c r="H30" i="84" s="1"/>
  <c r="H29" i="84" s="1"/>
  <c r="H95" i="84" s="1"/>
  <c r="C98" i="84" s="1"/>
  <c r="C99" i="84" s="1"/>
  <c r="H32" i="83"/>
  <c r="H31" i="83" s="1"/>
  <c r="H30" i="83" s="1"/>
  <c r="H29" i="83" s="1"/>
  <c r="H28" i="83" s="1"/>
  <c r="H68" i="83" s="1"/>
  <c r="H31" i="82"/>
  <c r="H30" i="82" s="1"/>
  <c r="H46" i="82"/>
  <c r="H45" i="82" s="1"/>
  <c r="H32" i="85" l="1"/>
  <c r="H31" i="85" s="1"/>
  <c r="H30" i="85" s="1"/>
  <c r="K30" i="85" s="1"/>
  <c r="H28" i="84"/>
  <c r="G22" i="84" s="1"/>
  <c r="G22" i="83"/>
  <c r="J28" i="83"/>
  <c r="H29" i="82"/>
  <c r="H28" i="82" s="1"/>
  <c r="H27" i="82" s="1"/>
  <c r="G21" i="82" s="1"/>
  <c r="H117" i="85" l="1"/>
  <c r="C119" i="85" s="1"/>
  <c r="G24" i="85"/>
  <c r="J28" i="84"/>
  <c r="H68" i="82"/>
  <c r="C71" i="82" s="1"/>
  <c r="C72" i="82" s="1"/>
  <c r="J27" i="82"/>
</calcChain>
</file>

<file path=xl/sharedStrings.xml><?xml version="1.0" encoding="utf-8"?>
<sst xmlns="http://schemas.openxmlformats.org/spreadsheetml/2006/main" count="702" uniqueCount="233">
  <si>
    <t xml:space="preserve">RINCIAN BELANJA SUB KEGIATAN </t>
  </si>
  <si>
    <t>SATUAN KERJA PERANGKAT DAERAH</t>
  </si>
  <si>
    <t>Urusan</t>
  </si>
  <si>
    <t>:</t>
  </si>
  <si>
    <t>1.02 URUSAN PEMERINTAHAN WAJIB YANG BERKAITAN DENGAN PELAYANAN DASAR</t>
  </si>
  <si>
    <t>Unit Organisasi</t>
  </si>
  <si>
    <t>1.02.0.00.0.00.01.0000 DINAS KESEHATAN</t>
  </si>
  <si>
    <t>Sub Unit Organisasi</t>
  </si>
  <si>
    <t>1.02.0.00.0.00.01.0005 Bidang Kesehatan Masyarakat</t>
  </si>
  <si>
    <t>Program</t>
  </si>
  <si>
    <t>1.02.05 PROGRAM PEMBERDAYAAN MASYARAKAT BIDANG KESEHATAN</t>
  </si>
  <si>
    <t>Kegiatan</t>
  </si>
  <si>
    <t>1.02.05.2.03 Pengembangan dan Pelaksanaan Upaya Kesehatan Bersumber Daya Masyarakat (UKBM) Tingkat Daerah Kabupaten/Kota</t>
  </si>
  <si>
    <t>Sub Kegiatan</t>
  </si>
  <si>
    <t>1.02.05.2.03.01 Bimbingan Teknis dan Supervisi Pengembangan dan Pelaksanaan Upaya Kesehatan Bersumber Daya Masyarakat (UKBM)</t>
  </si>
  <si>
    <t>Sumber Pendanaan</t>
  </si>
  <si>
    <t>PENDAPATAN ASLI DAERAH</t>
  </si>
  <si>
    <t>Lokasi Kegiatan</t>
  </si>
  <si>
    <t>Kab. Bogor, Semua Kecamatan, Semua Kelurahan</t>
  </si>
  <si>
    <t>Waktu Pelaksanaan</t>
  </si>
  <si>
    <t>Januari s.d Desember</t>
  </si>
  <si>
    <t>Kelompok Sasaran</t>
  </si>
  <si>
    <t>Petugas Promkes</t>
  </si>
  <si>
    <t>Indikator &amp; Tolak Ukur Kinerja Belanja</t>
  </si>
  <si>
    <t>Indikator</t>
  </si>
  <si>
    <t>Tolak Ukur Kinerja</t>
  </si>
  <si>
    <t>Target Kinerja</t>
  </si>
  <si>
    <t>Capaian Program</t>
  </si>
  <si>
    <t>Persentase kelompok potensial yang berperan serta dalam bidang kesehatan</t>
  </si>
  <si>
    <t xml:space="preserve">Masukan </t>
  </si>
  <si>
    <t>Dana Yang Dibutuhkan</t>
  </si>
  <si>
    <t>Keluaran</t>
  </si>
  <si>
    <t>Jumlah pertemuan kelompok potensial, jumlah sosialisasi saka bakti husada</t>
  </si>
  <si>
    <t>10 kelompok, 100 orang</t>
  </si>
  <si>
    <t>Hasil</t>
  </si>
  <si>
    <t>Terpenuhinya target upaya kesehatan bersumber daya masyarakat (UKBM) Tingkat Daerah Kabupaten</t>
  </si>
  <si>
    <t>Rincian Belanja Sub Kegiatan</t>
  </si>
  <si>
    <t xml:space="preserve">Kode Rekening </t>
  </si>
  <si>
    <t>Uraian</t>
  </si>
  <si>
    <t xml:space="preserve">Rincian Perhitungan </t>
  </si>
  <si>
    <t>Jumlah</t>
  </si>
  <si>
    <t xml:space="preserve">Koefisien </t>
  </si>
  <si>
    <t>Satuan</t>
  </si>
  <si>
    <t>Harga</t>
  </si>
  <si>
    <t>PPN</t>
  </si>
  <si>
    <t>BELANJA DAERAH</t>
  </si>
  <si>
    <t>5.1</t>
  </si>
  <si>
    <t>BELANJA OPERASI</t>
  </si>
  <si>
    <t>5.1.02</t>
  </si>
  <si>
    <t>Belanja Barang dan Jasa</t>
  </si>
  <si>
    <t>5.1.02.01</t>
  </si>
  <si>
    <t>Belanja Barang</t>
  </si>
  <si>
    <t>5.1.02.01.01</t>
  </si>
  <si>
    <t>Belanja Barang Barang Pakai Habis</t>
  </si>
  <si>
    <t>5.1.02.01.01.0025</t>
  </si>
  <si>
    <t>Belanja Alat/ Bahan untuk Kegiatan Kantor- Kertas dan Cover</t>
  </si>
  <si>
    <t>Kertas F4 80 gr</t>
  </si>
  <si>
    <t>Rim</t>
  </si>
  <si>
    <t>Kertas A4 80 gr</t>
  </si>
  <si>
    <t>5.1.02.01.01.0026</t>
  </si>
  <si>
    <t>Belanja Alat/ Bahan untuk Kegiatan Kantor- Bahan Cetak</t>
  </si>
  <si>
    <t>Fotocopy</t>
  </si>
  <si>
    <t>Spanduk</t>
  </si>
  <si>
    <t>Meter</t>
  </si>
  <si>
    <t>5.1.02.01.01.0052</t>
  </si>
  <si>
    <t>Belanja Makanan dan Minuman Rapat</t>
  </si>
  <si>
    <t>Orientasi Ketrampilan Dasar Kader Posyandu</t>
  </si>
  <si>
    <t xml:space="preserve">Orang/Kali </t>
  </si>
  <si>
    <t>5.1.02.01.01.0043</t>
  </si>
  <si>
    <t>Belanja Natura Dan Pakan Natura</t>
  </si>
  <si>
    <t>Telur isi 10</t>
  </si>
  <si>
    <t>Beras 1 kg</t>
  </si>
  <si>
    <t>5.1.02.04</t>
  </si>
  <si>
    <t>Belanja Perjalanan Dinas</t>
  </si>
  <si>
    <t>5.1.02.04.01</t>
  </si>
  <si>
    <t xml:space="preserve">Belanja Perjalanan Dinas Dalam Negeri </t>
  </si>
  <si>
    <t>5.1.02.04.01.0001</t>
  </si>
  <si>
    <t>Belanja Perjalanan Dinas Biasa</t>
  </si>
  <si>
    <t>Uang Harian Perjalanan Dinas Dalam Negeri (Jawa Barat)</t>
  </si>
  <si>
    <t>Biaya Transport Perjalanan Dinas Dalam Negeri (Jawa Barat)</t>
  </si>
  <si>
    <t>5.1.02.04.01.0003</t>
  </si>
  <si>
    <t>Belanja Perjalanan Dinas Dalam Kota</t>
  </si>
  <si>
    <t>Biaya transport perjalanan dinas lingkup kecamatan dari/ke Cibinong-Tanjungsari untuk Eselon IV/V/PNS/CPNS Golongan IV</t>
  </si>
  <si>
    <t>Orang/Hari</t>
  </si>
  <si>
    <t>Uang Harian Perjalanan Dinas Dalam Daerah lebih dari 8 jam</t>
  </si>
  <si>
    <t>5.1.02.04.01.0004</t>
  </si>
  <si>
    <t>Belanja Perjalanan Dinas Paket Meeting Dalam Kota</t>
  </si>
  <si>
    <t>Uang Saku Peserta Non PNS (masyarakat)</t>
  </si>
  <si>
    <t>Uang Harian Kegiatan Rapat</t>
  </si>
  <si>
    <t>Grand Total :</t>
  </si>
  <si>
    <t>PAGU AWAL</t>
  </si>
  <si>
    <t>PAGU PENGURANGAN</t>
  </si>
  <si>
    <t>SELISIH</t>
  </si>
  <si>
    <t>Orang / Hari</t>
  </si>
  <si>
    <t>Urusan Pemerintahan</t>
  </si>
  <si>
    <t>1 URUSAN PEMERINTAHAN WAJIB YANG BERKAITAN DENGAN PELAYANAN DASAR</t>
  </si>
  <si>
    <t>1.02 URUSAN PEMERINTAHAN BIDANG KESEHATAN</t>
  </si>
  <si>
    <t>1.02.05.2.02 Pelaksanaan Sehat dalam rangka Promotif Preventif Tingkat Daerah Kabupaten/Kota</t>
  </si>
  <si>
    <t>1.02.05.2.02.01 Penyelenggaraan Promosi Kesehatan dan Gerakan Hidup Bersih dan Sehat</t>
  </si>
  <si>
    <t>Persentase Sekolah SLTP dan SLTA yang Menerapkan Aksi Bergizi</t>
  </si>
  <si>
    <t>Jumlah monitoring dan evaluasi program promosi kesehatan dan gerakan hidup bersih dan sehat</t>
  </si>
  <si>
    <t>2 kali</t>
  </si>
  <si>
    <t>Terpenuhinya kebutuhan promosi preventif tingkat daerah kabupaten</t>
  </si>
  <si>
    <t>meter</t>
  </si>
  <si>
    <t>Lembar</t>
  </si>
  <si>
    <t>Roll up Standing Banner</t>
  </si>
  <si>
    <t>Buah</t>
  </si>
  <si>
    <t>Aksi Bergizi di sekolah</t>
  </si>
  <si>
    <t>[-] Belanja Konsumsi Dalam Rangka Hari Tanpa Tembakau Sedunia (HTTS)</t>
  </si>
  <si>
    <t>Beban makanan dan minuman rapat (105 orang)</t>
  </si>
  <si>
    <t>[-] Belanja Konsumsi Dalam Rangka Pelaksanaan Gerakan Hidup Bersih Dan Sehat (GERMAS) di Kabupaten Bogor</t>
  </si>
  <si>
    <t>5.1.02.02</t>
  </si>
  <si>
    <t>Belanja Jasa</t>
  </si>
  <si>
    <t>5.1.02.02.01</t>
  </si>
  <si>
    <t>Belanja Jasa Kantor</t>
  </si>
  <si>
    <t>5.1.02.02.01.0003</t>
  </si>
  <si>
    <t xml:space="preserve">Honorarium Narasumber atau Pembahas, Moderator, Pembawa Acara, dan Panitia </t>
  </si>
  <si>
    <t>(-) Aksi Bergizi di sekolah</t>
  </si>
  <si>
    <t>Honorarium Narasumber/Pembahas Pakar/Ahli (1orx2jam)</t>
  </si>
  <si>
    <t>Orang/jam</t>
  </si>
  <si>
    <t>[-] Pelaksanaan Gerakan Hidup Bersih Dan Sehat (GERMAS) di Kabupaten Bogor</t>
  </si>
  <si>
    <t>[-] Seminar Hari Tanpa Tembakau Sedunia (HTTS)</t>
  </si>
  <si>
    <t>[-] Pelaksanaan Gerakan Pengendalian Penyakit Prioritas (kardiovaskuler, kanker, jantung, stroke, uronefrologi, dan KIA)</t>
  </si>
  <si>
    <t>Honorarium Narasumber/Pembahas (1orx2jamx1kl)</t>
  </si>
  <si>
    <t>Cibinong-cigombong &gt; 2000 cc</t>
  </si>
  <si>
    <t>Cibinong-Gn. Putri &gt; 2000 cc</t>
  </si>
  <si>
    <t>Cibinong-Gn. Sindur &gt; 2000 cc</t>
  </si>
  <si>
    <t>Cibinong-Parung Panjang &gt; 2000 cc</t>
  </si>
  <si>
    <t>Cibinong-leuwisadeng &gt; 2000 cc</t>
  </si>
  <si>
    <t>Cibinong-Tj. Sari &gt; 2000 cc</t>
  </si>
  <si>
    <t>Uang Saku peserta Non PNS (masyarakat)</t>
  </si>
  <si>
    <t>-</t>
  </si>
  <si>
    <t>1.02.05.2.01 Advokasi, Pemberdayaan, Kemitraan, Peningkatan Peran Serta Masyarakat dan Lintas Sektor Tingkat Daerah Kabupaten/Kota</t>
  </si>
  <si>
    <t xml:space="preserve">1.02.05.2.01.0001 Peningkatan Upaya Promosi Kesehatan, Advokasi, Kemitraan dan Pemberdayaan Masyarakat </t>
  </si>
  <si>
    <t>Masyarakat dan lintas sektor Kab. Bogor</t>
  </si>
  <si>
    <t>Jumlah 2024</t>
  </si>
  <si>
    <t>Persentase Posyandu Aktif</t>
  </si>
  <si>
    <t xml:space="preserve">Jumlah Dokumen promosi kesehatan, advokasi, kemitraan dan pemberdayaan masyarakat </t>
  </si>
  <si>
    <t xml:space="preserve">Jumlah Kegiatan promosi kesehatan, advokasi, kemitraan dan pemberdayaan masyarakat </t>
  </si>
  <si>
    <t>4 kegiatan</t>
  </si>
  <si>
    <t>buku</t>
  </si>
  <si>
    <t xml:space="preserve">Pertemuan Mitra Kesehatan </t>
  </si>
  <si>
    <t xml:space="preserve">Honorarium Narasumber/Pembahas, Moderator, Pembawa Acara, dan Panitia </t>
  </si>
  <si>
    <t>Honorarium Narasumber/Pembahas Pakar ahli (1orx2jamx1kl)</t>
  </si>
  <si>
    <t>Honorarium Narasumber/Pembahas Pakar ahli (1orx2jam)</t>
  </si>
  <si>
    <t>1.02.02 PROGRAM PEMENUHAN UPAYA KESEHATAN PERORANGAN DAN UPAYA KESEHATAN MASYARAKAT</t>
  </si>
  <si>
    <t xml:space="preserve">1.02.02.2.02 Penyediaan Layanan Kesehatan untuk UKM dan UKP Rujukan Tingkat Daerah Kabupaten/Kota </t>
  </si>
  <si>
    <t>1.02.02.2.02.0018 Pengelolaan Pelayanan Promosi Kesehatan</t>
  </si>
  <si>
    <t>SPM</t>
  </si>
  <si>
    <t>Jenis Layanan</t>
  </si>
  <si>
    <t>PENDAPATAN ASLI DAERAH (PAD)</t>
  </si>
  <si>
    <t>Jumlah 2025</t>
  </si>
  <si>
    <t>Persentase Layanan Standar Pelayanan Minimal (SPM) Bidang Kesehatan</t>
  </si>
  <si>
    <t>600.661 Orang</t>
  </si>
  <si>
    <t>Jumlah Dokumen Hasil Pengelolaan Pelayanan Promosi Kesehatan</t>
  </si>
  <si>
    <t>7 Dokumen</t>
  </si>
  <si>
    <t>Jumlah Jenis Pengelolaan Layanan Kesehatan</t>
  </si>
  <si>
    <t>Baliho</t>
  </si>
  <si>
    <t>Umbul-umbul</t>
  </si>
  <si>
    <t>[-] Belanja Konsumsi Pembinaan Wilayah Puskesmas</t>
  </si>
  <si>
    <t>Beban makanan dan minuman rapat (119 orang)</t>
  </si>
  <si>
    <t>[-] Belanja Konsumsi Pertemuan PKRS Tk. Kabupaten</t>
  </si>
  <si>
    <t>Beban makanan dan minuman rapat (32 RS + 8 org )</t>
  </si>
  <si>
    <t>[-] Belanja Konsumsi Pertemuan Koordinasi Petugas Promkes Puskesmas</t>
  </si>
  <si>
    <t>Beban makanan dan minuman rapat (115x2kl)</t>
  </si>
  <si>
    <t>[-]  Pertemuan Koordinasi Petugas Promkes Puskesmas</t>
  </si>
  <si>
    <t>[-]  Pertemuan PKRS Tk. Kabupaten</t>
  </si>
  <si>
    <t>5.1.02.02.01.0026</t>
  </si>
  <si>
    <t>Belanja Jasa Tenaga Administrasi</t>
  </si>
  <si>
    <t>[-]</t>
  </si>
  <si>
    <t>Upah Kerja dan Jaminan Kesehatan bagi Pegawai Honorer</t>
  </si>
  <si>
    <t>Orang/Bulan</t>
  </si>
  <si>
    <t>5.1.02.02.01.0055</t>
  </si>
  <si>
    <t>Belanja Jasa Iklan/Reklame, Film, dan Pemotretan</t>
  </si>
  <si>
    <t>Belanja Publikasi Koran lokal harian (Warna)</t>
  </si>
  <si>
    <t>1 kali tayang</t>
  </si>
  <si>
    <t>Belanja Publikasi Online</t>
  </si>
  <si>
    <t>media</t>
  </si>
  <si>
    <t>Siaran Radio</t>
  </si>
  <si>
    <t>5.1.02.02.02</t>
  </si>
  <si>
    <t>Belanja iuran Jaminan/Asuransi</t>
  </si>
  <si>
    <t>5.1.02.02.02.0005</t>
  </si>
  <si>
    <t>Belanja Iuran Jaminan Kesehatan Bagi Non ASN</t>
  </si>
  <si>
    <t>Iuran Jaminan Kesehatan Bagi Non ASN</t>
  </si>
  <si>
    <t>orang/bulan</t>
  </si>
  <si>
    <t>5.1.02.02.02.0006</t>
  </si>
  <si>
    <t>Belanja Iuran Jaminan Kecelakaan Kerja Bagi Non ASN</t>
  </si>
  <si>
    <t>Iuran Jaminan Kecelakaan Kerja Bagi Non ASN</t>
  </si>
  <si>
    <t>5.1.02.02.02.0007</t>
  </si>
  <si>
    <t>Belanja Iuran Jaminan Kematian Bagi Non ASN</t>
  </si>
  <si>
    <t>Iuran Jaminan Kematian Bagi Non ASN</t>
  </si>
  <si>
    <t>Uang Harian Perjalanan Dinas Dalam Negeri (DKI Jakarta)</t>
  </si>
  <si>
    <t>Biaya Transport Perjalanan Dinas Dalam Negeri (DKI Jakarta)</t>
  </si>
  <si>
    <t>[-] Belanja Perjalanan Dinas Pembinaan Wilayah Puskesmas</t>
  </si>
  <si>
    <t>[-] Pembinaan Program Promosi dan PM ke Puskesmas</t>
  </si>
  <si>
    <t>[-] Peliputan Kegiatan Program Kesehatan</t>
  </si>
  <si>
    <t>Leaflet</t>
  </si>
  <si>
    <t>paket</t>
  </si>
  <si>
    <t>- Konsultasi/Koordinasi Kegiatan Promosi Dan PM</t>
  </si>
  <si>
    <t>- Konsultasi/Koordinasi Kegiatan Promosi Dan PM Ke Jawa Barat</t>
  </si>
  <si>
    <t>Pembulatan</t>
  </si>
  <si>
    <t>5.1.02.01.01.0058</t>
  </si>
  <si>
    <t>Belanja Makanan dan Minuman Aktivitas Lapangan</t>
  </si>
  <si>
    <t>Honorarium Narasumber/Pembahas Pakar/Ahli (1orx2jamx1kl)</t>
  </si>
  <si>
    <t>Beban makanan dan minuman rapat (100x6skl)</t>
  </si>
  <si>
    <t>Honorarium Narasumber/Pembahas Pakar/Ahli (1orx1jam)</t>
  </si>
  <si>
    <t>Pemerintah Kabupaten Bogor Tahun Anggaran 2027</t>
  </si>
  <si>
    <t>Upah Kerja dan Jaminan kesehatan bagi Pengemudi</t>
  </si>
  <si>
    <t>Jumlah 2026</t>
  </si>
  <si>
    <t>Buku Percakapan Kader Posyandu</t>
  </si>
  <si>
    <t xml:space="preserve">Media Pencatatan Kader Posyandu </t>
  </si>
  <si>
    <t xml:space="preserve">[-] Pembinaan Posyandu </t>
  </si>
  <si>
    <t xml:space="preserve">[-] Pembinaan P2WKSS </t>
  </si>
  <si>
    <t>[-] Pembinaan Desa</t>
  </si>
  <si>
    <t>Beban makanan dan minuman (50 orang x 11 kl)</t>
  </si>
  <si>
    <t>Beban makanan dan minuman rapat (55 org x 7kl)</t>
  </si>
  <si>
    <t>Workshop Sesi Keluarga Sehat</t>
  </si>
  <si>
    <t>Pertemuan Komunikasi Praktis Bahaya Merokok</t>
  </si>
  <si>
    <t>Pertemuan Promosi Upaya Pencegahan Penyakit</t>
  </si>
  <si>
    <t>Biaya Kegiatan rapat/pertemuan di luar kantor-fullday (50 org x1 kl)</t>
  </si>
  <si>
    <t>Biaya Kegiatan rapat/pertemuan di luar kantor-Fullday (105 org x1 kl)</t>
  </si>
  <si>
    <t>1 dokumen</t>
  </si>
  <si>
    <t>[-] Pertemuan GERMAS Tingkat Kabupaten</t>
  </si>
  <si>
    <t>Beban makanan dan minuman rapat (50 orang x 1 kl)</t>
  </si>
  <si>
    <t>Pertemuan Komunikasi Praktis Pemanfaatan CKG</t>
  </si>
  <si>
    <t>[-] Pertemuan Perilaku Hidup Sehat (PHS)</t>
  </si>
  <si>
    <t>Biaya Kegiatan rapat/pertemuan di luar kantor-fullboard (106 org x1 klx2hr)</t>
  </si>
  <si>
    <t>Honorarium Narasumber/pakar (2orx2jamx2hr)</t>
  </si>
  <si>
    <t>[-] Pertemuan KAP Tenaga Promkes</t>
  </si>
  <si>
    <t>[-] Pertemuan KAP Tenaga Kesehatan</t>
  </si>
  <si>
    <t>Beban makanan dan minuman  (105 orang x 2 kl)</t>
  </si>
  <si>
    <t>Beban makanan dan minuman  (70 orang x 2 kl)</t>
  </si>
  <si>
    <t>Biaya Kegiatan rapat/pertemuan di luar kantor-fullday (45 org x1 kl)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</si>
</sst>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;[Red]#,##0"/>
    <numFmt numFmtId="166" formatCode="&quot;Rp&quot;#,##0;[Red]&quot;Rp&quot;#,##0"/>
    <numFmt numFmtId="167" formatCode="&quot;Rp&quot;#,##0_);\(&quot;Rp&quot;#,##0\)"/>
    <numFmt numFmtId="168" formatCode="_(* #,##0_);_(* \(#,##0\);_(* &quot;-&quot;??_);_(@_)"/>
    <numFmt numFmtId="169" formatCode="&quot;Rp&quot;#,##0"/>
  </numFmts>
  <fonts count="7">
    <font>
      <sz val="11"/>
      <color theme="1"/>
      <name val="Calibri"/>
      <charset val="1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149">
    <xf numFmtId="0" fontId="0" fillId="0" borderId="0" xfId="0"/>
    <xf numFmtId="0" fontId="0" fillId="0" borderId="0" xfId="0" applyAlignment="1">
      <alignment vertical="center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horizontal="right"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6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3" fontId="0" fillId="0" borderId="1" xfId="0" applyNumberFormat="1" applyBorder="1" applyAlignment="1">
      <alignment vertical="center"/>
    </xf>
    <xf numFmtId="166" fontId="0" fillId="0" borderId="1" xfId="0" applyNumberFormat="1" applyBorder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166" fontId="3" fillId="0" borderId="1" xfId="0" applyNumberFormat="1" applyFont="1" applyBorder="1" applyAlignment="1">
      <alignment horizontal="right" vertical="center"/>
    </xf>
    <xf numFmtId="0" fontId="0" fillId="0" borderId="5" xfId="0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166" fontId="0" fillId="0" borderId="0" xfId="0" applyNumberFormat="1"/>
    <xf numFmtId="164" fontId="0" fillId="0" borderId="0" xfId="0" applyNumberFormat="1"/>
    <xf numFmtId="3" fontId="0" fillId="0" borderId="1" xfId="0" applyNumberFormat="1" applyBorder="1" applyAlignment="1">
      <alignment vertical="center" wrapText="1"/>
    </xf>
    <xf numFmtId="0" fontId="2" fillId="0" borderId="8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1" xfId="0" applyFont="1" applyBorder="1"/>
    <xf numFmtId="0" fontId="0" fillId="0" borderId="1" xfId="0" applyBorder="1"/>
    <xf numFmtId="166" fontId="2" fillId="0" borderId="1" xfId="0" applyNumberFormat="1" applyFont="1" applyBorder="1" applyAlignment="1">
      <alignment horizontal="right"/>
    </xf>
    <xf numFmtId="0" fontId="0" fillId="0" borderId="6" xfId="0" applyBorder="1" applyAlignment="1">
      <alignment vertical="center"/>
    </xf>
    <xf numFmtId="167" fontId="2" fillId="0" borderId="1" xfId="0" applyNumberFormat="1" applyFont="1" applyBorder="1" applyAlignment="1">
      <alignment horizontal="right" vertical="center"/>
    </xf>
    <xf numFmtId="168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5" xfId="0" applyFont="1" applyBorder="1"/>
    <xf numFmtId="166" fontId="0" fillId="0" borderId="1" xfId="0" applyNumberFormat="1" applyBorder="1" applyAlignment="1">
      <alignment horizontal="right"/>
    </xf>
    <xf numFmtId="0" fontId="4" fillId="0" borderId="1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166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right" vertical="center"/>
    </xf>
    <xf numFmtId="0" fontId="0" fillId="0" borderId="8" xfId="0" applyBorder="1"/>
    <xf numFmtId="0" fontId="0" fillId="0" borderId="5" xfId="0" applyBorder="1"/>
    <xf numFmtId="165" fontId="2" fillId="0" borderId="1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169" fontId="2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0" xfId="0" applyFont="1"/>
    <xf numFmtId="169" fontId="0" fillId="0" borderId="0" xfId="0" applyNumberFormat="1"/>
    <xf numFmtId="166" fontId="3" fillId="0" borderId="0" xfId="0" applyNumberFormat="1" applyFont="1"/>
    <xf numFmtId="165" fontId="2" fillId="0" borderId="1" xfId="0" applyNumberFormat="1" applyFont="1" applyBorder="1" applyAlignment="1">
      <alignment horizontal="right" vertical="center"/>
    </xf>
    <xf numFmtId="0" fontId="0" fillId="0" borderId="1" xfId="0" quotePrefix="1" applyBorder="1" applyAlignment="1">
      <alignment vertical="center"/>
    </xf>
    <xf numFmtId="0" fontId="0" fillId="0" borderId="0" xfId="0" quotePrefix="1" applyAlignment="1">
      <alignment horizontal="left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vertical="center"/>
    </xf>
    <xf numFmtId="0" fontId="2" fillId="0" borderId="5" xfId="0" quotePrefix="1" applyFont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3" fontId="0" fillId="2" borderId="1" xfId="0" applyNumberFormat="1" applyFill="1" applyBorder="1" applyAlignment="1">
      <alignment vertical="center"/>
    </xf>
    <xf numFmtId="166" fontId="0" fillId="2" borderId="1" xfId="0" applyNumberFormat="1" applyFill="1" applyBorder="1" applyAlignment="1">
      <alignment horizontal="right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3" fontId="0" fillId="2" borderId="1" xfId="0" applyNumberFormat="1" applyFill="1" applyBorder="1"/>
    <xf numFmtId="166" fontId="0" fillId="2" borderId="1" xfId="0" applyNumberFormat="1" applyFill="1" applyBorder="1" applyAlignment="1">
      <alignment horizontal="right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9" fontId="0" fillId="0" borderId="5" xfId="0" applyNumberForma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right" vertical="center"/>
    </xf>
    <xf numFmtId="165" fontId="2" fillId="0" borderId="9" xfId="0" applyNumberFormat="1" applyFont="1" applyBorder="1" applyAlignment="1">
      <alignment horizontal="right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66" fontId="0" fillId="0" borderId="5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8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left" vertical="center"/>
    </xf>
    <xf numFmtId="0" fontId="0" fillId="0" borderId="2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27" Type="http://www.wps.cn/officeDocument/2023/relationships/customStorage" Target="customStorage/customStorage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60989-1B89-4B0E-A720-015E1B594066}">
  <sheetPr>
    <tabColor theme="0" tint="-0.14996795556505021"/>
  </sheetPr>
  <dimension ref="A1:J72"/>
  <sheetViews>
    <sheetView tabSelected="1" view="pageBreakPreview" zoomScale="90" zoomScaleNormal="90" workbookViewId="0">
      <selection sqref="A1:H1"/>
    </sheetView>
  </sheetViews>
  <sheetFormatPr defaultColWidth="9" defaultRowHeight="14.5"/>
  <cols>
    <col min="1" max="1" width="20.453125" customWidth="1"/>
    <col min="2" max="2" width="3.54296875" customWidth="1"/>
    <col min="3" max="3" width="28.08984375" customWidth="1"/>
    <col min="4" max="4" width="10.1796875" customWidth="1"/>
    <col min="5" max="5" width="14" customWidth="1"/>
    <col min="6" max="6" width="9.81640625" customWidth="1"/>
    <col min="7" max="7" width="7.453125" customWidth="1"/>
    <col min="8" max="8" width="17.08984375" style="2" customWidth="1"/>
    <col min="10" max="10" width="14.36328125" customWidth="1"/>
  </cols>
  <sheetData>
    <row r="1" spans="1:8" ht="18.5">
      <c r="A1" s="122" t="s">
        <v>0</v>
      </c>
      <c r="B1" s="122"/>
      <c r="C1" s="122"/>
      <c r="D1" s="122"/>
      <c r="E1" s="122"/>
      <c r="F1" s="122"/>
      <c r="G1" s="122"/>
      <c r="H1" s="122"/>
    </row>
    <row r="2" spans="1:8" ht="18.5">
      <c r="A2" s="122" t="s">
        <v>1</v>
      </c>
      <c r="B2" s="122"/>
      <c r="C2" s="122"/>
      <c r="D2" s="122"/>
      <c r="E2" s="122"/>
      <c r="F2" s="122"/>
      <c r="G2" s="122"/>
      <c r="H2" s="122"/>
    </row>
    <row r="3" spans="1:8">
      <c r="A3" s="123" t="s">
        <v>206</v>
      </c>
      <c r="B3" s="123"/>
      <c r="C3" s="123"/>
      <c r="D3" s="123"/>
      <c r="E3" s="123"/>
      <c r="F3" s="123"/>
      <c r="G3" s="123"/>
      <c r="H3" s="12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2</v>
      </c>
      <c r="B5" s="3" t="s">
        <v>3</v>
      </c>
      <c r="C5" s="1" t="s">
        <v>4</v>
      </c>
      <c r="D5" s="1"/>
      <c r="E5" s="1"/>
      <c r="F5" s="1"/>
      <c r="G5" s="1"/>
      <c r="H5" s="1"/>
    </row>
    <row r="6" spans="1:8">
      <c r="A6" s="4" t="s">
        <v>5</v>
      </c>
      <c r="B6" s="3" t="s">
        <v>3</v>
      </c>
      <c r="C6" s="4" t="s">
        <v>6</v>
      </c>
      <c r="D6" s="3"/>
      <c r="E6" s="3"/>
      <c r="F6" s="3"/>
      <c r="G6" s="3"/>
      <c r="H6" s="3"/>
    </row>
    <row r="7" spans="1:8">
      <c r="A7" s="4" t="s">
        <v>7</v>
      </c>
      <c r="B7" s="3" t="s">
        <v>3</v>
      </c>
      <c r="C7" s="4" t="s">
        <v>8</v>
      </c>
      <c r="D7" s="3"/>
      <c r="E7" s="3"/>
      <c r="F7" s="3"/>
      <c r="G7" s="3"/>
      <c r="H7" s="3"/>
    </row>
    <row r="8" spans="1:8">
      <c r="A8" s="4" t="s">
        <v>9</v>
      </c>
      <c r="B8" s="3" t="s">
        <v>3</v>
      </c>
      <c r="C8" s="1" t="s">
        <v>10</v>
      </c>
      <c r="D8" s="1"/>
      <c r="E8" s="1"/>
      <c r="F8" s="1"/>
      <c r="G8" s="1"/>
      <c r="H8" s="5"/>
    </row>
    <row r="9" spans="1:8" ht="27" customHeight="1">
      <c r="A9" s="4" t="s">
        <v>11</v>
      </c>
      <c r="B9" s="3" t="s">
        <v>3</v>
      </c>
      <c r="C9" s="124" t="s">
        <v>12</v>
      </c>
      <c r="D9" s="124"/>
      <c r="E9" s="124"/>
      <c r="F9" s="124"/>
      <c r="G9" s="124"/>
      <c r="H9" s="124"/>
    </row>
    <row r="10" spans="1:8" ht="25.75" customHeight="1">
      <c r="A10" s="4" t="s">
        <v>13</v>
      </c>
      <c r="B10" s="3" t="s">
        <v>3</v>
      </c>
      <c r="C10" s="124" t="s">
        <v>14</v>
      </c>
      <c r="D10" s="124"/>
      <c r="E10" s="124"/>
      <c r="F10" s="124"/>
      <c r="G10" s="124"/>
      <c r="H10" s="124"/>
    </row>
    <row r="11" spans="1:8">
      <c r="A11" s="4" t="s">
        <v>15</v>
      </c>
      <c r="B11" s="3" t="s">
        <v>3</v>
      </c>
      <c r="C11" s="4" t="s">
        <v>16</v>
      </c>
      <c r="D11" s="3"/>
      <c r="E11" s="3"/>
      <c r="F11" s="3"/>
      <c r="G11" s="3"/>
      <c r="H11" s="3"/>
    </row>
    <row r="12" spans="1:8">
      <c r="A12" s="4" t="s">
        <v>17</v>
      </c>
      <c r="B12" s="3" t="s">
        <v>3</v>
      </c>
      <c r="C12" s="4" t="s">
        <v>18</v>
      </c>
      <c r="D12" s="3"/>
      <c r="E12" s="3"/>
      <c r="F12" s="3"/>
      <c r="G12" s="3"/>
      <c r="H12" s="3"/>
    </row>
    <row r="13" spans="1:8">
      <c r="A13" s="4" t="s">
        <v>19</v>
      </c>
      <c r="B13" s="3" t="s">
        <v>3</v>
      </c>
      <c r="C13" s="4" t="s">
        <v>20</v>
      </c>
      <c r="D13" s="3"/>
      <c r="E13" s="3"/>
      <c r="F13" s="3"/>
      <c r="G13" s="3"/>
      <c r="H13" s="3"/>
    </row>
    <row r="14" spans="1:8">
      <c r="A14" s="4" t="s">
        <v>21</v>
      </c>
      <c r="B14" s="3" t="s">
        <v>3</v>
      </c>
      <c r="C14" s="4" t="s">
        <v>22</v>
      </c>
      <c r="D14" s="3"/>
      <c r="E14" s="3"/>
      <c r="F14" s="3"/>
      <c r="G14" s="3"/>
      <c r="H14" s="3"/>
    </row>
    <row r="15" spans="1:8">
      <c r="A15" s="4" t="s">
        <v>135</v>
      </c>
      <c r="B15" s="3" t="s">
        <v>3</v>
      </c>
      <c r="C15" s="4"/>
      <c r="D15" s="3"/>
      <c r="E15" s="3"/>
      <c r="F15" s="3"/>
      <c r="G15" s="3"/>
      <c r="H15" s="3"/>
    </row>
    <row r="16" spans="1:8">
      <c r="A16" s="4" t="s">
        <v>151</v>
      </c>
      <c r="B16" s="3" t="s">
        <v>3</v>
      </c>
      <c r="C16" s="1"/>
      <c r="D16" s="1"/>
      <c r="E16" s="1"/>
      <c r="F16" s="1"/>
      <c r="G16" s="1"/>
      <c r="H16" s="7"/>
    </row>
    <row r="17" spans="1:10">
      <c r="A17" s="4" t="s">
        <v>208</v>
      </c>
      <c r="B17" s="3" t="s">
        <v>3</v>
      </c>
      <c r="C17" s="6"/>
      <c r="D17" s="6"/>
      <c r="E17" s="6"/>
      <c r="F17" s="6"/>
      <c r="G17" s="6"/>
      <c r="H17" s="6"/>
    </row>
    <row r="18" spans="1:10">
      <c r="A18" s="125" t="s">
        <v>23</v>
      </c>
      <c r="B18" s="126"/>
      <c r="C18" s="126"/>
      <c r="D18" s="126"/>
      <c r="E18" s="126"/>
      <c r="F18" s="126"/>
      <c r="G18" s="126"/>
      <c r="H18" s="127"/>
    </row>
    <row r="19" spans="1:10" ht="33" customHeight="1">
      <c r="A19" s="8" t="s">
        <v>24</v>
      </c>
      <c r="B19" s="9"/>
      <c r="C19" s="112" t="s">
        <v>25</v>
      </c>
      <c r="D19" s="113"/>
      <c r="E19" s="113"/>
      <c r="F19" s="114"/>
      <c r="G19" s="9" t="s">
        <v>26</v>
      </c>
      <c r="H19" s="10"/>
    </row>
    <row r="20" spans="1:10" ht="33" customHeight="1">
      <c r="A20" s="8" t="s">
        <v>27</v>
      </c>
      <c r="B20" s="9"/>
      <c r="C20" s="100" t="s">
        <v>28</v>
      </c>
      <c r="D20" s="101"/>
      <c r="E20" s="101"/>
      <c r="F20" s="103"/>
      <c r="G20" s="115">
        <v>0.5</v>
      </c>
      <c r="H20" s="116"/>
    </row>
    <row r="21" spans="1:10" ht="33" customHeight="1">
      <c r="A21" s="8" t="s">
        <v>29</v>
      </c>
      <c r="B21" s="9"/>
      <c r="C21" s="117" t="s">
        <v>30</v>
      </c>
      <c r="D21" s="118"/>
      <c r="E21" s="118"/>
      <c r="F21" s="116"/>
      <c r="G21" s="119">
        <f>H27</f>
        <v>123173000</v>
      </c>
      <c r="H21" s="116"/>
    </row>
    <row r="22" spans="1:10" ht="33" customHeight="1">
      <c r="A22" s="8" t="s">
        <v>31</v>
      </c>
      <c r="B22" s="11"/>
      <c r="C22" s="100" t="s">
        <v>32</v>
      </c>
      <c r="D22" s="101"/>
      <c r="E22" s="101"/>
      <c r="F22" s="103"/>
      <c r="G22" s="120" t="s">
        <v>33</v>
      </c>
      <c r="H22" s="121"/>
    </row>
    <row r="23" spans="1:10" ht="33" customHeight="1">
      <c r="A23" s="8" t="s">
        <v>34</v>
      </c>
      <c r="B23" s="9"/>
      <c r="C23" s="100" t="s">
        <v>35</v>
      </c>
      <c r="D23" s="101"/>
      <c r="E23" s="101"/>
      <c r="F23" s="101"/>
      <c r="G23" s="102">
        <v>1</v>
      </c>
      <c r="H23" s="103"/>
    </row>
    <row r="24" spans="1:10">
      <c r="A24" s="104" t="s">
        <v>36</v>
      </c>
      <c r="B24" s="105"/>
      <c r="C24" s="105"/>
      <c r="D24" s="105"/>
      <c r="E24" s="105"/>
      <c r="F24" s="105"/>
      <c r="G24" s="105"/>
      <c r="H24" s="106"/>
    </row>
    <row r="25" spans="1:10">
      <c r="A25" s="107" t="s">
        <v>37</v>
      </c>
      <c r="B25" s="12"/>
      <c r="C25" s="107" t="s">
        <v>38</v>
      </c>
      <c r="D25" s="109" t="s">
        <v>39</v>
      </c>
      <c r="E25" s="97"/>
      <c r="F25" s="97"/>
      <c r="G25" s="98"/>
      <c r="H25" s="110" t="s">
        <v>40</v>
      </c>
    </row>
    <row r="26" spans="1:10">
      <c r="A26" s="108"/>
      <c r="B26" s="13"/>
      <c r="C26" s="108"/>
      <c r="D26" s="14" t="s">
        <v>41</v>
      </c>
      <c r="E26" s="14" t="s">
        <v>42</v>
      </c>
      <c r="F26" s="14" t="s">
        <v>43</v>
      </c>
      <c r="G26" s="14" t="s">
        <v>44</v>
      </c>
      <c r="H26" s="111"/>
    </row>
    <row r="27" spans="1:10">
      <c r="A27" s="15">
        <v>5</v>
      </c>
      <c r="B27" s="16"/>
      <c r="C27" s="16" t="s">
        <v>45</v>
      </c>
      <c r="D27" s="97"/>
      <c r="E27" s="97"/>
      <c r="F27" s="97"/>
      <c r="G27" s="98"/>
      <c r="H27" s="17">
        <f>H28</f>
        <v>123173000</v>
      </c>
      <c r="J27" s="70">
        <f>H27-123173000</f>
        <v>0</v>
      </c>
    </row>
    <row r="28" spans="1:10">
      <c r="A28" s="18" t="s">
        <v>46</v>
      </c>
      <c r="B28" s="19"/>
      <c r="C28" s="91" t="s">
        <v>47</v>
      </c>
      <c r="D28" s="92"/>
      <c r="E28" s="92"/>
      <c r="F28" s="92"/>
      <c r="G28" s="93"/>
      <c r="H28" s="17">
        <f>H29</f>
        <v>123173000</v>
      </c>
    </row>
    <row r="29" spans="1:10">
      <c r="A29" s="18" t="s">
        <v>48</v>
      </c>
      <c r="B29" s="19"/>
      <c r="C29" s="91" t="s">
        <v>49</v>
      </c>
      <c r="D29" s="92"/>
      <c r="E29" s="92"/>
      <c r="F29" s="92"/>
      <c r="G29" s="93"/>
      <c r="H29" s="66">
        <f>H30+H45</f>
        <v>123173000</v>
      </c>
      <c r="J29" s="35"/>
    </row>
    <row r="30" spans="1:10">
      <c r="A30" s="18" t="s">
        <v>50</v>
      </c>
      <c r="B30" s="18"/>
      <c r="C30" s="99" t="s">
        <v>51</v>
      </c>
      <c r="D30" s="99"/>
      <c r="E30" s="99"/>
      <c r="F30" s="99"/>
      <c r="G30" s="99"/>
      <c r="H30" s="66">
        <f>H31</f>
        <v>69933000</v>
      </c>
    </row>
    <row r="31" spans="1:10">
      <c r="A31" s="18" t="s">
        <v>52</v>
      </c>
      <c r="B31" s="18"/>
      <c r="C31" s="99" t="s">
        <v>53</v>
      </c>
      <c r="D31" s="99"/>
      <c r="E31" s="99"/>
      <c r="F31" s="99"/>
      <c r="G31" s="99"/>
      <c r="H31" s="66">
        <f>+H32+H37+H41</f>
        <v>69933000</v>
      </c>
    </row>
    <row r="32" spans="1:10">
      <c r="A32" s="18" t="s">
        <v>59</v>
      </c>
      <c r="B32" s="19"/>
      <c r="C32" s="91" t="s">
        <v>60</v>
      </c>
      <c r="D32" s="92"/>
      <c r="E32" s="92"/>
      <c r="F32" s="92"/>
      <c r="G32" s="93"/>
      <c r="H32" s="17">
        <f>SUM(H33:H36)</f>
        <v>34607050</v>
      </c>
    </row>
    <row r="33" spans="1:8" ht="29">
      <c r="A33" s="11"/>
      <c r="B33" s="11"/>
      <c r="C33" s="34" t="s">
        <v>210</v>
      </c>
      <c r="D33" s="9">
        <v>340</v>
      </c>
      <c r="E33" s="9" t="s">
        <v>140</v>
      </c>
      <c r="F33" s="22">
        <v>40209.75</v>
      </c>
      <c r="G33" s="1">
        <v>0</v>
      </c>
      <c r="H33" s="23">
        <f>SUM(F33*D33)</f>
        <v>13671315</v>
      </c>
    </row>
    <row r="34" spans="1:8" ht="29">
      <c r="A34" s="11"/>
      <c r="B34" s="40"/>
      <c r="C34" s="30" t="s">
        <v>209</v>
      </c>
      <c r="D34" s="25">
        <v>340</v>
      </c>
      <c r="E34" s="25" t="s">
        <v>140</v>
      </c>
      <c r="F34" s="26">
        <v>53446.5</v>
      </c>
      <c r="G34" s="27">
        <v>0</v>
      </c>
      <c r="H34" s="28">
        <f>SUM(F34*D34)</f>
        <v>18171810</v>
      </c>
    </row>
    <row r="35" spans="1:8">
      <c r="A35" s="11"/>
      <c r="B35" s="40"/>
      <c r="C35" s="34" t="s">
        <v>62</v>
      </c>
      <c r="D35" s="9">
        <f>5*11</f>
        <v>55</v>
      </c>
      <c r="E35" s="9" t="s">
        <v>103</v>
      </c>
      <c r="F35" s="22">
        <v>47000</v>
      </c>
      <c r="G35" s="67"/>
      <c r="H35" s="23">
        <f t="shared" ref="H35" si="0">SUM(F35*D35)</f>
        <v>2585000</v>
      </c>
    </row>
    <row r="36" spans="1:8">
      <c r="A36" s="11"/>
      <c r="B36" s="40"/>
      <c r="C36" s="30" t="s">
        <v>61</v>
      </c>
      <c r="D36" s="25">
        <v>421</v>
      </c>
      <c r="E36" s="25" t="s">
        <v>104</v>
      </c>
      <c r="F36" s="26">
        <v>425</v>
      </c>
      <c r="G36" s="27">
        <v>0</v>
      </c>
      <c r="H36" s="28">
        <f>SUM(F36*D36)</f>
        <v>178925</v>
      </c>
    </row>
    <row r="37" spans="1:8" ht="14.5" customHeight="1">
      <c r="A37" s="18" t="s">
        <v>201</v>
      </c>
      <c r="B37" s="19"/>
      <c r="C37" s="85" t="s">
        <v>202</v>
      </c>
      <c r="D37" s="86"/>
      <c r="E37" s="86"/>
      <c r="F37" s="86"/>
      <c r="G37" s="87"/>
      <c r="H37" s="17">
        <f>SUM(H39:H40)</f>
        <v>27225000</v>
      </c>
    </row>
    <row r="38" spans="1:8">
      <c r="A38" s="18"/>
      <c r="B38" s="19"/>
      <c r="C38" s="85" t="s">
        <v>66</v>
      </c>
      <c r="D38" s="86"/>
      <c r="E38" s="86"/>
      <c r="F38" s="86"/>
      <c r="G38" s="87"/>
      <c r="H38" s="17"/>
    </row>
    <row r="39" spans="1:8" ht="29">
      <c r="A39" s="18"/>
      <c r="B39" s="19"/>
      <c r="C39" s="34" t="s">
        <v>214</v>
      </c>
      <c r="D39" s="9">
        <f>50*11</f>
        <v>550</v>
      </c>
      <c r="E39" s="9" t="s">
        <v>67</v>
      </c>
      <c r="F39" s="22">
        <v>33000</v>
      </c>
      <c r="G39" s="9">
        <v>0</v>
      </c>
      <c r="H39" s="23">
        <f t="shared" ref="H39:H40" si="1">SUM(F39*D39)</f>
        <v>18150000</v>
      </c>
    </row>
    <row r="40" spans="1:8" ht="29">
      <c r="A40" s="9"/>
      <c r="B40" s="9"/>
      <c r="C40" s="34" t="s">
        <v>214</v>
      </c>
      <c r="D40" s="9">
        <f>D39</f>
        <v>550</v>
      </c>
      <c r="E40" s="9" t="s">
        <v>67</v>
      </c>
      <c r="F40" s="22">
        <v>16500</v>
      </c>
      <c r="G40" s="9">
        <v>0</v>
      </c>
      <c r="H40" s="23">
        <f t="shared" si="1"/>
        <v>9075000</v>
      </c>
    </row>
    <row r="41" spans="1:8">
      <c r="A41" s="55" t="s">
        <v>68</v>
      </c>
      <c r="B41" s="56"/>
      <c r="C41" s="94" t="s">
        <v>69</v>
      </c>
      <c r="D41" s="95"/>
      <c r="E41" s="95"/>
      <c r="F41" s="95"/>
      <c r="G41" s="96"/>
      <c r="H41" s="57">
        <f>SUM(H43:H44)</f>
        <v>8100950</v>
      </c>
    </row>
    <row r="42" spans="1:8">
      <c r="A42" s="55"/>
      <c r="B42" s="56"/>
      <c r="C42" s="85" t="s">
        <v>66</v>
      </c>
      <c r="D42" s="86"/>
      <c r="E42" s="86"/>
      <c r="F42" s="86"/>
      <c r="G42" s="87"/>
      <c r="H42" s="57"/>
    </row>
    <row r="43" spans="1:8">
      <c r="A43" s="55"/>
      <c r="B43" s="56"/>
      <c r="C43" s="58" t="s">
        <v>70</v>
      </c>
      <c r="D43" s="59">
        <f>13*11</f>
        <v>143</v>
      </c>
      <c r="E43" s="59" t="s">
        <v>67</v>
      </c>
      <c r="F43" s="60">
        <v>32375</v>
      </c>
      <c r="G43" s="59">
        <v>0</v>
      </c>
      <c r="H43" s="61">
        <f>SUM(F43*D43)</f>
        <v>4629625</v>
      </c>
    </row>
    <row r="44" spans="1:8">
      <c r="A44" s="55"/>
      <c r="B44" s="56"/>
      <c r="C44" s="58" t="s">
        <v>71</v>
      </c>
      <c r="D44" s="59">
        <f>13*11</f>
        <v>143</v>
      </c>
      <c r="E44" s="59" t="s">
        <v>67</v>
      </c>
      <c r="F44" s="60">
        <v>24275</v>
      </c>
      <c r="G44" s="59">
        <v>0</v>
      </c>
      <c r="H44" s="61">
        <f t="shared" ref="H44" si="2">SUM(F44*D44)</f>
        <v>3471325</v>
      </c>
    </row>
    <row r="45" spans="1:8">
      <c r="A45" s="18" t="s">
        <v>72</v>
      </c>
      <c r="B45" s="19"/>
      <c r="C45" s="91" t="s">
        <v>73</v>
      </c>
      <c r="D45" s="92"/>
      <c r="E45" s="92"/>
      <c r="F45" s="92"/>
      <c r="G45" s="93"/>
      <c r="H45" s="17">
        <f>H46</f>
        <v>53240000</v>
      </c>
    </row>
    <row r="46" spans="1:8">
      <c r="A46" s="18" t="s">
        <v>74</v>
      </c>
      <c r="B46" s="19"/>
      <c r="C46" s="91" t="s">
        <v>75</v>
      </c>
      <c r="D46" s="92"/>
      <c r="E46" s="92"/>
      <c r="F46" s="92"/>
      <c r="G46" s="93"/>
      <c r="H46" s="17">
        <f>+H47+H65</f>
        <v>53240000</v>
      </c>
    </row>
    <row r="47" spans="1:8">
      <c r="A47" s="18" t="s">
        <v>80</v>
      </c>
      <c r="B47" s="19"/>
      <c r="C47" s="91" t="s">
        <v>81</v>
      </c>
      <c r="D47" s="92"/>
      <c r="E47" s="92"/>
      <c r="F47" s="92"/>
      <c r="G47" s="93"/>
      <c r="H47" s="17">
        <f>SUM(H49:H64)</f>
        <v>20240000</v>
      </c>
    </row>
    <row r="48" spans="1:8" ht="14.5" customHeight="1">
      <c r="A48" s="18"/>
      <c r="B48" s="19"/>
      <c r="C48" s="85" t="s">
        <v>213</v>
      </c>
      <c r="D48" s="86"/>
      <c r="E48" s="86"/>
      <c r="F48" s="86"/>
      <c r="G48" s="87"/>
      <c r="H48" s="17"/>
    </row>
    <row r="49" spans="1:8" ht="14.5" customHeight="1">
      <c r="A49" s="18"/>
      <c r="B49" s="19"/>
      <c r="C49" s="34" t="s">
        <v>82</v>
      </c>
      <c r="D49" s="9">
        <v>2</v>
      </c>
      <c r="E49" s="9" t="s">
        <v>83</v>
      </c>
      <c r="F49" s="22">
        <v>260000</v>
      </c>
      <c r="G49" s="9">
        <v>0</v>
      </c>
      <c r="H49" s="23">
        <f>SUM(F49*D49)</f>
        <v>520000</v>
      </c>
    </row>
    <row r="50" spans="1:8" ht="29">
      <c r="A50" s="18"/>
      <c r="B50" s="19"/>
      <c r="C50" s="34" t="s">
        <v>84</v>
      </c>
      <c r="D50" s="9">
        <f>4*2</f>
        <v>8</v>
      </c>
      <c r="E50" s="9" t="s">
        <v>83</v>
      </c>
      <c r="F50" s="22">
        <v>170000</v>
      </c>
      <c r="G50" s="9">
        <v>0</v>
      </c>
      <c r="H50" s="23">
        <f>SUM(F50*D50)</f>
        <v>1360000</v>
      </c>
    </row>
    <row r="51" spans="1:8" ht="14.5" customHeight="1">
      <c r="A51" s="18"/>
      <c r="B51" s="19"/>
      <c r="C51" s="31" t="s">
        <v>211</v>
      </c>
      <c r="D51" s="32"/>
      <c r="E51" s="32"/>
      <c r="F51" s="32"/>
      <c r="G51" s="33"/>
      <c r="H51" s="17"/>
    </row>
    <row r="52" spans="1:8" ht="72.5">
      <c r="A52" s="18"/>
      <c r="B52" s="19"/>
      <c r="C52" s="34" t="s">
        <v>82</v>
      </c>
      <c r="D52" s="9">
        <v>2</v>
      </c>
      <c r="E52" s="9" t="s">
        <v>83</v>
      </c>
      <c r="F52" s="22">
        <v>260000</v>
      </c>
      <c r="G52" s="9">
        <v>0</v>
      </c>
      <c r="H52" s="23">
        <f t="shared" ref="H52:H53" si="3">SUM(F52*D52)</f>
        <v>520000</v>
      </c>
    </row>
    <row r="53" spans="1:8" ht="29">
      <c r="A53" s="18"/>
      <c r="B53" s="19"/>
      <c r="C53" s="34" t="s">
        <v>84</v>
      </c>
      <c r="D53" s="9">
        <v>8</v>
      </c>
      <c r="E53" s="9" t="s">
        <v>83</v>
      </c>
      <c r="F53" s="22">
        <v>170000</v>
      </c>
      <c r="G53" s="9">
        <v>0</v>
      </c>
      <c r="H53" s="23">
        <f t="shared" si="3"/>
        <v>1360000</v>
      </c>
    </row>
    <row r="54" spans="1:8" ht="21" customHeight="1">
      <c r="A54" s="18"/>
      <c r="B54" s="19"/>
      <c r="C54" s="85" t="s">
        <v>212</v>
      </c>
      <c r="D54" s="86"/>
      <c r="E54" s="86"/>
      <c r="F54" s="86"/>
      <c r="G54" s="87"/>
      <c r="H54" s="17"/>
    </row>
    <row r="55" spans="1:8" ht="72.5">
      <c r="A55" s="18"/>
      <c r="B55" s="19"/>
      <c r="C55" s="34" t="s">
        <v>82</v>
      </c>
      <c r="D55" s="9">
        <v>5</v>
      </c>
      <c r="E55" s="9" t="s">
        <v>83</v>
      </c>
      <c r="F55" s="22">
        <v>260000</v>
      </c>
      <c r="G55" s="9">
        <v>0</v>
      </c>
      <c r="H55" s="23">
        <f t="shared" ref="H55:H56" si="4">SUM(F55*D55)</f>
        <v>1300000</v>
      </c>
    </row>
    <row r="56" spans="1:8" ht="29">
      <c r="A56" s="18"/>
      <c r="B56" s="19"/>
      <c r="C56" s="34" t="s">
        <v>84</v>
      </c>
      <c r="D56" s="9">
        <f>4*5</f>
        <v>20</v>
      </c>
      <c r="E56" s="9" t="s">
        <v>83</v>
      </c>
      <c r="F56" s="22">
        <v>170000</v>
      </c>
      <c r="G56" s="9">
        <v>0</v>
      </c>
      <c r="H56" s="23">
        <f t="shared" si="4"/>
        <v>3400000</v>
      </c>
    </row>
    <row r="57" spans="1:8" ht="14.5" customHeight="1">
      <c r="A57" s="18"/>
      <c r="B57" s="19"/>
      <c r="C57" s="85" t="s">
        <v>66</v>
      </c>
      <c r="D57" s="86"/>
      <c r="E57" s="86"/>
      <c r="F57" s="86"/>
      <c r="G57" s="87"/>
      <c r="H57" s="17"/>
    </row>
    <row r="58" spans="1:8">
      <c r="A58" s="18"/>
      <c r="B58" s="19"/>
      <c r="C58" s="34" t="s">
        <v>124</v>
      </c>
      <c r="D58" s="9">
        <v>2</v>
      </c>
      <c r="E58" s="9" t="s">
        <v>83</v>
      </c>
      <c r="F58" s="22">
        <v>225000</v>
      </c>
      <c r="G58" s="9">
        <v>0</v>
      </c>
      <c r="H58" s="23">
        <f t="shared" ref="H58:H63" si="5">SUM(F58*D58)</f>
        <v>450000</v>
      </c>
    </row>
    <row r="59" spans="1:8">
      <c r="A59" s="18"/>
      <c r="B59" s="19"/>
      <c r="C59" s="34" t="s">
        <v>125</v>
      </c>
      <c r="D59" s="9">
        <v>2</v>
      </c>
      <c r="E59" s="9" t="s">
        <v>83</v>
      </c>
      <c r="F59" s="22">
        <v>165000</v>
      </c>
      <c r="G59" s="9">
        <v>0</v>
      </c>
      <c r="H59" s="23">
        <f t="shared" si="5"/>
        <v>330000</v>
      </c>
    </row>
    <row r="60" spans="1:8">
      <c r="A60" s="18"/>
      <c r="B60" s="19"/>
      <c r="C60" s="34" t="s">
        <v>126</v>
      </c>
      <c r="D60" s="9">
        <v>2</v>
      </c>
      <c r="E60" s="9" t="s">
        <v>83</v>
      </c>
      <c r="F60" s="22">
        <v>175000</v>
      </c>
      <c r="G60" s="9">
        <v>0</v>
      </c>
      <c r="H60" s="23">
        <f t="shared" si="5"/>
        <v>350000</v>
      </c>
    </row>
    <row r="61" spans="1:8" ht="29">
      <c r="A61" s="18"/>
      <c r="B61" s="19"/>
      <c r="C61" s="34" t="s">
        <v>127</v>
      </c>
      <c r="D61" s="9">
        <v>1</v>
      </c>
      <c r="E61" s="9" t="s">
        <v>83</v>
      </c>
      <c r="F61" s="22">
        <v>250000</v>
      </c>
      <c r="G61" s="9">
        <v>0</v>
      </c>
      <c r="H61" s="23">
        <f t="shared" si="5"/>
        <v>250000</v>
      </c>
    </row>
    <row r="62" spans="1:8">
      <c r="A62" s="18"/>
      <c r="B62" s="19"/>
      <c r="C62" s="34" t="s">
        <v>128</v>
      </c>
      <c r="D62" s="9">
        <v>2</v>
      </c>
      <c r="E62" s="9" t="s">
        <v>83</v>
      </c>
      <c r="F62" s="22">
        <v>260000</v>
      </c>
      <c r="G62" s="9">
        <v>0</v>
      </c>
      <c r="H62" s="23">
        <f t="shared" si="5"/>
        <v>520000</v>
      </c>
    </row>
    <row r="63" spans="1:8">
      <c r="A63" s="18"/>
      <c r="B63" s="19"/>
      <c r="C63" s="34" t="s">
        <v>129</v>
      </c>
      <c r="D63" s="9">
        <v>2</v>
      </c>
      <c r="E63" s="9" t="s">
        <v>83</v>
      </c>
      <c r="F63" s="22">
        <v>265000</v>
      </c>
      <c r="G63" s="9">
        <v>0</v>
      </c>
      <c r="H63" s="23">
        <f t="shared" si="5"/>
        <v>530000</v>
      </c>
    </row>
    <row r="64" spans="1:8" ht="29">
      <c r="A64" s="18"/>
      <c r="B64" s="19"/>
      <c r="C64" s="34" t="s">
        <v>84</v>
      </c>
      <c r="D64" s="9">
        <f>5*11</f>
        <v>55</v>
      </c>
      <c r="E64" s="9" t="s">
        <v>83</v>
      </c>
      <c r="F64" s="22">
        <v>170000</v>
      </c>
      <c r="G64" s="9">
        <v>0</v>
      </c>
      <c r="H64" s="23">
        <f t="shared" ref="H64" si="6">SUM(F64*D64)</f>
        <v>9350000</v>
      </c>
    </row>
    <row r="65" spans="1:8">
      <c r="A65" s="18" t="s">
        <v>85</v>
      </c>
      <c r="B65" s="18"/>
      <c r="C65" s="18" t="s">
        <v>86</v>
      </c>
      <c r="D65" s="9"/>
      <c r="E65" s="9"/>
      <c r="F65" s="9"/>
      <c r="G65" s="9"/>
      <c r="H65" s="17">
        <f>SUM(H67:H67)</f>
        <v>33000000</v>
      </c>
    </row>
    <row r="66" spans="1:8" ht="14.5" customHeight="1">
      <c r="A66" s="18"/>
      <c r="B66" s="19"/>
      <c r="C66" s="85" t="s">
        <v>66</v>
      </c>
      <c r="D66" s="86"/>
      <c r="E66" s="86"/>
      <c r="F66" s="86"/>
      <c r="G66" s="87"/>
      <c r="H66" s="54"/>
    </row>
    <row r="67" spans="1:8" ht="29">
      <c r="A67" s="19"/>
      <c r="B67" s="18"/>
      <c r="C67" s="34" t="s">
        <v>87</v>
      </c>
      <c r="D67" s="9">
        <f>30*11</f>
        <v>330</v>
      </c>
      <c r="E67" s="72" t="s">
        <v>83</v>
      </c>
      <c r="F67" s="22">
        <v>100000</v>
      </c>
      <c r="G67" s="9">
        <v>0</v>
      </c>
      <c r="H67" s="23">
        <f t="shared" ref="H67" si="7">SUM(F67*D67)</f>
        <v>33000000</v>
      </c>
    </row>
    <row r="68" spans="1:8">
      <c r="A68" s="88" t="s">
        <v>89</v>
      </c>
      <c r="B68" s="89"/>
      <c r="C68" s="89"/>
      <c r="D68" s="89"/>
      <c r="E68" s="89"/>
      <c r="F68" s="89"/>
      <c r="G68" s="90"/>
      <c r="H68" s="71">
        <f>H27</f>
        <v>123173000</v>
      </c>
    </row>
    <row r="70" spans="1:8">
      <c r="A70" t="s">
        <v>90</v>
      </c>
      <c r="B70" t="s">
        <v>3</v>
      </c>
      <c r="C70" s="46">
        <v>169423900</v>
      </c>
    </row>
    <row r="71" spans="1:8">
      <c r="A71" t="s">
        <v>91</v>
      </c>
      <c r="B71" t="s">
        <v>3</v>
      </c>
      <c r="C71" s="46">
        <f>H68</f>
        <v>123173000</v>
      </c>
    </row>
    <row r="72" spans="1:8">
      <c r="A72" t="s">
        <v>92</v>
      </c>
      <c r="C72" s="48">
        <f>C70-C71</f>
        <v>46250900</v>
      </c>
    </row>
  </sheetData>
  <mergeCells count="38">
    <mergeCell ref="C22:F22"/>
    <mergeCell ref="G22:H22"/>
    <mergeCell ref="A1:H1"/>
    <mergeCell ref="A2:H2"/>
    <mergeCell ref="A3:H3"/>
    <mergeCell ref="C9:H9"/>
    <mergeCell ref="C10:H10"/>
    <mergeCell ref="A18:H18"/>
    <mergeCell ref="C19:F19"/>
    <mergeCell ref="C20:F20"/>
    <mergeCell ref="G20:H20"/>
    <mergeCell ref="C21:F21"/>
    <mergeCell ref="G21:H21"/>
    <mergeCell ref="C23:F23"/>
    <mergeCell ref="G23:H23"/>
    <mergeCell ref="A24:H24"/>
    <mergeCell ref="A25:A26"/>
    <mergeCell ref="C25:C26"/>
    <mergeCell ref="D25:G25"/>
    <mergeCell ref="H25:H26"/>
    <mergeCell ref="C46:G46"/>
    <mergeCell ref="D27:G27"/>
    <mergeCell ref="C28:G28"/>
    <mergeCell ref="C29:G29"/>
    <mergeCell ref="C30:G30"/>
    <mergeCell ref="C31:G31"/>
    <mergeCell ref="C32:G32"/>
    <mergeCell ref="C37:G37"/>
    <mergeCell ref="C38:G38"/>
    <mergeCell ref="C41:G41"/>
    <mergeCell ref="C42:G42"/>
    <mergeCell ref="C45:G45"/>
    <mergeCell ref="C66:G66"/>
    <mergeCell ref="A68:G68"/>
    <mergeCell ref="C47:G47"/>
    <mergeCell ref="C48:G48"/>
    <mergeCell ref="C54:G54"/>
    <mergeCell ref="C57:G57"/>
  </mergeCells>
  <pageMargins left="0.70866141732283505" right="0.70866141732283505" top="0.74803149606299202" bottom="0.74803149606299202" header="0.31496062992126" footer="0.31496062992126"/>
  <pageSetup paperSize="5" scale="80" orientation="portrait" r:id="rId1"/>
  <rowBreaks count="1" manualBreakCount="1">
    <brk id="46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E1D7-01B9-4E55-92EA-5CAFDE7982CF}">
  <sheetPr>
    <tabColor theme="0" tint="-0.14996795556505021"/>
  </sheetPr>
  <dimension ref="A1:J99"/>
  <sheetViews>
    <sheetView view="pageBreakPreview" topLeftCell="A47" zoomScale="70" zoomScaleNormal="80" zoomScaleSheetLayoutView="70" workbookViewId="0">
      <selection activeCell="C52" sqref="C52:G52"/>
    </sheetView>
  </sheetViews>
  <sheetFormatPr defaultColWidth="9" defaultRowHeight="14.5"/>
  <cols>
    <col min="1" max="1" width="20.6328125" customWidth="1"/>
    <col min="2" max="2" width="2.54296875" customWidth="1"/>
    <col min="3" max="3" width="32.1796875" customWidth="1"/>
    <col min="4" max="4" width="8.90625" customWidth="1"/>
    <col min="5" max="5" width="14" customWidth="1"/>
    <col min="6" max="6" width="10" customWidth="1"/>
    <col min="7" max="7" width="5.36328125" customWidth="1"/>
    <col min="8" max="8" width="17.54296875" style="65" customWidth="1"/>
    <col min="10" max="10" width="15" customWidth="1"/>
  </cols>
  <sheetData>
    <row r="1" spans="1:9" ht="18.5">
      <c r="A1" s="122" t="s">
        <v>0</v>
      </c>
      <c r="B1" s="122"/>
      <c r="C1" s="122"/>
      <c r="D1" s="122"/>
      <c r="E1" s="122"/>
      <c r="F1" s="122"/>
      <c r="G1" s="122"/>
      <c r="H1" s="122"/>
      <c r="I1" s="68"/>
    </row>
    <row r="2" spans="1:9" ht="18.5">
      <c r="A2" s="122" t="s">
        <v>1</v>
      </c>
      <c r="B2" s="122"/>
      <c r="C2" s="122"/>
      <c r="D2" s="122"/>
      <c r="E2" s="122"/>
      <c r="F2" s="122"/>
      <c r="G2" s="122"/>
      <c r="H2" s="122"/>
      <c r="I2" s="68"/>
    </row>
    <row r="3" spans="1:9" ht="16.5" customHeight="1">
      <c r="A3" s="123" t="s">
        <v>206</v>
      </c>
      <c r="B3" s="123"/>
      <c r="C3" s="123"/>
      <c r="D3" s="123"/>
      <c r="E3" s="123"/>
      <c r="F3" s="123"/>
      <c r="G3" s="123"/>
      <c r="H3" s="123"/>
    </row>
    <row r="4" spans="1:9">
      <c r="A4" s="3"/>
      <c r="B4" s="3"/>
      <c r="C4" s="3"/>
      <c r="D4" s="3"/>
      <c r="E4" s="3"/>
      <c r="F4" s="3"/>
      <c r="G4" s="3"/>
      <c r="H4" s="3"/>
      <c r="I4" s="49"/>
    </row>
    <row r="5" spans="1:9">
      <c r="A5" s="4" t="s">
        <v>94</v>
      </c>
      <c r="B5" s="3" t="s">
        <v>3</v>
      </c>
      <c r="C5" s="1" t="s">
        <v>95</v>
      </c>
      <c r="D5" s="49"/>
      <c r="E5" s="49"/>
      <c r="F5" s="49"/>
      <c r="G5" s="49"/>
      <c r="H5" s="3"/>
      <c r="I5" s="49"/>
    </row>
    <row r="6" spans="1:9">
      <c r="A6" s="4" t="s">
        <v>2</v>
      </c>
      <c r="B6" s="3" t="s">
        <v>3</v>
      </c>
      <c r="C6" s="1" t="s">
        <v>96</v>
      </c>
      <c r="D6" s="1"/>
      <c r="E6" s="1"/>
      <c r="F6" s="1"/>
      <c r="G6" s="1"/>
      <c r="H6" s="1"/>
    </row>
    <row r="7" spans="1:9">
      <c r="A7" s="4" t="s">
        <v>5</v>
      </c>
      <c r="B7" s="3" t="s">
        <v>3</v>
      </c>
      <c r="C7" s="4" t="s">
        <v>6</v>
      </c>
      <c r="D7" s="3"/>
      <c r="E7" s="3"/>
      <c r="F7" s="3"/>
      <c r="G7" s="3"/>
      <c r="H7" s="3"/>
    </row>
    <row r="8" spans="1:9">
      <c r="A8" s="4" t="s">
        <v>7</v>
      </c>
      <c r="B8" s="3" t="s">
        <v>3</v>
      </c>
      <c r="C8" s="4" t="s">
        <v>8</v>
      </c>
      <c r="D8" s="3"/>
      <c r="E8" s="3"/>
      <c r="F8" s="3"/>
      <c r="G8" s="3"/>
      <c r="H8" s="3"/>
    </row>
    <row r="9" spans="1:9">
      <c r="A9" s="4" t="s">
        <v>9</v>
      </c>
      <c r="B9" s="3" t="s">
        <v>3</v>
      </c>
      <c r="C9" s="1" t="s">
        <v>10</v>
      </c>
      <c r="D9" s="1"/>
      <c r="E9" s="1"/>
      <c r="F9" s="1"/>
      <c r="G9" s="1"/>
      <c r="H9" s="5"/>
    </row>
    <row r="10" spans="1:9">
      <c r="A10" s="4" t="s">
        <v>11</v>
      </c>
      <c r="B10" s="3" t="s">
        <v>3</v>
      </c>
      <c r="C10" s="124" t="s">
        <v>97</v>
      </c>
      <c r="D10" s="124"/>
      <c r="E10" s="124"/>
      <c r="F10" s="124"/>
      <c r="G10" s="124"/>
      <c r="H10" s="124"/>
    </row>
    <row r="11" spans="1:9">
      <c r="A11" s="4" t="s">
        <v>13</v>
      </c>
      <c r="B11" s="3" t="s">
        <v>3</v>
      </c>
      <c r="C11" s="1" t="s">
        <v>98</v>
      </c>
      <c r="D11" s="1"/>
      <c r="E11" s="1"/>
      <c r="F11" s="1"/>
      <c r="G11" s="1"/>
      <c r="H11" s="5"/>
    </row>
    <row r="12" spans="1:9">
      <c r="A12" s="4" t="s">
        <v>15</v>
      </c>
      <c r="B12" s="3" t="s">
        <v>3</v>
      </c>
      <c r="C12" s="4" t="s">
        <v>16</v>
      </c>
      <c r="D12" s="3"/>
      <c r="E12" s="3"/>
      <c r="F12" s="3"/>
      <c r="G12" s="3"/>
      <c r="H12" s="3"/>
    </row>
    <row r="13" spans="1:9">
      <c r="A13" s="4" t="s">
        <v>17</v>
      </c>
      <c r="B13" s="3" t="s">
        <v>3</v>
      </c>
      <c r="C13" s="4" t="s">
        <v>18</v>
      </c>
      <c r="D13" s="3"/>
      <c r="E13" s="3"/>
      <c r="F13" s="3"/>
      <c r="G13" s="3"/>
      <c r="H13" s="3"/>
    </row>
    <row r="14" spans="1:9">
      <c r="A14" s="4" t="s">
        <v>19</v>
      </c>
      <c r="B14" s="3" t="s">
        <v>3</v>
      </c>
      <c r="C14" s="4" t="s">
        <v>20</v>
      </c>
      <c r="D14" s="3"/>
      <c r="E14" s="3"/>
      <c r="F14" s="3"/>
      <c r="G14" s="3"/>
      <c r="H14" s="3"/>
    </row>
    <row r="15" spans="1:9">
      <c r="A15" s="4" t="s">
        <v>21</v>
      </c>
      <c r="B15" s="3" t="s">
        <v>3</v>
      </c>
      <c r="C15" s="4" t="s">
        <v>22</v>
      </c>
      <c r="D15" s="3"/>
      <c r="E15" s="3"/>
      <c r="F15" s="3"/>
      <c r="G15" s="3"/>
      <c r="H15" s="3"/>
    </row>
    <row r="16" spans="1:9">
      <c r="A16" s="4" t="s">
        <v>135</v>
      </c>
      <c r="B16" s="3" t="s">
        <v>3</v>
      </c>
      <c r="C16" s="4"/>
      <c r="D16" s="3"/>
      <c r="E16" s="3"/>
      <c r="F16" s="3"/>
      <c r="G16" s="3"/>
      <c r="H16" s="3"/>
    </row>
    <row r="17" spans="1:10">
      <c r="A17" s="4" t="s">
        <v>151</v>
      </c>
      <c r="B17" s="3" t="s">
        <v>3</v>
      </c>
      <c r="C17" s="1"/>
      <c r="D17" s="1"/>
      <c r="E17" s="1"/>
      <c r="F17" s="1"/>
      <c r="G17" s="1"/>
      <c r="H17" s="7"/>
    </row>
    <row r="18" spans="1:10">
      <c r="A18" s="4" t="s">
        <v>208</v>
      </c>
      <c r="B18" s="3" t="s">
        <v>3</v>
      </c>
      <c r="C18" s="6"/>
      <c r="D18" s="6"/>
      <c r="E18" s="6"/>
      <c r="F18" s="6"/>
      <c r="G18" s="6"/>
      <c r="H18" s="6"/>
    </row>
    <row r="19" spans="1:10" ht="14.4" customHeight="1">
      <c r="A19" s="125" t="s">
        <v>23</v>
      </c>
      <c r="B19" s="126"/>
      <c r="C19" s="126"/>
      <c r="D19" s="126"/>
      <c r="E19" s="126"/>
      <c r="F19" s="126"/>
      <c r="G19" s="126"/>
      <c r="H19" s="127"/>
    </row>
    <row r="20" spans="1:10">
      <c r="A20" s="8" t="s">
        <v>24</v>
      </c>
      <c r="B20" s="9"/>
      <c r="C20" s="112" t="s">
        <v>25</v>
      </c>
      <c r="D20" s="113"/>
      <c r="E20" s="113"/>
      <c r="F20" s="114"/>
      <c r="G20" s="9" t="s">
        <v>26</v>
      </c>
      <c r="H20" s="10"/>
    </row>
    <row r="21" spans="1:10" ht="28.25" customHeight="1">
      <c r="A21" s="8" t="s">
        <v>27</v>
      </c>
      <c r="B21" s="9"/>
      <c r="C21" s="100" t="s">
        <v>99</v>
      </c>
      <c r="D21" s="101"/>
      <c r="E21" s="101"/>
      <c r="F21" s="103"/>
      <c r="G21" s="115">
        <v>1</v>
      </c>
      <c r="H21" s="116"/>
    </row>
    <row r="22" spans="1:10">
      <c r="A22" s="8" t="s">
        <v>29</v>
      </c>
      <c r="B22" s="9"/>
      <c r="C22" s="117" t="s">
        <v>30</v>
      </c>
      <c r="D22" s="118"/>
      <c r="E22" s="118"/>
      <c r="F22" s="116"/>
      <c r="G22" s="119">
        <f>H28</f>
        <v>121125000</v>
      </c>
      <c r="H22" s="116"/>
    </row>
    <row r="23" spans="1:10" ht="33.65" customHeight="1">
      <c r="A23" s="8" t="s">
        <v>31</v>
      </c>
      <c r="B23" s="11"/>
      <c r="C23" s="100" t="s">
        <v>100</v>
      </c>
      <c r="D23" s="101"/>
      <c r="E23" s="101"/>
      <c r="F23" s="103"/>
      <c r="G23" s="120" t="s">
        <v>101</v>
      </c>
      <c r="H23" s="121"/>
    </row>
    <row r="24" spans="1:10">
      <c r="A24" s="8" t="s">
        <v>34</v>
      </c>
      <c r="B24" s="9"/>
      <c r="C24" s="100" t="s">
        <v>102</v>
      </c>
      <c r="D24" s="101"/>
      <c r="E24" s="101"/>
      <c r="F24" s="101"/>
      <c r="G24" s="102">
        <v>1</v>
      </c>
      <c r="H24" s="103"/>
    </row>
    <row r="25" spans="1:10">
      <c r="A25" s="104" t="s">
        <v>36</v>
      </c>
      <c r="B25" s="105"/>
      <c r="C25" s="105"/>
      <c r="D25" s="105"/>
      <c r="E25" s="105"/>
      <c r="F25" s="105"/>
      <c r="G25" s="105"/>
      <c r="H25" s="106"/>
    </row>
    <row r="26" spans="1:10">
      <c r="A26" s="107" t="s">
        <v>37</v>
      </c>
      <c r="B26" s="12"/>
      <c r="C26" s="107" t="s">
        <v>38</v>
      </c>
      <c r="D26" s="109" t="s">
        <v>39</v>
      </c>
      <c r="E26" s="97"/>
      <c r="F26" s="97"/>
      <c r="G26" s="98"/>
      <c r="H26" s="128" t="s">
        <v>40</v>
      </c>
    </row>
    <row r="27" spans="1:10">
      <c r="A27" s="108"/>
      <c r="B27" s="13"/>
      <c r="C27" s="108"/>
      <c r="D27" s="14" t="s">
        <v>41</v>
      </c>
      <c r="E27" s="14" t="s">
        <v>42</v>
      </c>
      <c r="F27" s="14" t="s">
        <v>43</v>
      </c>
      <c r="G27" s="14" t="s">
        <v>44</v>
      </c>
      <c r="H27" s="129"/>
    </row>
    <row r="28" spans="1:10">
      <c r="A28" s="15">
        <v>5</v>
      </c>
      <c r="B28" s="16"/>
      <c r="C28" s="16" t="s">
        <v>45</v>
      </c>
      <c r="D28" s="97"/>
      <c r="E28" s="97"/>
      <c r="F28" s="97"/>
      <c r="G28" s="98"/>
      <c r="H28" s="66">
        <f>H29</f>
        <v>121125000</v>
      </c>
      <c r="J28" s="69">
        <f>H28-121125000</f>
        <v>0</v>
      </c>
    </row>
    <row r="29" spans="1:10">
      <c r="A29" s="18" t="s">
        <v>46</v>
      </c>
      <c r="B29" s="19"/>
      <c r="C29" s="91" t="s">
        <v>47</v>
      </c>
      <c r="D29" s="92"/>
      <c r="E29" s="92"/>
      <c r="F29" s="92"/>
      <c r="G29" s="93"/>
      <c r="H29" s="66">
        <f>+H30+H69</f>
        <v>121125000</v>
      </c>
    </row>
    <row r="30" spans="1:10">
      <c r="A30" s="18" t="s">
        <v>48</v>
      </c>
      <c r="B30" s="19"/>
      <c r="C30" s="91" t="s">
        <v>49</v>
      </c>
      <c r="D30" s="92"/>
      <c r="E30" s="92"/>
      <c r="F30" s="92"/>
      <c r="G30" s="93"/>
      <c r="H30" s="66">
        <f>H31</f>
        <v>67235000</v>
      </c>
    </row>
    <row r="31" spans="1:10">
      <c r="A31" s="18" t="s">
        <v>50</v>
      </c>
      <c r="B31" s="18"/>
      <c r="C31" s="99" t="s">
        <v>51</v>
      </c>
      <c r="D31" s="99"/>
      <c r="E31" s="99"/>
      <c r="F31" s="99"/>
      <c r="G31" s="99"/>
      <c r="H31" s="66">
        <f>H32</f>
        <v>67235000</v>
      </c>
    </row>
    <row r="32" spans="1:10">
      <c r="A32" s="18" t="s">
        <v>52</v>
      </c>
      <c r="B32" s="18"/>
      <c r="C32" s="99" t="s">
        <v>53</v>
      </c>
      <c r="D32" s="99"/>
      <c r="E32" s="99"/>
      <c r="F32" s="99"/>
      <c r="G32" s="99"/>
      <c r="H32" s="66">
        <f>+H33+H36+H39+H46+H56</f>
        <v>67235000</v>
      </c>
    </row>
    <row r="33" spans="1:10">
      <c r="A33" s="18" t="s">
        <v>54</v>
      </c>
      <c r="B33" s="19"/>
      <c r="C33" s="91" t="s">
        <v>55</v>
      </c>
      <c r="D33" s="92"/>
      <c r="E33" s="92"/>
      <c r="F33" s="92"/>
      <c r="G33" s="93"/>
      <c r="H33" s="17">
        <f>SUM(H34:H35)</f>
        <v>967950</v>
      </c>
    </row>
    <row r="34" spans="1:10" ht="16.75" customHeight="1">
      <c r="A34" s="9"/>
      <c r="B34" s="9"/>
      <c r="C34" s="9" t="s">
        <v>56</v>
      </c>
      <c r="D34" s="9">
        <v>6</v>
      </c>
      <c r="E34" s="9" t="s">
        <v>57</v>
      </c>
      <c r="F34" s="22">
        <v>87875</v>
      </c>
      <c r="G34" s="9">
        <v>0</v>
      </c>
      <c r="H34" s="23">
        <f t="shared" ref="H34:H35" si="0">SUM(F34*D34)</f>
        <v>527250</v>
      </c>
    </row>
    <row r="35" spans="1:10">
      <c r="A35" s="9"/>
      <c r="B35" s="9"/>
      <c r="C35" s="9" t="s">
        <v>58</v>
      </c>
      <c r="D35" s="9">
        <v>6</v>
      </c>
      <c r="E35" s="9" t="s">
        <v>57</v>
      </c>
      <c r="F35" s="22">
        <v>73450</v>
      </c>
      <c r="G35" s="9">
        <v>0</v>
      </c>
      <c r="H35" s="23">
        <f t="shared" si="0"/>
        <v>440700</v>
      </c>
    </row>
    <row r="36" spans="1:10">
      <c r="A36" s="18" t="s">
        <v>59</v>
      </c>
      <c r="B36" s="19"/>
      <c r="C36" s="91" t="s">
        <v>60</v>
      </c>
      <c r="D36" s="92"/>
      <c r="E36" s="92"/>
      <c r="F36" s="92"/>
      <c r="G36" s="93"/>
      <c r="H36" s="17">
        <f>SUM(H37:H38)</f>
        <v>274550</v>
      </c>
    </row>
    <row r="37" spans="1:10">
      <c r="A37" s="18"/>
      <c r="B37" s="19"/>
      <c r="C37" s="30" t="s">
        <v>61</v>
      </c>
      <c r="D37" s="25">
        <v>646</v>
      </c>
      <c r="E37" s="25" t="s">
        <v>104</v>
      </c>
      <c r="F37" s="26">
        <v>425</v>
      </c>
      <c r="G37" s="27">
        <v>0</v>
      </c>
      <c r="H37" s="28">
        <f>SUM(F37*D37)</f>
        <v>274550</v>
      </c>
    </row>
    <row r="38" spans="1:10">
      <c r="A38" s="18"/>
      <c r="B38" s="19"/>
      <c r="C38" s="30" t="s">
        <v>200</v>
      </c>
      <c r="D38" s="25">
        <v>0</v>
      </c>
      <c r="E38" s="25" t="s">
        <v>104</v>
      </c>
      <c r="F38" s="26">
        <v>425</v>
      </c>
      <c r="G38" s="27">
        <v>0</v>
      </c>
      <c r="H38" s="28">
        <f>SUM(F38*D38)</f>
        <v>0</v>
      </c>
      <c r="J38">
        <f>25/425</f>
        <v>5.8823529411764705E-2</v>
      </c>
    </row>
    <row r="39" spans="1:10">
      <c r="A39" s="18" t="s">
        <v>64</v>
      </c>
      <c r="B39" s="19"/>
      <c r="C39" s="85" t="s">
        <v>65</v>
      </c>
      <c r="D39" s="86"/>
      <c r="E39" s="86"/>
      <c r="F39" s="86"/>
      <c r="G39" s="87"/>
      <c r="H39" s="17">
        <f>SUM(H41:H45)</f>
        <v>8167500</v>
      </c>
    </row>
    <row r="40" spans="1:10">
      <c r="A40" s="9"/>
      <c r="B40" s="29"/>
      <c r="C40" s="91" t="s">
        <v>108</v>
      </c>
      <c r="D40" s="92"/>
      <c r="E40" s="92"/>
      <c r="F40" s="92"/>
      <c r="G40" s="93"/>
      <c r="H40" s="23"/>
    </row>
    <row r="41" spans="1:10" ht="29">
      <c r="A41" s="9"/>
      <c r="B41" s="29"/>
      <c r="C41" s="34" t="s">
        <v>109</v>
      </c>
      <c r="D41" s="9">
        <v>115</v>
      </c>
      <c r="E41" s="9" t="s">
        <v>67</v>
      </c>
      <c r="F41" s="22">
        <v>33000</v>
      </c>
      <c r="G41" s="9">
        <v>0</v>
      </c>
      <c r="H41" s="23">
        <f t="shared" ref="H41:H42" si="1">SUM(F41*D41)</f>
        <v>3795000</v>
      </c>
    </row>
    <row r="42" spans="1:10" ht="29">
      <c r="A42" s="9"/>
      <c r="B42" s="29"/>
      <c r="C42" s="34" t="s">
        <v>109</v>
      </c>
      <c r="D42" s="9">
        <v>115</v>
      </c>
      <c r="E42" s="9" t="s">
        <v>67</v>
      </c>
      <c r="F42" s="22">
        <v>16500</v>
      </c>
      <c r="G42" s="9">
        <v>0</v>
      </c>
      <c r="H42" s="23">
        <f t="shared" si="1"/>
        <v>1897500</v>
      </c>
    </row>
    <row r="43" spans="1:10" ht="18" customHeight="1">
      <c r="A43" s="9"/>
      <c r="B43" s="29"/>
      <c r="C43" s="85" t="s">
        <v>222</v>
      </c>
      <c r="D43" s="86"/>
      <c r="E43" s="86"/>
      <c r="F43" s="86"/>
      <c r="G43" s="87"/>
      <c r="H43" s="23"/>
    </row>
    <row r="44" spans="1:10" ht="29">
      <c r="A44" s="9"/>
      <c r="B44" s="29"/>
      <c r="C44" s="34" t="s">
        <v>223</v>
      </c>
      <c r="D44" s="9">
        <v>50</v>
      </c>
      <c r="E44" s="9" t="s">
        <v>67</v>
      </c>
      <c r="F44" s="22">
        <v>33000</v>
      </c>
      <c r="G44" s="9">
        <v>0</v>
      </c>
      <c r="H44" s="23">
        <f t="shared" ref="H44:H45" si="2">SUM(F44*D44)</f>
        <v>1650000</v>
      </c>
    </row>
    <row r="45" spans="1:10" ht="29">
      <c r="A45" s="9"/>
      <c r="B45" s="29"/>
      <c r="C45" s="34" t="s">
        <v>223</v>
      </c>
      <c r="D45" s="9">
        <v>50</v>
      </c>
      <c r="E45" s="9" t="s">
        <v>67</v>
      </c>
      <c r="F45" s="22">
        <v>16500</v>
      </c>
      <c r="G45" s="9">
        <v>0</v>
      </c>
      <c r="H45" s="23">
        <f t="shared" si="2"/>
        <v>825000</v>
      </c>
    </row>
    <row r="46" spans="1:10">
      <c r="A46" s="18" t="s">
        <v>201</v>
      </c>
      <c r="B46" s="19"/>
      <c r="C46" s="85" t="s">
        <v>202</v>
      </c>
      <c r="D46" s="86"/>
      <c r="E46" s="86"/>
      <c r="F46" s="86"/>
      <c r="G46" s="87"/>
      <c r="H46" s="17">
        <f>SUM(H48:H54)</f>
        <v>27225000</v>
      </c>
    </row>
    <row r="47" spans="1:10">
      <c r="A47" s="18"/>
      <c r="B47" s="19"/>
      <c r="C47" s="85" t="s">
        <v>107</v>
      </c>
      <c r="D47" s="86"/>
      <c r="E47" s="86"/>
      <c r="F47" s="86"/>
      <c r="G47" s="87"/>
      <c r="H47" s="17"/>
    </row>
    <row r="48" spans="1:10" ht="29">
      <c r="A48" s="9"/>
      <c r="B48" s="9"/>
      <c r="C48" s="34" t="s">
        <v>204</v>
      </c>
      <c r="D48" s="9">
        <f>100*6</f>
        <v>600</v>
      </c>
      <c r="E48" s="9" t="s">
        <v>67</v>
      </c>
      <c r="F48" s="22">
        <v>16500</v>
      </c>
      <c r="G48" s="9">
        <v>0</v>
      </c>
      <c r="H48" s="23">
        <f t="shared" ref="H48" si="3">SUM(F48*D48)</f>
        <v>9900000</v>
      </c>
    </row>
    <row r="49" spans="1:8">
      <c r="A49" s="9"/>
      <c r="B49" s="29"/>
      <c r="C49" s="85" t="s">
        <v>120</v>
      </c>
      <c r="D49" s="86"/>
      <c r="E49" s="86"/>
      <c r="F49" s="86"/>
      <c r="G49" s="87"/>
      <c r="H49" s="23"/>
    </row>
    <row r="50" spans="1:8" ht="29">
      <c r="A50" s="9"/>
      <c r="B50" s="29"/>
      <c r="C50" s="34" t="s">
        <v>231</v>
      </c>
      <c r="D50" s="9">
        <f>70*2</f>
        <v>140</v>
      </c>
      <c r="E50" s="9" t="s">
        <v>67</v>
      </c>
      <c r="F50" s="22">
        <v>33000</v>
      </c>
      <c r="G50" s="9">
        <v>0</v>
      </c>
      <c r="H50" s="23">
        <f t="shared" ref="H50:H51" si="4">SUM(F50*D50)</f>
        <v>4620000</v>
      </c>
    </row>
    <row r="51" spans="1:8" ht="29">
      <c r="A51" s="9"/>
      <c r="B51" s="29"/>
      <c r="C51" s="34" t="s">
        <v>231</v>
      </c>
      <c r="D51" s="9">
        <f>70*2</f>
        <v>140</v>
      </c>
      <c r="E51" s="9" t="s">
        <v>67</v>
      </c>
      <c r="F51" s="22">
        <v>16500</v>
      </c>
      <c r="G51" s="9">
        <v>0</v>
      </c>
      <c r="H51" s="23">
        <f t="shared" si="4"/>
        <v>2310000</v>
      </c>
    </row>
    <row r="52" spans="1:8">
      <c r="A52" s="9"/>
      <c r="B52" s="29"/>
      <c r="C52" s="85" t="s">
        <v>122</v>
      </c>
      <c r="D52" s="86"/>
      <c r="E52" s="86"/>
      <c r="F52" s="86"/>
      <c r="G52" s="87"/>
      <c r="H52" s="23"/>
    </row>
    <row r="53" spans="1:8" ht="29">
      <c r="A53" s="9"/>
      <c r="B53" s="29"/>
      <c r="C53" s="34" t="s">
        <v>230</v>
      </c>
      <c r="D53" s="9">
        <f>105*2</f>
        <v>210</v>
      </c>
      <c r="E53" s="9" t="s">
        <v>67</v>
      </c>
      <c r="F53" s="22">
        <v>33000</v>
      </c>
      <c r="G53" s="9">
        <v>0</v>
      </c>
      <c r="H53" s="23">
        <f t="shared" ref="H53:H54" si="5">SUM(F53*D53)</f>
        <v>6930000</v>
      </c>
    </row>
    <row r="54" spans="1:8" ht="29">
      <c r="A54" s="9"/>
      <c r="B54" s="29"/>
      <c r="C54" s="34" t="s">
        <v>230</v>
      </c>
      <c r="D54" s="9">
        <f>105*2</f>
        <v>210</v>
      </c>
      <c r="E54" s="9" t="s">
        <v>67</v>
      </c>
      <c r="F54" s="22">
        <v>16500</v>
      </c>
      <c r="G54" s="9">
        <v>0</v>
      </c>
      <c r="H54" s="23">
        <f t="shared" si="5"/>
        <v>3465000</v>
      </c>
    </row>
    <row r="55" spans="1:8">
      <c r="A55" s="9"/>
      <c r="B55" s="29"/>
      <c r="C55" s="34"/>
      <c r="D55" s="9"/>
      <c r="E55" s="9"/>
      <c r="F55" s="22"/>
      <c r="G55" s="9"/>
      <c r="H55" s="23"/>
    </row>
    <row r="56" spans="1:8">
      <c r="A56" s="18" t="s">
        <v>111</v>
      </c>
      <c r="B56" s="18"/>
      <c r="C56" s="99" t="s">
        <v>112</v>
      </c>
      <c r="D56" s="99"/>
      <c r="E56" s="99"/>
      <c r="F56" s="99"/>
      <c r="G56" s="99"/>
      <c r="H56" s="17">
        <f>H57</f>
        <v>30600000</v>
      </c>
    </row>
    <row r="57" spans="1:8">
      <c r="A57" s="18" t="s">
        <v>113</v>
      </c>
      <c r="B57" s="18"/>
      <c r="C57" s="99" t="s">
        <v>114</v>
      </c>
      <c r="D57" s="99"/>
      <c r="E57" s="99"/>
      <c r="F57" s="99"/>
      <c r="G57" s="99"/>
      <c r="H57" s="17">
        <f>H58</f>
        <v>30600000</v>
      </c>
    </row>
    <row r="58" spans="1:8">
      <c r="A58" s="18" t="s">
        <v>115</v>
      </c>
      <c r="B58" s="18"/>
      <c r="C58" s="85" t="s">
        <v>116</v>
      </c>
      <c r="D58" s="86"/>
      <c r="E58" s="86"/>
      <c r="F58" s="86"/>
      <c r="G58" s="87"/>
      <c r="H58" s="17">
        <f>SUM(H60:H68)</f>
        <v>30600000</v>
      </c>
    </row>
    <row r="59" spans="1:8" ht="14.5" customHeight="1">
      <c r="A59" s="18"/>
      <c r="B59" s="19"/>
      <c r="C59" s="85" t="s">
        <v>117</v>
      </c>
      <c r="D59" s="86"/>
      <c r="E59" s="86"/>
      <c r="F59" s="86"/>
      <c r="G59" s="87"/>
      <c r="H59" s="23"/>
    </row>
    <row r="60" spans="1:8" ht="29">
      <c r="A60" s="18"/>
      <c r="B60" s="19"/>
      <c r="C60" s="34" t="s">
        <v>205</v>
      </c>
      <c r="D60" s="34">
        <v>6</v>
      </c>
      <c r="E60" s="34" t="s">
        <v>119</v>
      </c>
      <c r="F60" s="37">
        <v>1700000</v>
      </c>
      <c r="G60" s="34">
        <v>0</v>
      </c>
      <c r="H60" s="23">
        <f t="shared" ref="H60" si="6">SUM(F60*D60)</f>
        <v>10200000</v>
      </c>
    </row>
    <row r="61" spans="1:8" ht="19" customHeight="1">
      <c r="A61" s="18"/>
      <c r="B61" s="19"/>
      <c r="C61" s="85" t="s">
        <v>222</v>
      </c>
      <c r="D61" s="86"/>
      <c r="E61" s="86"/>
      <c r="F61" s="86"/>
      <c r="G61" s="87"/>
      <c r="H61" s="23"/>
    </row>
    <row r="62" spans="1:8" ht="29">
      <c r="A62" s="18"/>
      <c r="B62" s="19"/>
      <c r="C62" s="34" t="s">
        <v>203</v>
      </c>
      <c r="D62" s="34">
        <v>2</v>
      </c>
      <c r="E62" s="34" t="s">
        <v>119</v>
      </c>
      <c r="F62" s="37">
        <v>1700000</v>
      </c>
      <c r="G62" s="34">
        <v>0</v>
      </c>
      <c r="H62" s="23">
        <f t="shared" ref="H62" si="7">SUM(F62*D62)</f>
        <v>3400000</v>
      </c>
    </row>
    <row r="63" spans="1:8" ht="26" customHeight="1">
      <c r="A63" s="18"/>
      <c r="B63" s="19"/>
      <c r="C63" s="85" t="s">
        <v>120</v>
      </c>
      <c r="D63" s="86"/>
      <c r="E63" s="86"/>
      <c r="F63" s="86"/>
      <c r="G63" s="87"/>
      <c r="H63" s="23"/>
    </row>
    <row r="64" spans="1:8" ht="29">
      <c r="A64" s="18"/>
      <c r="B64" s="19"/>
      <c r="C64" s="34" t="s">
        <v>203</v>
      </c>
      <c r="D64" s="34">
        <v>4</v>
      </c>
      <c r="E64" s="34" t="s">
        <v>119</v>
      </c>
      <c r="F64" s="37">
        <v>1700000</v>
      </c>
      <c r="G64" s="34">
        <v>0</v>
      </c>
      <c r="H64" s="23">
        <f t="shared" ref="H64" si="8">SUM(F64*D64)</f>
        <v>6800000</v>
      </c>
    </row>
    <row r="65" spans="1:8" ht="36.5" customHeight="1">
      <c r="A65" s="18"/>
      <c r="B65" s="19"/>
      <c r="C65" s="85" t="s">
        <v>122</v>
      </c>
      <c r="D65" s="86"/>
      <c r="E65" s="86"/>
      <c r="F65" s="86"/>
      <c r="G65" s="87"/>
      <c r="H65" s="23"/>
    </row>
    <row r="66" spans="1:8" ht="29">
      <c r="A66" s="18"/>
      <c r="B66" s="19"/>
      <c r="C66" s="34" t="s">
        <v>203</v>
      </c>
      <c r="D66" s="34">
        <f>2*2</f>
        <v>4</v>
      </c>
      <c r="E66" s="34" t="s">
        <v>119</v>
      </c>
      <c r="F66" s="37">
        <v>1700000</v>
      </c>
      <c r="G66" s="34">
        <v>0</v>
      </c>
      <c r="H66" s="23">
        <f t="shared" ref="H66" si="9">SUM(F66*D66)</f>
        <v>6800000</v>
      </c>
    </row>
    <row r="67" spans="1:8">
      <c r="A67" s="18"/>
      <c r="B67" s="19"/>
      <c r="C67" s="85" t="s">
        <v>121</v>
      </c>
      <c r="D67" s="86"/>
      <c r="E67" s="86"/>
      <c r="F67" s="86"/>
      <c r="G67" s="87"/>
      <c r="H67" s="23"/>
    </row>
    <row r="68" spans="1:8" ht="29">
      <c r="A68" s="9"/>
      <c r="B68" s="9"/>
      <c r="C68" s="34" t="s">
        <v>203</v>
      </c>
      <c r="D68" s="34">
        <v>2</v>
      </c>
      <c r="E68" s="34" t="s">
        <v>119</v>
      </c>
      <c r="F68" s="37">
        <v>1700000</v>
      </c>
      <c r="G68" s="34">
        <v>0</v>
      </c>
      <c r="H68" s="23">
        <f t="shared" ref="H68" si="10">SUM(F68*D68)</f>
        <v>3400000</v>
      </c>
    </row>
    <row r="69" spans="1:8">
      <c r="A69" s="18" t="s">
        <v>72</v>
      </c>
      <c r="B69" s="19"/>
      <c r="C69" s="91" t="s">
        <v>73</v>
      </c>
      <c r="D69" s="92"/>
      <c r="E69" s="92"/>
      <c r="F69" s="92"/>
      <c r="G69" s="93"/>
      <c r="H69" s="17">
        <f>H70</f>
        <v>53890000</v>
      </c>
    </row>
    <row r="70" spans="1:8">
      <c r="A70" s="18" t="s">
        <v>74</v>
      </c>
      <c r="B70" s="19"/>
      <c r="C70" s="91" t="s">
        <v>75</v>
      </c>
      <c r="D70" s="92"/>
      <c r="E70" s="92"/>
      <c r="F70" s="92"/>
      <c r="G70" s="93"/>
      <c r="H70" s="17">
        <f>H71+H88</f>
        <v>53890000</v>
      </c>
    </row>
    <row r="71" spans="1:8" ht="15.65" customHeight="1">
      <c r="A71" s="18" t="s">
        <v>80</v>
      </c>
      <c r="B71" s="19"/>
      <c r="C71" s="91" t="s">
        <v>81</v>
      </c>
      <c r="D71" s="92"/>
      <c r="E71" s="92"/>
      <c r="F71" s="92"/>
      <c r="G71" s="93"/>
      <c r="H71" s="17">
        <f>SUM(H73:H87)</f>
        <v>10890000</v>
      </c>
    </row>
    <row r="72" spans="1:8" ht="15.65" customHeight="1">
      <c r="A72" s="18"/>
      <c r="B72" s="19"/>
      <c r="C72" s="85" t="s">
        <v>107</v>
      </c>
      <c r="D72" s="86"/>
      <c r="E72" s="86"/>
      <c r="F72" s="86"/>
      <c r="G72" s="87"/>
      <c r="H72" s="23"/>
    </row>
    <row r="73" spans="1:8" ht="16" customHeight="1">
      <c r="A73" s="18"/>
      <c r="B73" s="19"/>
      <c r="C73" s="34" t="s">
        <v>124</v>
      </c>
      <c r="D73" s="9">
        <v>1</v>
      </c>
      <c r="E73" s="9" t="s">
        <v>83</v>
      </c>
      <c r="F73" s="22">
        <v>225000</v>
      </c>
      <c r="G73" s="9">
        <v>0</v>
      </c>
      <c r="H73" s="23">
        <f t="shared" ref="H73:H79" si="11">SUM(F73*D73)</f>
        <v>225000</v>
      </c>
    </row>
    <row r="74" spans="1:8" ht="15.65" customHeight="1">
      <c r="A74" s="18"/>
      <c r="B74" s="19"/>
      <c r="C74" s="34" t="s">
        <v>125</v>
      </c>
      <c r="D74" s="9">
        <v>1</v>
      </c>
      <c r="E74" s="9" t="s">
        <v>83</v>
      </c>
      <c r="F74" s="22">
        <v>165000</v>
      </c>
      <c r="G74" s="9">
        <v>0</v>
      </c>
      <c r="H74" s="23">
        <f t="shared" si="11"/>
        <v>165000</v>
      </c>
    </row>
    <row r="75" spans="1:8" ht="15.65" customHeight="1">
      <c r="A75" s="18"/>
      <c r="B75" s="19"/>
      <c r="C75" s="34" t="s">
        <v>126</v>
      </c>
      <c r="D75" s="9">
        <v>1</v>
      </c>
      <c r="E75" s="9" t="s">
        <v>83</v>
      </c>
      <c r="F75" s="22">
        <v>175000</v>
      </c>
      <c r="G75" s="9">
        <v>0</v>
      </c>
      <c r="H75" s="23">
        <f t="shared" si="11"/>
        <v>175000</v>
      </c>
    </row>
    <row r="76" spans="1:8" ht="15.65" customHeight="1">
      <c r="A76" s="18"/>
      <c r="B76" s="19"/>
      <c r="C76" s="34" t="s">
        <v>127</v>
      </c>
      <c r="D76" s="9">
        <v>1</v>
      </c>
      <c r="E76" s="9" t="s">
        <v>83</v>
      </c>
      <c r="F76" s="22">
        <v>250000</v>
      </c>
      <c r="G76" s="9">
        <v>0</v>
      </c>
      <c r="H76" s="23">
        <f t="shared" si="11"/>
        <v>250000</v>
      </c>
    </row>
    <row r="77" spans="1:8" ht="15.65" customHeight="1">
      <c r="A77" s="18"/>
      <c r="B77" s="19"/>
      <c r="C77" s="34" t="s">
        <v>128</v>
      </c>
      <c r="D77" s="9">
        <v>1</v>
      </c>
      <c r="E77" s="9" t="s">
        <v>83</v>
      </c>
      <c r="F77" s="22">
        <v>265000</v>
      </c>
      <c r="G77" s="9">
        <v>0</v>
      </c>
      <c r="H77" s="23">
        <f t="shared" si="11"/>
        <v>265000</v>
      </c>
    </row>
    <row r="78" spans="1:8" ht="15.65" customHeight="1">
      <c r="A78" s="18"/>
      <c r="B78" s="19"/>
      <c r="C78" s="34" t="s">
        <v>129</v>
      </c>
      <c r="D78" s="9">
        <v>1</v>
      </c>
      <c r="E78" s="9" t="s">
        <v>83</v>
      </c>
      <c r="F78" s="22">
        <v>260000</v>
      </c>
      <c r="G78" s="9">
        <v>0</v>
      </c>
      <c r="H78" s="23">
        <f t="shared" si="11"/>
        <v>260000</v>
      </c>
    </row>
    <row r="79" spans="1:8" ht="32" customHeight="1">
      <c r="A79" s="18"/>
      <c r="B79" s="19"/>
      <c r="C79" s="34" t="s">
        <v>84</v>
      </c>
      <c r="D79" s="9">
        <f>5*6</f>
        <v>30</v>
      </c>
      <c r="E79" s="9" t="s">
        <v>83</v>
      </c>
      <c r="F79" s="22">
        <v>170000</v>
      </c>
      <c r="G79" s="9">
        <v>0</v>
      </c>
      <c r="H79" s="23">
        <f t="shared" si="11"/>
        <v>5100000</v>
      </c>
    </row>
    <row r="80" spans="1:8" ht="32" customHeight="1">
      <c r="A80" s="18"/>
      <c r="B80" s="19"/>
      <c r="C80" s="85" t="s">
        <v>110</v>
      </c>
      <c r="D80" s="86"/>
      <c r="E80" s="86"/>
      <c r="F80" s="86"/>
      <c r="G80" s="87"/>
      <c r="H80" s="23"/>
    </row>
    <row r="81" spans="1:10" ht="18.5" customHeight="1">
      <c r="A81" s="18"/>
      <c r="B81" s="19"/>
      <c r="C81" s="34" t="s">
        <v>128</v>
      </c>
      <c r="D81" s="9">
        <v>1</v>
      </c>
      <c r="E81" s="9" t="s">
        <v>83</v>
      </c>
      <c r="F81" s="22">
        <v>265000</v>
      </c>
      <c r="G81" s="9">
        <v>0</v>
      </c>
      <c r="H81" s="23">
        <f t="shared" ref="H81:H83" si="12">SUM(F81*D81)</f>
        <v>265000</v>
      </c>
    </row>
    <row r="82" spans="1:10" ht="18.5" customHeight="1">
      <c r="A82" s="18"/>
      <c r="B82" s="19"/>
      <c r="C82" s="34" t="s">
        <v>129</v>
      </c>
      <c r="D82" s="9">
        <v>1</v>
      </c>
      <c r="E82" s="9" t="s">
        <v>83</v>
      </c>
      <c r="F82" s="22">
        <v>260000</v>
      </c>
      <c r="G82" s="9">
        <v>0</v>
      </c>
      <c r="H82" s="23">
        <f t="shared" si="12"/>
        <v>260000</v>
      </c>
    </row>
    <row r="83" spans="1:10" ht="32" customHeight="1">
      <c r="A83" s="18"/>
      <c r="B83" s="19"/>
      <c r="C83" s="34" t="s">
        <v>84</v>
      </c>
      <c r="D83" s="9">
        <f>5*2</f>
        <v>10</v>
      </c>
      <c r="E83" s="9" t="s">
        <v>83</v>
      </c>
      <c r="F83" s="22">
        <v>170000</v>
      </c>
      <c r="G83" s="9">
        <v>0</v>
      </c>
      <c r="H83" s="23">
        <f t="shared" si="12"/>
        <v>1700000</v>
      </c>
    </row>
    <row r="84" spans="1:10" ht="32" customHeight="1">
      <c r="A84" s="18"/>
      <c r="B84" s="19"/>
      <c r="C84" s="85" t="s">
        <v>122</v>
      </c>
      <c r="D84" s="86"/>
      <c r="E84" s="86"/>
      <c r="F84" s="86"/>
      <c r="G84" s="87"/>
      <c r="H84" s="23"/>
    </row>
    <row r="85" spans="1:10" ht="23.5" customHeight="1">
      <c r="A85" s="18"/>
      <c r="B85" s="19"/>
      <c r="C85" s="34" t="s">
        <v>128</v>
      </c>
      <c r="D85" s="9">
        <v>1</v>
      </c>
      <c r="E85" s="9" t="s">
        <v>83</v>
      </c>
      <c r="F85" s="22">
        <v>265000</v>
      </c>
      <c r="G85" s="9">
        <v>0</v>
      </c>
      <c r="H85" s="23">
        <f t="shared" ref="H85:H87" si="13">SUM(F85*D85)</f>
        <v>265000</v>
      </c>
    </row>
    <row r="86" spans="1:10" ht="23.5" customHeight="1">
      <c r="A86" s="18"/>
      <c r="B86" s="19"/>
      <c r="C86" s="34" t="s">
        <v>129</v>
      </c>
      <c r="D86" s="9">
        <v>1</v>
      </c>
      <c r="E86" s="9" t="s">
        <v>83</v>
      </c>
      <c r="F86" s="22">
        <v>260000</v>
      </c>
      <c r="G86" s="9">
        <v>0</v>
      </c>
      <c r="H86" s="23">
        <f t="shared" si="13"/>
        <v>260000</v>
      </c>
    </row>
    <row r="87" spans="1:10" ht="32" customHeight="1">
      <c r="A87" s="18"/>
      <c r="B87" s="19"/>
      <c r="C87" s="34" t="s">
        <v>84</v>
      </c>
      <c r="D87" s="9">
        <f>5*2</f>
        <v>10</v>
      </c>
      <c r="E87" s="9" t="s">
        <v>83</v>
      </c>
      <c r="F87" s="22">
        <v>170000</v>
      </c>
      <c r="G87" s="9">
        <v>0</v>
      </c>
      <c r="H87" s="23">
        <f t="shared" si="13"/>
        <v>1700000</v>
      </c>
    </row>
    <row r="88" spans="1:10" ht="17.5" customHeight="1">
      <c r="A88" s="18" t="s">
        <v>85</v>
      </c>
      <c r="B88" s="19"/>
      <c r="C88" s="91" t="s">
        <v>86</v>
      </c>
      <c r="D88" s="92"/>
      <c r="E88" s="92"/>
      <c r="F88" s="92"/>
      <c r="G88" s="93"/>
      <c r="H88" s="17">
        <f>SUM(H89:H94)</f>
        <v>43000000</v>
      </c>
    </row>
    <row r="89" spans="1:10" ht="25.5" customHeight="1">
      <c r="A89" s="18"/>
      <c r="B89" s="19"/>
      <c r="C89" s="85" t="s">
        <v>120</v>
      </c>
      <c r="D89" s="86"/>
      <c r="E89" s="86"/>
      <c r="F89" s="86"/>
      <c r="G89" s="87"/>
      <c r="H89" s="17"/>
    </row>
    <row r="90" spans="1:10" ht="31" customHeight="1">
      <c r="A90" s="18"/>
      <c r="B90" s="42"/>
      <c r="C90" s="34" t="s">
        <v>130</v>
      </c>
      <c r="D90" s="9">
        <f>65*2</f>
        <v>130</v>
      </c>
      <c r="E90" s="9" t="s">
        <v>83</v>
      </c>
      <c r="F90" s="22">
        <v>100000</v>
      </c>
      <c r="G90" s="9">
        <v>0</v>
      </c>
      <c r="H90" s="23">
        <f>D90*F90</f>
        <v>13000000</v>
      </c>
    </row>
    <row r="91" spans="1:10" ht="31" customHeight="1">
      <c r="A91" s="19"/>
      <c r="B91" s="42"/>
      <c r="C91" s="85" t="s">
        <v>122</v>
      </c>
      <c r="D91" s="86"/>
      <c r="E91" s="86"/>
      <c r="F91" s="86"/>
      <c r="G91" s="87"/>
      <c r="H91" s="17"/>
    </row>
    <row r="92" spans="1:10" ht="24.5" customHeight="1">
      <c r="A92" s="19"/>
      <c r="B92" s="42"/>
      <c r="C92" s="34" t="s">
        <v>130</v>
      </c>
      <c r="D92" s="9">
        <f>100*2</f>
        <v>200</v>
      </c>
      <c r="E92" s="9" t="s">
        <v>83</v>
      </c>
      <c r="F92" s="22">
        <v>100000</v>
      </c>
      <c r="G92" s="9">
        <v>0</v>
      </c>
      <c r="H92" s="23">
        <f>D92*F92</f>
        <v>20000000</v>
      </c>
    </row>
    <row r="93" spans="1:10" ht="19.5" customHeight="1">
      <c r="A93" s="19"/>
      <c r="B93" s="18"/>
      <c r="C93" s="85" t="s">
        <v>121</v>
      </c>
      <c r="D93" s="86"/>
      <c r="E93" s="86"/>
      <c r="F93" s="86"/>
      <c r="G93" s="87"/>
      <c r="H93" s="23"/>
    </row>
    <row r="94" spans="1:10" ht="31" customHeight="1">
      <c r="A94" s="19"/>
      <c r="B94" s="18"/>
      <c r="C94" s="34" t="s">
        <v>130</v>
      </c>
      <c r="D94" s="9">
        <v>100</v>
      </c>
      <c r="E94" s="9" t="s">
        <v>83</v>
      </c>
      <c r="F94" s="22">
        <v>100000</v>
      </c>
      <c r="G94" s="9">
        <v>0</v>
      </c>
      <c r="H94" s="23">
        <f>D94*F94</f>
        <v>10000000</v>
      </c>
    </row>
    <row r="95" spans="1:10">
      <c r="A95" s="88" t="s">
        <v>89</v>
      </c>
      <c r="B95" s="89"/>
      <c r="C95" s="89"/>
      <c r="D95" s="89"/>
      <c r="E95" s="89"/>
      <c r="F95" s="89"/>
      <c r="G95" s="90"/>
      <c r="H95" s="66">
        <f>H29</f>
        <v>121125000</v>
      </c>
      <c r="J95" s="69"/>
    </row>
    <row r="97" spans="1:8">
      <c r="A97" t="s">
        <v>90</v>
      </c>
      <c r="B97" t="s">
        <v>3</v>
      </c>
      <c r="C97" s="46">
        <v>233147300</v>
      </c>
      <c r="H97" s="69"/>
    </row>
    <row r="98" spans="1:8">
      <c r="A98" t="s">
        <v>91</v>
      </c>
      <c r="B98" t="s">
        <v>3</v>
      </c>
      <c r="C98" s="46">
        <f>H95</f>
        <v>121125000</v>
      </c>
    </row>
    <row r="99" spans="1:8">
      <c r="A99" t="s">
        <v>92</v>
      </c>
      <c r="C99" s="48">
        <f>C97-C98</f>
        <v>112022300</v>
      </c>
    </row>
  </sheetData>
  <mergeCells count="52">
    <mergeCell ref="C80:G80"/>
    <mergeCell ref="A95:G95"/>
    <mergeCell ref="C65:G65"/>
    <mergeCell ref="C91:G91"/>
    <mergeCell ref="C84:G84"/>
    <mergeCell ref="C88:G88"/>
    <mergeCell ref="C89:G89"/>
    <mergeCell ref="C93:G93"/>
    <mergeCell ref="C69:G69"/>
    <mergeCell ref="C70:G70"/>
    <mergeCell ref="C71:G71"/>
    <mergeCell ref="C72:G72"/>
    <mergeCell ref="C59:G59"/>
    <mergeCell ref="C61:G61"/>
    <mergeCell ref="C63:G63"/>
    <mergeCell ref="C67:G67"/>
    <mergeCell ref="C49:G49"/>
    <mergeCell ref="C52:G52"/>
    <mergeCell ref="C56:G56"/>
    <mergeCell ref="C57:G57"/>
    <mergeCell ref="C58:G58"/>
    <mergeCell ref="C36:G36"/>
    <mergeCell ref="C39:G39"/>
    <mergeCell ref="C40:G40"/>
    <mergeCell ref="C43:G43"/>
    <mergeCell ref="C46:G46"/>
    <mergeCell ref="C47:G47"/>
    <mergeCell ref="D28:G28"/>
    <mergeCell ref="C29:G29"/>
    <mergeCell ref="C30:G30"/>
    <mergeCell ref="C31:G31"/>
    <mergeCell ref="C32:G32"/>
    <mergeCell ref="C33:G33"/>
    <mergeCell ref="C24:F24"/>
    <mergeCell ref="G24:H24"/>
    <mergeCell ref="A25:H25"/>
    <mergeCell ref="A26:A27"/>
    <mergeCell ref="C26:C27"/>
    <mergeCell ref="D26:G26"/>
    <mergeCell ref="H26:H27"/>
    <mergeCell ref="C21:F21"/>
    <mergeCell ref="G21:H21"/>
    <mergeCell ref="C22:F22"/>
    <mergeCell ref="G22:H22"/>
    <mergeCell ref="C23:F23"/>
    <mergeCell ref="G23:H23"/>
    <mergeCell ref="A1:H1"/>
    <mergeCell ref="A2:H2"/>
    <mergeCell ref="A3:H3"/>
    <mergeCell ref="C10:H10"/>
    <mergeCell ref="A19:H19"/>
    <mergeCell ref="C20:F20"/>
  </mergeCells>
  <pageMargins left="0.70866141732283505" right="0.70866141732283505" top="0.74803149606299202" bottom="0.74803149606299202" header="0.31496062992126" footer="0.31496062992126"/>
  <pageSetup paperSize="5" scale="80" orientation="portrait" r:id="rId1"/>
  <rowBreaks count="2" manualBreakCount="2">
    <brk id="55" max="7" man="1"/>
    <brk id="87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521B2-1C73-4C6B-B889-62887C0FB79F}">
  <sheetPr>
    <tabColor theme="0" tint="-0.14996795556505021"/>
  </sheetPr>
  <dimension ref="A1:J72"/>
  <sheetViews>
    <sheetView view="pageBreakPreview" topLeftCell="A55" zoomScaleNormal="90" workbookViewId="0">
      <selection activeCell="A64" sqref="A64"/>
    </sheetView>
  </sheetViews>
  <sheetFormatPr defaultColWidth="9" defaultRowHeight="14.5"/>
  <cols>
    <col min="1" max="1" width="18.81640625" customWidth="1"/>
    <col min="2" max="2" width="3.54296875" customWidth="1"/>
    <col min="3" max="3" width="26.90625" customWidth="1"/>
    <col min="4" max="4" width="10.1796875" customWidth="1"/>
    <col min="5" max="5" width="14" customWidth="1"/>
    <col min="6" max="6" width="12.453125" customWidth="1"/>
    <col min="7" max="7" width="7.453125" customWidth="1"/>
    <col min="8" max="8" width="16.90625" style="2" customWidth="1"/>
    <col min="10" max="10" width="14.1796875" customWidth="1"/>
  </cols>
  <sheetData>
    <row r="1" spans="1:8" ht="18.5">
      <c r="A1" s="145" t="s">
        <v>0</v>
      </c>
      <c r="B1" s="145"/>
      <c r="C1" s="145"/>
      <c r="D1" s="145"/>
      <c r="E1" s="145"/>
      <c r="F1" s="145"/>
      <c r="G1" s="145"/>
      <c r="H1" s="145"/>
    </row>
    <row r="2" spans="1:8" ht="18.5">
      <c r="A2" s="145" t="s">
        <v>1</v>
      </c>
      <c r="B2" s="145"/>
      <c r="C2" s="145"/>
      <c r="D2" s="145"/>
      <c r="E2" s="145"/>
      <c r="F2" s="145"/>
      <c r="G2" s="145"/>
      <c r="H2" s="145"/>
    </row>
    <row r="3" spans="1:8">
      <c r="A3" s="123" t="s">
        <v>206</v>
      </c>
      <c r="B3" s="123"/>
      <c r="C3" s="123"/>
      <c r="D3" s="123"/>
      <c r="E3" s="123"/>
      <c r="F3" s="123"/>
      <c r="G3" s="123"/>
      <c r="H3" s="123"/>
    </row>
    <row r="4" spans="1:8">
      <c r="A4" s="49"/>
      <c r="B4" s="49"/>
      <c r="C4" s="49"/>
      <c r="D4" s="49"/>
      <c r="E4" s="49"/>
      <c r="F4" s="49"/>
      <c r="G4" s="49"/>
      <c r="H4" s="49"/>
    </row>
    <row r="5" spans="1:8">
      <c r="A5" s="4" t="s">
        <v>94</v>
      </c>
      <c r="B5" s="3" t="s">
        <v>3</v>
      </c>
      <c r="C5" s="1" t="s">
        <v>95</v>
      </c>
      <c r="D5" s="49"/>
      <c r="E5" s="49"/>
      <c r="F5" s="49"/>
      <c r="G5" s="49"/>
      <c r="H5" s="49"/>
    </row>
    <row r="6" spans="1:8">
      <c r="A6" s="50" t="s">
        <v>2</v>
      </c>
      <c r="B6" s="49" t="s">
        <v>3</v>
      </c>
      <c r="C6" t="s">
        <v>4</v>
      </c>
      <c r="H6"/>
    </row>
    <row r="7" spans="1:8">
      <c r="A7" s="50" t="s">
        <v>5</v>
      </c>
      <c r="B7" s="49" t="s">
        <v>3</v>
      </c>
      <c r="C7" s="50" t="s">
        <v>6</v>
      </c>
      <c r="D7" s="49"/>
      <c r="E7" s="49"/>
      <c r="F7" s="49"/>
      <c r="G7" s="49"/>
      <c r="H7" s="49"/>
    </row>
    <row r="8" spans="1:8">
      <c r="A8" s="50" t="s">
        <v>7</v>
      </c>
      <c r="B8" s="49" t="s">
        <v>3</v>
      </c>
      <c r="C8" s="73" t="s">
        <v>131</v>
      </c>
      <c r="D8" s="49"/>
      <c r="E8" s="49"/>
      <c r="F8" s="49"/>
      <c r="G8" s="49"/>
      <c r="H8" s="49"/>
    </row>
    <row r="9" spans="1:8">
      <c r="A9" s="50" t="s">
        <v>9</v>
      </c>
      <c r="B9" s="49" t="s">
        <v>3</v>
      </c>
      <c r="C9" t="s">
        <v>10</v>
      </c>
    </row>
    <row r="10" spans="1:8" ht="27" customHeight="1">
      <c r="A10" s="50" t="s">
        <v>11</v>
      </c>
      <c r="B10" s="49" t="s">
        <v>3</v>
      </c>
      <c r="C10" s="146" t="s">
        <v>132</v>
      </c>
      <c r="D10" s="146"/>
      <c r="E10" s="146"/>
      <c r="F10" s="146"/>
      <c r="G10" s="146"/>
      <c r="H10" s="146"/>
    </row>
    <row r="11" spans="1:8" ht="28.75" customHeight="1">
      <c r="A11" s="50" t="s">
        <v>13</v>
      </c>
      <c r="B11" s="49" t="s">
        <v>3</v>
      </c>
      <c r="C11" s="146" t="s">
        <v>133</v>
      </c>
      <c r="D11" s="146"/>
      <c r="E11" s="146"/>
      <c r="F11" s="146"/>
      <c r="G11" s="146"/>
      <c r="H11" s="146"/>
    </row>
    <row r="12" spans="1:8">
      <c r="A12" s="50" t="s">
        <v>15</v>
      </c>
      <c r="B12" s="49" t="s">
        <v>3</v>
      </c>
      <c r="C12" s="50" t="s">
        <v>16</v>
      </c>
      <c r="D12" s="49"/>
      <c r="E12" s="49"/>
      <c r="F12" s="49"/>
      <c r="G12" s="49"/>
      <c r="H12" s="49"/>
    </row>
    <row r="13" spans="1:8">
      <c r="A13" s="50" t="s">
        <v>17</v>
      </c>
      <c r="B13" s="49" t="s">
        <v>3</v>
      </c>
      <c r="C13" s="50"/>
      <c r="D13" s="49"/>
      <c r="E13" s="49"/>
      <c r="F13" s="49"/>
      <c r="G13" s="49"/>
      <c r="H13" s="49"/>
    </row>
    <row r="14" spans="1:8">
      <c r="A14" s="50" t="s">
        <v>19</v>
      </c>
      <c r="B14" s="49" t="s">
        <v>3</v>
      </c>
      <c r="C14" s="50" t="s">
        <v>20</v>
      </c>
      <c r="D14" s="49"/>
      <c r="E14" s="49"/>
      <c r="F14" s="49"/>
      <c r="G14" s="49"/>
      <c r="H14" s="49"/>
    </row>
    <row r="15" spans="1:8">
      <c r="A15" s="50" t="s">
        <v>21</v>
      </c>
      <c r="B15" s="49" t="s">
        <v>3</v>
      </c>
      <c r="C15" s="50" t="s">
        <v>134</v>
      </c>
      <c r="D15" s="49"/>
      <c r="E15" s="49"/>
      <c r="F15" s="49"/>
      <c r="G15" s="49"/>
      <c r="H15" s="49"/>
    </row>
    <row r="16" spans="1:8">
      <c r="A16" s="4" t="s">
        <v>135</v>
      </c>
      <c r="B16" s="3" t="s">
        <v>3</v>
      </c>
      <c r="C16" s="4"/>
      <c r="D16" s="49"/>
      <c r="E16" s="49"/>
      <c r="F16" s="49"/>
      <c r="G16" s="49"/>
      <c r="H16" s="49"/>
    </row>
    <row r="17" spans="1:10">
      <c r="A17" s="4" t="s">
        <v>151</v>
      </c>
      <c r="B17" s="3" t="s">
        <v>3</v>
      </c>
      <c r="C17" s="1"/>
      <c r="D17" s="1"/>
      <c r="E17" s="1"/>
      <c r="F17" s="1"/>
      <c r="G17" s="1"/>
      <c r="H17" s="7"/>
    </row>
    <row r="18" spans="1:10">
      <c r="A18" s="4" t="s">
        <v>208</v>
      </c>
      <c r="B18" s="3" t="s">
        <v>3</v>
      </c>
      <c r="C18" s="6"/>
      <c r="D18" s="6"/>
      <c r="E18" s="6"/>
      <c r="F18" s="6"/>
      <c r="G18" s="6"/>
      <c r="H18" s="6"/>
    </row>
    <row r="19" spans="1:10">
      <c r="A19" s="125" t="s">
        <v>23</v>
      </c>
      <c r="B19" s="126"/>
      <c r="C19" s="126"/>
      <c r="D19" s="126"/>
      <c r="E19" s="126"/>
      <c r="F19" s="126"/>
      <c r="G19" s="126"/>
      <c r="H19" s="127"/>
    </row>
    <row r="20" spans="1:10">
      <c r="A20" s="8" t="s">
        <v>24</v>
      </c>
      <c r="B20" s="9"/>
      <c r="C20" s="112" t="s">
        <v>25</v>
      </c>
      <c r="D20" s="113"/>
      <c r="E20" s="113"/>
      <c r="F20" s="114"/>
      <c r="G20" s="9" t="s">
        <v>26</v>
      </c>
      <c r="H20" s="10"/>
    </row>
    <row r="21" spans="1:10" ht="31.75" customHeight="1">
      <c r="A21" s="8" t="s">
        <v>27</v>
      </c>
      <c r="B21" s="9"/>
      <c r="C21" s="100" t="s">
        <v>136</v>
      </c>
      <c r="D21" s="101"/>
      <c r="E21" s="101"/>
      <c r="F21" s="103"/>
      <c r="G21" s="115">
        <v>0.8</v>
      </c>
      <c r="H21" s="116"/>
    </row>
    <row r="22" spans="1:10">
      <c r="A22" s="8" t="s">
        <v>29</v>
      </c>
      <c r="B22" s="9"/>
      <c r="C22" s="117" t="s">
        <v>30</v>
      </c>
      <c r="D22" s="118"/>
      <c r="E22" s="118"/>
      <c r="F22" s="116"/>
      <c r="G22" s="119">
        <f>H28</f>
        <v>161499999.98750001</v>
      </c>
      <c r="H22" s="116"/>
    </row>
    <row r="23" spans="1:10" ht="30" customHeight="1">
      <c r="A23" s="8" t="s">
        <v>31</v>
      </c>
      <c r="B23" s="11"/>
      <c r="C23" s="100" t="s">
        <v>137</v>
      </c>
      <c r="D23" s="101"/>
      <c r="E23" s="101"/>
      <c r="F23" s="103"/>
      <c r="G23" s="120" t="s">
        <v>221</v>
      </c>
      <c r="H23" s="121"/>
    </row>
    <row r="24" spans="1:10" ht="41.4" customHeight="1">
      <c r="A24" s="8" t="s">
        <v>34</v>
      </c>
      <c r="B24" s="9"/>
      <c r="C24" s="100" t="s">
        <v>138</v>
      </c>
      <c r="D24" s="101"/>
      <c r="E24" s="101"/>
      <c r="F24" s="103"/>
      <c r="G24" s="102" t="s">
        <v>139</v>
      </c>
      <c r="H24" s="103"/>
    </row>
    <row r="25" spans="1:10">
      <c r="A25" s="104" t="s">
        <v>36</v>
      </c>
      <c r="B25" s="105"/>
      <c r="C25" s="105"/>
      <c r="D25" s="105"/>
      <c r="E25" s="105"/>
      <c r="F25" s="105"/>
      <c r="G25" s="105"/>
      <c r="H25" s="106"/>
    </row>
    <row r="26" spans="1:10">
      <c r="A26" s="107" t="s">
        <v>37</v>
      </c>
      <c r="B26" s="12"/>
      <c r="C26" s="107" t="s">
        <v>38</v>
      </c>
      <c r="D26" s="109" t="s">
        <v>39</v>
      </c>
      <c r="E26" s="97"/>
      <c r="F26" s="97"/>
      <c r="G26" s="98"/>
      <c r="H26" s="110" t="s">
        <v>40</v>
      </c>
    </row>
    <row r="27" spans="1:10">
      <c r="A27" s="108"/>
      <c r="B27" s="13"/>
      <c r="C27" s="108"/>
      <c r="D27" s="14" t="s">
        <v>41</v>
      </c>
      <c r="E27" s="14" t="s">
        <v>42</v>
      </c>
      <c r="F27" s="14" t="s">
        <v>43</v>
      </c>
      <c r="G27" s="14" t="s">
        <v>44</v>
      </c>
      <c r="H27" s="111"/>
    </row>
    <row r="28" spans="1:10">
      <c r="A28" s="51">
        <v>5</v>
      </c>
      <c r="B28" s="52"/>
      <c r="C28" s="52" t="s">
        <v>45</v>
      </c>
      <c r="D28" s="143"/>
      <c r="E28" s="143"/>
      <c r="F28" s="143"/>
      <c r="G28" s="144"/>
      <c r="H28" s="43">
        <f>H29</f>
        <v>161499999.98750001</v>
      </c>
      <c r="J28" s="35">
        <f>H28-161500000</f>
        <v>-1.2499988079071045E-2</v>
      </c>
    </row>
    <row r="29" spans="1:10">
      <c r="A29" s="41" t="s">
        <v>46</v>
      </c>
      <c r="B29" s="53"/>
      <c r="C29" s="133" t="s">
        <v>47</v>
      </c>
      <c r="D29" s="134"/>
      <c r="E29" s="134"/>
      <c r="F29" s="134"/>
      <c r="G29" s="135"/>
      <c r="H29" s="43">
        <f>H30</f>
        <v>161499999.98750001</v>
      </c>
    </row>
    <row r="30" spans="1:10">
      <c r="A30" s="41" t="s">
        <v>48</v>
      </c>
      <c r="B30" s="53"/>
      <c r="C30" s="133" t="s">
        <v>49</v>
      </c>
      <c r="D30" s="134"/>
      <c r="E30" s="134"/>
      <c r="F30" s="134"/>
      <c r="G30" s="135"/>
      <c r="H30" s="43">
        <f>H31+H43+H51</f>
        <v>161499999.98750001</v>
      </c>
    </row>
    <row r="31" spans="1:10">
      <c r="A31" s="41" t="s">
        <v>50</v>
      </c>
      <c r="B31" s="41"/>
      <c r="C31" s="139" t="s">
        <v>51</v>
      </c>
      <c r="D31" s="139"/>
      <c r="E31" s="139"/>
      <c r="F31" s="139"/>
      <c r="G31" s="139"/>
      <c r="H31" s="43">
        <f>H32</f>
        <v>20724999.987500001</v>
      </c>
    </row>
    <row r="32" spans="1:10">
      <c r="A32" s="41" t="s">
        <v>52</v>
      </c>
      <c r="B32" s="41"/>
      <c r="C32" s="133" t="s">
        <v>53</v>
      </c>
      <c r="D32" s="134"/>
      <c r="E32" s="134"/>
      <c r="F32" s="134"/>
      <c r="G32" s="135"/>
      <c r="H32" s="43">
        <f>+H33+H36+H39</f>
        <v>20724999.987500001</v>
      </c>
    </row>
    <row r="33" spans="1:10">
      <c r="A33" s="18" t="s">
        <v>54</v>
      </c>
      <c r="B33" s="19"/>
      <c r="C33" s="91" t="s">
        <v>55</v>
      </c>
      <c r="D33" s="92"/>
      <c r="E33" s="92"/>
      <c r="F33" s="92"/>
      <c r="G33" s="93"/>
      <c r="H33" s="17">
        <f>SUM(H34:H35)</f>
        <v>1290600</v>
      </c>
    </row>
    <row r="34" spans="1:10">
      <c r="A34" s="9"/>
      <c r="B34" s="9"/>
      <c r="C34" s="9" t="s">
        <v>56</v>
      </c>
      <c r="D34" s="9">
        <v>8</v>
      </c>
      <c r="E34" s="9" t="s">
        <v>57</v>
      </c>
      <c r="F34" s="22">
        <v>87875</v>
      </c>
      <c r="G34" s="9">
        <v>0</v>
      </c>
      <c r="H34" s="23">
        <f t="shared" ref="H34:H35" si="0">SUM(F34*D34)</f>
        <v>703000</v>
      </c>
    </row>
    <row r="35" spans="1:10">
      <c r="A35" s="9"/>
      <c r="B35" s="9"/>
      <c r="C35" s="9" t="s">
        <v>58</v>
      </c>
      <c r="D35" s="9">
        <v>8</v>
      </c>
      <c r="E35" s="9" t="s">
        <v>57</v>
      </c>
      <c r="F35" s="22">
        <v>73450</v>
      </c>
      <c r="G35" s="9">
        <v>0</v>
      </c>
      <c r="H35" s="23">
        <f t="shared" si="0"/>
        <v>587600</v>
      </c>
    </row>
    <row r="36" spans="1:10">
      <c r="A36" s="18" t="s">
        <v>59</v>
      </c>
      <c r="B36" s="19"/>
      <c r="C36" s="91" t="s">
        <v>60</v>
      </c>
      <c r="D36" s="92"/>
      <c r="E36" s="92"/>
      <c r="F36" s="92"/>
      <c r="G36" s="93"/>
      <c r="H36" s="17">
        <f>SUM(H37:H38)</f>
        <v>376899.98749999999</v>
      </c>
    </row>
    <row r="37" spans="1:10">
      <c r="A37" s="9"/>
      <c r="B37" s="9"/>
      <c r="C37" s="30" t="s">
        <v>61</v>
      </c>
      <c r="D37" s="25">
        <v>886</v>
      </c>
      <c r="E37" s="25" t="s">
        <v>104</v>
      </c>
      <c r="F37" s="26">
        <v>425</v>
      </c>
      <c r="G37" s="27">
        <v>0</v>
      </c>
      <c r="H37" s="28">
        <f>SUM(F37*D37)</f>
        <v>376550</v>
      </c>
    </row>
    <row r="38" spans="1:10">
      <c r="A38" s="9"/>
      <c r="B38" s="29"/>
      <c r="C38" s="30" t="s">
        <v>200</v>
      </c>
      <c r="D38" s="25">
        <v>0.82350000000000001</v>
      </c>
      <c r="E38" s="25" t="s">
        <v>104</v>
      </c>
      <c r="F38" s="26">
        <v>425</v>
      </c>
      <c r="G38" s="27">
        <v>0</v>
      </c>
      <c r="H38" s="28">
        <f>SUM(F38*D38)</f>
        <v>349.98750000000001</v>
      </c>
      <c r="J38">
        <f>150/425</f>
        <v>0.35294117647058826</v>
      </c>
    </row>
    <row r="39" spans="1:10">
      <c r="A39" s="18" t="s">
        <v>64</v>
      </c>
      <c r="B39" s="19"/>
      <c r="C39" s="85" t="s">
        <v>65</v>
      </c>
      <c r="D39" s="86"/>
      <c r="E39" s="86"/>
      <c r="F39" s="86"/>
      <c r="G39" s="87"/>
      <c r="H39" s="17">
        <f>SUM(H41:H42)</f>
        <v>19057500</v>
      </c>
      <c r="J39" s="35"/>
    </row>
    <row r="40" spans="1:10">
      <c r="A40" s="18"/>
      <c r="B40" s="19"/>
      <c r="C40" s="136" t="s">
        <v>141</v>
      </c>
      <c r="D40" s="137"/>
      <c r="E40" s="137"/>
      <c r="F40" s="137"/>
      <c r="G40" s="138"/>
      <c r="H40" s="23"/>
    </row>
    <row r="41" spans="1:10" ht="29">
      <c r="A41" s="18"/>
      <c r="B41" s="19"/>
      <c r="C41" s="80" t="s">
        <v>215</v>
      </c>
      <c r="D41" s="77">
        <f>55*7</f>
        <v>385</v>
      </c>
      <c r="E41" s="77" t="s">
        <v>67</v>
      </c>
      <c r="F41" s="78">
        <v>33000</v>
      </c>
      <c r="G41" s="77">
        <v>0</v>
      </c>
      <c r="H41" s="79">
        <f>SUM(F41*D41)</f>
        <v>12705000</v>
      </c>
    </row>
    <row r="42" spans="1:10" ht="32.5" customHeight="1">
      <c r="A42" s="18"/>
      <c r="B42" s="19"/>
      <c r="C42" s="80" t="s">
        <v>215</v>
      </c>
      <c r="D42" s="77">
        <f>55*7</f>
        <v>385</v>
      </c>
      <c r="E42" s="77" t="s">
        <v>67</v>
      </c>
      <c r="F42" s="78">
        <v>16500</v>
      </c>
      <c r="G42" s="77">
        <v>0</v>
      </c>
      <c r="H42" s="79">
        <f t="shared" ref="H42" si="1">SUM(F42*D42)</f>
        <v>6352500</v>
      </c>
      <c r="J42" s="35"/>
    </row>
    <row r="43" spans="1:10">
      <c r="A43" s="41" t="s">
        <v>113</v>
      </c>
      <c r="B43" s="41"/>
      <c r="C43" s="139" t="s">
        <v>114</v>
      </c>
      <c r="D43" s="139"/>
      <c r="E43" s="139"/>
      <c r="F43" s="139"/>
      <c r="G43" s="139"/>
      <c r="H43" s="43">
        <f>H44</f>
        <v>6800000</v>
      </c>
    </row>
    <row r="44" spans="1:10" ht="15.65" customHeight="1">
      <c r="A44" s="41" t="s">
        <v>115</v>
      </c>
      <c r="B44" s="41"/>
      <c r="C44" s="140" t="s">
        <v>142</v>
      </c>
      <c r="D44" s="141"/>
      <c r="E44" s="141"/>
      <c r="F44" s="141"/>
      <c r="G44" s="142"/>
      <c r="H44" s="43">
        <f>SUM(H46:H48)</f>
        <v>6800000</v>
      </c>
    </row>
    <row r="45" spans="1:10" ht="15.65" customHeight="1">
      <c r="A45" s="41"/>
      <c r="B45" s="41"/>
      <c r="C45" s="85" t="s">
        <v>218</v>
      </c>
      <c r="D45" s="86"/>
      <c r="E45" s="86"/>
      <c r="F45" s="86"/>
      <c r="G45" s="87"/>
      <c r="H45" s="54"/>
    </row>
    <row r="46" spans="1:10" ht="43.5">
      <c r="A46" s="42"/>
      <c r="B46" s="42"/>
      <c r="C46" s="34" t="s">
        <v>143</v>
      </c>
      <c r="D46" s="34">
        <v>2</v>
      </c>
      <c r="E46" s="34" t="s">
        <v>119</v>
      </c>
      <c r="F46" s="37">
        <v>1700000</v>
      </c>
      <c r="G46" s="34">
        <v>0</v>
      </c>
      <c r="H46" s="23">
        <f t="shared" ref="H46" si="2">SUM(F46*D46)</f>
        <v>3400000</v>
      </c>
    </row>
    <row r="47" spans="1:10" ht="18" customHeight="1">
      <c r="A47" s="62"/>
      <c r="B47" s="62"/>
      <c r="C47" s="85" t="s">
        <v>216</v>
      </c>
      <c r="D47" s="86"/>
      <c r="E47" s="86"/>
      <c r="F47" s="86"/>
      <c r="G47" s="87"/>
      <c r="H47" s="54"/>
    </row>
    <row r="48" spans="1:10" ht="43.5">
      <c r="A48" s="62"/>
      <c r="B48" s="62"/>
      <c r="C48" s="34" t="s">
        <v>144</v>
      </c>
      <c r="D48" s="34">
        <v>2</v>
      </c>
      <c r="E48" s="34" t="s">
        <v>119</v>
      </c>
      <c r="F48" s="37">
        <v>1700000</v>
      </c>
      <c r="G48" s="34">
        <v>0</v>
      </c>
      <c r="H48" s="23">
        <f t="shared" ref="H48" si="3">SUM(F48*D48)</f>
        <v>3400000</v>
      </c>
    </row>
    <row r="49" spans="1:8">
      <c r="A49" s="62"/>
      <c r="B49" s="148"/>
      <c r="C49" s="85" t="s">
        <v>217</v>
      </c>
      <c r="D49" s="86"/>
      <c r="E49" s="86"/>
      <c r="F49" s="86"/>
      <c r="G49" s="87"/>
      <c r="H49" s="54"/>
    </row>
    <row r="50" spans="1:8" ht="43.5">
      <c r="A50" s="62"/>
      <c r="B50" s="148"/>
      <c r="C50" s="34" t="s">
        <v>144</v>
      </c>
      <c r="D50" s="34">
        <v>2</v>
      </c>
      <c r="E50" s="34" t="s">
        <v>119</v>
      </c>
      <c r="F50" s="37">
        <v>1700000</v>
      </c>
      <c r="G50" s="34">
        <v>0</v>
      </c>
      <c r="H50" s="23">
        <f t="shared" ref="H50" si="4">SUM(F50*D50)</f>
        <v>3400000</v>
      </c>
    </row>
    <row r="51" spans="1:8">
      <c r="A51" s="41" t="s">
        <v>72</v>
      </c>
      <c r="B51" s="53"/>
      <c r="C51" s="133" t="s">
        <v>73</v>
      </c>
      <c r="D51" s="134"/>
      <c r="E51" s="134"/>
      <c r="F51" s="134"/>
      <c r="G51" s="135"/>
      <c r="H51" s="43">
        <f>H52</f>
        <v>133975000</v>
      </c>
    </row>
    <row r="52" spans="1:8">
      <c r="A52" s="41" t="s">
        <v>74</v>
      </c>
      <c r="B52" s="53"/>
      <c r="C52" s="133" t="s">
        <v>75</v>
      </c>
      <c r="D52" s="134"/>
      <c r="E52" s="134"/>
      <c r="F52" s="134"/>
      <c r="G52" s="135"/>
      <c r="H52" s="43">
        <f>H53</f>
        <v>133975000</v>
      </c>
    </row>
    <row r="53" spans="1:8">
      <c r="A53" s="41" t="s">
        <v>85</v>
      </c>
      <c r="B53" s="41"/>
      <c r="C53" s="41" t="s">
        <v>86</v>
      </c>
      <c r="D53" s="42"/>
      <c r="E53" s="42"/>
      <c r="F53" s="42"/>
      <c r="G53" s="42"/>
      <c r="H53" s="43">
        <f>SUM(H54:H67)</f>
        <v>133975000</v>
      </c>
    </row>
    <row r="54" spans="1:8" ht="14.4" customHeight="1">
      <c r="A54" s="42"/>
      <c r="B54" s="63"/>
      <c r="C54" s="85" t="s">
        <v>218</v>
      </c>
      <c r="D54" s="86"/>
      <c r="E54" s="86"/>
      <c r="F54" s="86"/>
      <c r="G54" s="87"/>
      <c r="H54" s="54"/>
    </row>
    <row r="55" spans="1:8" ht="43" customHeight="1">
      <c r="A55" s="42"/>
      <c r="B55" s="42"/>
      <c r="C55" s="34" t="s">
        <v>219</v>
      </c>
      <c r="D55" s="9">
        <v>50</v>
      </c>
      <c r="E55" s="72" t="s">
        <v>83</v>
      </c>
      <c r="F55" s="22">
        <v>398000</v>
      </c>
      <c r="G55" s="9">
        <v>0</v>
      </c>
      <c r="H55" s="23">
        <f t="shared" ref="H55:H57" si="5">SUM(F55*D55)</f>
        <v>19900000</v>
      </c>
    </row>
    <row r="56" spans="1:8" ht="29">
      <c r="A56" s="63"/>
      <c r="B56" s="42"/>
      <c r="C56" s="34" t="s">
        <v>87</v>
      </c>
      <c r="D56" s="9">
        <v>45</v>
      </c>
      <c r="E56" s="72" t="s">
        <v>83</v>
      </c>
      <c r="F56" s="22">
        <v>100000</v>
      </c>
      <c r="G56" s="9">
        <v>0</v>
      </c>
      <c r="H56" s="23">
        <f t="shared" si="5"/>
        <v>4500000</v>
      </c>
    </row>
    <row r="57" spans="1:8">
      <c r="A57" s="63"/>
      <c r="B57" s="42"/>
      <c r="C57" s="34" t="s">
        <v>88</v>
      </c>
      <c r="D57" s="9">
        <v>5</v>
      </c>
      <c r="E57" s="72" t="s">
        <v>83</v>
      </c>
      <c r="F57" s="22">
        <v>105000</v>
      </c>
      <c r="G57" s="9">
        <v>0</v>
      </c>
      <c r="H57" s="23">
        <f t="shared" si="5"/>
        <v>525000</v>
      </c>
    </row>
    <row r="58" spans="1:8" ht="14.5" customHeight="1">
      <c r="A58" s="42"/>
      <c r="B58" s="63"/>
      <c r="C58" s="85" t="s">
        <v>216</v>
      </c>
      <c r="D58" s="86"/>
      <c r="E58" s="86"/>
      <c r="F58" s="86"/>
      <c r="G58" s="87"/>
      <c r="H58" s="54"/>
    </row>
    <row r="59" spans="1:8" ht="51.5" customHeight="1">
      <c r="A59" s="42"/>
      <c r="B59" s="42"/>
      <c r="C59" s="34" t="s">
        <v>220</v>
      </c>
      <c r="D59" s="9">
        <v>105</v>
      </c>
      <c r="E59" s="72" t="s">
        <v>83</v>
      </c>
      <c r="F59" s="22">
        <v>300000</v>
      </c>
      <c r="G59" s="9">
        <v>0</v>
      </c>
      <c r="H59" s="23">
        <f t="shared" ref="H59:H61" si="6">SUM(F59*D59)</f>
        <v>31500000</v>
      </c>
    </row>
    <row r="60" spans="1:8" ht="29">
      <c r="A60" s="63"/>
      <c r="B60" s="42"/>
      <c r="C60" s="34" t="s">
        <v>87</v>
      </c>
      <c r="D60" s="9">
        <f>100*1</f>
        <v>100</v>
      </c>
      <c r="E60" s="72" t="s">
        <v>83</v>
      </c>
      <c r="F60" s="22">
        <v>100000</v>
      </c>
      <c r="G60" s="9">
        <v>0</v>
      </c>
      <c r="H60" s="23">
        <f t="shared" si="6"/>
        <v>10000000</v>
      </c>
    </row>
    <row r="61" spans="1:8">
      <c r="A61" s="63"/>
      <c r="B61" s="42"/>
      <c r="C61" s="34" t="s">
        <v>88</v>
      </c>
      <c r="D61" s="9">
        <v>5</v>
      </c>
      <c r="E61" s="72" t="s">
        <v>83</v>
      </c>
      <c r="F61" s="22">
        <v>105000</v>
      </c>
      <c r="G61" s="9">
        <v>0</v>
      </c>
      <c r="H61" s="23">
        <f t="shared" si="6"/>
        <v>525000</v>
      </c>
    </row>
    <row r="62" spans="1:8">
      <c r="A62" s="63"/>
      <c r="B62" s="42"/>
      <c r="C62" s="85" t="s">
        <v>224</v>
      </c>
      <c r="D62" s="86"/>
      <c r="E62" s="86"/>
      <c r="F62" s="86"/>
      <c r="G62" s="87"/>
      <c r="H62" s="54"/>
    </row>
    <row r="63" spans="1:8" ht="52" customHeight="1">
      <c r="A63" s="63"/>
      <c r="B63" s="42"/>
      <c r="C63" s="34" t="s">
        <v>220</v>
      </c>
      <c r="D63" s="9">
        <v>80</v>
      </c>
      <c r="E63" s="72" t="s">
        <v>83</v>
      </c>
      <c r="F63" s="22">
        <v>300000</v>
      </c>
      <c r="G63" s="9">
        <v>0</v>
      </c>
      <c r="H63" s="23">
        <f t="shared" ref="H63:H65" si="7">SUM(F63*D63)</f>
        <v>24000000</v>
      </c>
    </row>
    <row r="64" spans="1:8" ht="29">
      <c r="A64" s="63"/>
      <c r="B64" s="42"/>
      <c r="C64" s="34" t="s">
        <v>87</v>
      </c>
      <c r="D64" s="9">
        <v>75</v>
      </c>
      <c r="E64" s="72" t="s">
        <v>83</v>
      </c>
      <c r="F64" s="22">
        <v>100000</v>
      </c>
      <c r="G64" s="9">
        <v>0</v>
      </c>
      <c r="H64" s="23">
        <f t="shared" si="7"/>
        <v>7500000</v>
      </c>
    </row>
    <row r="65" spans="1:8">
      <c r="A65" s="63"/>
      <c r="B65" s="42"/>
      <c r="C65" s="34" t="s">
        <v>88</v>
      </c>
      <c r="D65" s="9">
        <v>5</v>
      </c>
      <c r="E65" s="72" t="s">
        <v>83</v>
      </c>
      <c r="F65" s="22">
        <v>105000</v>
      </c>
      <c r="G65" s="9">
        <v>0</v>
      </c>
      <c r="H65" s="23">
        <f t="shared" si="7"/>
        <v>525000</v>
      </c>
    </row>
    <row r="66" spans="1:8">
      <c r="A66" s="63"/>
      <c r="B66" s="42"/>
      <c r="C66" s="85" t="s">
        <v>141</v>
      </c>
      <c r="D66" s="86"/>
      <c r="E66" s="86"/>
      <c r="F66" s="86"/>
      <c r="G66" s="87"/>
      <c r="H66" s="54"/>
    </row>
    <row r="67" spans="1:8" ht="29">
      <c r="A67" s="63"/>
      <c r="B67" s="42"/>
      <c r="C67" s="81" t="s">
        <v>87</v>
      </c>
      <c r="D67" s="82">
        <f>50*7</f>
        <v>350</v>
      </c>
      <c r="E67" s="82" t="s">
        <v>93</v>
      </c>
      <c r="F67" s="83">
        <v>100000</v>
      </c>
      <c r="G67" s="82">
        <v>0</v>
      </c>
      <c r="H67" s="84">
        <f t="shared" ref="H67" si="8">SUM(F67*D67)</f>
        <v>35000000</v>
      </c>
    </row>
    <row r="68" spans="1:8">
      <c r="A68" s="130" t="s">
        <v>89</v>
      </c>
      <c r="B68" s="131"/>
      <c r="C68" s="131"/>
      <c r="D68" s="131"/>
      <c r="E68" s="131"/>
      <c r="F68" s="131"/>
      <c r="G68" s="132"/>
      <c r="H68" s="64">
        <f>H28</f>
        <v>161499999.98750001</v>
      </c>
    </row>
    <row r="70" spans="1:8">
      <c r="A70" t="s">
        <v>90</v>
      </c>
      <c r="B70" t="s">
        <v>3</v>
      </c>
      <c r="C70" s="46"/>
    </row>
    <row r="71" spans="1:8">
      <c r="A71" t="s">
        <v>91</v>
      </c>
      <c r="B71" t="s">
        <v>3</v>
      </c>
      <c r="C71" s="46"/>
    </row>
    <row r="72" spans="1:8">
      <c r="A72" t="s">
        <v>92</v>
      </c>
      <c r="C72" s="48"/>
    </row>
  </sheetData>
  <mergeCells count="41">
    <mergeCell ref="A68:G68"/>
    <mergeCell ref="C49:G49"/>
    <mergeCell ref="C62:G62"/>
    <mergeCell ref="C47:G47"/>
    <mergeCell ref="C51:G51"/>
    <mergeCell ref="C52:G52"/>
    <mergeCell ref="C54:G54"/>
    <mergeCell ref="C58:G58"/>
    <mergeCell ref="C66:G66"/>
    <mergeCell ref="C36:G36"/>
    <mergeCell ref="C39:G39"/>
    <mergeCell ref="C40:G40"/>
    <mergeCell ref="C43:G43"/>
    <mergeCell ref="C44:G44"/>
    <mergeCell ref="C45:G45"/>
    <mergeCell ref="D28:G28"/>
    <mergeCell ref="C29:G29"/>
    <mergeCell ref="C30:G30"/>
    <mergeCell ref="C31:G31"/>
    <mergeCell ref="C32:G32"/>
    <mergeCell ref="C33:G33"/>
    <mergeCell ref="C24:F24"/>
    <mergeCell ref="G24:H24"/>
    <mergeCell ref="A25:H25"/>
    <mergeCell ref="A26:A27"/>
    <mergeCell ref="C26:C27"/>
    <mergeCell ref="D26:G26"/>
    <mergeCell ref="H26:H27"/>
    <mergeCell ref="C20:F20"/>
    <mergeCell ref="C21:F21"/>
    <mergeCell ref="G21:H21"/>
    <mergeCell ref="C22:F22"/>
    <mergeCell ref="G22:H22"/>
    <mergeCell ref="C23:F23"/>
    <mergeCell ref="G23:H23"/>
    <mergeCell ref="A1:H1"/>
    <mergeCell ref="A2:H2"/>
    <mergeCell ref="A3:H3"/>
    <mergeCell ref="C10:H10"/>
    <mergeCell ref="C11:H11"/>
    <mergeCell ref="A19:H19"/>
  </mergeCells>
  <pageMargins left="0.70866141732283505" right="0.70866141732283505" top="0.74803149606299202" bottom="0.74803149606299202" header="0.31496062992126" footer="0.31496062992126"/>
  <pageSetup paperSize="5" scale="80" orientation="portrait" r:id="rId1"/>
  <rowBreaks count="2" manualBreakCount="2">
    <brk id="42" max="7" man="1"/>
    <brk id="72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0951D-BD79-4FED-8DBD-F1FF9AED9503}">
  <sheetPr>
    <tabColor theme="0" tint="-0.14996795556505021"/>
  </sheetPr>
  <dimension ref="A1:L121"/>
  <sheetViews>
    <sheetView view="pageBreakPreview" topLeftCell="A28" zoomScale="110" zoomScaleNormal="100" workbookViewId="0">
      <selection activeCell="H34" sqref="H34"/>
    </sheetView>
  </sheetViews>
  <sheetFormatPr defaultColWidth="9" defaultRowHeight="14.5"/>
  <cols>
    <col min="1" max="1" width="18.26953125" customWidth="1"/>
    <col min="2" max="2" width="2.453125" customWidth="1"/>
    <col min="3" max="3" width="31.90625" customWidth="1"/>
    <col min="4" max="4" width="8.453125" customWidth="1"/>
    <col min="5" max="5" width="14" customWidth="1"/>
    <col min="6" max="6" width="11.81640625" customWidth="1"/>
    <col min="7" max="7" width="7.1796875" customWidth="1"/>
    <col min="8" max="8" width="17.6328125" style="2" customWidth="1"/>
    <col min="9" max="9" width="8.36328125" customWidth="1"/>
    <col min="10" max="10" width="13.90625" hidden="1" customWidth="1"/>
    <col min="11" max="11" width="18.08984375" customWidth="1"/>
    <col min="12" max="12" width="16" customWidth="1"/>
  </cols>
  <sheetData>
    <row r="1" spans="1:8" ht="18.5">
      <c r="A1" s="145" t="s">
        <v>0</v>
      </c>
      <c r="B1" s="145"/>
      <c r="C1" s="145"/>
      <c r="D1" s="145"/>
      <c r="E1" s="145"/>
      <c r="F1" s="145"/>
      <c r="G1" s="145"/>
      <c r="H1" s="145"/>
    </row>
    <row r="2" spans="1:8" ht="18.5">
      <c r="A2" s="122" t="s">
        <v>1</v>
      </c>
      <c r="B2" s="122"/>
      <c r="C2" s="122"/>
      <c r="D2" s="122"/>
      <c r="E2" s="122"/>
      <c r="F2" s="122"/>
      <c r="G2" s="122"/>
      <c r="H2" s="122"/>
    </row>
    <row r="3" spans="1:8">
      <c r="A3" s="123" t="s">
        <v>206</v>
      </c>
      <c r="B3" s="123"/>
      <c r="C3" s="123"/>
      <c r="D3" s="123"/>
      <c r="E3" s="123"/>
      <c r="F3" s="123"/>
      <c r="G3" s="123"/>
      <c r="H3" s="12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4" t="s">
        <v>94</v>
      </c>
      <c r="B5" s="3" t="s">
        <v>3</v>
      </c>
      <c r="C5" s="1" t="s">
        <v>95</v>
      </c>
      <c r="D5" s="1"/>
      <c r="E5" s="1"/>
      <c r="F5" s="1"/>
      <c r="G5" s="1"/>
      <c r="H5" s="3"/>
    </row>
    <row r="6" spans="1:8">
      <c r="A6" s="4" t="s">
        <v>2</v>
      </c>
      <c r="B6" s="3" t="s">
        <v>3</v>
      </c>
      <c r="C6" s="1" t="s">
        <v>96</v>
      </c>
      <c r="D6" s="1"/>
      <c r="E6" s="1"/>
      <c r="F6" s="1"/>
      <c r="G6" s="1"/>
      <c r="H6" s="1"/>
    </row>
    <row r="7" spans="1:8">
      <c r="A7" s="4" t="s">
        <v>5</v>
      </c>
      <c r="B7" s="3" t="s">
        <v>3</v>
      </c>
      <c r="C7" s="4" t="s">
        <v>6</v>
      </c>
      <c r="D7" s="3"/>
      <c r="E7" s="3"/>
      <c r="F7" s="3"/>
      <c r="G7" s="3"/>
      <c r="H7" s="3"/>
    </row>
    <row r="8" spans="1:8">
      <c r="A8" s="4" t="s">
        <v>7</v>
      </c>
      <c r="B8" s="3" t="s">
        <v>3</v>
      </c>
      <c r="C8" s="74" t="s">
        <v>131</v>
      </c>
      <c r="D8" s="3"/>
      <c r="E8" s="3"/>
      <c r="F8" s="3"/>
      <c r="G8" s="3"/>
      <c r="H8" s="3"/>
    </row>
    <row r="9" spans="1:8">
      <c r="A9" s="4" t="s">
        <v>9</v>
      </c>
      <c r="B9" s="3" t="s">
        <v>3</v>
      </c>
      <c r="C9" s="1" t="s">
        <v>145</v>
      </c>
      <c r="D9" s="1"/>
      <c r="E9" s="1"/>
      <c r="F9" s="1"/>
      <c r="G9" s="1"/>
      <c r="H9" s="5"/>
    </row>
    <row r="10" spans="1:8">
      <c r="A10" s="4" t="s">
        <v>11</v>
      </c>
      <c r="B10" s="3" t="s">
        <v>3</v>
      </c>
      <c r="C10" s="124" t="s">
        <v>146</v>
      </c>
      <c r="D10" s="124"/>
      <c r="E10" s="124"/>
      <c r="F10" s="124"/>
      <c r="G10" s="124"/>
      <c r="H10" s="124"/>
    </row>
    <row r="11" spans="1:8">
      <c r="A11" s="4" t="s">
        <v>13</v>
      </c>
      <c r="B11" s="3" t="s">
        <v>3</v>
      </c>
      <c r="C11" s="1" t="s">
        <v>147</v>
      </c>
      <c r="D11" s="1"/>
      <c r="E11" s="1"/>
      <c r="F11" s="1"/>
      <c r="G11" s="1"/>
      <c r="H11" s="5"/>
    </row>
    <row r="12" spans="1:8">
      <c r="A12" s="4" t="s">
        <v>148</v>
      </c>
      <c r="B12" s="3" t="s">
        <v>3</v>
      </c>
      <c r="C12" s="75" t="s">
        <v>131</v>
      </c>
      <c r="D12" s="1"/>
      <c r="E12" s="1"/>
      <c r="F12" s="1"/>
      <c r="G12" s="1"/>
      <c r="H12" s="5"/>
    </row>
    <row r="13" spans="1:8">
      <c r="A13" s="4" t="s">
        <v>149</v>
      </c>
      <c r="B13" s="3" t="s">
        <v>3</v>
      </c>
      <c r="C13" s="75" t="s">
        <v>131</v>
      </c>
      <c r="D13" s="1"/>
      <c r="E13" s="1"/>
      <c r="F13" s="1"/>
      <c r="G13" s="1"/>
      <c r="H13" s="5"/>
    </row>
    <row r="14" spans="1:8">
      <c r="A14" s="4" t="s">
        <v>15</v>
      </c>
      <c r="B14" s="3" t="s">
        <v>3</v>
      </c>
      <c r="C14" s="4" t="s">
        <v>150</v>
      </c>
      <c r="D14" s="3"/>
      <c r="E14" s="3"/>
      <c r="F14" s="3"/>
      <c r="G14" s="3"/>
      <c r="H14" s="3"/>
    </row>
    <row r="15" spans="1:8">
      <c r="A15" s="4" t="s">
        <v>17</v>
      </c>
      <c r="B15" s="3" t="s">
        <v>3</v>
      </c>
      <c r="C15" s="4" t="s">
        <v>18</v>
      </c>
      <c r="D15" s="3"/>
      <c r="E15" s="3"/>
      <c r="F15" s="3"/>
      <c r="G15" s="3"/>
      <c r="H15" s="3"/>
    </row>
    <row r="16" spans="1:8">
      <c r="A16" s="4" t="s">
        <v>19</v>
      </c>
      <c r="B16" s="3" t="s">
        <v>3</v>
      </c>
      <c r="C16" s="4" t="s">
        <v>20</v>
      </c>
      <c r="D16" s="3"/>
      <c r="E16" s="3"/>
      <c r="F16" s="3"/>
      <c r="G16" s="3"/>
      <c r="H16" s="3"/>
    </row>
    <row r="17" spans="1:12">
      <c r="A17" s="4" t="s">
        <v>21</v>
      </c>
      <c r="B17" s="3" t="s">
        <v>3</v>
      </c>
      <c r="C17" s="4" t="s">
        <v>22</v>
      </c>
      <c r="D17" s="3"/>
      <c r="E17" s="3"/>
      <c r="F17" s="3"/>
      <c r="G17" s="3"/>
      <c r="H17" s="3"/>
    </row>
    <row r="18" spans="1:12">
      <c r="A18" s="4" t="s">
        <v>135</v>
      </c>
      <c r="B18" s="3" t="s">
        <v>3</v>
      </c>
      <c r="C18" s="4"/>
      <c r="D18" s="3"/>
      <c r="E18" s="3"/>
      <c r="F18" s="3"/>
      <c r="G18" s="3"/>
      <c r="H18" s="3"/>
    </row>
    <row r="19" spans="1:12">
      <c r="A19" s="4" t="s">
        <v>151</v>
      </c>
      <c r="B19" s="3" t="s">
        <v>3</v>
      </c>
      <c r="C19" s="1"/>
      <c r="D19" s="1"/>
      <c r="E19" s="1"/>
      <c r="F19" s="1"/>
      <c r="G19" s="1"/>
      <c r="H19" s="7"/>
    </row>
    <row r="20" spans="1:12">
      <c r="A20" s="4" t="s">
        <v>208</v>
      </c>
      <c r="B20" s="3" t="s">
        <v>3</v>
      </c>
      <c r="C20" s="6"/>
      <c r="D20" s="6"/>
      <c r="E20" s="6"/>
      <c r="F20" s="6"/>
      <c r="G20" s="6"/>
      <c r="H20" s="6"/>
    </row>
    <row r="21" spans="1:12" ht="18.649999999999999" customHeight="1">
      <c r="A21" s="125" t="s">
        <v>23</v>
      </c>
      <c r="B21" s="126"/>
      <c r="C21" s="126"/>
      <c r="D21" s="126"/>
      <c r="E21" s="126"/>
      <c r="F21" s="126"/>
      <c r="G21" s="126"/>
      <c r="H21" s="127"/>
    </row>
    <row r="22" spans="1:12">
      <c r="A22" s="8" t="s">
        <v>24</v>
      </c>
      <c r="B22" s="9"/>
      <c r="C22" s="112" t="s">
        <v>25</v>
      </c>
      <c r="D22" s="113"/>
      <c r="E22" s="113"/>
      <c r="F22" s="114"/>
      <c r="G22" s="9" t="s">
        <v>26</v>
      </c>
      <c r="H22" s="10"/>
    </row>
    <row r="23" spans="1:12">
      <c r="A23" s="8" t="s">
        <v>27</v>
      </c>
      <c r="B23" s="9"/>
      <c r="C23" s="117" t="s">
        <v>152</v>
      </c>
      <c r="D23" s="118"/>
      <c r="E23" s="118"/>
      <c r="F23" s="116"/>
      <c r="G23" s="117" t="s">
        <v>153</v>
      </c>
      <c r="H23" s="116"/>
    </row>
    <row r="24" spans="1:12">
      <c r="A24" s="8" t="s">
        <v>29</v>
      </c>
      <c r="B24" s="9"/>
      <c r="C24" s="117" t="s">
        <v>30</v>
      </c>
      <c r="D24" s="118"/>
      <c r="E24" s="118"/>
      <c r="F24" s="116"/>
      <c r="G24" s="119">
        <f>H30</f>
        <v>373176999.98000002</v>
      </c>
      <c r="H24" s="116"/>
    </row>
    <row r="25" spans="1:12">
      <c r="A25" s="8" t="s">
        <v>31</v>
      </c>
      <c r="B25" s="11"/>
      <c r="C25" s="120" t="s">
        <v>154</v>
      </c>
      <c r="D25" s="147"/>
      <c r="E25" s="147"/>
      <c r="F25" s="121"/>
      <c r="G25" s="120" t="s">
        <v>155</v>
      </c>
      <c r="H25" s="121"/>
    </row>
    <row r="26" spans="1:12" ht="16.5" customHeight="1">
      <c r="A26" s="8" t="s">
        <v>34</v>
      </c>
      <c r="B26" s="9"/>
      <c r="C26" s="100" t="s">
        <v>156</v>
      </c>
      <c r="D26" s="101"/>
      <c r="E26" s="101"/>
      <c r="F26" s="101"/>
      <c r="G26" s="102">
        <v>1</v>
      </c>
      <c r="H26" s="103"/>
    </row>
    <row r="27" spans="1:12">
      <c r="A27" s="104" t="s">
        <v>36</v>
      </c>
      <c r="B27" s="105"/>
      <c r="C27" s="105"/>
      <c r="D27" s="105"/>
      <c r="E27" s="105"/>
      <c r="F27" s="105"/>
      <c r="G27" s="105"/>
      <c r="H27" s="106"/>
    </row>
    <row r="28" spans="1:12">
      <c r="A28" s="107" t="s">
        <v>37</v>
      </c>
      <c r="B28" s="12"/>
      <c r="C28" s="107" t="s">
        <v>38</v>
      </c>
      <c r="D28" s="109" t="s">
        <v>39</v>
      </c>
      <c r="E28" s="97"/>
      <c r="F28" s="97"/>
      <c r="G28" s="98"/>
      <c r="H28" s="110" t="s">
        <v>40</v>
      </c>
    </row>
    <row r="29" spans="1:12">
      <c r="A29" s="108"/>
      <c r="B29" s="13"/>
      <c r="C29" s="108"/>
      <c r="D29" s="14" t="s">
        <v>41</v>
      </c>
      <c r="E29" s="14" t="s">
        <v>42</v>
      </c>
      <c r="F29" s="14" t="s">
        <v>43</v>
      </c>
      <c r="G29" s="14" t="s">
        <v>44</v>
      </c>
      <c r="H29" s="111"/>
    </row>
    <row r="30" spans="1:12">
      <c r="A30" s="15">
        <v>5</v>
      </c>
      <c r="B30" s="16"/>
      <c r="C30" s="16" t="s">
        <v>45</v>
      </c>
      <c r="D30" s="97"/>
      <c r="E30" s="97"/>
      <c r="F30" s="97"/>
      <c r="G30" s="98"/>
      <c r="H30" s="17">
        <f>H31</f>
        <v>373176999.98000002</v>
      </c>
      <c r="K30" s="46">
        <f>H30-373177000</f>
        <v>-1.9999980926513672E-2</v>
      </c>
      <c r="L30" s="35"/>
    </row>
    <row r="31" spans="1:12">
      <c r="A31" s="18" t="s">
        <v>46</v>
      </c>
      <c r="B31" s="19"/>
      <c r="C31" s="91" t="s">
        <v>47</v>
      </c>
      <c r="D31" s="92"/>
      <c r="E31" s="92"/>
      <c r="F31" s="92"/>
      <c r="G31" s="93"/>
      <c r="H31" s="17">
        <f>H32</f>
        <v>373176999.98000002</v>
      </c>
      <c r="K31" s="36"/>
      <c r="L31" s="35"/>
    </row>
    <row r="32" spans="1:12">
      <c r="A32" s="18" t="s">
        <v>48</v>
      </c>
      <c r="B32" s="19"/>
      <c r="C32" s="91" t="s">
        <v>49</v>
      </c>
      <c r="D32" s="92"/>
      <c r="E32" s="92"/>
      <c r="F32" s="92"/>
      <c r="G32" s="93"/>
      <c r="H32" s="17">
        <f>H33+H56+H82</f>
        <v>373176999.98000002</v>
      </c>
    </row>
    <row r="33" spans="1:11">
      <c r="A33" s="18" t="s">
        <v>50</v>
      </c>
      <c r="B33" s="18"/>
      <c r="C33" s="99" t="s">
        <v>51</v>
      </c>
      <c r="D33" s="99"/>
      <c r="E33" s="99"/>
      <c r="F33" s="99"/>
      <c r="G33" s="99"/>
      <c r="H33" s="17">
        <f>H34</f>
        <v>87103663.979999989</v>
      </c>
    </row>
    <row r="34" spans="1:11">
      <c r="A34" s="18" t="s">
        <v>52</v>
      </c>
      <c r="B34" s="18"/>
      <c r="C34" s="99" t="s">
        <v>53</v>
      </c>
      <c r="D34" s="99"/>
      <c r="E34" s="99"/>
      <c r="F34" s="99"/>
      <c r="G34" s="99"/>
      <c r="H34" s="17">
        <f>+H35+H38+H46</f>
        <v>87103663.979999989</v>
      </c>
      <c r="K34" s="35"/>
    </row>
    <row r="35" spans="1:11">
      <c r="A35" s="18" t="s">
        <v>54</v>
      </c>
      <c r="B35" s="19"/>
      <c r="C35" s="91" t="s">
        <v>55</v>
      </c>
      <c r="D35" s="92"/>
      <c r="E35" s="92"/>
      <c r="F35" s="92"/>
      <c r="G35" s="93"/>
      <c r="H35" s="17">
        <f>SUM(H36:H37)</f>
        <v>1613250</v>
      </c>
    </row>
    <row r="36" spans="1:11">
      <c r="A36" s="9"/>
      <c r="B36" s="9"/>
      <c r="C36" s="9" t="s">
        <v>56</v>
      </c>
      <c r="D36" s="9">
        <v>10</v>
      </c>
      <c r="E36" s="9" t="s">
        <v>57</v>
      </c>
      <c r="F36" s="22">
        <v>87875</v>
      </c>
      <c r="G36" s="9">
        <v>0</v>
      </c>
      <c r="H36" s="23">
        <f t="shared" ref="H36:H37" si="0">SUM(F36*D36)</f>
        <v>878750</v>
      </c>
    </row>
    <row r="37" spans="1:11">
      <c r="A37" s="9"/>
      <c r="B37" s="9"/>
      <c r="C37" s="9" t="s">
        <v>58</v>
      </c>
      <c r="D37" s="9">
        <v>10</v>
      </c>
      <c r="E37" s="9" t="s">
        <v>57</v>
      </c>
      <c r="F37" s="22">
        <v>73450</v>
      </c>
      <c r="G37" s="9">
        <v>0</v>
      </c>
      <c r="H37" s="23">
        <f t="shared" si="0"/>
        <v>734500</v>
      </c>
    </row>
    <row r="38" spans="1:11">
      <c r="A38" s="18" t="s">
        <v>59</v>
      </c>
      <c r="B38" s="19"/>
      <c r="C38" s="91" t="s">
        <v>60</v>
      </c>
      <c r="D38" s="92"/>
      <c r="E38" s="92"/>
      <c r="F38" s="92"/>
      <c r="G38" s="93"/>
      <c r="H38" s="17">
        <f>SUM(H39:H45)</f>
        <v>66234913.979999997</v>
      </c>
      <c r="K38" s="35"/>
    </row>
    <row r="39" spans="1:11">
      <c r="A39" s="9"/>
      <c r="B39" s="9"/>
      <c r="C39" s="24" t="s">
        <v>157</v>
      </c>
      <c r="D39" s="25">
        <v>216</v>
      </c>
      <c r="E39" s="25" t="s">
        <v>103</v>
      </c>
      <c r="F39" s="26">
        <v>51625</v>
      </c>
      <c r="G39" s="27">
        <v>0</v>
      </c>
      <c r="H39" s="28">
        <f>SUM(F39*D39)</f>
        <v>11151000</v>
      </c>
      <c r="K39" s="35"/>
    </row>
    <row r="40" spans="1:11">
      <c r="A40" s="9"/>
      <c r="B40" s="9"/>
      <c r="C40" s="24" t="s">
        <v>158</v>
      </c>
      <c r="D40" s="25">
        <v>50</v>
      </c>
      <c r="E40" s="25" t="s">
        <v>106</v>
      </c>
      <c r="F40" s="26">
        <v>281700</v>
      </c>
      <c r="G40" s="27">
        <v>0</v>
      </c>
      <c r="H40" s="28">
        <f t="shared" ref="H40:H44" si="1">SUM(F40*D40)</f>
        <v>14085000</v>
      </c>
    </row>
    <row r="41" spans="1:11">
      <c r="A41" s="9"/>
      <c r="B41" s="9"/>
      <c r="C41" s="24" t="s">
        <v>62</v>
      </c>
      <c r="D41" s="25">
        <v>500</v>
      </c>
      <c r="E41" s="25" t="s">
        <v>63</v>
      </c>
      <c r="F41" s="26">
        <v>48250</v>
      </c>
      <c r="G41" s="27">
        <v>0</v>
      </c>
      <c r="H41" s="28">
        <f t="shared" si="1"/>
        <v>24125000</v>
      </c>
      <c r="K41" s="36"/>
    </row>
    <row r="42" spans="1:11">
      <c r="A42" s="9"/>
      <c r="B42" s="29"/>
      <c r="C42" s="24" t="s">
        <v>196</v>
      </c>
      <c r="D42" s="25">
        <v>1000</v>
      </c>
      <c r="E42" s="25" t="s">
        <v>104</v>
      </c>
      <c r="F42" s="26">
        <v>3000</v>
      </c>
      <c r="G42" s="27">
        <v>0</v>
      </c>
      <c r="H42" s="28">
        <f t="shared" si="1"/>
        <v>3000000</v>
      </c>
      <c r="K42" s="36"/>
    </row>
    <row r="43" spans="1:11">
      <c r="A43" s="9"/>
      <c r="B43" s="29"/>
      <c r="C43" s="24" t="s">
        <v>105</v>
      </c>
      <c r="D43" s="25">
        <v>30</v>
      </c>
      <c r="E43" s="25" t="s">
        <v>106</v>
      </c>
      <c r="F43" s="26">
        <v>450000</v>
      </c>
      <c r="G43" s="27">
        <v>0</v>
      </c>
      <c r="H43" s="28">
        <f t="shared" si="1"/>
        <v>13500000</v>
      </c>
      <c r="K43" s="36"/>
    </row>
    <row r="44" spans="1:11">
      <c r="A44" s="9"/>
      <c r="B44" s="29"/>
      <c r="C44" s="30" t="s">
        <v>61</v>
      </c>
      <c r="D44" s="25">
        <v>879</v>
      </c>
      <c r="E44" s="25" t="s">
        <v>104</v>
      </c>
      <c r="F44" s="26">
        <v>425</v>
      </c>
      <c r="G44" s="27">
        <v>0</v>
      </c>
      <c r="H44" s="28">
        <f t="shared" si="1"/>
        <v>373575</v>
      </c>
    </row>
    <row r="45" spans="1:11">
      <c r="A45" s="9"/>
      <c r="B45" s="29"/>
      <c r="C45" s="30" t="s">
        <v>200</v>
      </c>
      <c r="D45" s="25">
        <v>0.79759999999999998</v>
      </c>
      <c r="E45" s="25" t="s">
        <v>104</v>
      </c>
      <c r="F45" s="26">
        <v>425</v>
      </c>
      <c r="G45" s="27">
        <v>0</v>
      </c>
      <c r="H45" s="28">
        <f t="shared" ref="H45" si="2">SUM(F45*D45)</f>
        <v>338.97999999999996</v>
      </c>
    </row>
    <row r="46" spans="1:11" ht="15.75" customHeight="1">
      <c r="A46" s="18" t="s">
        <v>64</v>
      </c>
      <c r="B46" s="19"/>
      <c r="C46" s="85" t="s">
        <v>65</v>
      </c>
      <c r="D46" s="86"/>
      <c r="E46" s="86"/>
      <c r="F46" s="86"/>
      <c r="G46" s="87"/>
      <c r="H46" s="17">
        <f>SUM(H48:H55)</f>
        <v>19255500</v>
      </c>
    </row>
    <row r="47" spans="1:11" ht="15.75" customHeight="1">
      <c r="A47" s="18"/>
      <c r="B47" s="19"/>
      <c r="C47" s="91" t="s">
        <v>159</v>
      </c>
      <c r="D47" s="92"/>
      <c r="E47" s="92"/>
      <c r="F47" s="92"/>
      <c r="G47" s="93"/>
      <c r="H47" s="23"/>
    </row>
    <row r="48" spans="1:11" ht="33" customHeight="1">
      <c r="A48" s="18"/>
      <c r="B48" s="19"/>
      <c r="C48" s="34" t="s">
        <v>160</v>
      </c>
      <c r="D48" s="9">
        <v>119</v>
      </c>
      <c r="E48" s="9" t="s">
        <v>67</v>
      </c>
      <c r="F48" s="22">
        <v>33000</v>
      </c>
      <c r="G48" s="9">
        <v>0</v>
      </c>
      <c r="H48" s="23">
        <f t="shared" ref="H48:H49" si="3">SUM(F48*D48)</f>
        <v>3927000</v>
      </c>
    </row>
    <row r="49" spans="1:8" ht="29" customHeight="1">
      <c r="A49" s="18"/>
      <c r="B49" s="19"/>
      <c r="C49" s="34" t="s">
        <v>160</v>
      </c>
      <c r="D49" s="9">
        <v>119</v>
      </c>
      <c r="E49" s="9" t="s">
        <v>67</v>
      </c>
      <c r="F49" s="22">
        <v>16500</v>
      </c>
      <c r="G49" s="9">
        <v>0</v>
      </c>
      <c r="H49" s="23">
        <f t="shared" si="3"/>
        <v>1963500</v>
      </c>
    </row>
    <row r="50" spans="1:8" ht="21.5" customHeight="1">
      <c r="A50" s="18"/>
      <c r="B50" s="19"/>
      <c r="C50" s="91" t="s">
        <v>161</v>
      </c>
      <c r="D50" s="92"/>
      <c r="E50" s="92"/>
      <c r="F50" s="92"/>
      <c r="G50" s="93"/>
      <c r="H50" s="23"/>
    </row>
    <row r="51" spans="1:8" ht="29" customHeight="1">
      <c r="A51" s="18"/>
      <c r="B51" s="19"/>
      <c r="C51" s="34" t="s">
        <v>162</v>
      </c>
      <c r="D51" s="9">
        <v>40</v>
      </c>
      <c r="E51" s="9" t="s">
        <v>67</v>
      </c>
      <c r="F51" s="22">
        <v>33000</v>
      </c>
      <c r="G51" s="9">
        <v>0</v>
      </c>
      <c r="H51" s="23">
        <f t="shared" ref="H51:H52" si="4">SUM(F51*D51)</f>
        <v>1320000</v>
      </c>
    </row>
    <row r="52" spans="1:8" ht="29" customHeight="1">
      <c r="A52" s="18"/>
      <c r="B52" s="19"/>
      <c r="C52" s="34" t="s">
        <v>162</v>
      </c>
      <c r="D52" s="9">
        <v>40</v>
      </c>
      <c r="E52" s="9" t="s">
        <v>67</v>
      </c>
      <c r="F52" s="22">
        <v>16500</v>
      </c>
      <c r="G52" s="9">
        <v>0</v>
      </c>
      <c r="H52" s="23">
        <f t="shared" si="4"/>
        <v>660000</v>
      </c>
    </row>
    <row r="53" spans="1:8">
      <c r="A53" s="18"/>
      <c r="B53" s="19"/>
      <c r="C53" s="91" t="s">
        <v>163</v>
      </c>
      <c r="D53" s="92"/>
      <c r="E53" s="92"/>
      <c r="F53" s="92"/>
      <c r="G53" s="93"/>
      <c r="H53" s="23"/>
    </row>
    <row r="54" spans="1:8" ht="29">
      <c r="A54" s="9"/>
      <c r="B54" s="9"/>
      <c r="C54" s="34" t="s">
        <v>164</v>
      </c>
      <c r="D54" s="9">
        <f>115*2</f>
        <v>230</v>
      </c>
      <c r="E54" s="9" t="s">
        <v>67</v>
      </c>
      <c r="F54" s="22">
        <v>33000</v>
      </c>
      <c r="G54" s="9">
        <v>0</v>
      </c>
      <c r="H54" s="23">
        <f t="shared" ref="H54:H55" si="5">SUM(F54*D54)</f>
        <v>7590000</v>
      </c>
    </row>
    <row r="55" spans="1:8" ht="29">
      <c r="A55" s="9"/>
      <c r="B55" s="9"/>
      <c r="C55" s="34" t="s">
        <v>164</v>
      </c>
      <c r="D55" s="9">
        <f>115*2</f>
        <v>230</v>
      </c>
      <c r="E55" s="9" t="s">
        <v>67</v>
      </c>
      <c r="F55" s="22">
        <v>16500</v>
      </c>
      <c r="G55" s="9">
        <v>0</v>
      </c>
      <c r="H55" s="23">
        <f t="shared" si="5"/>
        <v>3795000</v>
      </c>
    </row>
    <row r="56" spans="1:8">
      <c r="A56" s="18" t="s">
        <v>111</v>
      </c>
      <c r="B56" s="18"/>
      <c r="C56" s="99" t="s">
        <v>112</v>
      </c>
      <c r="D56" s="99"/>
      <c r="E56" s="99"/>
      <c r="F56" s="99"/>
      <c r="G56" s="99"/>
      <c r="H56" s="17">
        <f>H57+H75</f>
        <v>135581336</v>
      </c>
    </row>
    <row r="57" spans="1:8">
      <c r="A57" s="18" t="s">
        <v>113</v>
      </c>
      <c r="B57" s="18"/>
      <c r="C57" s="99" t="s">
        <v>114</v>
      </c>
      <c r="D57" s="99"/>
      <c r="E57" s="99"/>
      <c r="F57" s="99"/>
      <c r="G57" s="99"/>
      <c r="H57" s="17">
        <f>H58+H67+H71</f>
        <v>130640000</v>
      </c>
    </row>
    <row r="58" spans="1:8" ht="19.25" customHeight="1">
      <c r="A58" s="18" t="s">
        <v>115</v>
      </c>
      <c r="B58" s="18"/>
      <c r="C58" s="85" t="s">
        <v>116</v>
      </c>
      <c r="D58" s="86"/>
      <c r="E58" s="86"/>
      <c r="F58" s="86"/>
      <c r="G58" s="87"/>
      <c r="H58" s="17">
        <f>SUM(H59:H66)</f>
        <v>18800000</v>
      </c>
    </row>
    <row r="59" spans="1:8" ht="21" customHeight="1">
      <c r="A59" s="18"/>
      <c r="B59" s="19"/>
      <c r="C59" s="85" t="s">
        <v>165</v>
      </c>
      <c r="D59" s="86"/>
      <c r="E59" s="86"/>
      <c r="F59" s="86"/>
      <c r="G59" s="87"/>
      <c r="H59" s="23"/>
    </row>
    <row r="60" spans="1:8" ht="35.4" customHeight="1">
      <c r="A60" s="9"/>
      <c r="B60" s="9"/>
      <c r="C60" s="34" t="s">
        <v>123</v>
      </c>
      <c r="D60" s="34">
        <v>2</v>
      </c>
      <c r="E60" s="34" t="s">
        <v>119</v>
      </c>
      <c r="F60" s="37">
        <v>900000</v>
      </c>
      <c r="G60" s="34">
        <v>0</v>
      </c>
      <c r="H60" s="23">
        <f t="shared" ref="H60" si="6">SUM(F60*D60)</f>
        <v>1800000</v>
      </c>
    </row>
    <row r="61" spans="1:8" ht="18.5" customHeight="1">
      <c r="A61" s="11"/>
      <c r="B61" s="11"/>
      <c r="C61" s="85" t="s">
        <v>166</v>
      </c>
      <c r="D61" s="86"/>
      <c r="E61" s="86"/>
      <c r="F61" s="86"/>
      <c r="G61" s="87"/>
      <c r="H61" s="23"/>
    </row>
    <row r="62" spans="1:8" ht="35.4" customHeight="1">
      <c r="A62" s="11"/>
      <c r="B62" s="11"/>
      <c r="C62" s="34" t="s">
        <v>118</v>
      </c>
      <c r="D62" s="34">
        <v>2</v>
      </c>
      <c r="E62" s="34" t="s">
        <v>119</v>
      </c>
      <c r="F62" s="37">
        <v>1700000</v>
      </c>
      <c r="G62" s="34">
        <v>0</v>
      </c>
      <c r="H62" s="23">
        <f t="shared" ref="H62" si="7">SUM(F62*D62)</f>
        <v>3400000</v>
      </c>
    </row>
    <row r="63" spans="1:8" ht="20.5" customHeight="1">
      <c r="A63" s="11"/>
      <c r="B63" s="11"/>
      <c r="C63" s="85" t="s">
        <v>225</v>
      </c>
      <c r="D63" s="86"/>
      <c r="E63" s="86"/>
      <c r="F63" s="86"/>
      <c r="G63" s="87"/>
      <c r="H63" s="23"/>
    </row>
    <row r="64" spans="1:8" ht="35.4" customHeight="1">
      <c r="A64" s="11"/>
      <c r="B64" s="11"/>
      <c r="C64" s="34" t="s">
        <v>227</v>
      </c>
      <c r="D64" s="34">
        <f>2*2</f>
        <v>4</v>
      </c>
      <c r="E64" s="34" t="s">
        <v>119</v>
      </c>
      <c r="F64" s="37">
        <v>1700000</v>
      </c>
      <c r="G64" s="34">
        <v>0</v>
      </c>
      <c r="H64" s="23">
        <f t="shared" ref="H64" si="8">SUM(F64*D64)</f>
        <v>6800000</v>
      </c>
    </row>
    <row r="65" spans="1:8" ht="20.5" customHeight="1">
      <c r="A65" s="11"/>
      <c r="B65" s="11"/>
      <c r="C65" s="85" t="s">
        <v>229</v>
      </c>
      <c r="D65" s="86"/>
      <c r="E65" s="86"/>
      <c r="F65" s="86"/>
      <c r="G65" s="87"/>
      <c r="H65" s="23"/>
    </row>
    <row r="66" spans="1:8" ht="35.4" customHeight="1">
      <c r="A66" s="11"/>
      <c r="B66" s="11"/>
      <c r="C66" s="34" t="s">
        <v>227</v>
      </c>
      <c r="D66" s="34">
        <f>2*2</f>
        <v>4</v>
      </c>
      <c r="E66" s="34" t="s">
        <v>119</v>
      </c>
      <c r="F66" s="37">
        <v>1700000</v>
      </c>
      <c r="G66" s="34">
        <v>0</v>
      </c>
      <c r="H66" s="23">
        <f t="shared" ref="H66" si="9">SUM(F66*D66)</f>
        <v>6800000</v>
      </c>
    </row>
    <row r="67" spans="1:8" s="1" customFormat="1">
      <c r="A67" s="38" t="s">
        <v>167</v>
      </c>
      <c r="B67" s="38"/>
      <c r="C67" s="99" t="s">
        <v>168</v>
      </c>
      <c r="D67" s="99"/>
      <c r="E67" s="99"/>
      <c r="F67" s="99"/>
      <c r="G67" s="99"/>
      <c r="H67" s="17">
        <f>SUM(H69:H70)</f>
        <v>81840000</v>
      </c>
    </row>
    <row r="68" spans="1:8">
      <c r="A68" s="38"/>
      <c r="B68" s="38"/>
      <c r="C68" s="99" t="s">
        <v>169</v>
      </c>
      <c r="D68" s="99"/>
      <c r="E68" s="99"/>
      <c r="F68" s="99"/>
      <c r="G68" s="99"/>
      <c r="H68" s="17"/>
    </row>
    <row r="69" spans="1:8" ht="29">
      <c r="A69" s="9"/>
      <c r="B69" s="9"/>
      <c r="C69" s="34" t="s">
        <v>170</v>
      </c>
      <c r="D69" s="34">
        <v>12</v>
      </c>
      <c r="E69" s="34" t="s">
        <v>171</v>
      </c>
      <c r="F69" s="37">
        <v>4000000</v>
      </c>
      <c r="G69" s="34">
        <v>0</v>
      </c>
      <c r="H69" s="23">
        <f t="shared" ref="H69:H70" si="10">SUM(F69*D69)</f>
        <v>48000000</v>
      </c>
    </row>
    <row r="70" spans="1:8" ht="29">
      <c r="A70" s="11"/>
      <c r="B70" s="11"/>
      <c r="C70" s="34" t="s">
        <v>207</v>
      </c>
      <c r="D70" s="34">
        <f>12*24</f>
        <v>288</v>
      </c>
      <c r="E70" s="34" t="s">
        <v>171</v>
      </c>
      <c r="F70" s="37">
        <v>117500</v>
      </c>
      <c r="G70" s="34">
        <v>0</v>
      </c>
      <c r="H70" s="23">
        <f t="shared" si="10"/>
        <v>33840000</v>
      </c>
    </row>
    <row r="71" spans="1:8" s="1" customFormat="1">
      <c r="A71" s="38" t="s">
        <v>172</v>
      </c>
      <c r="B71" s="38"/>
      <c r="C71" s="99" t="s">
        <v>173</v>
      </c>
      <c r="D71" s="99"/>
      <c r="E71" s="99"/>
      <c r="F71" s="99"/>
      <c r="G71" s="99"/>
      <c r="H71" s="17">
        <f>SUM(H72:H74)</f>
        <v>30000000</v>
      </c>
    </row>
    <row r="72" spans="1:8" ht="29">
      <c r="A72" s="9"/>
      <c r="B72" s="9"/>
      <c r="C72" s="34" t="s">
        <v>174</v>
      </c>
      <c r="D72" s="34">
        <v>2</v>
      </c>
      <c r="E72" s="34" t="s">
        <v>175</v>
      </c>
      <c r="F72" s="37">
        <v>5000000</v>
      </c>
      <c r="G72" s="34">
        <v>0</v>
      </c>
      <c r="H72" s="23">
        <f>SUM(F72*D72)</f>
        <v>10000000</v>
      </c>
    </row>
    <row r="73" spans="1:8">
      <c r="A73" s="9"/>
      <c r="B73" s="9"/>
      <c r="C73" s="34" t="s">
        <v>176</v>
      </c>
      <c r="D73" s="34">
        <v>8</v>
      </c>
      <c r="E73" s="34" t="s">
        <v>177</v>
      </c>
      <c r="F73" s="37">
        <v>1000000</v>
      </c>
      <c r="G73" s="34">
        <v>0</v>
      </c>
      <c r="H73" s="23">
        <f t="shared" ref="H73:H74" si="11">SUM(F73*D73)</f>
        <v>8000000</v>
      </c>
    </row>
    <row r="74" spans="1:8">
      <c r="A74" s="9"/>
      <c r="B74" s="9"/>
      <c r="C74" s="34" t="s">
        <v>178</v>
      </c>
      <c r="D74" s="34">
        <v>2</v>
      </c>
      <c r="E74" s="34" t="s">
        <v>197</v>
      </c>
      <c r="F74" s="37">
        <v>6000000</v>
      </c>
      <c r="G74" s="34">
        <v>0</v>
      </c>
      <c r="H74" s="23">
        <f t="shared" si="11"/>
        <v>12000000</v>
      </c>
    </row>
    <row r="75" spans="1:8">
      <c r="A75" s="38" t="s">
        <v>179</v>
      </c>
      <c r="B75" s="39"/>
      <c r="C75" s="91" t="s">
        <v>180</v>
      </c>
      <c r="D75" s="92"/>
      <c r="E75" s="92"/>
      <c r="F75" s="92"/>
      <c r="G75" s="93"/>
      <c r="H75" s="17">
        <f>H76+H78+H80</f>
        <v>4941336</v>
      </c>
    </row>
    <row r="76" spans="1:8">
      <c r="A76" s="38" t="s">
        <v>181</v>
      </c>
      <c r="B76" s="38"/>
      <c r="C76" s="99" t="s">
        <v>182</v>
      </c>
      <c r="D76" s="99"/>
      <c r="E76" s="99"/>
      <c r="F76" s="99"/>
      <c r="G76" s="99"/>
      <c r="H76" s="17">
        <f>H77</f>
        <v>4682136</v>
      </c>
    </row>
    <row r="77" spans="1:8" ht="29">
      <c r="A77" s="11"/>
      <c r="B77" s="40"/>
      <c r="C77" s="34" t="s">
        <v>183</v>
      </c>
      <c r="D77" s="34">
        <f>2*12</f>
        <v>24</v>
      </c>
      <c r="E77" s="34" t="s">
        <v>184</v>
      </c>
      <c r="F77" s="37">
        <v>195089</v>
      </c>
      <c r="G77" s="34">
        <v>0</v>
      </c>
      <c r="H77" s="23">
        <f t="shared" ref="H77" si="12">SUM(F77*D77)</f>
        <v>4682136</v>
      </c>
    </row>
    <row r="78" spans="1:8">
      <c r="A78" s="38" t="s">
        <v>185</v>
      </c>
      <c r="B78" s="38"/>
      <c r="C78" s="99" t="s">
        <v>186</v>
      </c>
      <c r="D78" s="99"/>
      <c r="E78" s="99"/>
      <c r="F78" s="99"/>
      <c r="G78" s="99"/>
      <c r="H78" s="17">
        <f>SUM(H79)</f>
        <v>115200</v>
      </c>
    </row>
    <row r="79" spans="1:8" ht="29">
      <c r="A79" s="11"/>
      <c r="B79" s="40"/>
      <c r="C79" s="34" t="s">
        <v>187</v>
      </c>
      <c r="D79" s="34">
        <f>2*12</f>
        <v>24</v>
      </c>
      <c r="E79" s="34" t="s">
        <v>184</v>
      </c>
      <c r="F79" s="37">
        <v>4800</v>
      </c>
      <c r="G79" s="34">
        <v>0</v>
      </c>
      <c r="H79" s="23">
        <f t="shared" ref="H79" si="13">SUM(F79*D79)</f>
        <v>115200</v>
      </c>
    </row>
    <row r="80" spans="1:8">
      <c r="A80" s="38" t="s">
        <v>188</v>
      </c>
      <c r="B80" s="38"/>
      <c r="C80" s="99" t="s">
        <v>189</v>
      </c>
      <c r="D80" s="99"/>
      <c r="E80" s="99"/>
      <c r="F80" s="99"/>
      <c r="G80" s="99"/>
      <c r="H80" s="17">
        <f>SUM(H81:H81)</f>
        <v>144000</v>
      </c>
    </row>
    <row r="81" spans="1:8" ht="29">
      <c r="A81" s="11"/>
      <c r="B81" s="40"/>
      <c r="C81" s="34" t="s">
        <v>190</v>
      </c>
      <c r="D81" s="34">
        <f>2*12</f>
        <v>24</v>
      </c>
      <c r="E81" s="34" t="s">
        <v>184</v>
      </c>
      <c r="F81" s="37">
        <v>6000</v>
      </c>
      <c r="G81" s="34">
        <v>0</v>
      </c>
      <c r="H81" s="23">
        <f t="shared" ref="H81" si="14">SUM(F81*D81)</f>
        <v>144000</v>
      </c>
    </row>
    <row r="82" spans="1:8">
      <c r="A82" s="18" t="s">
        <v>72</v>
      </c>
      <c r="B82" s="19"/>
      <c r="C82" s="91" t="s">
        <v>73</v>
      </c>
      <c r="D82" s="92"/>
      <c r="E82" s="92"/>
      <c r="F82" s="92"/>
      <c r="G82" s="93"/>
      <c r="H82" s="17">
        <f>H83+H110</f>
        <v>150492000</v>
      </c>
    </row>
    <row r="83" spans="1:8">
      <c r="A83" s="18" t="s">
        <v>74</v>
      </c>
      <c r="B83" s="19"/>
      <c r="C83" s="91" t="s">
        <v>75</v>
      </c>
      <c r="D83" s="92"/>
      <c r="E83" s="92"/>
      <c r="F83" s="92"/>
      <c r="G83" s="93"/>
      <c r="H83" s="17">
        <f>H84+H91</f>
        <v>24870000</v>
      </c>
    </row>
    <row r="84" spans="1:8">
      <c r="A84" s="18" t="s">
        <v>76</v>
      </c>
      <c r="B84" s="19"/>
      <c r="C84" s="91" t="s">
        <v>77</v>
      </c>
      <c r="D84" s="92"/>
      <c r="E84" s="92"/>
      <c r="F84" s="92"/>
      <c r="G84" s="93"/>
      <c r="H84" s="17">
        <f>SUM(H86:H90)</f>
        <v>5180000</v>
      </c>
    </row>
    <row r="85" spans="1:8">
      <c r="A85" s="18"/>
      <c r="B85" s="19"/>
      <c r="C85" s="76" t="s">
        <v>198</v>
      </c>
      <c r="D85" s="20"/>
      <c r="E85" s="20"/>
      <c r="F85" s="20"/>
      <c r="G85" s="21"/>
      <c r="H85" s="17"/>
    </row>
    <row r="86" spans="1:8" ht="29">
      <c r="A86" s="18"/>
      <c r="B86" s="19"/>
      <c r="C86" s="34" t="s">
        <v>191</v>
      </c>
      <c r="D86" s="9">
        <f>2*2</f>
        <v>4</v>
      </c>
      <c r="E86" s="9" t="s">
        <v>67</v>
      </c>
      <c r="F86" s="22">
        <v>530000</v>
      </c>
      <c r="G86" s="9">
        <v>0</v>
      </c>
      <c r="H86" s="23">
        <f t="shared" ref="H86:H90" si="15">SUM(F86*D86)</f>
        <v>2120000</v>
      </c>
    </row>
    <row r="87" spans="1:8" ht="29">
      <c r="A87" s="18"/>
      <c r="B87" s="19"/>
      <c r="C87" s="34" t="s">
        <v>192</v>
      </c>
      <c r="D87" s="9">
        <v>2</v>
      </c>
      <c r="E87" s="9" t="s">
        <v>67</v>
      </c>
      <c r="F87" s="22">
        <v>300000</v>
      </c>
      <c r="G87" s="9">
        <v>0</v>
      </c>
      <c r="H87" s="23">
        <f t="shared" si="15"/>
        <v>600000</v>
      </c>
    </row>
    <row r="88" spans="1:8">
      <c r="A88" s="18"/>
      <c r="B88" s="19"/>
      <c r="C88" s="76" t="s">
        <v>199</v>
      </c>
      <c r="D88" s="9"/>
      <c r="E88" s="9"/>
      <c r="F88" s="22"/>
      <c r="G88" s="9"/>
      <c r="H88" s="23"/>
    </row>
    <row r="89" spans="1:8" ht="29">
      <c r="A89" s="18"/>
      <c r="B89" s="19"/>
      <c r="C89" s="34" t="s">
        <v>78</v>
      </c>
      <c r="D89" s="9">
        <v>4</v>
      </c>
      <c r="E89" s="9" t="s">
        <v>67</v>
      </c>
      <c r="F89" s="22">
        <v>430000</v>
      </c>
      <c r="G89" s="9">
        <v>0</v>
      </c>
      <c r="H89" s="23">
        <f t="shared" si="15"/>
        <v>1720000</v>
      </c>
    </row>
    <row r="90" spans="1:8" ht="29">
      <c r="A90" s="18"/>
      <c r="B90" s="19"/>
      <c r="C90" s="34" t="s">
        <v>79</v>
      </c>
      <c r="D90" s="9">
        <v>4</v>
      </c>
      <c r="E90" s="9" t="s">
        <v>67</v>
      </c>
      <c r="F90" s="22">
        <v>185000</v>
      </c>
      <c r="G90" s="9">
        <v>0</v>
      </c>
      <c r="H90" s="23">
        <f t="shared" si="15"/>
        <v>740000</v>
      </c>
    </row>
    <row r="91" spans="1:8">
      <c r="A91" s="18" t="s">
        <v>80</v>
      </c>
      <c r="B91" s="19"/>
      <c r="C91" s="91" t="s">
        <v>81</v>
      </c>
      <c r="D91" s="92"/>
      <c r="E91" s="92"/>
      <c r="F91" s="92"/>
      <c r="G91" s="93"/>
      <c r="H91" s="17">
        <f>SUM(H93:H109)</f>
        <v>19690000</v>
      </c>
    </row>
    <row r="92" spans="1:8">
      <c r="A92" s="18"/>
      <c r="B92" s="19"/>
      <c r="C92" s="85" t="s">
        <v>193</v>
      </c>
      <c r="D92" s="86"/>
      <c r="E92" s="86"/>
      <c r="F92" s="86"/>
      <c r="G92" s="87"/>
      <c r="H92" s="17"/>
    </row>
    <row r="93" spans="1:8">
      <c r="A93" s="18"/>
      <c r="B93" s="19"/>
      <c r="C93" s="34" t="s">
        <v>124</v>
      </c>
      <c r="D93" s="9">
        <v>1</v>
      </c>
      <c r="E93" s="9" t="s">
        <v>83</v>
      </c>
      <c r="F93" s="22">
        <v>225000</v>
      </c>
      <c r="G93" s="9">
        <v>0</v>
      </c>
      <c r="H93" s="23">
        <f t="shared" ref="H93:H99" si="16">SUM(F93*D93)</f>
        <v>225000</v>
      </c>
    </row>
    <row r="94" spans="1:8">
      <c r="A94" s="18"/>
      <c r="B94" s="19"/>
      <c r="C94" s="34" t="s">
        <v>125</v>
      </c>
      <c r="D94" s="9">
        <v>1</v>
      </c>
      <c r="E94" s="9" t="s">
        <v>83</v>
      </c>
      <c r="F94" s="22">
        <v>165000</v>
      </c>
      <c r="G94" s="9">
        <v>0</v>
      </c>
      <c r="H94" s="23">
        <f t="shared" si="16"/>
        <v>165000</v>
      </c>
    </row>
    <row r="95" spans="1:8">
      <c r="A95" s="18"/>
      <c r="B95" s="19"/>
      <c r="C95" s="34" t="s">
        <v>126</v>
      </c>
      <c r="D95" s="9">
        <v>1</v>
      </c>
      <c r="E95" s="9" t="s">
        <v>83</v>
      </c>
      <c r="F95" s="22">
        <v>175000</v>
      </c>
      <c r="G95" s="9">
        <v>0</v>
      </c>
      <c r="H95" s="23">
        <f t="shared" si="16"/>
        <v>175000</v>
      </c>
    </row>
    <row r="96" spans="1:8">
      <c r="A96" s="18"/>
      <c r="B96" s="19"/>
      <c r="C96" s="34" t="s">
        <v>127</v>
      </c>
      <c r="D96" s="9">
        <v>1</v>
      </c>
      <c r="E96" s="9" t="s">
        <v>83</v>
      </c>
      <c r="F96" s="22">
        <v>250000</v>
      </c>
      <c r="G96" s="9">
        <v>0</v>
      </c>
      <c r="H96" s="23">
        <f t="shared" si="16"/>
        <v>250000</v>
      </c>
    </row>
    <row r="97" spans="1:8">
      <c r="A97" s="18"/>
      <c r="B97" s="19"/>
      <c r="C97" s="34" t="s">
        <v>128</v>
      </c>
      <c r="D97" s="9">
        <v>1</v>
      </c>
      <c r="E97" s="9" t="s">
        <v>83</v>
      </c>
      <c r="F97" s="22">
        <v>260000</v>
      </c>
      <c r="G97" s="9">
        <v>0</v>
      </c>
      <c r="H97" s="23">
        <f t="shared" si="16"/>
        <v>260000</v>
      </c>
    </row>
    <row r="98" spans="1:8">
      <c r="A98" s="18"/>
      <c r="B98" s="19"/>
      <c r="C98" s="34" t="s">
        <v>129</v>
      </c>
      <c r="D98" s="9">
        <v>1</v>
      </c>
      <c r="E98" s="9" t="s">
        <v>83</v>
      </c>
      <c r="F98" s="22">
        <v>265000</v>
      </c>
      <c r="G98" s="9">
        <v>0</v>
      </c>
      <c r="H98" s="23">
        <f t="shared" si="16"/>
        <v>265000</v>
      </c>
    </row>
    <row r="99" spans="1:8" ht="29">
      <c r="A99" s="18"/>
      <c r="B99" s="19"/>
      <c r="C99" s="34" t="s">
        <v>84</v>
      </c>
      <c r="D99" s="9">
        <f>3*6</f>
        <v>18</v>
      </c>
      <c r="E99" s="9" t="s">
        <v>83</v>
      </c>
      <c r="F99" s="22">
        <v>170000</v>
      </c>
      <c r="G99" s="9">
        <v>0</v>
      </c>
      <c r="H99" s="23">
        <f t="shared" si="16"/>
        <v>3060000</v>
      </c>
    </row>
    <row r="100" spans="1:8" ht="18.5" customHeight="1">
      <c r="A100" s="18"/>
      <c r="B100" s="19"/>
      <c r="C100" s="136" t="s">
        <v>194</v>
      </c>
      <c r="D100" s="137"/>
      <c r="E100" s="137"/>
      <c r="F100" s="137"/>
      <c r="G100" s="138"/>
      <c r="H100" s="17"/>
    </row>
    <row r="101" spans="1:8">
      <c r="A101" s="9"/>
      <c r="B101" s="9"/>
      <c r="C101" s="34" t="s">
        <v>124</v>
      </c>
      <c r="D101" s="9">
        <v>4</v>
      </c>
      <c r="E101" s="9" t="s">
        <v>83</v>
      </c>
      <c r="F101" s="22">
        <v>225000</v>
      </c>
      <c r="G101" s="9">
        <v>0</v>
      </c>
      <c r="H101" s="23">
        <f t="shared" ref="H101:H107" si="17">SUM(F101*D101)</f>
        <v>900000</v>
      </c>
    </row>
    <row r="102" spans="1:8">
      <c r="A102" s="9"/>
      <c r="B102" s="9"/>
      <c r="C102" s="34" t="s">
        <v>125</v>
      </c>
      <c r="D102" s="9">
        <v>4</v>
      </c>
      <c r="E102" s="9" t="s">
        <v>83</v>
      </c>
      <c r="F102" s="22">
        <v>165000</v>
      </c>
      <c r="G102" s="9">
        <v>0</v>
      </c>
      <c r="H102" s="23">
        <f t="shared" si="17"/>
        <v>660000</v>
      </c>
    </row>
    <row r="103" spans="1:8">
      <c r="A103" s="9"/>
      <c r="B103" s="9"/>
      <c r="C103" s="34" t="s">
        <v>126</v>
      </c>
      <c r="D103" s="9">
        <v>3</v>
      </c>
      <c r="E103" s="9" t="s">
        <v>83</v>
      </c>
      <c r="F103" s="22">
        <v>175000</v>
      </c>
      <c r="G103" s="9">
        <v>0</v>
      </c>
      <c r="H103" s="23">
        <f t="shared" si="17"/>
        <v>525000</v>
      </c>
    </row>
    <row r="104" spans="1:8">
      <c r="A104" s="9"/>
      <c r="B104" s="9"/>
      <c r="C104" s="34" t="s">
        <v>127</v>
      </c>
      <c r="D104" s="9">
        <v>3</v>
      </c>
      <c r="E104" s="9" t="s">
        <v>83</v>
      </c>
      <c r="F104" s="22">
        <v>250000</v>
      </c>
      <c r="G104" s="9">
        <v>0</v>
      </c>
      <c r="H104" s="23">
        <f t="shared" si="17"/>
        <v>750000</v>
      </c>
    </row>
    <row r="105" spans="1:8">
      <c r="A105" s="9"/>
      <c r="B105" s="9"/>
      <c r="C105" s="34" t="s">
        <v>128</v>
      </c>
      <c r="D105" s="9">
        <v>3</v>
      </c>
      <c r="E105" s="9" t="s">
        <v>83</v>
      </c>
      <c r="F105" s="22">
        <v>265000</v>
      </c>
      <c r="G105" s="9">
        <v>0</v>
      </c>
      <c r="H105" s="23">
        <f t="shared" si="17"/>
        <v>795000</v>
      </c>
    </row>
    <row r="106" spans="1:8">
      <c r="A106" s="9"/>
      <c r="B106" s="9"/>
      <c r="C106" s="34" t="s">
        <v>129</v>
      </c>
      <c r="D106" s="9">
        <v>3</v>
      </c>
      <c r="E106" s="9" t="s">
        <v>83</v>
      </c>
      <c r="F106" s="22">
        <v>260000</v>
      </c>
      <c r="G106" s="9">
        <v>0</v>
      </c>
      <c r="H106" s="23">
        <f t="shared" si="17"/>
        <v>780000</v>
      </c>
    </row>
    <row r="107" spans="1:8" ht="29">
      <c r="A107" s="9"/>
      <c r="B107" s="9"/>
      <c r="C107" s="34" t="s">
        <v>84</v>
      </c>
      <c r="D107" s="9">
        <f>2*20</f>
        <v>40</v>
      </c>
      <c r="E107" s="9" t="s">
        <v>83</v>
      </c>
      <c r="F107" s="22">
        <v>170000</v>
      </c>
      <c r="G107" s="9">
        <v>0</v>
      </c>
      <c r="H107" s="23">
        <f t="shared" si="17"/>
        <v>6800000</v>
      </c>
    </row>
    <row r="108" spans="1:8" ht="18.649999999999999" customHeight="1">
      <c r="A108" s="9"/>
      <c r="B108" s="29"/>
      <c r="C108" s="85" t="s">
        <v>195</v>
      </c>
      <c r="D108" s="86"/>
      <c r="E108" s="86"/>
      <c r="F108" s="86"/>
      <c r="G108" s="87"/>
      <c r="H108" s="17"/>
    </row>
    <row r="109" spans="1:8" ht="29">
      <c r="A109" s="9"/>
      <c r="B109" s="29"/>
      <c r="C109" s="34" t="s">
        <v>84</v>
      </c>
      <c r="D109" s="9">
        <f>2*12</f>
        <v>24</v>
      </c>
      <c r="E109" s="9" t="s">
        <v>83</v>
      </c>
      <c r="F109" s="22">
        <v>170000</v>
      </c>
      <c r="G109" s="9">
        <v>0</v>
      </c>
      <c r="H109" s="23">
        <f t="shared" ref="H109" si="18">SUM(F109*D109)</f>
        <v>4080000</v>
      </c>
    </row>
    <row r="110" spans="1:8">
      <c r="A110" s="41" t="s">
        <v>85</v>
      </c>
      <c r="B110" s="41"/>
      <c r="C110" s="41" t="s">
        <v>86</v>
      </c>
      <c r="D110" s="42"/>
      <c r="E110" s="42"/>
      <c r="F110" s="42"/>
      <c r="G110" s="42"/>
      <c r="H110" s="43">
        <f>SUM(H112:H116)</f>
        <v>125622000</v>
      </c>
    </row>
    <row r="111" spans="1:8" ht="14.5" customHeight="1">
      <c r="A111" s="29"/>
      <c r="B111" s="44"/>
      <c r="C111" s="85" t="s">
        <v>225</v>
      </c>
      <c r="D111" s="86"/>
      <c r="E111" s="86"/>
      <c r="F111" s="86"/>
      <c r="G111" s="87"/>
      <c r="H111" s="23"/>
    </row>
    <row r="112" spans="1:8" ht="43.5">
      <c r="A112" s="29"/>
      <c r="B112" s="44"/>
      <c r="C112" s="34" t="s">
        <v>226</v>
      </c>
      <c r="D112" s="9">
        <f>106</f>
        <v>106</v>
      </c>
      <c r="E112" s="72" t="s">
        <v>83</v>
      </c>
      <c r="F112" s="22">
        <v>822000</v>
      </c>
      <c r="G112" s="9">
        <v>0</v>
      </c>
      <c r="H112" s="23">
        <f t="shared" ref="H112:H113" si="19">SUM(F112*D112)</f>
        <v>87132000</v>
      </c>
    </row>
    <row r="113" spans="1:10">
      <c r="A113" s="29"/>
      <c r="B113" s="44"/>
      <c r="C113" s="34" t="s">
        <v>88</v>
      </c>
      <c r="D113" s="9">
        <v>5</v>
      </c>
      <c r="E113" s="72" t="s">
        <v>83</v>
      </c>
      <c r="F113" s="22">
        <v>150000</v>
      </c>
      <c r="G113" s="9">
        <v>0</v>
      </c>
      <c r="H113" s="23">
        <f t="shared" si="19"/>
        <v>750000</v>
      </c>
    </row>
    <row r="114" spans="1:10">
      <c r="A114" s="29"/>
      <c r="B114" s="44"/>
      <c r="C114" s="85" t="s">
        <v>228</v>
      </c>
      <c r="D114" s="86"/>
      <c r="E114" s="86"/>
      <c r="F114" s="86"/>
      <c r="G114" s="87"/>
      <c r="H114" s="23"/>
    </row>
    <row r="115" spans="1:10" ht="29">
      <c r="A115" s="29"/>
      <c r="B115" s="44"/>
      <c r="C115" s="34" t="s">
        <v>232</v>
      </c>
      <c r="D115" s="9">
        <v>45</v>
      </c>
      <c r="E115" s="72" t="s">
        <v>83</v>
      </c>
      <c r="F115" s="22">
        <v>822000</v>
      </c>
      <c r="G115" s="9">
        <v>0</v>
      </c>
      <c r="H115" s="23">
        <f t="shared" ref="H115:H116" si="20">SUM(F115*D115)</f>
        <v>36990000</v>
      </c>
    </row>
    <row r="116" spans="1:10">
      <c r="A116" s="29"/>
      <c r="B116" s="44"/>
      <c r="C116" s="34" t="s">
        <v>88</v>
      </c>
      <c r="D116" s="9">
        <v>5</v>
      </c>
      <c r="E116" s="72" t="s">
        <v>83</v>
      </c>
      <c r="F116" s="22">
        <v>150000</v>
      </c>
      <c r="G116" s="9">
        <v>0</v>
      </c>
      <c r="H116" s="23">
        <f t="shared" si="20"/>
        <v>750000</v>
      </c>
    </row>
    <row r="117" spans="1:10">
      <c r="A117" s="88" t="s">
        <v>89</v>
      </c>
      <c r="B117" s="89"/>
      <c r="C117" s="89"/>
      <c r="D117" s="89"/>
      <c r="E117" s="89"/>
      <c r="F117" s="89"/>
      <c r="G117" s="90"/>
      <c r="H117" s="45">
        <f>H30</f>
        <v>373176999.98000002</v>
      </c>
      <c r="J117" s="47"/>
    </row>
    <row r="119" spans="1:10">
      <c r="A119" t="s">
        <v>90</v>
      </c>
      <c r="B119" t="s">
        <v>3</v>
      </c>
      <c r="C119" s="46">
        <f>H117</f>
        <v>373176999.98000002</v>
      </c>
      <c r="H119" s="47"/>
    </row>
    <row r="120" spans="1:10">
      <c r="A120" t="s">
        <v>91</v>
      </c>
      <c r="B120" t="s">
        <v>3</v>
      </c>
      <c r="C120" s="46"/>
    </row>
    <row r="121" spans="1:10">
      <c r="A121" t="s">
        <v>92</v>
      </c>
      <c r="C121" s="48"/>
    </row>
  </sheetData>
  <mergeCells count="54">
    <mergeCell ref="C108:G108"/>
    <mergeCell ref="C111:G111"/>
    <mergeCell ref="A117:G117"/>
    <mergeCell ref="C114:G114"/>
    <mergeCell ref="C65:G65"/>
    <mergeCell ref="C82:G82"/>
    <mergeCell ref="C83:G83"/>
    <mergeCell ref="C84:G84"/>
    <mergeCell ref="C91:G91"/>
    <mergeCell ref="C92:G92"/>
    <mergeCell ref="C100:G100"/>
    <mergeCell ref="C68:G68"/>
    <mergeCell ref="C71:G71"/>
    <mergeCell ref="C75:G75"/>
    <mergeCell ref="C76:G76"/>
    <mergeCell ref="C78:G78"/>
    <mergeCell ref="C80:G80"/>
    <mergeCell ref="C57:G57"/>
    <mergeCell ref="C58:G58"/>
    <mergeCell ref="C59:G59"/>
    <mergeCell ref="C61:G61"/>
    <mergeCell ref="C63:G63"/>
    <mergeCell ref="C67:G67"/>
    <mergeCell ref="C38:G38"/>
    <mergeCell ref="C46:G46"/>
    <mergeCell ref="C47:G47"/>
    <mergeCell ref="C50:G50"/>
    <mergeCell ref="C53:G53"/>
    <mergeCell ref="C56:G56"/>
    <mergeCell ref="D30:G30"/>
    <mergeCell ref="C31:G31"/>
    <mergeCell ref="C32:G32"/>
    <mergeCell ref="C33:G33"/>
    <mergeCell ref="C34:G34"/>
    <mergeCell ref="C35:G35"/>
    <mergeCell ref="C26:F26"/>
    <mergeCell ref="G26:H26"/>
    <mergeCell ref="A27:H27"/>
    <mergeCell ref="A28:A29"/>
    <mergeCell ref="C28:C29"/>
    <mergeCell ref="D28:G28"/>
    <mergeCell ref="H28:H29"/>
    <mergeCell ref="C23:F23"/>
    <mergeCell ref="G23:H23"/>
    <mergeCell ref="C24:F24"/>
    <mergeCell ref="G24:H24"/>
    <mergeCell ref="C25:F25"/>
    <mergeCell ref="G25:H25"/>
    <mergeCell ref="A1:H1"/>
    <mergeCell ref="A2:H2"/>
    <mergeCell ref="A3:H3"/>
    <mergeCell ref="C10:H10"/>
    <mergeCell ref="A21:H21"/>
    <mergeCell ref="C22:F22"/>
  </mergeCells>
  <pageMargins left="0.70866141732283505" right="0.70866141732283505" top="0.74803149606299202" bottom="0.74803149606299202" header="0.31496062992126" footer="0.31496062992126"/>
  <pageSetup paperSize="5" scale="80" orientation="portrait" r:id="rId1"/>
  <rowBreaks count="2" manualBreakCount="2">
    <brk id="55" max="7" man="1"/>
    <brk id="99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Bimtek2027</vt:lpstr>
      <vt:lpstr>Germas2027</vt:lpstr>
      <vt:lpstr>Advo2027</vt:lpstr>
      <vt:lpstr>Promkes2027</vt:lpstr>
      <vt:lpstr>Advo2027!Print_Area</vt:lpstr>
      <vt:lpstr>Bimtek2027!Print_Area</vt:lpstr>
      <vt:lpstr>Germas2027!Print_Area</vt:lpstr>
      <vt:lpstr>Promkes2027!Print_Area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Promkes</cp:lastModifiedBy>
  <cp:lastPrinted>2026-02-23T04:00:39Z</cp:lastPrinted>
  <dcterms:created xsi:type="dcterms:W3CDTF">2021-01-10T02:17:00Z</dcterms:created>
  <dcterms:modified xsi:type="dcterms:W3CDTF">2026-02-25T04:16:17Z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6AD9B57F41FF449ABE3FF30F7F1C8A67_12</vt:lpwstr>
  </property>
  <property fmtid="{D5CDD505-2E9C-101B-9397-08002B2CF9AE}" pid="3" name="KSOProductBuildVer">
    <vt:lpwstr>1033-12.2.0.21546</vt:lpwstr>
  </property>
</Properties>
</file>