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27\"/>
    </mc:Choice>
  </mc:AlternateContent>
  <xr:revisionPtr revIDLastSave="0" documentId="13_ncr:1_{7821B989-6C48-4A5F-9A3B-F8A296347A98}" xr6:coauthVersionLast="47" xr6:coauthVersionMax="47" xr10:uidLastSave="{00000000-0000-0000-0000-000000000000}"/>
  <bookViews>
    <workbookView xWindow="1068" yWindow="348" windowWidth="18444" windowHeight="11892" xr2:uid="{00000000-000D-0000-FFFF-FFFF00000000}"/>
  </bookViews>
  <sheets>
    <sheet name="bbl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9" l="1"/>
  <c r="I81" i="9"/>
  <c r="I47" i="9"/>
  <c r="I48" i="9"/>
  <c r="I46" i="9"/>
  <c r="I43" i="9"/>
  <c r="I40" i="9" s="1"/>
  <c r="I87" i="9"/>
  <c r="I86" i="9"/>
  <c r="I69" i="9"/>
  <c r="I59" i="9"/>
  <c r="I58" i="9"/>
  <c r="I91" i="9"/>
  <c r="I92" i="9"/>
  <c r="I78" i="9"/>
  <c r="I77" i="9"/>
  <c r="I76" i="9"/>
  <c r="I75" i="9"/>
  <c r="I67" i="9"/>
  <c r="I65" i="9"/>
  <c r="I80" i="9"/>
  <c r="I79" i="9"/>
  <c r="I56" i="9"/>
  <c r="I55" i="9"/>
  <c r="I52" i="9"/>
  <c r="I53" i="9"/>
  <c r="I45" i="9"/>
  <c r="I38" i="9"/>
  <c r="I30" i="9"/>
  <c r="I31" i="9" s="1"/>
  <c r="I32" i="9" s="1"/>
  <c r="I39" i="9"/>
  <c r="I44" i="9" l="1"/>
  <c r="I37" i="9"/>
  <c r="I62" i="9"/>
  <c r="I85" i="9"/>
  <c r="I54" i="9"/>
  <c r="I57" i="9"/>
  <c r="I90" i="9"/>
  <c r="I51" i="9"/>
  <c r="I49" i="9" s="1"/>
  <c r="I82" i="9"/>
  <c r="I93" i="9" l="1"/>
  <c r="I34" i="9"/>
  <c r="I71" i="9"/>
</calcChain>
</file>

<file path=xl/sharedStrings.xml><?xml version="1.0" encoding="utf-8"?>
<sst xmlns="http://schemas.openxmlformats.org/spreadsheetml/2006/main" count="163" uniqueCount="126">
  <si>
    <t>Indikator &amp;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</si>
  <si>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</si>
  <si>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</si>
  <si>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</si>
  <si>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</si>
  <si>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</si>
  <si>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</si>
  <si>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</si>
  <si>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Rincian Belanja Sub Kegiatan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</si>
  <si>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</si>
  <si>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</si>
  <si>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</si>
  <si>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</si>
  <si>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</si>
  <si>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</si>
  <si>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</si>
  <si>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</si>
  <si>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Grand Total :</t>
  </si>
  <si>
    <t>: 1.02.0.00.0.00.01.0000 DINAS KESEHATAN</t>
  </si>
  <si>
    <t>: 1.02.02 PROGRAM PEMENUHAN UPAYA KESEHATAN PERORANGAN DAN UPAYA KESEHATAN MASYARAKAT</t>
  </si>
  <si>
    <t>: PENDAPATAN ASLI DAERAH (PAD)</t>
  </si>
  <si>
    <t>: Januari s.d Desember</t>
  </si>
  <si>
    <t>Dana yang dibutuhkan</t>
  </si>
  <si>
    <t>Terpenuhinya layanan kesehatan untuk UKM dan UKP Rujukan Tingkat Daerah Kabupaten</t>
  </si>
  <si>
    <t>Jumlah 2025</t>
  </si>
  <si>
    <t>: 1.02.02.2.02        Penyediaan Layanan Kesehatan untuk UKM dan UKP Rujukan Tingkat Daerah Kabupaten Bogor</t>
  </si>
  <si>
    <t>5.1.02.01</t>
  </si>
  <si>
    <t>5.1.02.01.01</t>
  </si>
  <si>
    <t>BELANJA DAERAH</t>
  </si>
  <si>
    <t>5.1</t>
  </si>
  <si>
    <t>BELANJA OPERASI</t>
  </si>
  <si>
    <t>RINCIAN PERGESERAN BELANJA SUB KEGIATAN SATUAN KERJA PERANGKAT DAERAH</t>
  </si>
  <si>
    <t xml:space="preserve">Urusan                           </t>
  </si>
  <si>
    <t>Bidang Urusan</t>
  </si>
  <si>
    <t>: 1.02  URUSAN PEMERINTAH BIDANG KESEHATAN</t>
  </si>
  <si>
    <t xml:space="preserve">Unit Organisasi      </t>
  </si>
  <si>
    <t xml:space="preserve">Sub Unit Organisasi      </t>
  </si>
  <si>
    <t xml:space="preserve">Program                        </t>
  </si>
  <si>
    <t xml:space="preserve">Kegiatan                        </t>
  </si>
  <si>
    <t xml:space="preserve">Sub Kegiatan                        </t>
  </si>
  <si>
    <t>: 1.02.02.2.02.0003   Pengelolaan Pelayanan Kesehatan Bayi Baru lahir</t>
  </si>
  <si>
    <t xml:space="preserve">: 1.URUSAN PEMERINTAHAN WAJIB YANG BERKAITAN DENGAN PELAYANAN DASAR </t>
  </si>
  <si>
    <t>SPM</t>
  </si>
  <si>
    <t>:SPM Bidang Kesehatan</t>
  </si>
  <si>
    <t>Jenis Layanan</t>
  </si>
  <si>
    <t>: Pelayanan Kesehatan Bayi Baru lahir</t>
  </si>
  <si>
    <t xml:space="preserve">Sumber Pendanaan   </t>
  </si>
  <si>
    <t xml:space="preserve">Lokasi Kegiatan             </t>
  </si>
  <si>
    <t xml:space="preserve">: Kab. Bogor, Cibinong, Pakansari </t>
  </si>
  <si>
    <t>Waktu Pelaksannan</t>
  </si>
  <si>
    <t xml:space="preserve">Kelompok Sasaran      </t>
  </si>
  <si>
    <t>: Petugas Puskesmas ,Labkesda, Pusyankesja, Rumah Sakit Umum Daerah Kab. Bogor</t>
  </si>
  <si>
    <t>Jumlah 2026</t>
  </si>
  <si>
    <t>Persentase Layanan Satndar Pelayana Minimal (SPM ) Bidang Kesehatan</t>
  </si>
  <si>
    <t>Jumlah bayi baru lahir yang mendapatkan pelayanan kesehatansesuai standar</t>
  </si>
  <si>
    <t>Belanja   Barang dan jasa</t>
  </si>
  <si>
    <t>Belanja Barang</t>
  </si>
  <si>
    <t>Belanja Barang Pakai habis</t>
  </si>
  <si>
    <t>5.1.02.01.01.0025</t>
  </si>
  <si>
    <t>Belanja Alat/ bahan untuk Kegiatan Kantor Kertas dan Cover</t>
  </si>
  <si>
    <t>(#) APBD   Sumber Dana : PENDATAAN ASLI DAERAH (PAD)</t>
  </si>
  <si>
    <t>(-) Pengadaan Kertas</t>
  </si>
  <si>
    <t>Kertas HVS Spesifikasi : Ukuran F4 80 gram</t>
  </si>
  <si>
    <t>Rim</t>
  </si>
  <si>
    <t>Kertas HVS Spesifikasi : Ukuran A4 80 gram</t>
  </si>
  <si>
    <t>Belanja Alat/ bahan untuk Kegiatan Kantor Bahan cetak</t>
  </si>
  <si>
    <t>(-) Pengadaan Cetak</t>
  </si>
  <si>
    <t>5.1.02.01.01.0052</t>
  </si>
  <si>
    <t>(-) Pertemuan perencanaan Program Bayi Baru lahir</t>
  </si>
  <si>
    <t>makanan dan minuman rapat spesifikasi : Belanja Konsumsi Kegiatan rapat atau sejeninnya ( makan )</t>
  </si>
  <si>
    <t>makanan dan minuman rapat spesifikasi : Belanja Konsumsi Kegiatan rapat atau sejeninnya (snack )</t>
  </si>
  <si>
    <t>0rang</t>
  </si>
  <si>
    <t>(-) Orientasi Pelaksanaan Skrining Bayi Baru Lahir</t>
  </si>
  <si>
    <t>5.1.02.02</t>
  </si>
  <si>
    <t>Belanja Jasa</t>
  </si>
  <si>
    <t>5.1.02.02.01</t>
  </si>
  <si>
    <t>Belanja jasa kantor</t>
  </si>
  <si>
    <t>5.1.02.02.01.0003</t>
  </si>
  <si>
    <t>Honorarium Narasumber atau pembahas, moderator, pembawa acara, dan panitia</t>
  </si>
  <si>
    <t>Honorarium Narasumber atau pembahas, Spesifikasi : Pejabat Eselon III ke bawah /yang disetarakan</t>
  </si>
  <si>
    <t>0rang/jam</t>
  </si>
  <si>
    <t>5.1.02.04</t>
  </si>
  <si>
    <t>Belanja Perjalanan Dinas</t>
  </si>
  <si>
    <t>5.1.02.04.01</t>
  </si>
  <si>
    <t>Belanja Perjalanan Dinas dalam negeri</t>
  </si>
  <si>
    <t>5.1.02.04.01.0003</t>
  </si>
  <si>
    <t>Belanja Perjalanan Dinas dalam Kota</t>
  </si>
  <si>
    <t>(-) Monitoring Evaluasi Program Bayi Baru lahir di Fasilitas Kesehatan</t>
  </si>
  <si>
    <t>Biaya Transfort Perjalanan Dinas Antar Kecamatan untuk mobil &lt;2000 cc Spesifikasi dari Cibinong Ke Kemang</t>
  </si>
  <si>
    <t>0rang/hari</t>
  </si>
  <si>
    <t>Biaya Transfort Perjalanan Dinas Antar Kecamatan untuk mobil &lt;2000 cc Spesifikasi dari Cibinong Ke Sukaraja</t>
  </si>
  <si>
    <t>Biaya Transfort Perjalanan Dinas Antar Kecamatan untuk mobil &lt;2000 cc Spesifikasi dari Cibinong Ke jonggol</t>
  </si>
  <si>
    <t>Biaya Transfort Perjalanan Dinas Antar Kecamatan untuk mobil &lt;2000 cc Spesifikasi dari Cibinong Ke Ciawi</t>
  </si>
  <si>
    <t>Biaya Transfort Perjalanan Dinas Antar Kecamatan untuk mobil &lt;2000 cc Spesifikasi dari Cibinong Ke leuwiliang</t>
  </si>
  <si>
    <t>Biaya Transfort Perjalanan Dinas Antar Kecamatan untuk mobil &lt;2000 cc Spesifikasi dari Cibinong Ke Jasinga</t>
  </si>
  <si>
    <t>Uang Harian Perjalanan Dinas dalam daerah  Spesifikasi Perjalanan Dinas dalam daerah lebih dari 8 jam</t>
  </si>
  <si>
    <t>Honorarium Narasumber profesional, Spesifikasi :Pakar  Praktisi pembicara Khusus (ASN di luar Pemerintahkab Bogor,Non ASN/Pihak Laianya</t>
  </si>
  <si>
    <t>Belanja makan Minuman rapat</t>
  </si>
  <si>
    <t>5.1.02.04.01.0001</t>
  </si>
  <si>
    <t>Belanja Perjalanan Dinas Biasa</t>
  </si>
  <si>
    <t>(-) Konsultasi Program</t>
  </si>
  <si>
    <t>Uang Harian Perjalanan Dinas dalam Negeri   Spesifikasi Ke DKI Jakarta ( luar kota)</t>
  </si>
  <si>
    <t>Biaya Transfort Perjalanan Dinas dalam Negeri   Spesifikasi Ke DKI Jakarta ( luar kota)</t>
  </si>
  <si>
    <t>5.1.02.04.01.0005</t>
  </si>
  <si>
    <t>Belanja Perjalanan Dinas paket Meeting luar kota</t>
  </si>
  <si>
    <t>(-) Paket meeting luar kota</t>
  </si>
  <si>
    <t>Uang Harian Perjalanan Dinas dalam Negeri   Spesifikasi Ke Bandung( luar kota)</t>
  </si>
  <si>
    <t>Biaya Transfort Perjalanan Dinas dalam Negeri   Spesifikasi Ke Bandung ( luar kota)</t>
  </si>
  <si>
    <t>5.1.02.01.01.0026</t>
  </si>
  <si>
    <t>: Rp.58.614.850.00</t>
  </si>
  <si>
    <t>(-) Pertemuan Evaluasi Program Bayi Baru lahir</t>
  </si>
  <si>
    <t>5.1.02.01.01.0029</t>
  </si>
  <si>
    <t>Belanja Alat/ bahan untuk Kegiatan Kantor - Bahan komputer</t>
  </si>
  <si>
    <t>tinta printer Epson 003 black</t>
  </si>
  <si>
    <t>buah</t>
  </si>
  <si>
    <t>tinta printer Epson 003 cyan</t>
  </si>
  <si>
    <t>tinta printer Epson 003 magenta</t>
  </si>
  <si>
    <t>tinta printer Epson 003 yellow</t>
  </si>
  <si>
    <t>:  Rp. 26.032.038.00,-</t>
  </si>
  <si>
    <t>:  Rp. 52.384.000,-</t>
  </si>
  <si>
    <t xml:space="preserve"> Rp. 52.384.000,-</t>
  </si>
  <si>
    <t>87.607 orang</t>
  </si>
  <si>
    <t>cetak BW Spesifikasi :Volume 1 Lembar Ukuran F4</t>
  </si>
  <si>
    <t xml:space="preserve">Biaya Transfort Perjalanan Dinas Antar Kecamatan untuk mobil &lt;2000 cc lingkup Kecamatan Cibinong </t>
  </si>
  <si>
    <t>Pemerintah Kabupaten Bogor Tahun Anggaran 2027</t>
  </si>
  <si>
    <t>Jumlah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</si>
</sst>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m\.d\.yy;@"/>
    <numFmt numFmtId="166" formatCode="_-[$Rp-421]* #,##0.00_-;\-[$Rp-421]* #,##0.00_-;_-[$Rp-421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3" fillId="0" borderId="0" xfId="0" applyFont="1"/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166" fontId="3" fillId="0" borderId="0" xfId="0" applyNumberFormat="1" applyFont="1"/>
    <xf numFmtId="0" fontId="3" fillId="0" borderId="0" xfId="0" applyFont="1" applyAlignment="1">
      <alignment horizontal="left" vertical="center" indent="1"/>
    </xf>
    <xf numFmtId="166" fontId="3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16" xfId="0" applyFont="1" applyBorder="1" applyAlignment="1">
      <alignment vertical="center" wrapText="1"/>
    </xf>
    <xf numFmtId="166" fontId="3" fillId="0" borderId="16" xfId="0" applyNumberFormat="1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2"/>
    </xf>
    <xf numFmtId="166" fontId="5" fillId="0" borderId="16" xfId="0" applyNumberFormat="1" applyFont="1" applyBorder="1" applyAlignment="1">
      <alignment horizontal="left" vertical="center" wrapText="1" indent="3"/>
    </xf>
    <xf numFmtId="1" fontId="6" fillId="0" borderId="22" xfId="0" applyNumberFormat="1" applyFont="1" applyBorder="1" applyAlignment="1">
      <alignment horizontal="left" vertical="top" shrinkToFit="1"/>
    </xf>
    <xf numFmtId="166" fontId="6" fillId="0" borderId="26" xfId="0" applyNumberFormat="1" applyFont="1" applyBorder="1" applyAlignment="1">
      <alignment horizontal="right" vertical="top" shrinkToFit="1"/>
    </xf>
    <xf numFmtId="0" fontId="2" fillId="0" borderId="22" xfId="0" applyFont="1" applyBorder="1" applyAlignment="1">
      <alignment horizontal="left" vertical="top" wrapText="1"/>
    </xf>
    <xf numFmtId="166" fontId="6" fillId="0" borderId="26" xfId="0" applyNumberFormat="1" applyFont="1" applyBorder="1" applyAlignment="1">
      <alignment vertical="top" shrinkToFit="1"/>
    </xf>
    <xf numFmtId="165" fontId="6" fillId="0" borderId="22" xfId="0" applyNumberFormat="1" applyFont="1" applyBorder="1" applyAlignment="1">
      <alignment horizontal="left" vertical="top" shrinkToFit="1"/>
    </xf>
    <xf numFmtId="0" fontId="5" fillId="0" borderId="0" xfId="0" applyFont="1"/>
    <xf numFmtId="0" fontId="2" fillId="0" borderId="0" xfId="0" applyFont="1" applyAlignment="1">
      <alignment horizontal="left" vertical="top" wrapText="1"/>
    </xf>
    <xf numFmtId="166" fontId="6" fillId="3" borderId="26" xfId="0" applyNumberFormat="1" applyFont="1" applyFill="1" applyBorder="1" applyAlignment="1">
      <alignment vertical="top" shrinkToFit="1"/>
    </xf>
    <xf numFmtId="0" fontId="3" fillId="0" borderId="16" xfId="0" applyFont="1" applyBorder="1" applyAlignment="1">
      <alignment horizontal="left" vertical="center" wrapText="1" indent="1"/>
    </xf>
    <xf numFmtId="3" fontId="3" fillId="0" borderId="20" xfId="0" applyNumberFormat="1" applyFont="1" applyBorder="1" applyAlignment="1">
      <alignment horizontal="left" vertical="center" wrapText="1" indent="2"/>
    </xf>
    <xf numFmtId="0" fontId="3" fillId="0" borderId="20" xfId="0" applyFont="1" applyBorder="1" applyAlignment="1">
      <alignment horizontal="left" vertical="center" wrapText="1" indent="1"/>
    </xf>
    <xf numFmtId="166" fontId="3" fillId="0" borderId="20" xfId="0" quotePrefix="1" applyNumberFormat="1" applyFont="1" applyBorder="1" applyAlignment="1">
      <alignment horizontal="left" vertical="center" wrapText="1" indent="1"/>
    </xf>
    <xf numFmtId="0" fontId="3" fillId="0" borderId="20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166" fontId="7" fillId="0" borderId="26" xfId="0" applyNumberFormat="1" applyFont="1" applyBorder="1" applyAlignment="1">
      <alignment vertical="top" shrinkToFit="1"/>
    </xf>
    <xf numFmtId="0" fontId="3" fillId="0" borderId="20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4" fillId="0" borderId="22" xfId="0" applyFont="1" applyBorder="1" applyAlignment="1">
      <alignment horizontal="left" vertical="top" wrapText="1"/>
    </xf>
    <xf numFmtId="3" fontId="6" fillId="0" borderId="0" xfId="0" applyNumberFormat="1" applyFont="1" applyAlignment="1">
      <alignment vertical="top" shrinkToFit="1"/>
    </xf>
    <xf numFmtId="3" fontId="7" fillId="0" borderId="0" xfId="0" applyNumberFormat="1" applyFont="1" applyAlignment="1">
      <alignment vertical="top" shrinkToFit="1"/>
    </xf>
    <xf numFmtId="164" fontId="3" fillId="0" borderId="0" xfId="0" applyNumberFormat="1" applyFont="1"/>
    <xf numFmtId="0" fontId="5" fillId="2" borderId="5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166" fontId="5" fillId="2" borderId="3" xfId="0" applyNumberFormat="1" applyFont="1" applyFill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 indent="4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 indent="2"/>
    </xf>
    <xf numFmtId="0" fontId="2" fillId="0" borderId="27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3" fillId="0" borderId="16" xfId="0" applyFont="1" applyBorder="1" applyAlignment="1">
      <alignment vertical="center" wrapText="1"/>
    </xf>
    <xf numFmtId="9" fontId="3" fillId="0" borderId="16" xfId="0" applyNumberFormat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166" fontId="5" fillId="0" borderId="16" xfId="1" applyNumberFormat="1" applyFont="1" applyBorder="1" applyAlignment="1">
      <alignment vertical="center" wrapText="1"/>
    </xf>
    <xf numFmtId="166" fontId="3" fillId="0" borderId="19" xfId="1" applyNumberFormat="1" applyFont="1" applyBorder="1" applyAlignment="1">
      <alignment vertical="center" wrapText="1"/>
    </xf>
    <xf numFmtId="0" fontId="3" fillId="0" borderId="16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9" fontId="3" fillId="0" borderId="16" xfId="0" applyNumberFormat="1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 indent="8"/>
    </xf>
    <xf numFmtId="166" fontId="3" fillId="0" borderId="16" xfId="1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5" fillId="2" borderId="2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DBE6-3B59-4FAF-90AA-EC018E6CD1B4}">
  <dimension ref="A1:P100"/>
  <sheetViews>
    <sheetView tabSelected="1" topLeftCell="A86" zoomScale="97" workbookViewId="0">
      <selection activeCell="K93" sqref="K93:L94"/>
    </sheetView>
  </sheetViews>
  <sheetFormatPr defaultRowHeight="13.8" x14ac:dyDescent="0.3"/>
  <cols>
    <col min="1" max="1" width="21.21875" style="3" customWidth="1"/>
    <col min="2" max="2" width="8.88671875" style="3"/>
    <col min="3" max="3" width="18.21875" style="3" customWidth="1"/>
    <col min="4" max="4" width="14.44140625" style="3" customWidth="1"/>
    <col min="5" max="5" width="8.88671875" style="3"/>
    <col min="6" max="6" width="15.6640625" style="3" bestFit="1" customWidth="1"/>
    <col min="7" max="8" width="8.88671875" style="3"/>
    <col min="9" max="9" width="18.44140625" style="7" customWidth="1"/>
    <col min="10" max="10" width="8.88671875" style="3"/>
    <col min="11" max="11" width="13.88671875" style="3" customWidth="1"/>
    <col min="12" max="12" width="8.88671875" style="3"/>
    <col min="13" max="13" width="15.77734375" style="3" bestFit="1" customWidth="1"/>
    <col min="14" max="16384" width="8.88671875" style="3"/>
  </cols>
  <sheetData>
    <row r="1" spans="1:16" ht="14.55" customHeight="1" x14ac:dyDescent="0.3">
      <c r="A1" s="53" t="s">
        <v>31</v>
      </c>
      <c r="B1" s="54"/>
      <c r="C1" s="54"/>
      <c r="D1" s="54"/>
      <c r="E1" s="54"/>
      <c r="F1" s="54"/>
      <c r="G1" s="54"/>
      <c r="H1" s="54"/>
      <c r="I1" s="54"/>
      <c r="J1" s="1"/>
      <c r="K1" s="1"/>
      <c r="L1" s="1"/>
      <c r="M1" s="1"/>
      <c r="N1" s="1"/>
      <c r="O1" s="1"/>
      <c r="P1" s="2"/>
    </row>
    <row r="2" spans="1:16" ht="14.55" customHeight="1" x14ac:dyDescent="0.3">
      <c r="A2" s="53" t="s">
        <v>124</v>
      </c>
      <c r="B2" s="54"/>
      <c r="C2" s="54"/>
      <c r="D2" s="54"/>
      <c r="E2" s="54"/>
      <c r="F2" s="54"/>
      <c r="G2" s="54"/>
      <c r="H2" s="54"/>
      <c r="I2" s="54"/>
      <c r="J2" s="4"/>
      <c r="K2" s="4"/>
      <c r="L2" s="4"/>
      <c r="M2" s="4"/>
      <c r="N2" s="4"/>
      <c r="O2" s="4"/>
      <c r="P2" s="5"/>
    </row>
    <row r="4" spans="1:16" x14ac:dyDescent="0.3">
      <c r="A4" s="3" t="s">
        <v>32</v>
      </c>
      <c r="B4" s="6" t="s">
        <v>41</v>
      </c>
    </row>
    <row r="5" spans="1:16" x14ac:dyDescent="0.3">
      <c r="A5" s="3" t="s">
        <v>33</v>
      </c>
      <c r="B5" s="6" t="s">
        <v>34</v>
      </c>
    </row>
    <row r="6" spans="1:16" x14ac:dyDescent="0.3">
      <c r="A6" s="8" t="s">
        <v>35</v>
      </c>
      <c r="B6" s="6" t="s">
        <v>18</v>
      </c>
    </row>
    <row r="7" spans="1:16" x14ac:dyDescent="0.3">
      <c r="A7" s="8" t="s">
        <v>36</v>
      </c>
      <c r="B7" s="8"/>
    </row>
    <row r="8" spans="1:16" x14ac:dyDescent="0.3">
      <c r="A8" s="8" t="s">
        <v>37</v>
      </c>
      <c r="B8" s="8" t="s">
        <v>19</v>
      </c>
    </row>
    <row r="9" spans="1:16" x14ac:dyDescent="0.3">
      <c r="A9" s="8" t="s">
        <v>38</v>
      </c>
      <c r="B9" s="8" t="s">
        <v>25</v>
      </c>
    </row>
    <row r="10" spans="1:16" x14ac:dyDescent="0.3">
      <c r="A10" s="8" t="s">
        <v>39</v>
      </c>
      <c r="B10" s="8" t="s">
        <v>40</v>
      </c>
    </row>
    <row r="11" spans="1:16" x14ac:dyDescent="0.3">
      <c r="A11" s="8" t="s">
        <v>42</v>
      </c>
      <c r="B11" s="8" t="s">
        <v>43</v>
      </c>
    </row>
    <row r="12" spans="1:16" x14ac:dyDescent="0.3">
      <c r="A12" s="8" t="s">
        <v>44</v>
      </c>
      <c r="B12" s="8" t="s">
        <v>45</v>
      </c>
    </row>
    <row r="13" spans="1:16" x14ac:dyDescent="0.3">
      <c r="A13" s="8" t="s">
        <v>46</v>
      </c>
      <c r="B13" s="8" t="s">
        <v>20</v>
      </c>
    </row>
    <row r="14" spans="1:16" x14ac:dyDescent="0.3">
      <c r="A14" s="8" t="s">
        <v>47</v>
      </c>
      <c r="B14" s="8" t="s">
        <v>48</v>
      </c>
    </row>
    <row r="15" spans="1:16" x14ac:dyDescent="0.3">
      <c r="A15" s="8" t="s">
        <v>49</v>
      </c>
      <c r="B15" s="8" t="s">
        <v>21</v>
      </c>
    </row>
    <row r="16" spans="1:16" x14ac:dyDescent="0.3">
      <c r="A16" s="8" t="s">
        <v>50</v>
      </c>
      <c r="B16" s="8" t="s">
        <v>51</v>
      </c>
    </row>
    <row r="17" spans="1:13" x14ac:dyDescent="0.3">
      <c r="A17" s="8" t="s">
        <v>24</v>
      </c>
      <c r="B17" s="9" t="s">
        <v>109</v>
      </c>
    </row>
    <row r="18" spans="1:13" x14ac:dyDescent="0.3">
      <c r="A18" s="8" t="s">
        <v>52</v>
      </c>
      <c r="B18" s="8" t="s">
        <v>118</v>
      </c>
    </row>
    <row r="19" spans="1:13" x14ac:dyDescent="0.3">
      <c r="A19" s="8" t="s">
        <v>125</v>
      </c>
      <c r="B19" s="8" t="s">
        <v>119</v>
      </c>
    </row>
    <row r="20" spans="1:13" ht="14.4" thickBot="1" x14ac:dyDescent="0.35">
      <c r="A20" s="10"/>
    </row>
    <row r="21" spans="1:13" x14ac:dyDescent="0.3">
      <c r="A21" s="55" t="s">
        <v>0</v>
      </c>
      <c r="B21" s="56"/>
      <c r="C21" s="56"/>
      <c r="D21" s="56"/>
      <c r="E21" s="56"/>
      <c r="F21" s="56"/>
      <c r="G21" s="56"/>
      <c r="H21" s="56"/>
      <c r="I21" s="57"/>
    </row>
    <row r="22" spans="1:13" x14ac:dyDescent="0.3">
      <c r="A22" s="58" t="s">
        <v>1</v>
      </c>
      <c r="B22" s="58"/>
      <c r="C22" s="59" t="s">
        <v>2</v>
      </c>
      <c r="D22" s="59"/>
      <c r="E22" s="59"/>
      <c r="F22" s="59"/>
      <c r="G22" s="59"/>
      <c r="H22" s="60" t="s">
        <v>3</v>
      </c>
      <c r="I22" s="60"/>
    </row>
    <row r="23" spans="1:13" ht="33.75" customHeight="1" x14ac:dyDescent="0.3">
      <c r="A23" s="64" t="s">
        <v>4</v>
      </c>
      <c r="B23" s="64"/>
      <c r="C23" s="64" t="s">
        <v>53</v>
      </c>
      <c r="D23" s="64"/>
      <c r="E23" s="64"/>
      <c r="F23" s="64"/>
      <c r="G23" s="64"/>
      <c r="H23" s="65">
        <v>1</v>
      </c>
      <c r="I23" s="66"/>
    </row>
    <row r="24" spans="1:13" x14ac:dyDescent="0.3">
      <c r="A24" s="64" t="s">
        <v>5</v>
      </c>
      <c r="B24" s="64"/>
      <c r="C24" s="64" t="s">
        <v>22</v>
      </c>
      <c r="D24" s="64"/>
      <c r="E24" s="64"/>
      <c r="F24" s="64"/>
      <c r="G24" s="64"/>
      <c r="H24" s="67" t="s">
        <v>120</v>
      </c>
      <c r="I24" s="68"/>
    </row>
    <row r="25" spans="1:13" x14ac:dyDescent="0.3">
      <c r="A25" s="69" t="s">
        <v>6</v>
      </c>
      <c r="B25" s="69"/>
      <c r="C25" s="64" t="s">
        <v>54</v>
      </c>
      <c r="D25" s="64"/>
      <c r="E25" s="64"/>
      <c r="F25" s="64"/>
      <c r="G25" s="64"/>
      <c r="H25" s="64" t="s">
        <v>121</v>
      </c>
      <c r="I25" s="64"/>
    </row>
    <row r="26" spans="1:13" ht="27.75" customHeight="1" x14ac:dyDescent="0.3">
      <c r="A26" s="64" t="s">
        <v>7</v>
      </c>
      <c r="B26" s="64"/>
      <c r="C26" s="64" t="s">
        <v>23</v>
      </c>
      <c r="D26" s="64"/>
      <c r="E26" s="64"/>
      <c r="F26" s="64"/>
      <c r="G26" s="64"/>
      <c r="H26" s="72">
        <v>1</v>
      </c>
      <c r="I26" s="64"/>
    </row>
    <row r="27" spans="1:13" x14ac:dyDescent="0.3">
      <c r="A27" s="59" t="s">
        <v>8</v>
      </c>
      <c r="B27" s="59"/>
      <c r="C27" s="59"/>
      <c r="D27" s="59"/>
      <c r="E27" s="59"/>
      <c r="F27" s="59"/>
      <c r="G27" s="59"/>
      <c r="H27" s="59"/>
      <c r="I27" s="59"/>
    </row>
    <row r="28" spans="1:13" x14ac:dyDescent="0.3">
      <c r="A28" s="11"/>
      <c r="B28" s="64"/>
      <c r="C28" s="64"/>
      <c r="D28" s="73" t="s">
        <v>11</v>
      </c>
      <c r="E28" s="73"/>
      <c r="F28" s="73"/>
      <c r="G28" s="73"/>
      <c r="H28" s="73"/>
      <c r="I28" s="12"/>
    </row>
    <row r="29" spans="1:13" x14ac:dyDescent="0.3">
      <c r="A29" s="13" t="s">
        <v>9</v>
      </c>
      <c r="B29" s="70" t="s">
        <v>10</v>
      </c>
      <c r="C29" s="70"/>
      <c r="D29" s="14" t="s">
        <v>13</v>
      </c>
      <c r="E29" s="13" t="s">
        <v>14</v>
      </c>
      <c r="F29" s="13" t="s">
        <v>15</v>
      </c>
      <c r="G29" s="71" t="s">
        <v>16</v>
      </c>
      <c r="H29" s="71"/>
      <c r="I29" s="15" t="s">
        <v>12</v>
      </c>
    </row>
    <row r="30" spans="1:13" ht="14.55" customHeight="1" x14ac:dyDescent="0.3">
      <c r="A30" s="16">
        <v>5</v>
      </c>
      <c r="B30" s="61" t="s">
        <v>28</v>
      </c>
      <c r="C30" s="62"/>
      <c r="D30" s="62"/>
      <c r="E30" s="62"/>
      <c r="F30" s="62"/>
      <c r="G30" s="62"/>
      <c r="H30" s="63"/>
      <c r="I30" s="17" t="str">
        <f>H24</f>
        <v xml:space="preserve"> Rp. 52.384.000,-</v>
      </c>
    </row>
    <row r="31" spans="1:13" ht="14.55" customHeight="1" x14ac:dyDescent="0.3">
      <c r="A31" s="18" t="s">
        <v>29</v>
      </c>
      <c r="B31" s="45" t="s">
        <v>30</v>
      </c>
      <c r="C31" s="46"/>
      <c r="D31" s="46"/>
      <c r="E31" s="46"/>
      <c r="F31" s="46"/>
      <c r="G31" s="46"/>
      <c r="H31" s="47"/>
      <c r="I31" s="19" t="str">
        <f>I30</f>
        <v xml:space="preserve"> Rp. 52.384.000,-</v>
      </c>
      <c r="M31" s="7"/>
    </row>
    <row r="32" spans="1:13" ht="14.55" customHeight="1" x14ac:dyDescent="0.3">
      <c r="A32" s="20">
        <v>37377</v>
      </c>
      <c r="B32" s="45" t="s">
        <v>55</v>
      </c>
      <c r="C32" s="46"/>
      <c r="D32" s="46"/>
      <c r="E32" s="46"/>
      <c r="F32" s="46"/>
      <c r="G32" s="46"/>
      <c r="H32" s="47"/>
      <c r="I32" s="19" t="str">
        <f>I31</f>
        <v xml:space="preserve"> Rp. 52.384.000,-</v>
      </c>
    </row>
    <row r="33" spans="1:10" x14ac:dyDescent="0.3">
      <c r="A33" s="18" t="s">
        <v>26</v>
      </c>
      <c r="B33" s="45" t="s">
        <v>56</v>
      </c>
      <c r="C33" s="46"/>
      <c r="D33" s="46"/>
      <c r="E33" s="46"/>
      <c r="F33" s="46"/>
      <c r="G33" s="46"/>
      <c r="H33" s="47"/>
      <c r="I33" s="19"/>
    </row>
    <row r="34" spans="1:10" s="21" customFormat="1" ht="14.55" customHeight="1" x14ac:dyDescent="0.3">
      <c r="A34" s="18" t="s">
        <v>27</v>
      </c>
      <c r="B34" s="45" t="s">
        <v>57</v>
      </c>
      <c r="C34" s="46"/>
      <c r="D34" s="46"/>
      <c r="E34" s="46"/>
      <c r="F34" s="46"/>
      <c r="G34" s="46"/>
      <c r="H34" s="47"/>
      <c r="I34" s="19">
        <f>I37+I44</f>
        <v>4641000</v>
      </c>
    </row>
    <row r="35" spans="1:10" ht="14.55" customHeight="1" x14ac:dyDescent="0.3">
      <c r="A35" s="18" t="s">
        <v>58</v>
      </c>
      <c r="B35" s="45" t="s">
        <v>59</v>
      </c>
      <c r="C35" s="46"/>
      <c r="D35" s="46"/>
      <c r="E35" s="46"/>
      <c r="F35" s="46"/>
      <c r="G35" s="46"/>
      <c r="H35" s="47"/>
      <c r="I35" s="19"/>
    </row>
    <row r="36" spans="1:10" ht="16.95" customHeight="1" x14ac:dyDescent="0.3">
      <c r="A36" s="22"/>
      <c r="B36" s="48" t="s">
        <v>60</v>
      </c>
      <c r="C36" s="48"/>
      <c r="D36" s="48"/>
      <c r="E36" s="48"/>
      <c r="F36" s="48"/>
      <c r="G36" s="48"/>
      <c r="H36" s="49"/>
      <c r="I36" s="19"/>
    </row>
    <row r="37" spans="1:10" s="21" customFormat="1" ht="19.05" customHeight="1" x14ac:dyDescent="0.3">
      <c r="A37" s="13"/>
      <c r="B37" s="42" t="s">
        <v>61</v>
      </c>
      <c r="C37" s="43"/>
      <c r="D37" s="43"/>
      <c r="E37" s="43"/>
      <c r="F37" s="43"/>
      <c r="G37" s="43"/>
      <c r="H37" s="44"/>
      <c r="I37" s="23">
        <f>I38+I39</f>
        <v>2383500</v>
      </c>
    </row>
    <row r="38" spans="1:10" ht="48" customHeight="1" x14ac:dyDescent="0.3">
      <c r="A38" s="24"/>
      <c r="B38" s="40" t="s">
        <v>64</v>
      </c>
      <c r="C38" s="41"/>
      <c r="D38" s="25">
        <v>10</v>
      </c>
      <c r="E38" s="26" t="s">
        <v>63</v>
      </c>
      <c r="F38" s="27">
        <v>93450</v>
      </c>
      <c r="G38" s="28"/>
      <c r="H38" s="29"/>
      <c r="I38" s="30">
        <f>D38*F38</f>
        <v>934500</v>
      </c>
    </row>
    <row r="39" spans="1:10" ht="37.049999999999997" customHeight="1" x14ac:dyDescent="0.3">
      <c r="A39" s="24"/>
      <c r="B39" s="40" t="s">
        <v>62</v>
      </c>
      <c r="C39" s="41"/>
      <c r="D39" s="25">
        <v>15</v>
      </c>
      <c r="E39" s="26" t="s">
        <v>63</v>
      </c>
      <c r="F39" s="27">
        <v>96600</v>
      </c>
      <c r="G39" s="31"/>
      <c r="H39" s="32"/>
      <c r="I39" s="30">
        <f>D39*F39</f>
        <v>1449000</v>
      </c>
    </row>
    <row r="40" spans="1:10" ht="21" customHeight="1" x14ac:dyDescent="0.3">
      <c r="A40" s="18" t="s">
        <v>108</v>
      </c>
      <c r="B40" s="45" t="s">
        <v>65</v>
      </c>
      <c r="C40" s="46"/>
      <c r="D40" s="46"/>
      <c r="E40" s="46"/>
      <c r="F40" s="46"/>
      <c r="G40" s="46"/>
      <c r="H40" s="47"/>
      <c r="I40" s="23">
        <f>I43</f>
        <v>6949500</v>
      </c>
    </row>
    <row r="41" spans="1:10" ht="19.95" customHeight="1" x14ac:dyDescent="0.3">
      <c r="A41" s="22"/>
      <c r="B41" s="48" t="s">
        <v>60</v>
      </c>
      <c r="C41" s="48"/>
      <c r="D41" s="48"/>
      <c r="E41" s="48"/>
      <c r="F41" s="48"/>
      <c r="G41" s="48"/>
      <c r="H41" s="49"/>
      <c r="I41" s="19"/>
    </row>
    <row r="42" spans="1:10" ht="21" customHeight="1" x14ac:dyDescent="0.3">
      <c r="A42" s="13"/>
      <c r="B42" s="50" t="s">
        <v>66</v>
      </c>
      <c r="C42" s="51"/>
      <c r="D42" s="51"/>
      <c r="E42" s="51"/>
      <c r="F42" s="51"/>
      <c r="G42" s="51"/>
      <c r="H42" s="52"/>
      <c r="I42" s="19"/>
    </row>
    <row r="43" spans="1:10" ht="30" customHeight="1" x14ac:dyDescent="0.3">
      <c r="A43" s="33"/>
      <c r="B43" s="40" t="s">
        <v>122</v>
      </c>
      <c r="C43" s="41"/>
      <c r="D43" s="25">
        <v>82</v>
      </c>
      <c r="E43" s="26" t="s">
        <v>63</v>
      </c>
      <c r="F43" s="27">
        <v>84750</v>
      </c>
      <c r="G43" s="31"/>
      <c r="H43" s="32"/>
      <c r="I43" s="30">
        <f>D43*F43</f>
        <v>6949500</v>
      </c>
    </row>
    <row r="44" spans="1:10" ht="14.55" customHeight="1" x14ac:dyDescent="0.3">
      <c r="A44" s="18" t="s">
        <v>111</v>
      </c>
      <c r="B44" s="45" t="s">
        <v>112</v>
      </c>
      <c r="C44" s="46"/>
      <c r="D44" s="46"/>
      <c r="E44" s="46"/>
      <c r="F44" s="46"/>
      <c r="G44" s="46"/>
      <c r="H44" s="47"/>
      <c r="I44" s="23">
        <f>I45+I46+I47+I48</f>
        <v>2257500</v>
      </c>
      <c r="J44" s="34"/>
    </row>
    <row r="45" spans="1:10" ht="28.05" customHeight="1" x14ac:dyDescent="0.3">
      <c r="A45" s="33"/>
      <c r="B45" s="40" t="s">
        <v>113</v>
      </c>
      <c r="C45" s="41"/>
      <c r="D45" s="25">
        <v>3</v>
      </c>
      <c r="E45" s="26" t="s">
        <v>114</v>
      </c>
      <c r="F45" s="27">
        <v>315000</v>
      </c>
      <c r="G45" s="31"/>
      <c r="H45" s="32"/>
      <c r="I45" s="30">
        <f>D45*F45</f>
        <v>945000</v>
      </c>
      <c r="J45" s="35"/>
    </row>
    <row r="46" spans="1:10" ht="19.95" customHeight="1" x14ac:dyDescent="0.3">
      <c r="A46" s="33"/>
      <c r="B46" s="40" t="s">
        <v>115</v>
      </c>
      <c r="C46" s="41"/>
      <c r="D46" s="25">
        <v>2</v>
      </c>
      <c r="E46" s="26" t="s">
        <v>114</v>
      </c>
      <c r="F46" s="27">
        <v>262500</v>
      </c>
      <c r="G46" s="31"/>
      <c r="H46" s="32"/>
      <c r="I46" s="30">
        <f>D46*F46</f>
        <v>525000</v>
      </c>
      <c r="J46" s="34"/>
    </row>
    <row r="47" spans="1:10" ht="19.95" customHeight="1" x14ac:dyDescent="0.3">
      <c r="A47" s="33"/>
      <c r="B47" s="40" t="s">
        <v>116</v>
      </c>
      <c r="C47" s="41"/>
      <c r="D47" s="25">
        <v>2</v>
      </c>
      <c r="E47" s="26" t="s">
        <v>114</v>
      </c>
      <c r="F47" s="27">
        <v>262500</v>
      </c>
      <c r="G47" s="31"/>
      <c r="H47" s="32"/>
      <c r="I47" s="30">
        <f>D47*F47</f>
        <v>525000</v>
      </c>
      <c r="J47" s="34"/>
    </row>
    <row r="48" spans="1:10" ht="44.55" customHeight="1" x14ac:dyDescent="0.3">
      <c r="A48" s="33"/>
      <c r="B48" s="40" t="s">
        <v>117</v>
      </c>
      <c r="C48" s="41"/>
      <c r="D48" s="25">
        <v>1</v>
      </c>
      <c r="E48" s="26" t="s">
        <v>114</v>
      </c>
      <c r="F48" s="27">
        <v>262500</v>
      </c>
      <c r="G48" s="31"/>
      <c r="H48" s="32"/>
      <c r="I48" s="30">
        <f>D48*F48</f>
        <v>262500</v>
      </c>
      <c r="J48" s="35"/>
    </row>
    <row r="49" spans="1:10" s="21" customFormat="1" ht="22.95" customHeight="1" x14ac:dyDescent="0.3">
      <c r="A49" s="18" t="s">
        <v>67</v>
      </c>
      <c r="B49" s="61" t="s">
        <v>97</v>
      </c>
      <c r="C49" s="62"/>
      <c r="D49" s="62"/>
      <c r="E49" s="62"/>
      <c r="F49" s="62"/>
      <c r="G49" s="62"/>
      <c r="H49" s="63"/>
      <c r="I49" s="23">
        <f>I51*3</f>
        <v>17077500</v>
      </c>
      <c r="J49" s="34"/>
    </row>
    <row r="50" spans="1:10" s="21" customFormat="1" ht="24" customHeight="1" x14ac:dyDescent="0.3">
      <c r="A50" s="22"/>
      <c r="B50" s="48" t="s">
        <v>60</v>
      </c>
      <c r="C50" s="48"/>
      <c r="D50" s="48"/>
      <c r="E50" s="48"/>
      <c r="F50" s="48"/>
      <c r="G50" s="48"/>
      <c r="H50" s="49"/>
      <c r="I50" s="19"/>
      <c r="J50" s="34"/>
    </row>
    <row r="51" spans="1:10" s="21" customFormat="1" ht="16.05" customHeight="1" x14ac:dyDescent="0.3">
      <c r="A51" s="13"/>
      <c r="B51" s="42" t="s">
        <v>68</v>
      </c>
      <c r="C51" s="43"/>
      <c r="D51" s="43"/>
      <c r="E51" s="43"/>
      <c r="F51" s="43"/>
      <c r="G51" s="43"/>
      <c r="H51" s="44"/>
      <c r="I51" s="19">
        <f>I52+I53</f>
        <v>5692500</v>
      </c>
      <c r="J51" s="34"/>
    </row>
    <row r="52" spans="1:10" ht="50.55" customHeight="1" x14ac:dyDescent="0.3">
      <c r="A52" s="24"/>
      <c r="B52" s="40" t="s">
        <v>70</v>
      </c>
      <c r="C52" s="41"/>
      <c r="D52" s="25">
        <v>115</v>
      </c>
      <c r="E52" s="26" t="s">
        <v>71</v>
      </c>
      <c r="F52" s="27">
        <v>16500</v>
      </c>
      <c r="G52" s="31"/>
      <c r="H52" s="32"/>
      <c r="I52" s="30">
        <f>D52*F52</f>
        <v>1897500</v>
      </c>
      <c r="J52" s="35"/>
    </row>
    <row r="53" spans="1:10" ht="46.95" customHeight="1" x14ac:dyDescent="0.3">
      <c r="A53" s="24"/>
      <c r="B53" s="40" t="s">
        <v>69</v>
      </c>
      <c r="C53" s="41"/>
      <c r="D53" s="25">
        <v>115</v>
      </c>
      <c r="E53" s="26" t="s">
        <v>71</v>
      </c>
      <c r="F53" s="27">
        <v>33000</v>
      </c>
      <c r="G53" s="31"/>
      <c r="H53" s="32"/>
      <c r="I53" s="30">
        <f>D53*F53</f>
        <v>3795000</v>
      </c>
      <c r="J53" s="35"/>
    </row>
    <row r="54" spans="1:10" s="21" customFormat="1" ht="22.95" customHeight="1" x14ac:dyDescent="0.3">
      <c r="A54" s="13"/>
      <c r="B54" s="42" t="s">
        <v>72</v>
      </c>
      <c r="C54" s="43"/>
      <c r="D54" s="43"/>
      <c r="E54" s="43"/>
      <c r="F54" s="43"/>
      <c r="G54" s="43"/>
      <c r="H54" s="44"/>
      <c r="I54" s="19">
        <f>I55+I56</f>
        <v>5692500</v>
      </c>
      <c r="J54" s="34"/>
    </row>
    <row r="55" spans="1:10" ht="46.95" customHeight="1" x14ac:dyDescent="0.3">
      <c r="A55" s="24"/>
      <c r="B55" s="40" t="s">
        <v>70</v>
      </c>
      <c r="C55" s="41"/>
      <c r="D55" s="25">
        <v>115</v>
      </c>
      <c r="E55" s="26" t="s">
        <v>71</v>
      </c>
      <c r="F55" s="27">
        <v>16500</v>
      </c>
      <c r="G55" s="31"/>
      <c r="H55" s="32"/>
      <c r="I55" s="30">
        <f>D55*F55</f>
        <v>1897500</v>
      </c>
      <c r="J55" s="35"/>
    </row>
    <row r="56" spans="1:10" ht="46.95" customHeight="1" x14ac:dyDescent="0.3">
      <c r="A56" s="24"/>
      <c r="B56" s="40" t="s">
        <v>69</v>
      </c>
      <c r="C56" s="41"/>
      <c r="D56" s="25">
        <v>115</v>
      </c>
      <c r="E56" s="26" t="s">
        <v>71</v>
      </c>
      <c r="F56" s="27">
        <v>33000</v>
      </c>
      <c r="G56" s="31"/>
      <c r="H56" s="32"/>
      <c r="I56" s="30">
        <f>D56*F56</f>
        <v>3795000</v>
      </c>
      <c r="J56" s="35"/>
    </row>
    <row r="57" spans="1:10" s="21" customFormat="1" ht="26.55" customHeight="1" x14ac:dyDescent="0.3">
      <c r="A57" s="13"/>
      <c r="B57" s="42" t="s">
        <v>110</v>
      </c>
      <c r="C57" s="43"/>
      <c r="D57" s="43"/>
      <c r="E57" s="43"/>
      <c r="F57" s="43"/>
      <c r="G57" s="43"/>
      <c r="H57" s="44"/>
      <c r="I57" s="19">
        <f>I58+I59</f>
        <v>5692500</v>
      </c>
      <c r="J57" s="34"/>
    </row>
    <row r="58" spans="1:10" ht="46.95" customHeight="1" x14ac:dyDescent="0.3">
      <c r="A58" s="24"/>
      <c r="B58" s="40" t="s">
        <v>70</v>
      </c>
      <c r="C58" s="41"/>
      <c r="D58" s="25">
        <v>115</v>
      </c>
      <c r="E58" s="26" t="s">
        <v>71</v>
      </c>
      <c r="F58" s="27">
        <v>16500</v>
      </c>
      <c r="G58" s="31"/>
      <c r="H58" s="32"/>
      <c r="I58" s="30">
        <f>D58*F58</f>
        <v>1897500</v>
      </c>
      <c r="J58" s="35"/>
    </row>
    <row r="59" spans="1:10" ht="46.95" customHeight="1" x14ac:dyDescent="0.3">
      <c r="A59" s="24"/>
      <c r="B59" s="40" t="s">
        <v>69</v>
      </c>
      <c r="C59" s="41"/>
      <c r="D59" s="25">
        <v>115</v>
      </c>
      <c r="E59" s="26" t="s">
        <v>71</v>
      </c>
      <c r="F59" s="27">
        <v>33000</v>
      </c>
      <c r="G59" s="31"/>
      <c r="H59" s="32"/>
      <c r="I59" s="30">
        <f>D59*F59</f>
        <v>3795000</v>
      </c>
      <c r="J59" s="35"/>
    </row>
    <row r="60" spans="1:10" ht="19.95" customHeight="1" x14ac:dyDescent="0.3">
      <c r="A60" s="18" t="s">
        <v>73</v>
      </c>
      <c r="B60" s="45" t="s">
        <v>74</v>
      </c>
      <c r="C60" s="46"/>
      <c r="D60" s="46"/>
      <c r="E60" s="46"/>
      <c r="F60" s="46"/>
      <c r="G60" s="46"/>
      <c r="H60" s="47"/>
      <c r="I60" s="19"/>
      <c r="J60" s="34"/>
    </row>
    <row r="61" spans="1:10" ht="15" customHeight="1" x14ac:dyDescent="0.3">
      <c r="A61" s="18" t="s">
        <v>75</v>
      </c>
      <c r="B61" s="45" t="s">
        <v>76</v>
      </c>
      <c r="C61" s="46"/>
      <c r="D61" s="46"/>
      <c r="E61" s="46"/>
      <c r="F61" s="46"/>
      <c r="G61" s="46"/>
      <c r="H61" s="47"/>
      <c r="I61" s="19"/>
      <c r="J61" s="34"/>
    </row>
    <row r="62" spans="1:10" s="21" customFormat="1" ht="14.55" customHeight="1" x14ac:dyDescent="0.3">
      <c r="A62" s="18" t="s">
        <v>77</v>
      </c>
      <c r="B62" s="45" t="s">
        <v>78</v>
      </c>
      <c r="C62" s="46"/>
      <c r="D62" s="46"/>
      <c r="E62" s="46"/>
      <c r="F62" s="46"/>
      <c r="G62" s="46"/>
      <c r="H62" s="47"/>
      <c r="I62" s="23">
        <f>I65+I67+I69</f>
        <v>6000000</v>
      </c>
      <c r="J62" s="34"/>
    </row>
    <row r="63" spans="1:10" ht="14.55" customHeight="1" x14ac:dyDescent="0.3">
      <c r="A63" s="22"/>
      <c r="B63" s="48" t="s">
        <v>60</v>
      </c>
      <c r="C63" s="48"/>
      <c r="D63" s="48"/>
      <c r="E63" s="48"/>
      <c r="F63" s="48"/>
      <c r="G63" s="48"/>
      <c r="H63" s="49"/>
      <c r="I63" s="19"/>
      <c r="J63" s="34"/>
    </row>
    <row r="64" spans="1:10" s="21" customFormat="1" ht="14.55" customHeight="1" x14ac:dyDescent="0.3">
      <c r="A64" s="13"/>
      <c r="B64" s="42" t="s">
        <v>68</v>
      </c>
      <c r="C64" s="43"/>
      <c r="D64" s="43"/>
      <c r="E64" s="43"/>
      <c r="F64" s="43"/>
      <c r="G64" s="43"/>
      <c r="H64" s="44"/>
      <c r="I64" s="19"/>
      <c r="J64" s="34"/>
    </row>
    <row r="65" spans="1:10" ht="43.05" customHeight="1" x14ac:dyDescent="0.3">
      <c r="A65" s="24"/>
      <c r="B65" s="40" t="s">
        <v>79</v>
      </c>
      <c r="C65" s="41"/>
      <c r="D65" s="25">
        <v>1</v>
      </c>
      <c r="E65" s="26" t="s">
        <v>80</v>
      </c>
      <c r="F65" s="27">
        <v>900000</v>
      </c>
      <c r="G65" s="31"/>
      <c r="H65" s="32"/>
      <c r="I65" s="30">
        <f>D65*F65</f>
        <v>900000</v>
      </c>
      <c r="J65" s="35"/>
    </row>
    <row r="66" spans="1:10" s="21" customFormat="1" ht="21.45" customHeight="1" x14ac:dyDescent="0.3">
      <c r="A66" s="13"/>
      <c r="B66" s="42" t="s">
        <v>72</v>
      </c>
      <c r="C66" s="43"/>
      <c r="D66" s="43"/>
      <c r="E66" s="43"/>
      <c r="F66" s="43"/>
      <c r="G66" s="43"/>
      <c r="H66" s="44"/>
      <c r="I66" s="19"/>
      <c r="J66" s="34"/>
    </row>
    <row r="67" spans="1:10" ht="55.95" customHeight="1" x14ac:dyDescent="0.3">
      <c r="A67" s="24"/>
      <c r="B67" s="40" t="s">
        <v>96</v>
      </c>
      <c r="C67" s="41"/>
      <c r="D67" s="25">
        <v>2</v>
      </c>
      <c r="E67" s="26" t="s">
        <v>80</v>
      </c>
      <c r="F67" s="27">
        <v>1700000</v>
      </c>
      <c r="G67" s="31"/>
      <c r="H67" s="32"/>
      <c r="I67" s="30">
        <f>D67*F67</f>
        <v>3400000</v>
      </c>
      <c r="J67" s="35"/>
    </row>
    <row r="68" spans="1:10" s="21" customFormat="1" ht="27.45" customHeight="1" x14ac:dyDescent="0.3">
      <c r="A68" s="13"/>
      <c r="B68" s="42" t="s">
        <v>72</v>
      </c>
      <c r="C68" s="43"/>
      <c r="D68" s="43"/>
      <c r="E68" s="43"/>
      <c r="F68" s="43"/>
      <c r="G68" s="43"/>
      <c r="H68" s="44"/>
      <c r="I68" s="19"/>
      <c r="J68" s="34"/>
    </row>
    <row r="69" spans="1:10" ht="54" customHeight="1" x14ac:dyDescent="0.3">
      <c r="A69" s="24"/>
      <c r="B69" s="40" t="s">
        <v>96</v>
      </c>
      <c r="C69" s="41"/>
      <c r="D69" s="25">
        <v>1</v>
      </c>
      <c r="E69" s="26" t="s">
        <v>80</v>
      </c>
      <c r="F69" s="27">
        <v>1700000</v>
      </c>
      <c r="G69" s="31"/>
      <c r="H69" s="32"/>
      <c r="I69" s="30">
        <f>D69*F69</f>
        <v>1700000</v>
      </c>
      <c r="J69" s="35"/>
    </row>
    <row r="70" spans="1:10" ht="14.55" customHeight="1" x14ac:dyDescent="0.3">
      <c r="A70" s="18" t="s">
        <v>81</v>
      </c>
      <c r="B70" s="45" t="s">
        <v>82</v>
      </c>
      <c r="C70" s="46"/>
      <c r="D70" s="46"/>
      <c r="E70" s="46"/>
      <c r="F70" s="46"/>
      <c r="G70" s="46"/>
      <c r="H70" s="47"/>
      <c r="I70" s="19"/>
      <c r="J70" s="34"/>
    </row>
    <row r="71" spans="1:10" ht="17.55" customHeight="1" x14ac:dyDescent="0.3">
      <c r="A71" s="18" t="s">
        <v>83</v>
      </c>
      <c r="B71" s="45" t="s">
        <v>84</v>
      </c>
      <c r="C71" s="46"/>
      <c r="D71" s="46"/>
      <c r="E71" s="46"/>
      <c r="F71" s="46"/>
      <c r="G71" s="46"/>
      <c r="H71" s="47"/>
      <c r="I71" s="19">
        <f>I74+I90+I85</f>
        <v>17715000</v>
      </c>
      <c r="J71" s="34"/>
    </row>
    <row r="72" spans="1:10" ht="14.55" customHeight="1" x14ac:dyDescent="0.3">
      <c r="A72" s="18" t="s">
        <v>85</v>
      </c>
      <c r="B72" s="45" t="s">
        <v>86</v>
      </c>
      <c r="C72" s="46"/>
      <c r="D72" s="46"/>
      <c r="E72" s="46"/>
      <c r="F72" s="46"/>
      <c r="G72" s="46"/>
      <c r="H72" s="47"/>
      <c r="I72" s="19"/>
      <c r="J72" s="34"/>
    </row>
    <row r="73" spans="1:10" ht="14.55" customHeight="1" x14ac:dyDescent="0.3">
      <c r="A73" s="22"/>
      <c r="B73" s="48" t="s">
        <v>60</v>
      </c>
      <c r="C73" s="48"/>
      <c r="D73" s="48"/>
      <c r="E73" s="48"/>
      <c r="F73" s="48"/>
      <c r="G73" s="48"/>
      <c r="H73" s="49"/>
      <c r="I73" s="19"/>
      <c r="J73" s="34"/>
    </row>
    <row r="74" spans="1:10" s="21" customFormat="1" ht="14.55" customHeight="1" x14ac:dyDescent="0.3">
      <c r="A74" s="13"/>
      <c r="B74" s="42" t="s">
        <v>87</v>
      </c>
      <c r="C74" s="43"/>
      <c r="D74" s="43"/>
      <c r="E74" s="43"/>
      <c r="F74" s="43"/>
      <c r="G74" s="43"/>
      <c r="H74" s="44"/>
      <c r="I74" s="23">
        <f>I75+I76+I77+I78+I79+I80+I82+I81</f>
        <v>12035000</v>
      </c>
      <c r="J74" s="34"/>
    </row>
    <row r="75" spans="1:10" ht="42.45" customHeight="1" x14ac:dyDescent="0.3">
      <c r="A75" s="24"/>
      <c r="B75" s="40" t="s">
        <v>88</v>
      </c>
      <c r="C75" s="41"/>
      <c r="D75" s="25">
        <v>5</v>
      </c>
      <c r="E75" s="26" t="s">
        <v>89</v>
      </c>
      <c r="F75" s="27">
        <v>115000</v>
      </c>
      <c r="G75" s="31"/>
      <c r="H75" s="32"/>
      <c r="I75" s="30">
        <f>D75*F75</f>
        <v>575000</v>
      </c>
      <c r="J75" s="35"/>
    </row>
    <row r="76" spans="1:10" ht="42.45" customHeight="1" x14ac:dyDescent="0.3">
      <c r="A76" s="24"/>
      <c r="B76" s="40" t="s">
        <v>90</v>
      </c>
      <c r="C76" s="41"/>
      <c r="D76" s="25">
        <v>4</v>
      </c>
      <c r="E76" s="26" t="s">
        <v>89</v>
      </c>
      <c r="F76" s="27">
        <v>120000</v>
      </c>
      <c r="G76" s="31"/>
      <c r="H76" s="32"/>
      <c r="I76" s="30">
        <f t="shared" ref="I76:I78" si="0">D76*F76</f>
        <v>480000</v>
      </c>
      <c r="J76" s="35"/>
    </row>
    <row r="77" spans="1:10" ht="42.45" customHeight="1" x14ac:dyDescent="0.3">
      <c r="A77" s="24"/>
      <c r="B77" s="40" t="s">
        <v>91</v>
      </c>
      <c r="C77" s="41"/>
      <c r="D77" s="25">
        <v>2</v>
      </c>
      <c r="E77" s="26" t="s">
        <v>89</v>
      </c>
      <c r="F77" s="27">
        <v>165000</v>
      </c>
      <c r="G77" s="31"/>
      <c r="H77" s="32"/>
      <c r="I77" s="30">
        <f t="shared" si="0"/>
        <v>330000</v>
      </c>
      <c r="J77" s="35"/>
    </row>
    <row r="78" spans="1:10" ht="47.55" customHeight="1" x14ac:dyDescent="0.3">
      <c r="A78" s="24"/>
      <c r="B78" s="40" t="s">
        <v>92</v>
      </c>
      <c r="C78" s="41"/>
      <c r="D78" s="25">
        <v>4</v>
      </c>
      <c r="E78" s="26" t="s">
        <v>89</v>
      </c>
      <c r="F78" s="27">
        <v>180000</v>
      </c>
      <c r="G78" s="31"/>
      <c r="H78" s="32"/>
      <c r="I78" s="30">
        <f t="shared" si="0"/>
        <v>720000</v>
      </c>
      <c r="J78" s="35"/>
    </row>
    <row r="79" spans="1:10" ht="52.05" customHeight="1" x14ac:dyDescent="0.3">
      <c r="A79" s="24"/>
      <c r="B79" s="40" t="s">
        <v>93</v>
      </c>
      <c r="C79" s="41"/>
      <c r="D79" s="25">
        <v>4</v>
      </c>
      <c r="E79" s="26" t="s">
        <v>89</v>
      </c>
      <c r="F79" s="27">
        <v>210000</v>
      </c>
      <c r="G79" s="28"/>
      <c r="H79" s="29"/>
      <c r="I79" s="30">
        <f>D79*F79</f>
        <v>840000</v>
      </c>
      <c r="J79" s="35"/>
    </row>
    <row r="80" spans="1:10" ht="55.05" customHeight="1" x14ac:dyDescent="0.3">
      <c r="A80" s="24"/>
      <c r="B80" s="40" t="s">
        <v>94</v>
      </c>
      <c r="C80" s="41"/>
      <c r="D80" s="25">
        <v>2</v>
      </c>
      <c r="E80" s="26" t="s">
        <v>89</v>
      </c>
      <c r="F80" s="27">
        <v>245000</v>
      </c>
      <c r="G80" s="31"/>
      <c r="H80" s="32"/>
      <c r="I80" s="30">
        <f>D80*F80</f>
        <v>490000</v>
      </c>
    </row>
    <row r="81" spans="1:13" ht="55.05" customHeight="1" x14ac:dyDescent="0.3">
      <c r="A81" s="24"/>
      <c r="B81" s="40" t="s">
        <v>123</v>
      </c>
      <c r="C81" s="41"/>
      <c r="D81" s="25">
        <v>1</v>
      </c>
      <c r="E81" s="26" t="s">
        <v>89</v>
      </c>
      <c r="F81" s="27">
        <v>100000</v>
      </c>
      <c r="G81" s="31"/>
      <c r="H81" s="32"/>
      <c r="I81" s="30">
        <f>D81*F81</f>
        <v>100000</v>
      </c>
    </row>
    <row r="82" spans="1:13" ht="22.05" customHeight="1" x14ac:dyDescent="0.3">
      <c r="A82" s="24"/>
      <c r="B82" s="40" t="s">
        <v>95</v>
      </c>
      <c r="C82" s="41"/>
      <c r="D82" s="25">
        <v>50</v>
      </c>
      <c r="E82" s="26" t="s">
        <v>89</v>
      </c>
      <c r="F82" s="27">
        <v>170000</v>
      </c>
      <c r="G82" s="31"/>
      <c r="H82" s="32"/>
      <c r="I82" s="30">
        <f>D82*F82</f>
        <v>8500000</v>
      </c>
    </row>
    <row r="83" spans="1:13" ht="19.95" customHeight="1" x14ac:dyDescent="0.3">
      <c r="A83" s="18" t="s">
        <v>98</v>
      </c>
      <c r="B83" s="45" t="s">
        <v>99</v>
      </c>
      <c r="C83" s="46"/>
      <c r="D83" s="46"/>
      <c r="E83" s="46"/>
      <c r="F83" s="46"/>
      <c r="G83" s="46"/>
      <c r="H83" s="47"/>
      <c r="I83" s="19"/>
    </row>
    <row r="84" spans="1:13" ht="18.45" customHeight="1" x14ac:dyDescent="0.3">
      <c r="A84" s="22"/>
      <c r="B84" s="48" t="s">
        <v>60</v>
      </c>
      <c r="C84" s="48"/>
      <c r="D84" s="48"/>
      <c r="E84" s="48"/>
      <c r="F84" s="48"/>
      <c r="G84" s="48"/>
      <c r="H84" s="49"/>
      <c r="I84" s="19"/>
    </row>
    <row r="85" spans="1:13" s="21" customFormat="1" ht="22.05" customHeight="1" x14ac:dyDescent="0.3">
      <c r="A85" s="13"/>
      <c r="B85" s="42" t="s">
        <v>100</v>
      </c>
      <c r="C85" s="43"/>
      <c r="D85" s="43"/>
      <c r="E85" s="43"/>
      <c r="F85" s="43"/>
      <c r="G85" s="43"/>
      <c r="H85" s="44"/>
      <c r="I85" s="23">
        <f>I86+I87</f>
        <v>4080000</v>
      </c>
    </row>
    <row r="86" spans="1:13" ht="56.55" customHeight="1" x14ac:dyDescent="0.3">
      <c r="A86" s="24"/>
      <c r="B86" s="40" t="s">
        <v>101</v>
      </c>
      <c r="C86" s="41"/>
      <c r="D86" s="25">
        <v>6</v>
      </c>
      <c r="E86" s="26" t="s">
        <v>89</v>
      </c>
      <c r="F86" s="27">
        <v>530000</v>
      </c>
      <c r="G86" s="31"/>
      <c r="H86" s="32"/>
      <c r="I86" s="30">
        <f>D86*F86</f>
        <v>3180000</v>
      </c>
    </row>
    <row r="87" spans="1:13" ht="55.5" customHeight="1" x14ac:dyDescent="0.3">
      <c r="A87" s="24"/>
      <c r="B87" s="40" t="s">
        <v>102</v>
      </c>
      <c r="C87" s="41"/>
      <c r="D87" s="25">
        <v>3</v>
      </c>
      <c r="E87" s="26" t="s">
        <v>89</v>
      </c>
      <c r="F87" s="27">
        <v>300000</v>
      </c>
      <c r="G87" s="31"/>
      <c r="H87" s="32"/>
      <c r="I87" s="30">
        <f>D87*F87</f>
        <v>900000</v>
      </c>
    </row>
    <row r="88" spans="1:13" s="21" customFormat="1" ht="14.55" customHeight="1" x14ac:dyDescent="0.3">
      <c r="A88" s="18" t="s">
        <v>103</v>
      </c>
      <c r="B88" s="45" t="s">
        <v>104</v>
      </c>
      <c r="C88" s="46"/>
      <c r="D88" s="46"/>
      <c r="E88" s="46"/>
      <c r="F88" s="46"/>
      <c r="G88" s="46"/>
      <c r="H88" s="47"/>
      <c r="I88" s="19"/>
      <c r="J88" s="34"/>
    </row>
    <row r="89" spans="1:13" ht="14.55" customHeight="1" x14ac:dyDescent="0.3">
      <c r="A89" s="22"/>
      <c r="B89" s="48" t="s">
        <v>60</v>
      </c>
      <c r="C89" s="48"/>
      <c r="D89" s="48"/>
      <c r="E89" s="48"/>
      <c r="F89" s="48"/>
      <c r="G89" s="48"/>
      <c r="H89" s="49"/>
      <c r="I89" s="19"/>
      <c r="J89" s="34"/>
    </row>
    <row r="90" spans="1:13" s="21" customFormat="1" ht="14.55" customHeight="1" x14ac:dyDescent="0.3">
      <c r="A90" s="13"/>
      <c r="B90" s="42" t="s">
        <v>105</v>
      </c>
      <c r="C90" s="43"/>
      <c r="D90" s="43"/>
      <c r="E90" s="43"/>
      <c r="F90" s="43"/>
      <c r="G90" s="43"/>
      <c r="H90" s="44"/>
      <c r="I90" s="23">
        <f>I91+I92</f>
        <v>1600000</v>
      </c>
      <c r="J90" s="34"/>
    </row>
    <row r="91" spans="1:13" ht="37.049999999999997" customHeight="1" x14ac:dyDescent="0.3">
      <c r="A91" s="24"/>
      <c r="B91" s="40" t="s">
        <v>106</v>
      </c>
      <c r="C91" s="41"/>
      <c r="D91" s="25">
        <v>2</v>
      </c>
      <c r="E91" s="26" t="s">
        <v>89</v>
      </c>
      <c r="F91" s="27">
        <v>430000</v>
      </c>
      <c r="G91" s="31"/>
      <c r="H91" s="32"/>
      <c r="I91" s="30">
        <f>D91*F91</f>
        <v>860000</v>
      </c>
      <c r="J91" s="35"/>
    </row>
    <row r="92" spans="1:13" ht="42.45" customHeight="1" x14ac:dyDescent="0.3">
      <c r="A92" s="24"/>
      <c r="B92" s="40" t="s">
        <v>107</v>
      </c>
      <c r="C92" s="41"/>
      <c r="D92" s="25">
        <v>4</v>
      </c>
      <c r="E92" s="26" t="s">
        <v>89</v>
      </c>
      <c r="F92" s="27">
        <v>185000</v>
      </c>
      <c r="G92" s="31"/>
      <c r="H92" s="32"/>
      <c r="I92" s="30">
        <f>D92*F92</f>
        <v>740000</v>
      </c>
      <c r="J92" s="35"/>
    </row>
    <row r="93" spans="1:13" x14ac:dyDescent="0.3">
      <c r="A93" s="91" t="s">
        <v>17</v>
      </c>
      <c r="B93" s="92"/>
      <c r="C93" s="92"/>
      <c r="D93" s="92"/>
      <c r="E93" s="92"/>
      <c r="F93" s="92"/>
      <c r="G93" s="92"/>
      <c r="H93" s="93"/>
      <c r="I93" s="19">
        <f>I37+I40+I44+I49+I62+I74+I85+I90</f>
        <v>52383000</v>
      </c>
      <c r="J93" s="36"/>
      <c r="K93" s="74"/>
      <c r="L93" s="68"/>
      <c r="M93" s="7"/>
    </row>
    <row r="94" spans="1:13" x14ac:dyDescent="0.3">
      <c r="A94" s="37"/>
      <c r="B94" s="38"/>
      <c r="C94" s="38"/>
      <c r="D94" s="38"/>
      <c r="E94" s="38"/>
      <c r="F94" s="38"/>
      <c r="G94" s="38"/>
      <c r="H94" s="38"/>
      <c r="I94" s="39"/>
      <c r="J94" s="36"/>
      <c r="K94" s="7"/>
    </row>
    <row r="95" spans="1:13" x14ac:dyDescent="0.3">
      <c r="A95" s="75"/>
      <c r="B95" s="76"/>
      <c r="C95" s="76"/>
      <c r="D95" s="77"/>
      <c r="E95" s="84"/>
      <c r="F95" s="84"/>
      <c r="G95" s="84"/>
      <c r="H95" s="84"/>
      <c r="I95" s="85"/>
    </row>
    <row r="96" spans="1:13" x14ac:dyDescent="0.3">
      <c r="A96" s="78"/>
      <c r="B96" s="79"/>
      <c r="C96" s="79"/>
      <c r="D96" s="80"/>
      <c r="E96" s="86"/>
      <c r="F96" s="86"/>
      <c r="G96" s="86"/>
      <c r="H96" s="86"/>
      <c r="I96" s="87"/>
      <c r="J96" s="36"/>
    </row>
    <row r="97" spans="1:9" x14ac:dyDescent="0.3">
      <c r="A97" s="78"/>
      <c r="B97" s="79"/>
      <c r="C97" s="79"/>
      <c r="D97" s="80"/>
      <c r="E97" s="79"/>
      <c r="F97" s="79"/>
      <c r="G97" s="79"/>
      <c r="H97" s="79"/>
      <c r="I97" s="88"/>
    </row>
    <row r="98" spans="1:9" x14ac:dyDescent="0.3">
      <c r="A98" s="78"/>
      <c r="B98" s="79"/>
      <c r="C98" s="79"/>
      <c r="D98" s="80"/>
      <c r="E98" s="79"/>
      <c r="F98" s="79"/>
      <c r="G98" s="79"/>
      <c r="H98" s="79"/>
      <c r="I98" s="88"/>
    </row>
    <row r="99" spans="1:9" x14ac:dyDescent="0.3">
      <c r="A99" s="78"/>
      <c r="B99" s="79"/>
      <c r="C99" s="79"/>
      <c r="D99" s="80"/>
      <c r="E99" s="79"/>
      <c r="F99" s="79"/>
      <c r="G99" s="79"/>
      <c r="H99" s="79"/>
      <c r="I99" s="88"/>
    </row>
    <row r="100" spans="1:9" x14ac:dyDescent="0.3">
      <c r="A100" s="81"/>
      <c r="B100" s="82"/>
      <c r="C100" s="82"/>
      <c r="D100" s="83"/>
      <c r="E100" s="89"/>
      <c r="F100" s="89"/>
      <c r="G100" s="89"/>
      <c r="H100" s="89"/>
      <c r="I100" s="90"/>
    </row>
  </sheetData>
  <mergeCells count="95">
    <mergeCell ref="B82:C82"/>
    <mergeCell ref="A93:H93"/>
    <mergeCell ref="B92:C92"/>
    <mergeCell ref="B88:H88"/>
    <mergeCell ref="B89:H89"/>
    <mergeCell ref="B90:H90"/>
    <mergeCell ref="B91:C91"/>
    <mergeCell ref="B83:H83"/>
    <mergeCell ref="B84:H84"/>
    <mergeCell ref="B85:H85"/>
    <mergeCell ref="B86:C86"/>
    <mergeCell ref="B87:C87"/>
    <mergeCell ref="K93:L93"/>
    <mergeCell ref="A95:D100"/>
    <mergeCell ref="E95:I95"/>
    <mergeCell ref="E96:I96"/>
    <mergeCell ref="E97:I97"/>
    <mergeCell ref="E98:I98"/>
    <mergeCell ref="E99:I99"/>
    <mergeCell ref="E100:I100"/>
    <mergeCell ref="A25:B25"/>
    <mergeCell ref="C25:G25"/>
    <mergeCell ref="H25:I25"/>
    <mergeCell ref="B29:C29"/>
    <mergeCell ref="G29:H29"/>
    <mergeCell ref="A26:B26"/>
    <mergeCell ref="C26:G26"/>
    <mergeCell ref="H26:I26"/>
    <mergeCell ref="A27:I27"/>
    <mergeCell ref="B28:C28"/>
    <mergeCell ref="D28:H28"/>
    <mergeCell ref="A23:B23"/>
    <mergeCell ref="C23:G23"/>
    <mergeCell ref="H23:I23"/>
    <mergeCell ref="A24:B24"/>
    <mergeCell ref="C24:G24"/>
    <mergeCell ref="H24:I24"/>
    <mergeCell ref="B30:H30"/>
    <mergeCell ref="B50:H50"/>
    <mergeCell ref="B51:H51"/>
    <mergeCell ref="B53:C53"/>
    <mergeCell ref="B49:H49"/>
    <mergeCell ref="B46:C46"/>
    <mergeCell ref="B47:C47"/>
    <mergeCell ref="B31:H31"/>
    <mergeCell ref="B32:H32"/>
    <mergeCell ref="B33:H33"/>
    <mergeCell ref="B34:H34"/>
    <mergeCell ref="B44:H44"/>
    <mergeCell ref="B36:H36"/>
    <mergeCell ref="B38:C38"/>
    <mergeCell ref="B37:H37"/>
    <mergeCell ref="B35:H35"/>
    <mergeCell ref="A1:I1"/>
    <mergeCell ref="A2:I2"/>
    <mergeCell ref="A21:I21"/>
    <mergeCell ref="A22:B22"/>
    <mergeCell ref="C22:G22"/>
    <mergeCell ref="H22:I22"/>
    <mergeCell ref="B39:C39"/>
    <mergeCell ref="B40:H40"/>
    <mergeCell ref="B41:H41"/>
    <mergeCell ref="B42:H42"/>
    <mergeCell ref="B43:C43"/>
    <mergeCell ref="B78:C78"/>
    <mergeCell ref="B68:H68"/>
    <mergeCell ref="B69:C69"/>
    <mergeCell ref="B66:H66"/>
    <mergeCell ref="B45:C45"/>
    <mergeCell ref="B73:H73"/>
    <mergeCell ref="B74:H74"/>
    <mergeCell ref="B75:C75"/>
    <mergeCell ref="B76:C76"/>
    <mergeCell ref="B77:C77"/>
    <mergeCell ref="B65:C65"/>
    <mergeCell ref="B67:C67"/>
    <mergeCell ref="B70:H70"/>
    <mergeCell ref="B71:H71"/>
    <mergeCell ref="B72:H72"/>
    <mergeCell ref="B81:C81"/>
    <mergeCell ref="B48:C48"/>
    <mergeCell ref="B64:H64"/>
    <mergeCell ref="B79:C79"/>
    <mergeCell ref="B52:C52"/>
    <mergeCell ref="B61:H61"/>
    <mergeCell ref="B59:C59"/>
    <mergeCell ref="B54:H54"/>
    <mergeCell ref="B55:C55"/>
    <mergeCell ref="B56:C56"/>
    <mergeCell ref="B60:H60"/>
    <mergeCell ref="B62:H62"/>
    <mergeCell ref="B63:H63"/>
    <mergeCell ref="B57:H57"/>
    <mergeCell ref="B58:C58"/>
    <mergeCell ref="B80:C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</dc:creator>
  <cp:lastModifiedBy>Dinas Kesehatan Kabupaten Bogor</cp:lastModifiedBy>
  <cp:lastPrinted>2024-01-31T08:15:10Z</cp:lastPrinted>
  <dcterms:created xsi:type="dcterms:W3CDTF">2021-06-11T02:03:21Z</dcterms:created>
  <dcterms:modified xsi:type="dcterms:W3CDTF">2026-02-23T04:35:20Z</dcterms:modified>
</cp:coreProperties>
</file>