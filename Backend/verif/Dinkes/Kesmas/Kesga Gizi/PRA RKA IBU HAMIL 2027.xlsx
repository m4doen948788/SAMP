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IAN 2027\"/>
    </mc:Choice>
  </mc:AlternateContent>
  <xr:revisionPtr revIDLastSave="0" documentId="13_ncr:1_{4D576F8F-9625-4634-B70C-8894EBEEB2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KA Ibu Hamil_2027 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3" l="1"/>
  <c r="I37" i="3" l="1"/>
  <c r="I61" i="3"/>
  <c r="I58" i="3" s="1"/>
  <c r="I60" i="3"/>
  <c r="I46" i="3"/>
  <c r="I45" i="3"/>
  <c r="I52" i="3"/>
  <c r="I40" i="3"/>
  <c r="I39" i="3"/>
  <c r="I57" i="3"/>
  <c r="I56" i="3"/>
  <c r="I55" i="3"/>
  <c r="I54" i="3"/>
  <c r="I50" i="3" s="1"/>
  <c r="I53" i="3"/>
  <c r="I51" i="3"/>
  <c r="I36" i="3"/>
  <c r="J36" i="3" s="1"/>
  <c r="I49" i="3" l="1"/>
  <c r="I48" i="3" s="1"/>
  <c r="I47" i="3" s="1"/>
  <c r="I59" i="3"/>
  <c r="I34" i="3"/>
  <c r="I33" i="3" s="1"/>
  <c r="I32" i="3" s="1"/>
  <c r="I44" i="3"/>
  <c r="I38" i="3"/>
  <c r="I43" i="3" l="1"/>
  <c r="I42" i="3" s="1"/>
  <c r="I41" i="3" s="1"/>
  <c r="I31" i="3" s="1"/>
  <c r="I30" i="3" s="1"/>
  <c r="I29" i="3" s="1"/>
  <c r="J29" i="3" s="1"/>
  <c r="J30" i="3" s="1"/>
  <c r="J44" i="3"/>
  <c r="J50" i="3"/>
  <c r="J62" i="3" l="1"/>
  <c r="I62" i="3" s="1"/>
  <c r="K21" i="3"/>
  <c r="K22" i="3" s="1"/>
</calcChain>
</file>

<file path=xl/sharedStrings.xml><?xml version="1.0" encoding="utf-8"?>
<sst xmlns="http://schemas.openxmlformats.org/spreadsheetml/2006/main" count="136" uniqueCount="109">
  <si>
    <t>RINCIAN BELANJA SUB KEGIATAN SATUAN KERJA PERANGKAT DAERAH</t>
  </si>
  <si>
    <t>Urusan</t>
  </si>
  <si>
    <t xml:space="preserve">: </t>
  </si>
  <si>
    <t>1.02 URUSAN PEMERINTAH WAJIB YANG BERKAITAN DENGAN PELAYANAN DASAR</t>
  </si>
  <si>
    <t>Unit Organisasi</t>
  </si>
  <si>
    <t>1.02.0.00.0.00.01.0000 DINAS KESEHATAN</t>
  </si>
  <si>
    <t>Sub Unit Organisasi</t>
  </si>
  <si>
    <t xml:space="preserve">:  </t>
  </si>
  <si>
    <t>Program</t>
  </si>
  <si>
    <t>1.02.02 PENYEDIAAN LAYANAN KESEHATAN UNTUK UKM DAN UKP RUJUKAN TINGKAT DAERAH KABUPATEN / KOTA</t>
  </si>
  <si>
    <t>Kegiatan</t>
  </si>
  <si>
    <t>1.02.02.2.02 Penyediaan Layanan Kesehatan Untuk UKM dan UKP Rujukan Tingkat Daerah Kabupaten / Kota</t>
  </si>
  <si>
    <t>Sub Kegiatan</t>
  </si>
  <si>
    <t>1.02.02.2.02.01 Pengelolaan Pelayanan Kesehatan Ibu Hamil</t>
  </si>
  <si>
    <t>Sumber Pendanaan</t>
  </si>
  <si>
    <t>Pendapatan Asli Daerah</t>
  </si>
  <si>
    <t>Lokasi Kegiatan</t>
  </si>
  <si>
    <t>:</t>
  </si>
  <si>
    <t>Kabupaten Bogor,Semua Kecamatan,Semua kelurahan</t>
  </si>
  <si>
    <t>Waktu Pelaksanaan</t>
  </si>
  <si>
    <t>Kelompok Sasaran</t>
  </si>
  <si>
    <t>Pelayanan Fasilitas Kesehatan Pemerintah</t>
  </si>
  <si>
    <t xml:space="preserve">: Rp. </t>
  </si>
  <si>
    <t>Indikator &amp; Tolok Ukur Kinerja Belanja</t>
  </si>
  <si>
    <t>Indikator</t>
  </si>
  <si>
    <t>Tolak Ukur Kinerja</t>
  </si>
  <si>
    <t>Target Kinerja</t>
  </si>
  <si>
    <t>Capaian Program</t>
  </si>
  <si>
    <t>Masukan</t>
  </si>
  <si>
    <t>Dana yang dibutuhkan</t>
  </si>
  <si>
    <t>Keluaran</t>
  </si>
  <si>
    <t>Hasil</t>
  </si>
  <si>
    <t>Meningkatnya layanan kesehatan untuk UKM dan UKP Rujukan Tingkat Daerah Kabupaten</t>
  </si>
  <si>
    <t>Rincian Belanja Sub Kegiatan</t>
  </si>
  <si>
    <t>Kode Rekening</t>
  </si>
  <si>
    <t>Uraian</t>
  </si>
  <si>
    <t>Rincian Perhitungan</t>
  </si>
  <si>
    <t>Jumlah</t>
  </si>
  <si>
    <t>Koefisien</t>
  </si>
  <si>
    <t>Satuan</t>
  </si>
  <si>
    <t>Harga</t>
  </si>
  <si>
    <t>PPN</t>
  </si>
  <si>
    <t>BELANJA DAERAH</t>
  </si>
  <si>
    <t>5.1</t>
  </si>
  <si>
    <t>BELANJA OPERASI</t>
  </si>
  <si>
    <t>Belanja Barang dan Jasa</t>
  </si>
  <si>
    <t>5.1.02.01</t>
  </si>
  <si>
    <t>Belanja Barang</t>
  </si>
  <si>
    <t>5.1.02.01.01</t>
  </si>
  <si>
    <t>Belanja Barang Pakai Habis</t>
  </si>
  <si>
    <t>buah</t>
  </si>
  <si>
    <t>5.1.02.01.01.0052</t>
  </si>
  <si>
    <t>Belanja Makanan dan Minuman Rapat</t>
  </si>
  <si>
    <t>Beban Makanan dan Minuman Rapat
Spesifikasi : Belanja konsumsi kegiatan rapat atau sejenisnya (makan)</t>
  </si>
  <si>
    <t>orang/kali</t>
  </si>
  <si>
    <t>Beban Makanan dan Minuman Rapat
Spesifikasi : Belanja konsumsi kegiatan rapat atau sejenisnya (snack)</t>
  </si>
  <si>
    <t>5.1.02.04</t>
  </si>
  <si>
    <t>Belana Perjalanan Dinas</t>
  </si>
  <si>
    <t>5.1.02.04.01</t>
  </si>
  <si>
    <t>Belanja Perjalanan Dinas Dalam Negeri</t>
  </si>
  <si>
    <t>5.1.02.04.01.0003</t>
  </si>
  <si>
    <t>Belanja Perjalanan Dinas Dalam Kota</t>
  </si>
  <si>
    <t>[-] Monitoring dan evaluasi pelaksanaan pengelolaan pelayanan kesehatan ibu hamil</t>
  </si>
  <si>
    <t>kali</t>
  </si>
  <si>
    <t>Orang / Hari</t>
  </si>
  <si>
    <t>Orang / hari</t>
  </si>
  <si>
    <t>Uang Harian Perjalanan Dinas Dalam Daerah Lebih dari 8 Jam</t>
  </si>
  <si>
    <t>5.1.02.02</t>
  </si>
  <si>
    <t>Belanja Jasa</t>
  </si>
  <si>
    <t>5.1.02.02.01</t>
  </si>
  <si>
    <t>Belanja Jasa Kantor</t>
  </si>
  <si>
    <t>5.1.02.02.01.0003</t>
  </si>
  <si>
    <t>Honorium Narasumber atau pembahas,Moderator,Pembawa Acara dan Panitia</t>
  </si>
  <si>
    <t>Honorarium Narasumber/Pembahasan, Spesifikasi : Pejabat Eselon III ke bawah/yang disetarakan</t>
  </si>
  <si>
    <t>Orang / jam</t>
  </si>
  <si>
    <t>orang/hari</t>
  </si>
  <si>
    <t>Grand Total :</t>
  </si>
  <si>
    <t>Kabupaten Bogor,........................................</t>
  </si>
  <si>
    <t>Kepala Dinas Kesehatan</t>
  </si>
  <si>
    <t>2 Jam</t>
  </si>
  <si>
    <t>Honorium Narasumber Profesional Spesifikasi : Pakar,Praktisi,Pembicara Khusus, (ASN di Luar Pemerintah Kabupaten Bogor,Non ASN/Pihak Lainnya)</t>
  </si>
  <si>
    <t>1 hari</t>
  </si>
  <si>
    <t>Jumlah ibu hamil yang mendapatkan pelayanan kesehatan sesuai standar</t>
  </si>
  <si>
    <t>PAGU RESTRA</t>
  </si>
  <si>
    <t>PAGU USULAN</t>
  </si>
  <si>
    <t>SELISIH</t>
  </si>
  <si>
    <t>Jumlah 2025</t>
  </si>
  <si>
    <t>Honor kegiatan pengelolaan pelayanan kesehatan pada ibu hamil</t>
  </si>
  <si>
    <t>Biaya Kegiatan Rapat atau Pertemuan di Luar Kantor setingkat Pejabat Eselon II ke bawah (paket Fullday)</t>
  </si>
  <si>
    <t xml:space="preserve"> </t>
  </si>
  <si>
    <t>Jumlah 2026</t>
  </si>
  <si>
    <t>Januari s.d Desember 2027</t>
  </si>
  <si>
    <t>92.296 orang</t>
  </si>
  <si>
    <t>5.1.02.01.001.00026</t>
  </si>
  <si>
    <t>Cetak Buku Kesehatan Ibu dan Anak</t>
  </si>
  <si>
    <t>Cetak Buku Pedoman  : Spesipikasi : Cover art carton, ukuran A6, custom</t>
  </si>
  <si>
    <t>[-] Pertemuan Koordinasi dan Evaluasi Program Pengelolaan Pelayanan  Kesehatan Ibu Hamil</t>
  </si>
  <si>
    <t>Biaya transport perjalanan dinas antar kecamatan untuk Mobil
 &lt;2000cc
 Spesifikasi: dari Cibinong ke Sukajaya</t>
  </si>
  <si>
    <t>Biaya transport perjalanan dinas antar kecamatan untuk Mobil
 &lt;2000cc
 Spesifikasi: dari Cibinong ke Ciampea</t>
  </si>
  <si>
    <t>Biaya transport perjalanan dinas antar kecamatan untuk Mobil
 &lt;2000cc
 Spesifikasi: dari Cibinong ke Ciseeng</t>
  </si>
  <si>
    <t>Biaya transport perjalanan dinas antar kecamatan untuk Mobil
 &lt;2000cc
 Spesifikasi: dari Cibinong ke Citeureup</t>
  </si>
  <si>
    <t>Biaya transport perjalanan dinas antar kecamatan untuk Mobil
 &lt;2000cc
 Spesifikasi: dari Cibinong ke Klapanunggal</t>
  </si>
  <si>
    <t>Belanja Perjalanan Dinas Paket Meeting Dalam Kota</t>
  </si>
  <si>
    <t>5.1.02.04.01.0004</t>
  </si>
  <si>
    <t>[-] Pertemuan Penguatan Pelayanan ANC sesuai standar untuk Dokter Umum</t>
  </si>
  <si>
    <t>Uang Harian Kegiatan Rapat atau Pertemuan di luar kantor (full day)</t>
  </si>
  <si>
    <t>Belanja Alat/Bahan untuk Kegiatan Kantor-Bahan Cetak Buku Kia</t>
  </si>
  <si>
    <t>Jumlah 2027</t>
  </si>
  <si>
    <t>Biaya transport perjalanan dinas antar kecamatan untuk Mobil
 &lt;2000cc
 Spesifikasi: dari Cibinong ke Tamansari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</si>
</sst>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-[$Rp-421]* #,##0_-;\-[$Rp-421]* #,##0_-;_-[$Rp-421]* &quot;-&quot;_-;_-@_-"/>
    <numFmt numFmtId="168" formatCode="_-[$Rp-421]* #,##0.00_-;\-[$Rp-421]* #,##0.00_-;_-[$Rp-421]* &quot;-&quot;??_-;_-@_-"/>
    <numFmt numFmtId="169" formatCode="m\.d\.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 Light"/>
      <family val="2"/>
      <scheme val="major"/>
    </font>
    <font>
      <b/>
      <sz val="12"/>
      <color rgb="FF000000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u/>
      <sz val="12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medium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3" fontId="3" fillId="0" borderId="0" xfId="0" applyNumberFormat="1" applyFont="1"/>
    <xf numFmtId="3" fontId="5" fillId="0" borderId="0" xfId="0" applyNumberFormat="1" applyFont="1"/>
    <xf numFmtId="0" fontId="7" fillId="0" borderId="0" xfId="0" applyFont="1"/>
    <xf numFmtId="167" fontId="7" fillId="0" borderId="0" xfId="0" applyNumberFormat="1" applyFont="1"/>
    <xf numFmtId="168" fontId="6" fillId="0" borderId="0" xfId="0" applyNumberFormat="1" applyFont="1"/>
    <xf numFmtId="167" fontId="6" fillId="0" borderId="0" xfId="0" applyNumberFormat="1" applyFont="1"/>
    <xf numFmtId="166" fontId="3" fillId="0" borderId="10" xfId="0" applyNumberFormat="1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right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right" vertical="center" wrapText="1"/>
    </xf>
    <xf numFmtId="0" fontId="3" fillId="0" borderId="42" xfId="0" applyFont="1" applyBorder="1" applyAlignment="1">
      <alignment horizontal="center" vertical="center" wrapText="1"/>
    </xf>
    <xf numFmtId="1" fontId="8" fillId="0" borderId="26" xfId="0" applyNumberFormat="1" applyFont="1" applyBorder="1" applyAlignment="1">
      <alignment horizontal="left" vertical="top" shrinkToFit="1"/>
    </xf>
    <xf numFmtId="0" fontId="9" fillId="0" borderId="29" xfId="0" applyFont="1" applyBorder="1" applyAlignment="1">
      <alignment vertical="top" wrapText="1"/>
    </xf>
    <xf numFmtId="0" fontId="9" fillId="0" borderId="30" xfId="0" applyFont="1" applyBorder="1" applyAlignment="1">
      <alignment vertical="top" wrapText="1"/>
    </xf>
    <xf numFmtId="0" fontId="9" fillId="0" borderId="31" xfId="0" applyFont="1" applyBorder="1" applyAlignment="1">
      <alignment vertical="top" wrapText="1"/>
    </xf>
    <xf numFmtId="0" fontId="9" fillId="0" borderId="31" xfId="0" applyFont="1" applyBorder="1" applyAlignment="1">
      <alignment horizontal="right" vertical="center" wrapText="1"/>
    </xf>
    <xf numFmtId="0" fontId="9" fillId="0" borderId="56" xfId="0" applyFont="1" applyBorder="1" applyAlignment="1">
      <alignment horizontal="center" vertical="top" wrapText="1"/>
    </xf>
    <xf numFmtId="167" fontId="9" fillId="0" borderId="32" xfId="0" applyNumberFormat="1" applyFont="1" applyBorder="1" applyAlignment="1">
      <alignment horizontal="right" vertical="top" wrapText="1"/>
    </xf>
    <xf numFmtId="0" fontId="9" fillId="0" borderId="33" xfId="0" applyFont="1" applyBorder="1" applyAlignment="1">
      <alignment horizontal="left" vertical="top" wrapText="1"/>
    </xf>
    <xf numFmtId="0" fontId="9" fillId="0" borderId="34" xfId="0" applyFont="1" applyBorder="1" applyAlignment="1">
      <alignment vertical="top" wrapText="1"/>
    </xf>
    <xf numFmtId="0" fontId="9" fillId="0" borderId="35" xfId="0" applyFont="1" applyBorder="1" applyAlignment="1">
      <alignment vertical="top" wrapText="1"/>
    </xf>
    <xf numFmtId="0" fontId="9" fillId="0" borderId="36" xfId="0" applyFont="1" applyBorder="1" applyAlignment="1">
      <alignment vertical="top" wrapText="1"/>
    </xf>
    <xf numFmtId="0" fontId="9" fillId="0" borderId="36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top" wrapText="1"/>
    </xf>
    <xf numFmtId="167" fontId="9" fillId="0" borderId="37" xfId="0" applyNumberFormat="1" applyFont="1" applyBorder="1" applyAlignment="1">
      <alignment horizontal="right" vertical="top" wrapText="1"/>
    </xf>
    <xf numFmtId="169" fontId="8" fillId="0" borderId="33" xfId="0" applyNumberFormat="1" applyFont="1" applyBorder="1" applyAlignment="1">
      <alignment horizontal="left" vertical="top" shrinkToFit="1"/>
    </xf>
    <xf numFmtId="0" fontId="9" fillId="0" borderId="19" xfId="0" applyFont="1" applyBorder="1" applyAlignment="1">
      <alignment vertical="top" wrapText="1"/>
    </xf>
    <xf numFmtId="0" fontId="9" fillId="0" borderId="20" xfId="0" applyFont="1" applyBorder="1" applyAlignment="1">
      <alignment vertical="top" wrapText="1"/>
    </xf>
    <xf numFmtId="0" fontId="9" fillId="0" borderId="23" xfId="0" applyFont="1" applyBorder="1" applyAlignment="1">
      <alignment vertical="top" wrapText="1"/>
    </xf>
    <xf numFmtId="0" fontId="9" fillId="0" borderId="23" xfId="0" applyFont="1" applyBorder="1" applyAlignment="1">
      <alignment horizontal="right" vertical="center" wrapText="1"/>
    </xf>
    <xf numFmtId="167" fontId="9" fillId="0" borderId="37" xfId="0" applyNumberFormat="1" applyFont="1" applyBorder="1" applyAlignment="1">
      <alignment horizontal="left" vertical="top" wrapText="1"/>
    </xf>
    <xf numFmtId="167" fontId="4" fillId="0" borderId="17" xfId="1" applyNumberFormat="1" applyFont="1" applyBorder="1" applyAlignment="1">
      <alignment horizontal="left" vertical="center" wrapText="1" indent="3"/>
    </xf>
    <xf numFmtId="0" fontId="10" fillId="0" borderId="39" xfId="0" applyFont="1" applyBorder="1" applyAlignment="1">
      <alignment horizontal="center" vertical="top" wrapText="1"/>
    </xf>
    <xf numFmtId="0" fontId="10" fillId="0" borderId="39" xfId="0" applyFont="1" applyBorder="1" applyAlignment="1">
      <alignment horizontal="left" vertical="top" wrapText="1"/>
    </xf>
    <xf numFmtId="3" fontId="11" fillId="0" borderId="39" xfId="0" applyNumberFormat="1" applyFont="1" applyBorder="1" applyAlignment="1">
      <alignment horizontal="right" vertical="center" shrinkToFit="1"/>
    </xf>
    <xf numFmtId="167" fontId="3" fillId="0" borderId="39" xfId="1" applyNumberFormat="1" applyFont="1" applyBorder="1" applyAlignment="1">
      <alignment horizontal="left" vertical="center" wrapText="1" indent="3"/>
    </xf>
    <xf numFmtId="167" fontId="4" fillId="0" borderId="25" xfId="1" applyNumberFormat="1" applyFont="1" applyBorder="1" applyAlignment="1">
      <alignment horizontal="left" vertical="center" wrapText="1" indent="3"/>
    </xf>
    <xf numFmtId="0" fontId="3" fillId="0" borderId="38" xfId="0" applyFont="1" applyBorder="1" applyAlignment="1">
      <alignment vertical="center" wrapText="1"/>
    </xf>
    <xf numFmtId="167" fontId="4" fillId="0" borderId="39" xfId="1" applyNumberFormat="1" applyFont="1" applyBorder="1" applyAlignment="1">
      <alignment horizontal="left" vertical="center" wrapText="1" indent="3"/>
    </xf>
    <xf numFmtId="0" fontId="10" fillId="0" borderId="39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left" vertical="center" wrapText="1"/>
    </xf>
    <xf numFmtId="167" fontId="3" fillId="0" borderId="39" xfId="1" applyNumberFormat="1" applyFont="1" applyBorder="1" applyAlignment="1">
      <alignment horizontal="left" vertical="center" wrapText="1"/>
    </xf>
    <xf numFmtId="0" fontId="9" fillId="0" borderId="40" xfId="0" applyFont="1" applyBorder="1" applyAlignment="1">
      <alignment horizontal="left" vertical="top" wrapText="1"/>
    </xf>
    <xf numFmtId="0" fontId="3" fillId="0" borderId="39" xfId="0" applyFont="1" applyBorder="1" applyAlignment="1">
      <alignment vertical="center" wrapText="1"/>
    </xf>
    <xf numFmtId="167" fontId="9" fillId="0" borderId="12" xfId="0" applyNumberFormat="1" applyFont="1" applyBorder="1" applyAlignment="1">
      <alignment vertical="top" wrapText="1"/>
    </xf>
    <xf numFmtId="0" fontId="3" fillId="0" borderId="41" xfId="0" applyFont="1" applyBorder="1" applyAlignment="1">
      <alignment vertical="center" wrapText="1"/>
    </xf>
    <xf numFmtId="0" fontId="3" fillId="0" borderId="39" xfId="0" applyFont="1" applyBorder="1" applyAlignment="1">
      <alignment horizontal="center" vertical="center"/>
    </xf>
    <xf numFmtId="167" fontId="3" fillId="0" borderId="39" xfId="1" applyNumberFormat="1" applyFont="1" applyFill="1" applyBorder="1" applyAlignment="1">
      <alignment horizontal="left" vertical="center" wrapText="1" indent="3"/>
    </xf>
    <xf numFmtId="0" fontId="9" fillId="0" borderId="43" xfId="0" applyFont="1" applyBorder="1" applyAlignment="1">
      <alignment horizontal="left" vertical="top" wrapText="1"/>
    </xf>
    <xf numFmtId="0" fontId="3" fillId="0" borderId="3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11" xfId="0" applyFont="1" applyBorder="1" applyAlignment="1">
      <alignment horizontal="center" vertical="top" wrapText="1"/>
    </xf>
    <xf numFmtId="0" fontId="4" fillId="0" borderId="40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top" wrapText="1"/>
    </xf>
    <xf numFmtId="167" fontId="13" fillId="0" borderId="25" xfId="0" applyNumberFormat="1" applyFont="1" applyBorder="1"/>
    <xf numFmtId="167" fontId="10" fillId="0" borderId="0" xfId="0" applyNumberFormat="1" applyFont="1"/>
    <xf numFmtId="0" fontId="9" fillId="0" borderId="27" xfId="0" applyFont="1" applyBorder="1" applyAlignment="1">
      <alignment horizontal="left" vertical="top" wrapText="1"/>
    </xf>
    <xf numFmtId="0" fontId="9" fillId="0" borderId="28" xfId="0" applyFont="1" applyBorder="1" applyAlignment="1">
      <alignment horizontal="left" vertical="top" wrapText="1"/>
    </xf>
    <xf numFmtId="0" fontId="9" fillId="0" borderId="34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3" fillId="0" borderId="5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39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 wrapText="1"/>
    </xf>
    <xf numFmtId="0" fontId="10" fillId="0" borderId="8" xfId="2" quotePrefix="1" applyFont="1" applyBorder="1" applyAlignment="1">
      <alignment horizontal="left" vertical="top" wrapText="1"/>
    </xf>
    <xf numFmtId="0" fontId="10" fillId="0" borderId="38" xfId="2" quotePrefix="1" applyFont="1" applyBorder="1" applyAlignment="1">
      <alignment horizontal="left" vertical="top" wrapText="1"/>
    </xf>
    <xf numFmtId="0" fontId="13" fillId="0" borderId="44" xfId="0" applyFont="1" applyBorder="1" applyAlignment="1">
      <alignment horizontal="right" vertical="center" wrapText="1"/>
    </xf>
    <xf numFmtId="0" fontId="13" fillId="0" borderId="57" xfId="0" applyFont="1" applyBorder="1" applyAlignment="1">
      <alignment horizontal="right" vertical="center" wrapText="1"/>
    </xf>
    <xf numFmtId="0" fontId="3" fillId="0" borderId="45" xfId="0" applyFont="1" applyBorder="1" applyAlignment="1">
      <alignment vertical="center" wrapText="1"/>
    </xf>
    <xf numFmtId="0" fontId="3" fillId="0" borderId="46" xfId="0" applyFont="1" applyBorder="1" applyAlignment="1">
      <alignment vertical="center" wrapText="1"/>
    </xf>
    <xf numFmtId="0" fontId="3" fillId="0" borderId="47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49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51" xfId="0" applyFont="1" applyBorder="1" applyAlignment="1">
      <alignment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0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38" xfId="0" applyFont="1" applyBorder="1" applyAlignment="1">
      <alignment horizontal="left" vertical="center" wrapText="1"/>
    </xf>
    <xf numFmtId="0" fontId="10" fillId="0" borderId="39" xfId="2" quotePrefix="1" applyFont="1" applyBorder="1" applyAlignment="1">
      <alignment horizontal="left" vertical="top" wrapText="1"/>
    </xf>
    <xf numFmtId="0" fontId="3" fillId="0" borderId="18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left" vertical="top" wrapText="1"/>
    </xf>
    <xf numFmtId="0" fontId="9" fillId="0" borderId="56" xfId="0" applyFont="1" applyBorder="1" applyAlignment="1">
      <alignment horizontal="left" vertical="top" wrapText="1"/>
    </xf>
    <xf numFmtId="0" fontId="9" fillId="0" borderId="24" xfId="0" applyFont="1" applyBorder="1" applyAlignment="1">
      <alignment horizontal="left" vertical="top" wrapText="1"/>
    </xf>
    <xf numFmtId="0" fontId="9" fillId="0" borderId="39" xfId="0" applyFont="1" applyBorder="1" applyAlignment="1">
      <alignment horizontal="left" vertical="top" wrapText="1"/>
    </xf>
    <xf numFmtId="0" fontId="9" fillId="0" borderId="53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10" fillId="0" borderId="34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 indent="8"/>
    </xf>
    <xf numFmtId="0" fontId="3" fillId="0" borderId="16" xfId="0" applyFont="1" applyBorder="1" applyAlignment="1">
      <alignment horizontal="left" vertical="center" wrapText="1" indent="8"/>
    </xf>
    <xf numFmtId="0" fontId="3" fillId="0" borderId="17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left" vertical="center" wrapText="1" indent="2"/>
    </xf>
    <xf numFmtId="0" fontId="3" fillId="0" borderId="22" xfId="0" applyFont="1" applyBorder="1" applyAlignment="1">
      <alignment horizontal="left" vertical="center" wrapText="1" indent="2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167" fontId="3" fillId="0" borderId="6" xfId="0" applyNumberFormat="1" applyFont="1" applyBorder="1" applyAlignment="1">
      <alignment horizontal="right" vertical="center" wrapText="1"/>
    </xf>
    <xf numFmtId="167" fontId="3" fillId="0" borderId="7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right" vertical="center" wrapText="1"/>
    </xf>
    <xf numFmtId="0" fontId="3" fillId="0" borderId="54" xfId="0" applyFont="1" applyBorder="1" applyAlignment="1">
      <alignment horizontal="right" vertical="center" wrapText="1"/>
    </xf>
    <xf numFmtId="0" fontId="3" fillId="0" borderId="10" xfId="0" applyFont="1" applyBorder="1" applyAlignment="1">
      <alignment vertical="center" wrapText="1"/>
    </xf>
    <xf numFmtId="9" fontId="3" fillId="0" borderId="6" xfId="0" applyNumberFormat="1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1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4"/>
    </xf>
    <xf numFmtId="0" fontId="3" fillId="0" borderId="2" xfId="0" applyFont="1" applyBorder="1" applyAlignment="1">
      <alignment horizontal="left" vertical="center" wrapText="1" indent="4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3" fillId="0" borderId="10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</cellXfs>
  <cellStyles count="4">
    <cellStyle name="Comma" xfId="1" builtinId="3"/>
    <cellStyle name="Comma [0]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5015</xdr:colOff>
      <xdr:row>0</xdr:row>
      <xdr:rowOff>0</xdr:rowOff>
    </xdr:from>
    <xdr:to>
      <xdr:col>9</xdr:col>
      <xdr:colOff>0</xdr:colOff>
      <xdr:row>3</xdr:row>
      <xdr:rowOff>106680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3F37838-4B63-4BB0-9942-74B4DA765CA9}"/>
            </a:ext>
          </a:extLst>
        </xdr:cNvPr>
        <xdr:cNvGrpSpPr>
          <a:grpSpLocks/>
        </xdr:cNvGrpSpPr>
      </xdr:nvGrpSpPr>
      <xdr:grpSpPr bwMode="auto">
        <a:xfrm>
          <a:off x="5015" y="0"/>
          <a:ext cx="10127204" cy="713899"/>
          <a:chOff x="6" y="6"/>
          <a:chExt cx="10323" cy="1107"/>
        </a:xfrm>
      </xdr:grpSpPr>
      <xdr:sp macro="" textlink="">
        <xdr:nvSpPr>
          <xdr:cNvPr id="3" name="AutoShape 5">
            <a:extLst>
              <a:ext uri="{FF2B5EF4-FFF2-40B4-BE49-F238E27FC236}">
                <a16:creationId xmlns:a16="http://schemas.microsoft.com/office/drawing/2014/main" id="{065F3637-F44A-15F1-0EDF-949DBDF8BF86}"/>
              </a:ext>
            </a:extLst>
          </xdr:cNvPr>
          <xdr:cNvSpPr>
            <a:spLocks/>
          </xdr:cNvSpPr>
        </xdr:nvSpPr>
        <xdr:spPr bwMode="auto">
          <a:xfrm>
            <a:off x="6" y="6"/>
            <a:ext cx="10323" cy="1107"/>
          </a:xfrm>
          <a:custGeom>
            <a:avLst/>
            <a:gdLst>
              <a:gd name="T0" fmla="+- 0 7 7"/>
              <a:gd name="T1" fmla="*/ T0 w 10323"/>
              <a:gd name="T2" fmla="+- 0 7 7"/>
              <a:gd name="T3" fmla="*/ 7 h 1107"/>
              <a:gd name="T4" fmla="+- 0 10330 7"/>
              <a:gd name="T5" fmla="*/ T4 w 10323"/>
              <a:gd name="T6" fmla="+- 0 7 7"/>
              <a:gd name="T7" fmla="*/ 7 h 1107"/>
              <a:gd name="T8" fmla="+- 0 10330 7"/>
              <a:gd name="T9" fmla="*/ T8 w 10323"/>
              <a:gd name="T10" fmla="+- 0 678 7"/>
              <a:gd name="T11" fmla="*/ 678 h 1107"/>
              <a:gd name="T12" fmla="+- 0 7 7"/>
              <a:gd name="T13" fmla="*/ T12 w 10323"/>
              <a:gd name="T14" fmla="+- 0 678 7"/>
              <a:gd name="T15" fmla="*/ 678 h 1107"/>
              <a:gd name="T16" fmla="+- 0 7 7"/>
              <a:gd name="T17" fmla="*/ T16 w 10323"/>
              <a:gd name="T18" fmla="+- 0 7 7"/>
              <a:gd name="T19" fmla="*/ 7 h 1107"/>
              <a:gd name="T20" fmla="+- 0 7 7"/>
              <a:gd name="T21" fmla="*/ T20 w 10323"/>
              <a:gd name="T22" fmla="+- 0 704 7"/>
              <a:gd name="T23" fmla="*/ 704 h 1107"/>
              <a:gd name="T24" fmla="+- 0 10330 7"/>
              <a:gd name="T25" fmla="*/ T24 w 10323"/>
              <a:gd name="T26" fmla="+- 0 704 7"/>
              <a:gd name="T27" fmla="*/ 704 h 1107"/>
              <a:gd name="T28" fmla="+- 0 10330 7"/>
              <a:gd name="T29" fmla="*/ T28 w 10323"/>
              <a:gd name="T30" fmla="+- 0 1113 7"/>
              <a:gd name="T31" fmla="*/ 1113 h 1107"/>
              <a:gd name="T32" fmla="+- 0 7 7"/>
              <a:gd name="T33" fmla="*/ T32 w 10323"/>
              <a:gd name="T34" fmla="+- 0 1113 7"/>
              <a:gd name="T35" fmla="*/ 1113 h 1107"/>
              <a:gd name="T36" fmla="+- 0 7 7"/>
              <a:gd name="T37" fmla="*/ T36 w 10323"/>
              <a:gd name="T38" fmla="+- 0 704 7"/>
              <a:gd name="T39" fmla="*/ 704 h 11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10323" h="1107">
                <a:moveTo>
                  <a:pt x="0" y="0"/>
                </a:moveTo>
                <a:lnTo>
                  <a:pt x="10323" y="0"/>
                </a:lnTo>
                <a:lnTo>
                  <a:pt x="10323" y="671"/>
                </a:lnTo>
                <a:lnTo>
                  <a:pt x="0" y="671"/>
                </a:lnTo>
                <a:lnTo>
                  <a:pt x="0" y="0"/>
                </a:lnTo>
                <a:close/>
                <a:moveTo>
                  <a:pt x="0" y="697"/>
                </a:moveTo>
                <a:lnTo>
                  <a:pt x="10323" y="697"/>
                </a:lnTo>
                <a:lnTo>
                  <a:pt x="10323" y="1106"/>
                </a:lnTo>
                <a:lnTo>
                  <a:pt x="0" y="1106"/>
                </a:lnTo>
                <a:lnTo>
                  <a:pt x="0" y="697"/>
                </a:lnTo>
                <a:close/>
              </a:path>
            </a:pathLst>
          </a:custGeom>
          <a:noFill/>
          <a:ln w="8361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 sz="1400"/>
          </a:p>
        </xdr:txBody>
      </xdr:sp>
      <xdr:sp macro="" textlink="">
        <xdr:nvSpPr>
          <xdr:cNvPr id="4" name="Text Box 4">
            <a:extLst>
              <a:ext uri="{FF2B5EF4-FFF2-40B4-BE49-F238E27FC236}">
                <a16:creationId xmlns:a16="http://schemas.microsoft.com/office/drawing/2014/main" id="{11E9A266-76B9-7FD4-F911-53D43BF6A18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" y="697"/>
            <a:ext cx="10310" cy="40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1547495" marR="1547495" algn="ctr">
              <a:spcBef>
                <a:spcPts val="400"/>
              </a:spcBef>
              <a:spcAft>
                <a:spcPts val="0"/>
              </a:spcAft>
            </a:pPr>
            <a:r>
              <a:rPr lang="id-ID" sz="1400">
                <a:effectLst/>
                <a:latin typeface="Arial Black"/>
                <a:ea typeface="Arial Black"/>
                <a:cs typeface="Arial Black"/>
              </a:rPr>
              <a:t>Pemerintah Kabupaten Bogor Tahun Anggaran 20</a:t>
            </a:r>
            <a:r>
              <a:rPr lang="en-US" sz="1400">
                <a:effectLst/>
                <a:latin typeface="Arial Black"/>
                <a:ea typeface="Arial Black"/>
                <a:cs typeface="Arial Black"/>
              </a:rPr>
              <a:t>27</a:t>
            </a:r>
          </a:p>
          <a:p>
            <a:pPr marL="1547495" marR="1547495" algn="ctr">
              <a:spcBef>
                <a:spcPts val="400"/>
              </a:spcBef>
              <a:spcAft>
                <a:spcPts val="0"/>
              </a:spcAft>
            </a:pPr>
            <a:endParaRPr lang="en-US" sz="1400">
              <a:effectLst/>
              <a:latin typeface="Arial Black"/>
              <a:ea typeface="Arial Black"/>
              <a:cs typeface="Arial Black"/>
            </a:endParaRPr>
          </a:p>
          <a:p>
            <a:pPr marL="1547495" marR="1547495" algn="ctr">
              <a:spcBef>
                <a:spcPts val="400"/>
              </a:spcBef>
              <a:spcAft>
                <a:spcPts val="0"/>
              </a:spcAft>
            </a:pPr>
            <a:endParaRPr lang="en-US" sz="1400">
              <a:effectLst/>
              <a:latin typeface="Arial Black"/>
              <a:ea typeface="Arial Black"/>
              <a:cs typeface="Arial Black"/>
            </a:endParaRPr>
          </a:p>
        </xdr:txBody>
      </xdr:sp>
    </xdr:grpSp>
    <xdr:clientData/>
  </xdr:twoCellAnchor>
  <xdr:twoCellAnchor>
    <xdr:from>
      <xdr:col>0</xdr:col>
      <xdr:colOff>5015</xdr:colOff>
      <xdr:row>0</xdr:row>
      <xdr:rowOff>0</xdr:rowOff>
    </xdr:from>
    <xdr:to>
      <xdr:col>9</xdr:col>
      <xdr:colOff>0</xdr:colOff>
      <xdr:row>3</xdr:row>
      <xdr:rowOff>106680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AB8260D5-B360-42FC-AF42-F3006A83766A}"/>
            </a:ext>
          </a:extLst>
        </xdr:cNvPr>
        <xdr:cNvGrpSpPr>
          <a:grpSpLocks/>
        </xdr:cNvGrpSpPr>
      </xdr:nvGrpSpPr>
      <xdr:grpSpPr bwMode="auto">
        <a:xfrm>
          <a:off x="5015" y="0"/>
          <a:ext cx="10127204" cy="713899"/>
          <a:chOff x="6" y="6"/>
          <a:chExt cx="10323" cy="1107"/>
        </a:xfrm>
      </xdr:grpSpPr>
      <xdr:sp macro="" textlink="">
        <xdr:nvSpPr>
          <xdr:cNvPr id="6" name="AutoShape 5">
            <a:extLst>
              <a:ext uri="{FF2B5EF4-FFF2-40B4-BE49-F238E27FC236}">
                <a16:creationId xmlns:a16="http://schemas.microsoft.com/office/drawing/2014/main" id="{DDF9ACA8-E682-CA47-4655-8AC0E74D01AD}"/>
              </a:ext>
            </a:extLst>
          </xdr:cNvPr>
          <xdr:cNvSpPr>
            <a:spLocks/>
          </xdr:cNvSpPr>
        </xdr:nvSpPr>
        <xdr:spPr bwMode="auto">
          <a:xfrm>
            <a:off x="6" y="6"/>
            <a:ext cx="10323" cy="1107"/>
          </a:xfrm>
          <a:custGeom>
            <a:avLst/>
            <a:gdLst>
              <a:gd name="T0" fmla="+- 0 7 7"/>
              <a:gd name="T1" fmla="*/ T0 w 10323"/>
              <a:gd name="T2" fmla="+- 0 7 7"/>
              <a:gd name="T3" fmla="*/ 7 h 1107"/>
              <a:gd name="T4" fmla="+- 0 10330 7"/>
              <a:gd name="T5" fmla="*/ T4 w 10323"/>
              <a:gd name="T6" fmla="+- 0 7 7"/>
              <a:gd name="T7" fmla="*/ 7 h 1107"/>
              <a:gd name="T8" fmla="+- 0 10330 7"/>
              <a:gd name="T9" fmla="*/ T8 w 10323"/>
              <a:gd name="T10" fmla="+- 0 678 7"/>
              <a:gd name="T11" fmla="*/ 678 h 1107"/>
              <a:gd name="T12" fmla="+- 0 7 7"/>
              <a:gd name="T13" fmla="*/ T12 w 10323"/>
              <a:gd name="T14" fmla="+- 0 678 7"/>
              <a:gd name="T15" fmla="*/ 678 h 1107"/>
              <a:gd name="T16" fmla="+- 0 7 7"/>
              <a:gd name="T17" fmla="*/ T16 w 10323"/>
              <a:gd name="T18" fmla="+- 0 7 7"/>
              <a:gd name="T19" fmla="*/ 7 h 1107"/>
              <a:gd name="T20" fmla="+- 0 7 7"/>
              <a:gd name="T21" fmla="*/ T20 w 10323"/>
              <a:gd name="T22" fmla="+- 0 704 7"/>
              <a:gd name="T23" fmla="*/ 704 h 1107"/>
              <a:gd name="T24" fmla="+- 0 10330 7"/>
              <a:gd name="T25" fmla="*/ T24 w 10323"/>
              <a:gd name="T26" fmla="+- 0 704 7"/>
              <a:gd name="T27" fmla="*/ 704 h 1107"/>
              <a:gd name="T28" fmla="+- 0 10330 7"/>
              <a:gd name="T29" fmla="*/ T28 w 10323"/>
              <a:gd name="T30" fmla="+- 0 1113 7"/>
              <a:gd name="T31" fmla="*/ 1113 h 1107"/>
              <a:gd name="T32" fmla="+- 0 7 7"/>
              <a:gd name="T33" fmla="*/ T32 w 10323"/>
              <a:gd name="T34" fmla="+- 0 1113 7"/>
              <a:gd name="T35" fmla="*/ 1113 h 1107"/>
              <a:gd name="T36" fmla="+- 0 7 7"/>
              <a:gd name="T37" fmla="*/ T36 w 10323"/>
              <a:gd name="T38" fmla="+- 0 704 7"/>
              <a:gd name="T39" fmla="*/ 704 h 11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10323" h="1107">
                <a:moveTo>
                  <a:pt x="0" y="0"/>
                </a:moveTo>
                <a:lnTo>
                  <a:pt x="10323" y="0"/>
                </a:lnTo>
                <a:lnTo>
                  <a:pt x="10323" y="671"/>
                </a:lnTo>
                <a:lnTo>
                  <a:pt x="0" y="671"/>
                </a:lnTo>
                <a:lnTo>
                  <a:pt x="0" y="0"/>
                </a:lnTo>
                <a:close/>
                <a:moveTo>
                  <a:pt x="0" y="697"/>
                </a:moveTo>
                <a:lnTo>
                  <a:pt x="10323" y="697"/>
                </a:lnTo>
                <a:lnTo>
                  <a:pt x="10323" y="1106"/>
                </a:lnTo>
                <a:lnTo>
                  <a:pt x="0" y="1106"/>
                </a:lnTo>
                <a:lnTo>
                  <a:pt x="0" y="697"/>
                </a:lnTo>
                <a:close/>
              </a:path>
            </a:pathLst>
          </a:custGeom>
          <a:noFill/>
          <a:ln w="8361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7" name="Text Box 4">
            <a:extLst>
              <a:ext uri="{FF2B5EF4-FFF2-40B4-BE49-F238E27FC236}">
                <a16:creationId xmlns:a16="http://schemas.microsoft.com/office/drawing/2014/main" id="{5E773C8C-8FF1-AC3E-3A79-DCC684C47975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3" y="486"/>
            <a:ext cx="10033" cy="21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1547495" marR="1547495" algn="ctr">
              <a:spcBef>
                <a:spcPts val="400"/>
              </a:spcBef>
              <a:spcAft>
                <a:spcPts val="0"/>
              </a:spcAft>
            </a:pPr>
            <a:endParaRPr lang="en-US" sz="950" baseline="0">
              <a:effectLst/>
              <a:latin typeface="Arial Black"/>
              <a:ea typeface="Arial Black"/>
              <a:cs typeface="Arial Black"/>
            </a:endParaRPr>
          </a:p>
          <a:p>
            <a:pPr marL="1547495" marR="1547495" algn="ctr">
              <a:spcBef>
                <a:spcPts val="400"/>
              </a:spcBef>
              <a:spcAft>
                <a:spcPts val="0"/>
              </a:spcAft>
            </a:pPr>
            <a:endParaRPr lang="en-US" sz="1100">
              <a:effectLst/>
              <a:latin typeface="Arial Black"/>
              <a:ea typeface="Arial Black"/>
              <a:cs typeface="Arial Black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8B74-753C-42B6-8138-BB02A8B75528}">
  <dimension ref="A1:M68"/>
  <sheetViews>
    <sheetView tabSelected="1" topLeftCell="B12" zoomScale="80" zoomScaleNormal="80" zoomScaleSheetLayoutView="80" workbookViewId="0">
      <selection activeCell="L34" sqref="L34"/>
    </sheetView>
  </sheetViews>
  <sheetFormatPr defaultColWidth="8.7109375" defaultRowHeight="15.75" x14ac:dyDescent="0.25"/>
  <cols>
    <col min="1" max="1" width="25.7109375" style="1" customWidth="1"/>
    <col min="2" max="2" width="15" style="1" customWidth="1"/>
    <col min="3" max="3" width="31.28515625" style="1" customWidth="1"/>
    <col min="4" max="4" width="9.28515625" style="1" customWidth="1"/>
    <col min="5" max="5" width="9" style="1" customWidth="1"/>
    <col min="6" max="6" width="11.5703125" style="1" customWidth="1"/>
    <col min="7" max="7" width="12" style="5" customWidth="1"/>
    <col min="8" max="8" width="6.42578125" style="1" customWidth="1"/>
    <col min="9" max="9" width="31.7109375" style="1" customWidth="1"/>
    <col min="10" max="10" width="21.7109375" style="2" customWidth="1"/>
    <col min="11" max="11" width="20.42578125" style="2" customWidth="1"/>
    <col min="12" max="12" width="11.7109375" style="3" bestFit="1" customWidth="1"/>
    <col min="13" max="13" width="20.85546875" style="3" customWidth="1"/>
    <col min="14" max="16384" width="8.7109375" style="3"/>
  </cols>
  <sheetData>
    <row r="1" spans="1:10" x14ac:dyDescent="0.25">
      <c r="B1" s="142" t="s">
        <v>0</v>
      </c>
      <c r="C1" s="142"/>
      <c r="D1" s="142"/>
      <c r="E1" s="142"/>
      <c r="F1" s="142"/>
      <c r="G1" s="142"/>
      <c r="H1" s="142"/>
      <c r="J1" s="2" t="s">
        <v>89</v>
      </c>
    </row>
    <row r="2" spans="1:10" x14ac:dyDescent="0.25">
      <c r="B2" s="142"/>
      <c r="C2" s="142"/>
      <c r="D2" s="142"/>
      <c r="E2" s="142"/>
      <c r="F2" s="142"/>
      <c r="G2" s="142"/>
      <c r="H2" s="142"/>
    </row>
    <row r="5" spans="1:10" x14ac:dyDescent="0.25">
      <c r="A5" s="4" t="s">
        <v>1</v>
      </c>
      <c r="B5" s="4" t="s">
        <v>2</v>
      </c>
      <c r="C5" s="1" t="s">
        <v>3</v>
      </c>
    </row>
    <row r="6" spans="1:10" x14ac:dyDescent="0.25">
      <c r="A6" s="4" t="s">
        <v>4</v>
      </c>
      <c r="B6" s="4" t="s">
        <v>2</v>
      </c>
      <c r="C6" s="1" t="s">
        <v>5</v>
      </c>
    </row>
    <row r="7" spans="1:10" x14ac:dyDescent="0.25">
      <c r="A7" s="4" t="s">
        <v>6</v>
      </c>
      <c r="B7" s="4" t="s">
        <v>7</v>
      </c>
      <c r="C7" s="1" t="s">
        <v>5</v>
      </c>
    </row>
    <row r="8" spans="1:10" x14ac:dyDescent="0.25">
      <c r="A8" s="4" t="s">
        <v>8</v>
      </c>
      <c r="B8" s="4" t="s">
        <v>2</v>
      </c>
      <c r="C8" s="1" t="s">
        <v>9</v>
      </c>
    </row>
    <row r="9" spans="1:10" x14ac:dyDescent="0.25">
      <c r="A9" s="4" t="s">
        <v>10</v>
      </c>
      <c r="B9" s="4" t="s">
        <v>2</v>
      </c>
      <c r="C9" s="1" t="s">
        <v>11</v>
      </c>
    </row>
    <row r="10" spans="1:10" x14ac:dyDescent="0.25">
      <c r="A10" s="4" t="s">
        <v>12</v>
      </c>
      <c r="B10" s="4" t="s">
        <v>2</v>
      </c>
      <c r="C10" s="1" t="s">
        <v>13</v>
      </c>
    </row>
    <row r="11" spans="1:10" x14ac:dyDescent="0.25">
      <c r="A11" s="4" t="s">
        <v>14</v>
      </c>
      <c r="B11" s="4" t="s">
        <v>2</v>
      </c>
      <c r="C11" s="1" t="s">
        <v>15</v>
      </c>
    </row>
    <row r="12" spans="1:10" x14ac:dyDescent="0.25">
      <c r="A12" s="4" t="s">
        <v>16</v>
      </c>
      <c r="B12" s="4" t="s">
        <v>17</v>
      </c>
      <c r="C12" s="1" t="s">
        <v>18</v>
      </c>
    </row>
    <row r="13" spans="1:10" x14ac:dyDescent="0.25">
      <c r="A13" s="4" t="s">
        <v>19</v>
      </c>
      <c r="B13" s="4" t="s">
        <v>2</v>
      </c>
      <c r="C13" s="1" t="s">
        <v>91</v>
      </c>
    </row>
    <row r="14" spans="1:10" x14ac:dyDescent="0.25">
      <c r="A14" s="4" t="s">
        <v>20</v>
      </c>
      <c r="B14" s="4" t="s">
        <v>2</v>
      </c>
      <c r="C14" s="1" t="s">
        <v>21</v>
      </c>
    </row>
    <row r="15" spans="1:10" x14ac:dyDescent="0.25">
      <c r="A15" s="4" t="s">
        <v>86</v>
      </c>
      <c r="B15" s="4" t="s">
        <v>22</v>
      </c>
      <c r="C15" s="6"/>
    </row>
    <row r="16" spans="1:10" x14ac:dyDescent="0.25">
      <c r="A16" s="4" t="s">
        <v>90</v>
      </c>
      <c r="B16" s="4" t="s">
        <v>22</v>
      </c>
      <c r="C16" s="6"/>
    </row>
    <row r="17" spans="1:13" x14ac:dyDescent="0.25">
      <c r="A17" s="4" t="s">
        <v>107</v>
      </c>
      <c r="B17" s="4" t="s">
        <v>22</v>
      </c>
      <c r="C17" s="6">
        <v>119930000</v>
      </c>
      <c r="D17" s="6"/>
    </row>
    <row r="18" spans="1:13" x14ac:dyDescent="0.25">
      <c r="A18" s="4"/>
      <c r="B18" s="4"/>
      <c r="C18" s="6"/>
      <c r="D18" s="6"/>
      <c r="J18" s="7"/>
    </row>
    <row r="19" spans="1:13" ht="14.25" customHeight="1" x14ac:dyDescent="0.25">
      <c r="A19" s="4"/>
      <c r="B19" s="4"/>
      <c r="C19" s="6"/>
      <c r="D19" s="6"/>
    </row>
    <row r="20" spans="1:13" x14ac:dyDescent="0.25">
      <c r="A20" s="118" t="s">
        <v>23</v>
      </c>
      <c r="B20" s="143"/>
      <c r="C20" s="143"/>
      <c r="D20" s="143"/>
      <c r="E20" s="143"/>
      <c r="F20" s="143"/>
      <c r="G20" s="143"/>
      <c r="H20" s="143"/>
      <c r="I20" s="144"/>
      <c r="J20" s="8" t="s">
        <v>83</v>
      </c>
      <c r="K20" s="9">
        <v>147611943</v>
      </c>
    </row>
    <row r="21" spans="1:13" x14ac:dyDescent="0.25">
      <c r="A21" s="145" t="s">
        <v>24</v>
      </c>
      <c r="B21" s="146"/>
      <c r="C21" s="147" t="s">
        <v>25</v>
      </c>
      <c r="D21" s="148"/>
      <c r="E21" s="148"/>
      <c r="F21" s="148"/>
      <c r="G21" s="148"/>
      <c r="H21" s="149" t="s">
        <v>26</v>
      </c>
      <c r="I21" s="150"/>
      <c r="J21" s="8" t="s">
        <v>84</v>
      </c>
      <c r="K21" s="9">
        <f>I29</f>
        <v>119926100</v>
      </c>
    </row>
    <row r="22" spans="1:13" ht="15.75" customHeight="1" x14ac:dyDescent="0.25">
      <c r="A22" s="129" t="s">
        <v>27</v>
      </c>
      <c r="B22" s="130"/>
      <c r="C22" s="151" t="s">
        <v>82</v>
      </c>
      <c r="D22" s="152"/>
      <c r="E22" s="152"/>
      <c r="F22" s="152"/>
      <c r="G22" s="152"/>
      <c r="H22" s="140">
        <v>1</v>
      </c>
      <c r="I22" s="141"/>
      <c r="J22" s="8" t="s">
        <v>85</v>
      </c>
      <c r="K22" s="9">
        <f>K20-K21</f>
        <v>27685843</v>
      </c>
      <c r="L22" s="10"/>
      <c r="M22" s="11"/>
    </row>
    <row r="23" spans="1:13" ht="16.5" customHeight="1" x14ac:dyDescent="0.25">
      <c r="A23" s="129" t="s">
        <v>28</v>
      </c>
      <c r="B23" s="130"/>
      <c r="C23" s="12" t="s">
        <v>29</v>
      </c>
      <c r="D23" s="13"/>
      <c r="E23" s="13"/>
      <c r="F23" s="13"/>
      <c r="G23" s="14"/>
      <c r="H23" s="131">
        <v>199926100</v>
      </c>
      <c r="I23" s="132"/>
      <c r="J23" s="9"/>
      <c r="K23" s="8"/>
      <c r="L23" s="10"/>
    </row>
    <row r="24" spans="1:13" ht="23.45" customHeight="1" x14ac:dyDescent="0.25">
      <c r="A24" s="133" t="s">
        <v>30</v>
      </c>
      <c r="B24" s="134"/>
      <c r="C24" s="135" t="s">
        <v>82</v>
      </c>
      <c r="D24" s="136"/>
      <c r="E24" s="136"/>
      <c r="F24" s="136"/>
      <c r="G24" s="136"/>
      <c r="H24" s="137" t="s">
        <v>92</v>
      </c>
      <c r="I24" s="138"/>
      <c r="J24" s="8"/>
      <c r="K24" s="8"/>
    </row>
    <row r="25" spans="1:13" ht="34.5" customHeight="1" x14ac:dyDescent="0.25">
      <c r="A25" s="129" t="s">
        <v>31</v>
      </c>
      <c r="B25" s="130"/>
      <c r="C25" s="139" t="s">
        <v>32</v>
      </c>
      <c r="D25" s="130"/>
      <c r="E25" s="130"/>
      <c r="F25" s="130"/>
      <c r="G25" s="130"/>
      <c r="H25" s="140">
        <v>1</v>
      </c>
      <c r="I25" s="141"/>
      <c r="J25" s="8"/>
      <c r="K25" s="8"/>
    </row>
    <row r="26" spans="1:13" x14ac:dyDescent="0.25">
      <c r="A26" s="69" t="s">
        <v>33</v>
      </c>
      <c r="B26" s="93"/>
      <c r="C26" s="93"/>
      <c r="D26" s="93"/>
      <c r="E26" s="93"/>
      <c r="F26" s="93"/>
      <c r="G26" s="93"/>
      <c r="H26" s="93"/>
      <c r="I26" s="91"/>
      <c r="J26" s="8"/>
      <c r="K26" s="8"/>
    </row>
    <row r="27" spans="1:13" ht="15" customHeight="1" x14ac:dyDescent="0.25">
      <c r="A27" s="118" t="s">
        <v>34</v>
      </c>
      <c r="B27" s="119" t="s">
        <v>35</v>
      </c>
      <c r="C27" s="120"/>
      <c r="D27" s="123" t="s">
        <v>36</v>
      </c>
      <c r="E27" s="124"/>
      <c r="F27" s="124"/>
      <c r="G27" s="124"/>
      <c r="H27" s="124"/>
      <c r="I27" s="125" t="s">
        <v>37</v>
      </c>
      <c r="J27" s="8"/>
      <c r="K27" s="8"/>
    </row>
    <row r="28" spans="1:13" ht="15" customHeight="1" x14ac:dyDescent="0.25">
      <c r="A28" s="107"/>
      <c r="B28" s="121"/>
      <c r="C28" s="122"/>
      <c r="D28" s="127" t="s">
        <v>38</v>
      </c>
      <c r="E28" s="128"/>
      <c r="F28" s="15" t="s">
        <v>39</v>
      </c>
      <c r="G28" s="16" t="s">
        <v>40</v>
      </c>
      <c r="H28" s="17" t="s">
        <v>41</v>
      </c>
      <c r="I28" s="126"/>
      <c r="J28" s="8"/>
      <c r="K28" s="8"/>
    </row>
    <row r="29" spans="1:13" ht="14.25" customHeight="1" x14ac:dyDescent="0.25">
      <c r="A29" s="18">
        <v>5</v>
      </c>
      <c r="B29" s="64" t="s">
        <v>42</v>
      </c>
      <c r="C29" s="65"/>
      <c r="D29" s="19"/>
      <c r="E29" s="20"/>
      <c r="F29" s="21"/>
      <c r="G29" s="22"/>
      <c r="H29" s="23"/>
      <c r="I29" s="24">
        <f>I30</f>
        <v>119926100</v>
      </c>
      <c r="J29" s="63">
        <f>C17-I29</f>
        <v>3900</v>
      </c>
      <c r="K29" s="8"/>
    </row>
    <row r="30" spans="1:13" ht="14.25" customHeight="1" x14ac:dyDescent="0.25">
      <c r="A30" s="25" t="s">
        <v>43</v>
      </c>
      <c r="B30" s="66" t="s">
        <v>44</v>
      </c>
      <c r="C30" s="67"/>
      <c r="D30" s="26"/>
      <c r="E30" s="27"/>
      <c r="F30" s="28"/>
      <c r="G30" s="29"/>
      <c r="H30" s="30"/>
      <c r="I30" s="31">
        <f>I31</f>
        <v>119926100</v>
      </c>
      <c r="J30" s="63">
        <f>J29/G36</f>
        <v>9.4948265368228854E-2</v>
      </c>
      <c r="K30" s="9"/>
      <c r="L30" s="10"/>
    </row>
    <row r="31" spans="1:13" ht="14.25" customHeight="1" x14ac:dyDescent="0.25">
      <c r="A31" s="32">
        <v>37377</v>
      </c>
      <c r="B31" s="66" t="s">
        <v>45</v>
      </c>
      <c r="C31" s="67"/>
      <c r="D31" s="26"/>
      <c r="E31" s="27"/>
      <c r="F31" s="28"/>
      <c r="G31" s="29"/>
      <c r="H31" s="30"/>
      <c r="I31" s="31">
        <f>I33+I41+I47</f>
        <v>119926100</v>
      </c>
      <c r="J31" s="8"/>
      <c r="K31" s="8"/>
    </row>
    <row r="32" spans="1:13" ht="24.75" customHeight="1" x14ac:dyDescent="0.25">
      <c r="A32" s="25" t="s">
        <v>46</v>
      </c>
      <c r="B32" s="66" t="s">
        <v>47</v>
      </c>
      <c r="C32" s="67"/>
      <c r="D32" s="26"/>
      <c r="E32" s="27"/>
      <c r="F32" s="28"/>
      <c r="G32" s="29"/>
      <c r="H32" s="30"/>
      <c r="I32" s="31">
        <f>I33</f>
        <v>65227100</v>
      </c>
      <c r="J32" s="8"/>
      <c r="K32" s="8"/>
    </row>
    <row r="33" spans="1:11" ht="28.5" customHeight="1" x14ac:dyDescent="0.25">
      <c r="A33" s="25" t="s">
        <v>48</v>
      </c>
      <c r="B33" s="66" t="s">
        <v>49</v>
      </c>
      <c r="C33" s="67"/>
      <c r="D33" s="33"/>
      <c r="E33" s="34"/>
      <c r="F33" s="35"/>
      <c r="G33" s="36"/>
      <c r="H33" s="30"/>
      <c r="I33" s="37">
        <f>I34</f>
        <v>65227100</v>
      </c>
      <c r="J33" s="9"/>
      <c r="K33" s="8"/>
    </row>
    <row r="34" spans="1:11" ht="39.950000000000003" customHeight="1" x14ac:dyDescent="0.25">
      <c r="A34" s="60" t="s">
        <v>93</v>
      </c>
      <c r="B34" s="108" t="s">
        <v>106</v>
      </c>
      <c r="C34" s="109"/>
      <c r="D34" s="39"/>
      <c r="E34" s="40"/>
      <c r="F34" s="40"/>
      <c r="G34" s="41"/>
      <c r="H34" s="44"/>
      <c r="I34" s="45">
        <f>I36</f>
        <v>65227100</v>
      </c>
      <c r="J34" s="8"/>
      <c r="K34" s="8"/>
    </row>
    <row r="35" spans="1:11" ht="15.95" customHeight="1" x14ac:dyDescent="0.25">
      <c r="A35" s="68"/>
      <c r="B35" s="110" t="s">
        <v>94</v>
      </c>
      <c r="C35" s="110"/>
      <c r="D35" s="110"/>
      <c r="E35" s="110"/>
      <c r="F35" s="110"/>
      <c r="G35" s="110"/>
      <c r="H35" s="44"/>
      <c r="I35" s="42"/>
      <c r="J35" s="8"/>
      <c r="K35" s="8"/>
    </row>
    <row r="36" spans="1:11" ht="39.950000000000003" customHeight="1" x14ac:dyDescent="0.25">
      <c r="A36" s="70"/>
      <c r="B36" s="104" t="s">
        <v>95</v>
      </c>
      <c r="C36" s="105"/>
      <c r="D36" s="46">
        <v>1588</v>
      </c>
      <c r="E36" s="47"/>
      <c r="F36" s="47" t="s">
        <v>50</v>
      </c>
      <c r="G36" s="41">
        <v>41075</v>
      </c>
      <c r="H36" s="44"/>
      <c r="I36" s="48">
        <f>G36*D36</f>
        <v>65227100</v>
      </c>
      <c r="J36" s="9">
        <f>I36</f>
        <v>65227100</v>
      </c>
      <c r="K36" s="8"/>
    </row>
    <row r="37" spans="1:11" ht="27.75" customHeight="1" x14ac:dyDescent="0.25">
      <c r="A37" s="49" t="s">
        <v>51</v>
      </c>
      <c r="B37" s="111" t="s">
        <v>52</v>
      </c>
      <c r="C37" s="111"/>
      <c r="D37" s="111"/>
      <c r="E37" s="111"/>
      <c r="F37" s="111"/>
      <c r="G37" s="111"/>
      <c r="H37" s="50"/>
      <c r="I37" s="45">
        <f>I38</f>
        <v>11385000</v>
      </c>
      <c r="J37" s="9"/>
      <c r="K37" s="8"/>
    </row>
    <row r="38" spans="1:11" ht="33" customHeight="1" x14ac:dyDescent="0.25">
      <c r="A38" s="112"/>
      <c r="B38" s="114" t="s">
        <v>96</v>
      </c>
      <c r="C38" s="115"/>
      <c r="D38" s="115"/>
      <c r="E38" s="115"/>
      <c r="F38" s="115"/>
      <c r="G38" s="115"/>
      <c r="H38" s="115"/>
      <c r="I38" s="51">
        <f>I39+I40</f>
        <v>11385000</v>
      </c>
      <c r="J38" s="9">
        <f>I38</f>
        <v>11385000</v>
      </c>
      <c r="K38" s="8"/>
    </row>
    <row r="39" spans="1:11" ht="50.1" customHeight="1" x14ac:dyDescent="0.25">
      <c r="A39" s="113"/>
      <c r="B39" s="116" t="s">
        <v>53</v>
      </c>
      <c r="C39" s="117"/>
      <c r="D39" s="39">
        <v>115</v>
      </c>
      <c r="E39" s="40">
        <v>2</v>
      </c>
      <c r="F39" s="40" t="s">
        <v>54</v>
      </c>
      <c r="G39" s="41">
        <v>33000</v>
      </c>
      <c r="H39" s="44"/>
      <c r="I39" s="42">
        <f>G39*E39*D39</f>
        <v>7590000</v>
      </c>
      <c r="J39" s="8"/>
      <c r="K39" s="8"/>
    </row>
    <row r="40" spans="1:11" ht="50.1" customHeight="1" x14ac:dyDescent="0.25">
      <c r="A40" s="113"/>
      <c r="B40" s="116" t="s">
        <v>55</v>
      </c>
      <c r="C40" s="117"/>
      <c r="D40" s="39">
        <v>115</v>
      </c>
      <c r="E40" s="40">
        <v>2</v>
      </c>
      <c r="F40" s="40" t="s">
        <v>54</v>
      </c>
      <c r="G40" s="41">
        <v>16500</v>
      </c>
      <c r="H40" s="44"/>
      <c r="I40" s="42">
        <f>G40*E40*D40</f>
        <v>3795000</v>
      </c>
      <c r="J40" s="8"/>
      <c r="K40" s="8"/>
    </row>
    <row r="41" spans="1:11" ht="14.25" customHeight="1" x14ac:dyDescent="0.25">
      <c r="A41" s="49" t="s">
        <v>67</v>
      </c>
      <c r="B41" s="111" t="s">
        <v>68</v>
      </c>
      <c r="C41" s="111"/>
      <c r="D41" s="111"/>
      <c r="E41" s="111"/>
      <c r="F41" s="111"/>
      <c r="G41" s="111"/>
      <c r="H41" s="44"/>
      <c r="I41" s="45">
        <f>I42</f>
        <v>7000000</v>
      </c>
      <c r="J41" s="8"/>
      <c r="K41" s="8"/>
    </row>
    <row r="42" spans="1:11" ht="14.25" customHeight="1" x14ac:dyDescent="0.25">
      <c r="A42" s="25" t="s">
        <v>69</v>
      </c>
      <c r="B42" s="64" t="s">
        <v>70</v>
      </c>
      <c r="C42" s="65"/>
      <c r="D42" s="65"/>
      <c r="E42" s="65"/>
      <c r="F42" s="65"/>
      <c r="G42" s="65"/>
      <c r="H42" s="44"/>
      <c r="I42" s="45">
        <f>I43</f>
        <v>7000000</v>
      </c>
      <c r="J42" s="8"/>
      <c r="K42" s="8"/>
    </row>
    <row r="43" spans="1:11" ht="14.25" customHeight="1" x14ac:dyDescent="0.25">
      <c r="A43" s="25" t="s">
        <v>71</v>
      </c>
      <c r="B43" s="66" t="s">
        <v>72</v>
      </c>
      <c r="C43" s="67"/>
      <c r="D43" s="67"/>
      <c r="E43" s="67"/>
      <c r="F43" s="67"/>
      <c r="G43" s="67"/>
      <c r="H43" s="44"/>
      <c r="I43" s="45">
        <f>I44</f>
        <v>7000000</v>
      </c>
      <c r="J43" s="9"/>
      <c r="K43" s="8"/>
    </row>
    <row r="44" spans="1:11" ht="30.6" customHeight="1" x14ac:dyDescent="0.25">
      <c r="A44" s="68"/>
      <c r="B44" s="71" t="s">
        <v>87</v>
      </c>
      <c r="C44" s="72"/>
      <c r="D44" s="73"/>
      <c r="E44" s="72"/>
      <c r="F44" s="72"/>
      <c r="G44" s="72"/>
      <c r="H44" s="44"/>
      <c r="I44" s="45">
        <f>I45+I46</f>
        <v>7000000</v>
      </c>
      <c r="J44" s="9">
        <f>I44</f>
        <v>7000000</v>
      </c>
      <c r="K44" s="8"/>
    </row>
    <row r="45" spans="1:11" ht="38.1" customHeight="1" x14ac:dyDescent="0.25">
      <c r="A45" s="69"/>
      <c r="B45" s="74" t="s">
        <v>73</v>
      </c>
      <c r="C45" s="75"/>
      <c r="D45" s="46">
        <v>2</v>
      </c>
      <c r="E45" s="47" t="s">
        <v>79</v>
      </c>
      <c r="F45" s="47" t="s">
        <v>74</v>
      </c>
      <c r="G45" s="41">
        <v>900000</v>
      </c>
      <c r="H45" s="44"/>
      <c r="I45" s="42">
        <f>D45*G45*2</f>
        <v>3600000</v>
      </c>
      <c r="J45" s="8"/>
      <c r="K45" s="8"/>
    </row>
    <row r="46" spans="1:11" ht="62.45" customHeight="1" x14ac:dyDescent="0.25">
      <c r="A46" s="70"/>
      <c r="B46" s="76" t="s">
        <v>80</v>
      </c>
      <c r="C46" s="77"/>
      <c r="D46" s="46">
        <v>2</v>
      </c>
      <c r="E46" s="47" t="s">
        <v>64</v>
      </c>
      <c r="F46" s="47" t="s">
        <v>64</v>
      </c>
      <c r="G46" s="41">
        <v>1700000</v>
      </c>
      <c r="H46" s="44"/>
      <c r="I46" s="42">
        <f>G46*D46</f>
        <v>3400000</v>
      </c>
      <c r="J46" s="8"/>
      <c r="K46" s="8"/>
    </row>
    <row r="47" spans="1:11" ht="14.25" customHeight="1" x14ac:dyDescent="0.25">
      <c r="A47" s="25" t="s">
        <v>56</v>
      </c>
      <c r="B47" s="64" t="s">
        <v>57</v>
      </c>
      <c r="C47" s="65"/>
      <c r="D47" s="65"/>
      <c r="E47" s="65"/>
      <c r="F47" s="65"/>
      <c r="G47" s="65"/>
      <c r="H47" s="52"/>
      <c r="I47" s="43">
        <f>I48</f>
        <v>47699000</v>
      </c>
      <c r="J47" s="8"/>
      <c r="K47" s="8"/>
    </row>
    <row r="48" spans="1:11" ht="14.25" customHeight="1" x14ac:dyDescent="0.25">
      <c r="A48" s="25" t="s">
        <v>58</v>
      </c>
      <c r="B48" s="66" t="s">
        <v>59</v>
      </c>
      <c r="C48" s="67"/>
      <c r="D48" s="67"/>
      <c r="E48" s="67"/>
      <c r="F48" s="67"/>
      <c r="G48" s="67"/>
      <c r="H48" s="44"/>
      <c r="I48" s="45">
        <f>I49</f>
        <v>47699000</v>
      </c>
      <c r="J48" s="8"/>
      <c r="K48" s="8"/>
    </row>
    <row r="49" spans="1:11" ht="14.25" customHeight="1" x14ac:dyDescent="0.25">
      <c r="A49" s="25" t="s">
        <v>60</v>
      </c>
      <c r="B49" s="66" t="s">
        <v>61</v>
      </c>
      <c r="C49" s="67"/>
      <c r="D49" s="67"/>
      <c r="E49" s="67"/>
      <c r="F49" s="67"/>
      <c r="G49" s="67"/>
      <c r="H49" s="44"/>
      <c r="I49" s="45">
        <f>I50+I58</f>
        <v>47699000</v>
      </c>
      <c r="J49" s="8"/>
      <c r="K49" s="8"/>
    </row>
    <row r="50" spans="1:11" ht="31.5" customHeight="1" x14ac:dyDescent="0.25">
      <c r="A50" s="68"/>
      <c r="B50" s="71" t="s">
        <v>62</v>
      </c>
      <c r="C50" s="72"/>
      <c r="D50" s="72"/>
      <c r="E50" s="72"/>
      <c r="F50" s="72"/>
      <c r="G50" s="72"/>
      <c r="H50" s="44"/>
      <c r="I50" s="45">
        <f>I51+I52+I53+I54+I55+I56+I57</f>
        <v>3980000</v>
      </c>
      <c r="J50" s="9">
        <f>I50</f>
        <v>3980000</v>
      </c>
      <c r="K50" s="8"/>
    </row>
    <row r="51" spans="1:11" ht="80.099999999999994" customHeight="1" x14ac:dyDescent="0.25">
      <c r="A51" s="69"/>
      <c r="B51" s="106" t="s">
        <v>97</v>
      </c>
      <c r="C51" s="106"/>
      <c r="D51" s="46">
        <v>1</v>
      </c>
      <c r="E51" s="53" t="s">
        <v>63</v>
      </c>
      <c r="F51" s="47" t="s">
        <v>64</v>
      </c>
      <c r="G51" s="41">
        <v>255000</v>
      </c>
      <c r="H51" s="44"/>
      <c r="I51" s="54">
        <f t="shared" ref="I51:I57" si="0">D51*G51</f>
        <v>255000</v>
      </c>
      <c r="J51" s="8"/>
      <c r="K51" s="8"/>
    </row>
    <row r="52" spans="1:11" ht="77.45" customHeight="1" x14ac:dyDescent="0.25">
      <c r="A52" s="69"/>
      <c r="B52" s="106" t="s">
        <v>98</v>
      </c>
      <c r="C52" s="106"/>
      <c r="D52" s="46">
        <v>1</v>
      </c>
      <c r="E52" s="53" t="s">
        <v>63</v>
      </c>
      <c r="F52" s="47" t="s">
        <v>65</v>
      </c>
      <c r="G52" s="41">
        <v>145000</v>
      </c>
      <c r="H52" s="44"/>
      <c r="I52" s="54">
        <f>D52*G52</f>
        <v>145000</v>
      </c>
      <c r="J52" s="8"/>
      <c r="K52" s="8"/>
    </row>
    <row r="53" spans="1:11" ht="65.45" customHeight="1" x14ac:dyDescent="0.25">
      <c r="A53" s="69"/>
      <c r="B53" s="106" t="s">
        <v>99</v>
      </c>
      <c r="C53" s="106"/>
      <c r="D53" s="46">
        <v>1</v>
      </c>
      <c r="E53" s="53" t="s">
        <v>63</v>
      </c>
      <c r="F53" s="47" t="s">
        <v>64</v>
      </c>
      <c r="G53" s="41">
        <v>140000</v>
      </c>
      <c r="H53" s="44"/>
      <c r="I53" s="54">
        <f t="shared" si="0"/>
        <v>140000</v>
      </c>
      <c r="J53" s="8"/>
      <c r="K53" s="8"/>
    </row>
    <row r="54" spans="1:11" ht="72" customHeight="1" x14ac:dyDescent="0.25">
      <c r="A54" s="69"/>
      <c r="B54" s="76" t="s">
        <v>108</v>
      </c>
      <c r="C54" s="77"/>
      <c r="D54" s="46">
        <v>1</v>
      </c>
      <c r="E54" s="53" t="s">
        <v>63</v>
      </c>
      <c r="F54" s="47" t="s">
        <v>64</v>
      </c>
      <c r="G54" s="41">
        <v>165000</v>
      </c>
      <c r="H54" s="44"/>
      <c r="I54" s="54">
        <f t="shared" si="0"/>
        <v>165000</v>
      </c>
      <c r="J54" s="8"/>
      <c r="K54" s="8"/>
    </row>
    <row r="55" spans="1:11" ht="69.75" customHeight="1" x14ac:dyDescent="0.25">
      <c r="A55" s="69"/>
      <c r="B55" s="106" t="s">
        <v>100</v>
      </c>
      <c r="C55" s="106"/>
      <c r="D55" s="46">
        <v>1</v>
      </c>
      <c r="E55" s="53" t="s">
        <v>63</v>
      </c>
      <c r="F55" s="47" t="s">
        <v>64</v>
      </c>
      <c r="G55" s="41">
        <v>95000</v>
      </c>
      <c r="H55" s="44"/>
      <c r="I55" s="54">
        <f t="shared" si="0"/>
        <v>95000</v>
      </c>
      <c r="J55" s="8"/>
      <c r="K55" s="8"/>
    </row>
    <row r="56" spans="1:11" ht="75.95" customHeight="1" x14ac:dyDescent="0.25">
      <c r="A56" s="69"/>
      <c r="B56" s="106" t="s">
        <v>101</v>
      </c>
      <c r="C56" s="106"/>
      <c r="D56" s="46">
        <v>1</v>
      </c>
      <c r="E56" s="53" t="s">
        <v>63</v>
      </c>
      <c r="F56" s="47" t="s">
        <v>64</v>
      </c>
      <c r="G56" s="41">
        <v>120000</v>
      </c>
      <c r="H56" s="44"/>
      <c r="I56" s="54">
        <f t="shared" si="0"/>
        <v>120000</v>
      </c>
      <c r="J56" s="8"/>
      <c r="K56" s="8"/>
    </row>
    <row r="57" spans="1:11" ht="47.45" customHeight="1" x14ac:dyDescent="0.25">
      <c r="A57" s="107"/>
      <c r="B57" s="75" t="s">
        <v>66</v>
      </c>
      <c r="C57" s="75"/>
      <c r="D57" s="46">
        <v>18</v>
      </c>
      <c r="E57" s="47" t="s">
        <v>64</v>
      </c>
      <c r="F57" s="47" t="s">
        <v>64</v>
      </c>
      <c r="G57" s="41">
        <v>170000</v>
      </c>
      <c r="H57" s="44"/>
      <c r="I57" s="54">
        <f t="shared" si="0"/>
        <v>3060000</v>
      </c>
      <c r="J57" s="8"/>
      <c r="K57" s="8"/>
    </row>
    <row r="58" spans="1:11" ht="14.25" customHeight="1" x14ac:dyDescent="0.25">
      <c r="A58" s="55" t="s">
        <v>103</v>
      </c>
      <c r="B58" s="64" t="s">
        <v>102</v>
      </c>
      <c r="C58" s="65"/>
      <c r="D58" s="65"/>
      <c r="E58" s="65"/>
      <c r="F58" s="65"/>
      <c r="G58" s="65"/>
      <c r="H58" s="44"/>
      <c r="I58" s="45">
        <f>I60+I61</f>
        <v>43719000</v>
      </c>
      <c r="J58" s="8"/>
      <c r="K58" s="8"/>
    </row>
    <row r="59" spans="1:11" x14ac:dyDescent="0.25">
      <c r="A59" s="55"/>
      <c r="B59" s="71" t="s">
        <v>104</v>
      </c>
      <c r="C59" s="72"/>
      <c r="D59" s="72"/>
      <c r="E59" s="72"/>
      <c r="F59" s="72"/>
      <c r="G59" s="72"/>
      <c r="H59" s="56"/>
      <c r="I59" s="38">
        <f>I60+I61</f>
        <v>43719000</v>
      </c>
      <c r="J59" s="8"/>
      <c r="K59" s="8"/>
    </row>
    <row r="60" spans="1:11" s="58" customFormat="1" ht="50.1" customHeight="1" x14ac:dyDescent="0.25">
      <c r="A60" s="61"/>
      <c r="B60" s="102" t="s">
        <v>88</v>
      </c>
      <c r="C60" s="103"/>
      <c r="D60" s="46">
        <v>108</v>
      </c>
      <c r="E60" s="47" t="s">
        <v>81</v>
      </c>
      <c r="F60" s="47" t="s">
        <v>75</v>
      </c>
      <c r="G60" s="41">
        <v>398000</v>
      </c>
      <c r="H60" s="50"/>
      <c r="I60" s="48">
        <f>G60*D60</f>
        <v>42984000</v>
      </c>
      <c r="J60" s="57"/>
      <c r="K60" s="57"/>
    </row>
    <row r="61" spans="1:11" s="58" customFormat="1" ht="50.1" customHeight="1" thickBot="1" x14ac:dyDescent="0.3">
      <c r="A61" s="59"/>
      <c r="B61" s="104" t="s">
        <v>105</v>
      </c>
      <c r="C61" s="105"/>
      <c r="D61" s="46">
        <v>7</v>
      </c>
      <c r="E61" s="47" t="s">
        <v>81</v>
      </c>
      <c r="F61" s="47" t="s">
        <v>75</v>
      </c>
      <c r="G61" s="41">
        <v>105000</v>
      </c>
      <c r="H61" s="50"/>
      <c r="I61" s="48">
        <f>G61*D61</f>
        <v>735000</v>
      </c>
      <c r="J61" s="57"/>
      <c r="K61" s="57"/>
    </row>
    <row r="62" spans="1:11" ht="19.5" thickBot="1" x14ac:dyDescent="0.35">
      <c r="A62" s="78" t="s">
        <v>76</v>
      </c>
      <c r="B62" s="79"/>
      <c r="C62" s="79"/>
      <c r="D62" s="79"/>
      <c r="E62" s="79"/>
      <c r="F62" s="79"/>
      <c r="G62" s="79"/>
      <c r="H62" s="79"/>
      <c r="I62" s="62">
        <f>J62</f>
        <v>87592100</v>
      </c>
      <c r="J62" s="9">
        <f>SUM(J34:J59)</f>
        <v>87592100</v>
      </c>
      <c r="K62" s="8"/>
    </row>
    <row r="63" spans="1:11" ht="16.5" thickTop="1" x14ac:dyDescent="0.25">
      <c r="A63" s="80"/>
      <c r="B63" s="81"/>
      <c r="C63" s="81"/>
      <c r="D63" s="82"/>
      <c r="E63" s="89" t="s">
        <v>77</v>
      </c>
      <c r="F63" s="90"/>
      <c r="G63" s="90"/>
      <c r="H63" s="90"/>
      <c r="I63" s="91"/>
      <c r="J63" s="8"/>
      <c r="K63" s="8"/>
    </row>
    <row r="64" spans="1:11" ht="15" customHeight="1" x14ac:dyDescent="0.25">
      <c r="A64" s="83"/>
      <c r="B64" s="84"/>
      <c r="C64" s="84"/>
      <c r="D64" s="85"/>
      <c r="E64" s="92" t="s">
        <v>78</v>
      </c>
      <c r="F64" s="93"/>
      <c r="G64" s="93"/>
      <c r="H64" s="93"/>
      <c r="I64" s="91"/>
      <c r="J64" s="8"/>
      <c r="K64" s="8"/>
    </row>
    <row r="65" spans="1:11" x14ac:dyDescent="0.25">
      <c r="A65" s="83"/>
      <c r="B65" s="84"/>
      <c r="C65" s="84"/>
      <c r="D65" s="85"/>
      <c r="E65" s="94"/>
      <c r="F65" s="84"/>
      <c r="G65" s="84"/>
      <c r="H65" s="84"/>
      <c r="I65" s="95"/>
      <c r="J65" s="8"/>
      <c r="K65" s="8"/>
    </row>
    <row r="66" spans="1:11" x14ac:dyDescent="0.25">
      <c r="A66" s="83"/>
      <c r="B66" s="84"/>
      <c r="C66" s="84"/>
      <c r="D66" s="85"/>
      <c r="E66" s="94"/>
      <c r="F66" s="84"/>
      <c r="G66" s="84"/>
      <c r="H66" s="84"/>
      <c r="I66" s="95"/>
      <c r="J66" s="8"/>
      <c r="K66" s="8"/>
    </row>
    <row r="67" spans="1:11" ht="15.75" customHeight="1" x14ac:dyDescent="0.25">
      <c r="A67" s="83"/>
      <c r="B67" s="84"/>
      <c r="C67" s="84"/>
      <c r="D67" s="85"/>
      <c r="E67" s="96"/>
      <c r="F67" s="97"/>
      <c r="G67" s="97"/>
      <c r="H67" s="97"/>
      <c r="I67" s="98"/>
      <c r="J67" s="8"/>
      <c r="K67" s="8"/>
    </row>
    <row r="68" spans="1:11" x14ac:dyDescent="0.25">
      <c r="A68" s="86"/>
      <c r="B68" s="87"/>
      <c r="C68" s="87"/>
      <c r="D68" s="88"/>
      <c r="E68" s="99"/>
      <c r="F68" s="100"/>
      <c r="G68" s="100"/>
      <c r="H68" s="100"/>
      <c r="I68" s="101"/>
      <c r="J68" s="8"/>
      <c r="K68" s="8"/>
    </row>
  </sheetData>
  <mergeCells count="67">
    <mergeCell ref="A25:B25"/>
    <mergeCell ref="C25:G25"/>
    <mergeCell ref="H25:I25"/>
    <mergeCell ref="B1:H2"/>
    <mergeCell ref="A20:I20"/>
    <mergeCell ref="A21:B21"/>
    <mergeCell ref="C21:G21"/>
    <mergeCell ref="H21:I21"/>
    <mergeCell ref="A22:B22"/>
    <mergeCell ref="C22:G22"/>
    <mergeCell ref="H22:I22"/>
    <mergeCell ref="A23:B23"/>
    <mergeCell ref="H23:I23"/>
    <mergeCell ref="A24:B24"/>
    <mergeCell ref="C24:G24"/>
    <mergeCell ref="H24:I24"/>
    <mergeCell ref="A26:I26"/>
    <mergeCell ref="A27:A28"/>
    <mergeCell ref="B27:C28"/>
    <mergeCell ref="D27:H27"/>
    <mergeCell ref="I27:I28"/>
    <mergeCell ref="D28:E28"/>
    <mergeCell ref="B29:C29"/>
    <mergeCell ref="B30:C30"/>
    <mergeCell ref="B31:C31"/>
    <mergeCell ref="B32:C32"/>
    <mergeCell ref="B33:C33"/>
    <mergeCell ref="A38:A40"/>
    <mergeCell ref="B38:H38"/>
    <mergeCell ref="B39:C39"/>
    <mergeCell ref="B40:C40"/>
    <mergeCell ref="B41:G41"/>
    <mergeCell ref="B34:C34"/>
    <mergeCell ref="A35:A36"/>
    <mergeCell ref="B35:G35"/>
    <mergeCell ref="B36:C36"/>
    <mergeCell ref="B37:G37"/>
    <mergeCell ref="B47:G47"/>
    <mergeCell ref="B48:G48"/>
    <mergeCell ref="B49:G49"/>
    <mergeCell ref="A50:A57"/>
    <mergeCell ref="B50:G50"/>
    <mergeCell ref="B51:C51"/>
    <mergeCell ref="B52:C52"/>
    <mergeCell ref="B53:C53"/>
    <mergeCell ref="B58:G58"/>
    <mergeCell ref="B59:G59"/>
    <mergeCell ref="B60:C60"/>
    <mergeCell ref="B61:C61"/>
    <mergeCell ref="B54:C54"/>
    <mergeCell ref="B55:C55"/>
    <mergeCell ref="B56:C56"/>
    <mergeCell ref="B57:C57"/>
    <mergeCell ref="A62:H62"/>
    <mergeCell ref="A63:D68"/>
    <mergeCell ref="E63:I63"/>
    <mergeCell ref="E64:I64"/>
    <mergeCell ref="E65:I65"/>
    <mergeCell ref="E66:I66"/>
    <mergeCell ref="E67:I67"/>
    <mergeCell ref="E68:I68"/>
    <mergeCell ref="B42:G42"/>
    <mergeCell ref="B43:G43"/>
    <mergeCell ref="A44:A46"/>
    <mergeCell ref="B44:G44"/>
    <mergeCell ref="B45:C45"/>
    <mergeCell ref="B46:C46"/>
  </mergeCells>
  <pageMargins left="0.31496062992125984" right="0.31496062992125984" top="0.35433070866141736" bottom="0.35433070866141736" header="0.31496062992125984" footer="0.31496062992125984"/>
  <pageSetup paperSize="9" scale="72" orientation="portrait" r:id="rId1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RKA Ibu Hamil_2027 </vt:lpstr>
    </vt:vector>
  </TitlesOfParts>
  <Company>DAI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</dc:creator>
  <cp:lastModifiedBy>Lenovo IdeaCentre</cp:lastModifiedBy>
  <dcterms:created xsi:type="dcterms:W3CDTF">2023-01-05T00:39:08Z</dcterms:created>
  <dcterms:modified xsi:type="dcterms:W3CDTF">2026-02-27T04:39:40Z</dcterms:modified>
</cp:coreProperties>
</file>