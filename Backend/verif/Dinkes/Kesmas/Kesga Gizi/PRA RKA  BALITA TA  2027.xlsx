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 RKA BALITA TA 2027" sheetId="1" r:id="rId4"/>
  </sheets>
  <definedNames/>
  <calcPr/>
  <extLst>
    <ext uri="GoogleSheetsCustomDataVersion2">
      <go:sheetsCustomData xmlns:go="http://customooxmlschemas.google.com/" r:id="rId5" roundtripDataChecksum="v+YElgIgUMjs/hxRVYkg/9WNXjYlVQxycj34FNWkPHk="/>
    </ext>
  </extLst>
</workbook>
</file>

<file path=xl/sharedStrings.xml><?xml version="1.0" encoding="utf-8"?>
<sst xmlns="http://schemas.openxmlformats.org/spreadsheetml/2006/main" count="249" uniqueCount="248">
  <si>
    <r>
      <rPr>
        <rFont val="Arial"/>
        <b/>
        <color theme="1"/>
        <sz val="18.0"/>
      </rPr>
      <t>RENCANA KERJA DAN ANGGARAN SATUAN KERJA PERANGKAT DAERAH</t>
    </r>
  </si>
  <si>
    <t>Pemerintahan Kab. Bogor Tahun Anggaran 2027</t>
  </si>
  <si>
    <r>
      <rPr>
        <rFont val="Arial MT"/>
        <color theme="1"/>
        <sz val="18.0"/>
      </rPr>
      <t>Rincian Anggaran Belanja Menurut Program, Kegiatan dan Sub Kegiatan</t>
    </r>
  </si>
  <si>
    <r>
      <rPr>
        <rFont val="Arial MT"/>
        <color theme="1"/>
        <sz val="12.0"/>
      </rPr>
      <t>Urusan Pemerintahan</t>
    </r>
  </si>
  <si>
    <r>
      <rPr>
        <rFont val="Arial MT"/>
        <color theme="1"/>
        <sz val="12.0"/>
      </rPr>
      <t>: 1 URUSAN PEMERINTAHAN WAJIB YANG BERKAITAN DENGAN PELAYANAN DASAR</t>
    </r>
  </si>
  <si>
    <r>
      <rPr>
        <rFont val="Arial MT"/>
        <color theme="1"/>
        <sz val="12.0"/>
      </rPr>
      <t>Bidang Urusan</t>
    </r>
  </si>
  <si>
    <r>
      <rPr>
        <rFont val="Arial MT"/>
        <color theme="1"/>
        <sz val="12.0"/>
      </rPr>
      <t>: 1.02 URUSAN PEMERINTAHAN BIDANG KESEHATAN</t>
    </r>
  </si>
  <si>
    <r>
      <rPr>
        <rFont val="Arial MT"/>
        <color theme="1"/>
        <sz val="12.0"/>
      </rPr>
      <t>Unit Organisasi</t>
    </r>
  </si>
  <si>
    <r>
      <rPr>
        <rFont val="Arial MT"/>
        <color theme="1"/>
        <sz val="12.0"/>
      </rPr>
      <t>: 1.02.0.00.0.00.01.0000 DINAS KESEHATAN</t>
    </r>
  </si>
  <si>
    <r>
      <rPr>
        <rFont val="Arial MT"/>
        <color theme="1"/>
        <sz val="12.0"/>
      </rPr>
      <t>Sub Unit Organisasi</t>
    </r>
  </si>
  <si>
    <r>
      <rPr>
        <rFont val="Arial MT"/>
        <color theme="1"/>
        <sz val="12.0"/>
      </rPr>
      <t>: 1.02.0.00.0.00.01.0000 DINAS KESEHATAN</t>
    </r>
  </si>
  <si>
    <r>
      <rPr>
        <rFont val="Arial MT"/>
        <color theme="1"/>
        <sz val="12.0"/>
      </rPr>
      <t>Program</t>
    </r>
  </si>
  <si>
    <t>: 1.02.02 PROGRAM PEMENUHAN UPAYA KESEHATAN PERORANGAN DAN UPAYA KESEHATAN MASYARAKAT</t>
  </si>
  <si>
    <r>
      <rPr>
        <rFont val="Arial MT"/>
        <color theme="1"/>
        <sz val="12.0"/>
      </rPr>
      <t>Kegiatan</t>
    </r>
  </si>
  <si>
    <t>: 1.02.02.2.02 Penyediaan Layanan Kesehatan untuk UKM dan UKP Rujukan Tingkat Daerah Kabupaten/Kota</t>
  </si>
  <si>
    <r>
      <rPr>
        <rFont val="Arial MT"/>
        <color theme="1"/>
        <sz val="12.0"/>
      </rPr>
      <t>Sub Kegiatan</t>
    </r>
  </si>
  <si>
    <t>: 1.02.02.2.02.0004 Pengelolaan Pelayanan Kesehatan Balita</t>
  </si>
  <si>
    <r>
      <rPr>
        <rFont val="Arial MT"/>
        <color theme="1"/>
        <sz val="12.0"/>
      </rPr>
      <t>SPM</t>
    </r>
  </si>
  <si>
    <r>
      <rPr>
        <rFont val="Arial MT"/>
        <color theme="1"/>
        <sz val="12.0"/>
      </rPr>
      <t>:  SPM Bidang Kesehatan</t>
    </r>
  </si>
  <si>
    <r>
      <rPr>
        <rFont val="Arial MT"/>
        <color theme="1"/>
        <sz val="12.0"/>
      </rPr>
      <t>Jenis Layanan</t>
    </r>
  </si>
  <si>
    <r>
      <rPr>
        <rFont val="Arial MT"/>
        <color theme="1"/>
        <sz val="12.0"/>
      </rPr>
      <t>: Pelayanan Kesehatan Balita</t>
    </r>
  </si>
  <si>
    <r>
      <rPr>
        <rFont val="Arial MT"/>
        <color theme="1"/>
        <sz val="12.0"/>
      </rPr>
      <t>Sumber Pendanaan</t>
    </r>
  </si>
  <si>
    <r>
      <rPr>
        <rFont val="Arial MT"/>
        <color theme="1"/>
        <sz val="12.0"/>
      </rPr>
      <t>: PENDAPATAN ASLI DAERAH (PAD)</t>
    </r>
  </si>
  <si>
    <r>
      <rPr>
        <rFont val="Arial MT"/>
        <color theme="1"/>
        <sz val="12.0"/>
      </rPr>
      <t>Lokasi</t>
    </r>
  </si>
  <si>
    <r>
      <rPr>
        <rFont val="Arial MT"/>
        <color theme="1"/>
        <sz val="12.0"/>
      </rPr>
      <t>:  Semua Kota/Kab, Semua Kecamatan, Semua Kel/Desa</t>
    </r>
  </si>
  <si>
    <r>
      <rPr>
        <rFont val="Arial MT"/>
        <color theme="1"/>
        <sz val="12.0"/>
      </rPr>
      <t>Waktu Pelaksanaan</t>
    </r>
  </si>
  <si>
    <r>
      <rPr>
        <rFont val="Arial MT"/>
        <color theme="1"/>
        <sz val="12.0"/>
      </rPr>
      <t>: Januari s.d Desember</t>
    </r>
  </si>
  <si>
    <r>
      <rPr>
        <rFont val="Arial MT"/>
        <color theme="1"/>
        <sz val="12.0"/>
      </rPr>
      <t>Kelompok Sasaran</t>
    </r>
  </si>
  <si>
    <r>
      <rPr>
        <rFont val="Arial MT"/>
        <color theme="1"/>
        <sz val="12.0"/>
      </rPr>
      <t>-</t>
    </r>
  </si>
  <si>
    <r>
      <rPr>
        <rFont val="Arial MT"/>
        <color theme="1"/>
        <sz val="12.0"/>
      </rPr>
      <t>Alokasi 2025</t>
    </r>
  </si>
  <si>
    <t>: Rp. 63.306.244,00</t>
  </si>
  <si>
    <r>
      <rPr>
        <rFont val="Arial MT"/>
        <color theme="1"/>
        <sz val="12.0"/>
      </rPr>
      <t>Alokasi 2026</t>
    </r>
  </si>
  <si>
    <t>: Rp. 127.391.000,00</t>
  </si>
  <si>
    <r>
      <rPr>
        <rFont val="Arial MT"/>
        <color theme="1"/>
        <sz val="12.0"/>
      </rPr>
      <t>Alokasi 2027</t>
    </r>
  </si>
  <si>
    <r>
      <rPr>
        <rFont val="Arial MT"/>
        <color theme="1"/>
        <sz val="12.0"/>
      </rPr>
      <t>: Rp. 0,00</t>
    </r>
  </si>
  <si>
    <r>
      <rPr>
        <rFont val="Arial MT"/>
        <color theme="1"/>
        <sz val="15.0"/>
      </rPr>
      <t>Indikator dan Tolak Ukur Kinerja Kegiatan</t>
    </r>
  </si>
  <si>
    <r>
      <rPr>
        <rFont val="Arial MT"/>
        <color theme="1"/>
        <sz val="15.0"/>
      </rPr>
      <t>Sebelum</t>
    </r>
  </si>
  <si>
    <r>
      <rPr>
        <rFont val="Arial MT"/>
        <color theme="1"/>
        <sz val="15.0"/>
      </rPr>
      <t>Sesudah</t>
    </r>
  </si>
  <si>
    <r>
      <rPr>
        <rFont val="Arial MT"/>
        <color theme="1"/>
        <sz val="15.0"/>
      </rPr>
      <t>Indikator</t>
    </r>
  </si>
  <si>
    <r>
      <rPr>
        <rFont val="Arial MT"/>
        <color theme="1"/>
        <sz val="15.0"/>
      </rPr>
      <t>Tolok Ukur Kinerja</t>
    </r>
  </si>
  <si>
    <r>
      <rPr>
        <rFont val="Arial MT"/>
        <color theme="1"/>
        <sz val="15.0"/>
      </rPr>
      <t>Target Kinerja</t>
    </r>
  </si>
  <si>
    <r>
      <rPr>
        <rFont val="Arial MT"/>
        <color theme="1"/>
        <sz val="15.0"/>
      </rPr>
      <t>Indikator</t>
    </r>
  </si>
  <si>
    <r>
      <rPr>
        <rFont val="Arial MT"/>
        <color theme="1"/>
        <sz val="15.0"/>
      </rPr>
      <t>Tolok Ukur Kinerja</t>
    </r>
  </si>
  <si>
    <r>
      <rPr>
        <rFont val="Arial MT"/>
        <color theme="1"/>
        <sz val="12.0"/>
      </rPr>
      <t>Capaian Program</t>
    </r>
  </si>
  <si>
    <t>Persentase balita yang mendapatkan pelayanan kesehatan sesuai standar</t>
  </si>
  <si>
    <r>
      <rPr>
        <rFont val="Arial MT"/>
        <color theme="1"/>
        <sz val="12.0"/>
      </rPr>
      <t>Capaian Program</t>
    </r>
  </si>
  <si>
    <r>
      <rPr>
        <rFont val="Arial MT"/>
        <color theme="1"/>
        <sz val="12.0"/>
      </rPr>
      <t>Masukan</t>
    </r>
  </si>
  <si>
    <r>
      <rPr>
        <rFont val="Arial MT"/>
        <color theme="1"/>
        <sz val="12.0"/>
      </rPr>
      <t>Dana yang dibutuhkan</t>
    </r>
  </si>
  <si>
    <t>Rp. 127.391.000,00</t>
  </si>
  <si>
    <r>
      <rPr>
        <rFont val="Arial MT"/>
        <color theme="1"/>
        <sz val="12.0"/>
      </rPr>
      <t>Masukan</t>
    </r>
  </si>
  <si>
    <r>
      <rPr>
        <rFont val="Arial MT"/>
        <color theme="1"/>
        <sz val="12.0"/>
      </rPr>
      <t>Dana yang dibutuhkan</t>
    </r>
  </si>
  <si>
    <r>
      <rPr>
        <rFont val="Arial MT"/>
        <color theme="1"/>
        <sz val="12.0"/>
      </rPr>
      <t>Keluaran</t>
    </r>
  </si>
  <si>
    <r>
      <rPr>
        <rFont val="Arial MT"/>
        <color theme="1"/>
        <sz val="12.0"/>
      </rPr>
      <t>: Jumlah Balita yang Mendapatkan Pelayanan Kesehatan Sesuai Standar</t>
    </r>
  </si>
  <si>
    <t xml:space="preserve"> Orang</t>
  </si>
  <si>
    <r>
      <rPr>
        <rFont val="Arial MT"/>
        <color theme="1"/>
        <sz val="12.0"/>
      </rPr>
      <t>Keluaran</t>
    </r>
  </si>
  <si>
    <r>
      <rPr>
        <rFont val="Arial MT"/>
        <color theme="1"/>
        <sz val="12.0"/>
      </rPr>
      <t>: Jumlah Balita yang Mendapatkan Pelayanan Kesehatan Sesuai Standar</t>
    </r>
  </si>
  <si>
    <r>
      <rPr>
        <rFont val="Arial MT"/>
        <color theme="1"/>
        <sz val="12.0"/>
      </rPr>
      <t>Hasil</t>
    </r>
  </si>
  <si>
    <r>
      <rPr>
        <rFont val="Arial MT"/>
        <color theme="1"/>
        <sz val="12.0"/>
      </rPr>
      <t>: -</t>
    </r>
  </si>
  <si>
    <r>
      <rPr>
        <rFont val="Arial MT"/>
        <color theme="1"/>
        <sz val="12.0"/>
      </rPr>
      <t>-</t>
    </r>
  </si>
  <si>
    <r>
      <rPr>
        <rFont val="Arial MT"/>
        <color theme="1"/>
        <sz val="12.0"/>
      </rPr>
      <t>Hasil</t>
    </r>
  </si>
  <si>
    <r>
      <rPr>
        <rFont val="Arial MT"/>
        <color theme="1"/>
        <sz val="12.0"/>
      </rPr>
      <t>: -</t>
    </r>
  </si>
  <si>
    <r>
      <rPr>
        <rFont val="Arial MT"/>
        <color theme="1"/>
        <sz val="15.0"/>
      </rPr>
      <t>Rincian Anggaran Belanja Kegiatan Satuan Kerja Perangkat Daerah</t>
    </r>
  </si>
  <si>
    <r>
      <rPr>
        <rFont val="Arial MT"/>
        <color theme="1"/>
        <sz val="12.0"/>
      </rPr>
      <t>Sub Kegiatan</t>
    </r>
  </si>
  <si>
    <r>
      <rPr>
        <rFont val="Arial MT"/>
        <color theme="1"/>
        <sz val="12.0"/>
      </rPr>
      <t>: 1.02.02.2.02.0004 Pengelolaan Pelayanan Kesehatan Balita</t>
    </r>
  </si>
  <si>
    <r>
      <rPr>
        <rFont val="Arial MT"/>
        <color theme="1"/>
        <sz val="12.0"/>
      </rPr>
      <t>Sumber Pendanaan</t>
    </r>
  </si>
  <si>
    <r>
      <rPr>
        <rFont val="Arial MT"/>
        <color theme="1"/>
        <sz val="12.0"/>
      </rPr>
      <t>: PENDAPATAN ASLI DAERAH (PAD)</t>
    </r>
  </si>
  <si>
    <r>
      <rPr>
        <rFont val="Arial MT"/>
        <color theme="1"/>
        <sz val="12.0"/>
      </rPr>
      <t>Lokasi</t>
    </r>
  </si>
  <si>
    <r>
      <rPr>
        <rFont val="Arial MT"/>
        <color theme="1"/>
        <sz val="12.0"/>
      </rPr>
      <t>: Semua Kota/Kab, Semua Kecamatan, Semua Kel/Desa</t>
    </r>
  </si>
  <si>
    <r>
      <rPr>
        <rFont val="Arial MT"/>
        <color theme="1"/>
        <sz val="12.0"/>
      </rPr>
      <t>Keluaran Sub Kegiatan</t>
    </r>
  </si>
  <si>
    <r>
      <rPr>
        <rFont val="Arial MT"/>
        <color theme="1"/>
        <sz val="12.0"/>
      </rPr>
      <t>: Jumlah Balita yang Mendapatkan Pelayanan Kesehatan Sesuai Standar</t>
    </r>
  </si>
  <si>
    <r>
      <rPr>
        <rFont val="Arial MT"/>
        <color theme="1"/>
        <sz val="12.0"/>
      </rPr>
      <t>Waktu Pelaksanaan</t>
    </r>
  </si>
  <si>
    <r>
      <rPr>
        <rFont val="Arial MT"/>
        <color theme="1"/>
        <sz val="12.0"/>
      </rPr>
      <t>: Januari s.d Desember</t>
    </r>
  </si>
  <si>
    <r>
      <rPr>
        <rFont val="Arial MT"/>
        <color theme="1"/>
        <sz val="12.0"/>
      </rPr>
      <t>Keterangan</t>
    </r>
  </si>
  <si>
    <r>
      <rPr>
        <rFont val="Arial MT"/>
        <color theme="1"/>
        <sz val="12.0"/>
      </rPr>
      <t>:</t>
    </r>
  </si>
  <si>
    <r>
      <rPr>
        <rFont val="Arial"/>
        <b/>
        <color theme="1"/>
        <sz val="15.0"/>
      </rPr>
      <t>Rincian Anggaran Belanja Sub Kegiatan Satuan Kerja Perangkat Daerah</t>
    </r>
  </si>
  <si>
    <r>
      <rPr>
        <rFont val="Arial"/>
        <b/>
        <color theme="1"/>
        <sz val="12.0"/>
      </rPr>
      <t>Kode Rekening</t>
    </r>
  </si>
  <si>
    <r>
      <rPr>
        <rFont val="Arial"/>
        <b/>
        <color theme="1"/>
        <sz val="12.0"/>
      </rPr>
      <t>Uraian</t>
    </r>
  </si>
  <si>
    <r>
      <rPr>
        <rFont val="Arial"/>
        <b/>
        <color theme="1"/>
        <sz val="12.0"/>
      </rPr>
      <t>Rincian Perhitungan Sebelum</t>
    </r>
  </si>
  <si>
    <r>
      <rPr>
        <rFont val="Arial"/>
        <b/>
        <color theme="1"/>
        <sz val="12.0"/>
      </rPr>
      <t>Koefisien</t>
    </r>
  </si>
  <si>
    <r>
      <rPr>
        <rFont val="Arial"/>
        <b/>
        <color theme="1"/>
        <sz val="12.0"/>
      </rPr>
      <t>Satuan</t>
    </r>
  </si>
  <si>
    <r>
      <rPr>
        <rFont val="Arial"/>
        <b/>
        <color theme="1"/>
        <sz val="12.0"/>
      </rPr>
      <t>Harga (Rp)</t>
    </r>
  </si>
  <si>
    <r>
      <rPr>
        <rFont val="Arial"/>
        <b/>
        <color theme="1"/>
        <sz val="12.0"/>
      </rPr>
      <t>PPN</t>
    </r>
  </si>
  <si>
    <r>
      <rPr>
        <rFont val="Arial"/>
        <b/>
        <color theme="1"/>
        <sz val="12.0"/>
      </rPr>
      <t>Jumlah (Rp)</t>
    </r>
  </si>
  <si>
    <t>PAGU</t>
  </si>
  <si>
    <r>
      <rPr>
        <rFont val="Arial"/>
        <b/>
        <color theme="1"/>
        <sz val="10.0"/>
      </rPr>
      <t>BELANJA DAERAH</t>
    </r>
  </si>
  <si>
    <r>
      <rPr>
        <rFont val="Arial"/>
        <b/>
        <color theme="1"/>
        <sz val="10.0"/>
      </rPr>
      <t>5.1</t>
    </r>
  </si>
  <si>
    <r>
      <rPr>
        <rFont val="Arial"/>
        <b/>
        <color theme="1"/>
        <sz val="10.0"/>
      </rPr>
      <t>BELANJA OPERASI</t>
    </r>
  </si>
  <si>
    <r>
      <rPr>
        <rFont val="Arial"/>
        <b/>
        <color theme="1"/>
        <sz val="10.0"/>
      </rPr>
      <t>Belanja Barang dan Jasa</t>
    </r>
  </si>
  <si>
    <r>
      <rPr>
        <rFont val="Arial"/>
        <b/>
        <color theme="1"/>
        <sz val="10.0"/>
      </rPr>
      <t>5.1.02.01</t>
    </r>
  </si>
  <si>
    <r>
      <rPr>
        <rFont val="Arial"/>
        <b/>
        <color theme="1"/>
        <sz val="10.0"/>
      </rPr>
      <t>Belanja Barang</t>
    </r>
  </si>
  <si>
    <r>
      <rPr>
        <rFont val="Arial"/>
        <b/>
        <color theme="1"/>
        <sz val="10.0"/>
      </rPr>
      <t>5.1.02.01.001</t>
    </r>
  </si>
  <si>
    <r>
      <rPr>
        <rFont val="Arial"/>
        <b/>
        <color theme="1"/>
        <sz val="10.0"/>
      </rPr>
      <t>Belanja Barang Pakai Habis</t>
    </r>
  </si>
  <si>
    <r>
      <rPr>
        <rFont val="Arial"/>
        <b/>
        <color theme="1"/>
        <sz val="10.0"/>
      </rPr>
      <t>5.1.02.01.001.00025</t>
    </r>
  </si>
  <si>
    <r>
      <rPr>
        <rFont val="Arial"/>
        <b/>
        <color theme="1"/>
        <sz val="10.0"/>
      </rPr>
      <t>Belanja Alat/Bahan untuk Kegiatan Kantor- Kertas dan Cover</t>
    </r>
  </si>
  <si>
    <r>
      <rPr>
        <rFont val="Arial"/>
        <b/>
        <color theme="1"/>
        <sz val="10.0"/>
      </rPr>
      <t>[ # ] Belanja Alat/Bahan untuk Kegiatan Kantor- Kertas dan Cover Sumber Dana : PENDAPATAN ASLI DAERAH (PAD)</t>
    </r>
  </si>
  <si>
    <r>
      <rPr>
        <rFont val="Arial"/>
        <b/>
        <color theme="1"/>
        <sz val="10.0"/>
      </rPr>
      <t>[ - ] Belanja Alat/Bahan untuk Kegiatan Kantor- Kertas dan Cover</t>
    </r>
  </si>
  <si>
    <r>
      <rPr>
        <rFont val="Arial MT"/>
        <color rgb="FF000000"/>
        <sz val="10.0"/>
      </rPr>
      <t xml:space="preserve">Kertas HVS
</t>
    </r>
    <r>
      <rPr>
        <rFont val="Arial MT"/>
        <color rgb="FF000000"/>
        <sz val="10.0"/>
      </rPr>
      <t>Spesifikasi : Ukuran A4 80 gram</t>
    </r>
  </si>
  <si>
    <r>
      <rPr>
        <rFont val="Arial MT"/>
        <color theme="1"/>
        <sz val="10.0"/>
      </rPr>
      <t>10 Rim</t>
    </r>
  </si>
  <si>
    <r>
      <rPr>
        <rFont val="Arial MT"/>
        <color theme="1"/>
        <sz val="10.0"/>
      </rPr>
      <t>Rim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</si>
  <si>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</si>
  <si>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Kertas HVS
</t>
    </r>
    <r>
      <rPr>
        <rFont val="Arial MT"/>
        <color rgb="FF000000"/>
        <sz val="10.0"/>
      </rPr>
      <t>Spesifikasi : Ukuran F4 80 gram</t>
    </r>
  </si>
  <si>
    <r>
      <rPr>
        <rFont val="Arial MT"/>
        <color theme="1"/>
        <sz val="10.0"/>
      </rPr>
      <t>10 Rim</t>
    </r>
  </si>
  <si>
    <r>
      <rPr>
        <rFont val="Arial MT"/>
        <color theme="1"/>
        <sz val="10.0"/>
      </rPr>
      <t>Rim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</si>
  <si>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</si>
  <si>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5.1.02.01.001.00026</t>
    </r>
  </si>
  <si>
    <r>
      <rPr>
        <rFont val="Arial"/>
        <b/>
        <color theme="1"/>
        <sz val="10.0"/>
      </rPr>
      <t>Belanja Alat/Bahan untuk Kegiatan Kantor- Bahan Cetak</t>
    </r>
  </si>
  <si>
    <r>
      <rPr>
        <rFont val="Arial"/>
        <b/>
        <color theme="1"/>
        <sz val="10.0"/>
      </rPr>
      <t>[ # ] Belanja Alat/Bahan untuk Kegiatan Kantor- Bahan Cetak Sumber Dana : PENDAPATAN ASLI DAERAH (PAD)</t>
    </r>
  </si>
  <si>
    <r>
      <rPr>
        <rFont val="Arial"/>
        <b/>
        <color theme="1"/>
        <sz val="10.0"/>
      </rPr>
      <t>[ - ] Buku Pemantauan SDIDTK</t>
    </r>
  </si>
  <si>
    <r>
      <rPr>
        <rFont val="Arial MT"/>
        <color rgb="FF000000"/>
        <sz val="10.0"/>
      </rPr>
      <t xml:space="preserve">Cetak Buku Pedoman
</t>
    </r>
    <r>
      <rPr>
        <rFont val="Arial MT"/>
        <color rgb="FF000000"/>
        <sz val="10.0"/>
      </rPr>
      <t>Spesifikasi : Cover art carton, ukuran A5, custom</t>
    </r>
  </si>
  <si>
    <r>
      <rPr>
        <rFont val="Arial MT"/>
        <color theme="1"/>
        <sz val="10.0"/>
      </rPr>
      <t>Buah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</si>
  <si>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</si>
  <si>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[ - ] Cetak Dokumen</t>
    </r>
  </si>
  <si>
    <r>
      <rPr>
        <rFont val="Arial MT"/>
        <color rgb="FF000000"/>
        <sz val="10.0"/>
      </rPr>
      <t xml:space="preserve">Foto Copy BW
</t>
    </r>
    <r>
      <rPr>
        <rFont val="Arial MT"/>
        <color rgb="FF000000"/>
        <sz val="10.0"/>
      </rPr>
      <t>Spesifikasi : Volume 1 lembar, ukuran A4</t>
    </r>
  </si>
  <si>
    <r>
      <rPr>
        <rFont val="Arial MT"/>
        <color theme="1"/>
        <sz val="10.0"/>
      </rPr>
      <t>Lembar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</si>
  <si>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</si>
  <si>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[ - ] Orientasi PKAT</t>
    </r>
  </si>
  <si>
    <r>
      <rPr>
        <rFont val="Arial MT"/>
        <color rgb="FF000000"/>
        <sz val="10.0"/>
      </rPr>
      <t xml:space="preserve">Foto Copy BW
</t>
    </r>
    <r>
      <rPr>
        <rFont val="Arial MT"/>
        <color rgb="FF000000"/>
        <sz val="10.0"/>
      </rPr>
      <t>Spesifikasi : Volume 1 lembar, ukuran A4</t>
    </r>
  </si>
  <si>
    <t>12077 Lembar</t>
  </si>
  <si>
    <r>
      <rPr>
        <rFont val="Arial MT"/>
        <color theme="1"/>
        <sz val="10.0"/>
      </rPr>
      <t>Lembar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</si>
  <si>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</si>
  <si>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5.1.02.01.001.00035</t>
    </r>
  </si>
  <si>
    <r>
      <rPr>
        <rFont val="Arial"/>
        <b/>
        <color theme="1"/>
        <sz val="10.0"/>
      </rPr>
      <t>Belanja Alat/Bahan untuk Kegiatan Kantor- Suvenir/Cendera Mata</t>
    </r>
  </si>
  <si>
    <r>
      <rPr>
        <rFont val="Arial"/>
        <b/>
        <color theme="1"/>
        <sz val="10.0"/>
      </rPr>
      <t>[ # ] Belanja Alat/Bahan untuk Kegiatan Kantor- Suvenir/Cendera Mata Sumber Dana : PENDAPATAN ASLI DAERAH (PAD)</t>
    </r>
  </si>
  <si>
    <r>
      <rPr>
        <rFont val="Arial"/>
        <b/>
        <color theme="1"/>
        <sz val="10.0"/>
      </rPr>
      <t>[ - ] Orientasi PKAT</t>
    </r>
  </si>
  <si>
    <r>
      <rPr>
        <rFont val="Arial MT"/>
        <color rgb="FF000000"/>
        <sz val="10.0"/>
      </rPr>
      <t xml:space="preserve">Goody Bag
</t>
    </r>
    <r>
      <rPr>
        <rFont val="Arial MT"/>
        <color rgb="FF000000"/>
        <sz val="10.0"/>
      </rPr>
      <t>Spesifikasi : Bahan Kanvas, Design Custom</t>
    </r>
  </si>
  <si>
    <r>
      <rPr>
        <rFont val="Arial MT"/>
        <color theme="1"/>
        <sz val="10.0"/>
      </rPr>
      <t>36 Buah</t>
    </r>
  </si>
  <si>
    <r>
      <rPr>
        <rFont val="Arial MT"/>
        <color theme="1"/>
        <sz val="10.0"/>
      </rPr>
      <t>Buah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</si>
  <si>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</si>
  <si>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5.1.02.01.001.00052</t>
    </r>
  </si>
  <si>
    <r>
      <rPr>
        <rFont val="Arial"/>
        <b/>
        <color theme="1"/>
        <sz val="10.0"/>
      </rPr>
      <t>Belanja Makanan dan Minuman Rapat</t>
    </r>
  </si>
  <si>
    <r>
      <rPr>
        <rFont val="Arial"/>
        <b/>
        <color rgb="FF000000"/>
        <sz val="10.0"/>
      </rPr>
      <t xml:space="preserve">[ # ] Belanja Makanan dan Minuman Rapat
</t>
    </r>
    <r>
      <rPr>
        <rFont val="Arial"/>
        <b/>
        <color rgb="FF000000"/>
        <sz val="10.0"/>
      </rPr>
      <t>Sumber Dana : PENDAPATAN ASLI DAERAH (PAD)</t>
    </r>
  </si>
  <si>
    <r>
      <rPr>
        <rFont val="Arial"/>
        <b/>
        <color theme="1"/>
        <sz val="10.0"/>
      </rPr>
      <t>[ - ] Orientasi MTBS</t>
    </r>
  </si>
  <si>
    <r>
      <rPr>
        <rFont val="Arial MT"/>
        <color rgb="FF000000"/>
        <sz val="10.0"/>
      </rPr>
      <t xml:space="preserve">Makanan dan Minuman Rapat
</t>
    </r>
    <r>
      <rPr>
        <rFont val="Arial MT"/>
        <color rgb="FF000000"/>
        <sz val="10.0"/>
      </rPr>
      <t>Spesifikasi : Belanja konsumsi kegiatan rapat atau sejenisnya (makan)</t>
    </r>
  </si>
  <si>
    <r>
      <rPr>
        <rFont val="Arial MT"/>
        <color theme="1"/>
        <sz val="10.0"/>
      </rPr>
      <t>120 Orang / Kali</t>
    </r>
  </si>
  <si>
    <r>
      <rPr>
        <rFont val="Arial MT"/>
        <color theme="1"/>
        <sz val="10.0"/>
      </rPr>
      <t>Orang / Kali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</si>
  <si>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</si>
  <si>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Makanan dan Minuman Rapat
</t>
    </r>
    <r>
      <rPr>
        <rFont val="Arial MT"/>
        <color rgb="FF000000"/>
        <sz val="10.0"/>
      </rPr>
      <t>Spesifikasi : Belanja konsumsi kegiatan rapat atau sejenisnya (snack)</t>
    </r>
  </si>
  <si>
    <r>
      <rPr>
        <rFont val="Arial MT"/>
        <color theme="1"/>
        <sz val="10.0"/>
      </rPr>
      <t>120 Orang / Kali</t>
    </r>
  </si>
  <si>
    <r>
      <rPr>
        <rFont val="Arial MT"/>
        <color theme="1"/>
        <sz val="10.0"/>
      </rPr>
      <t>Orang / Kali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</si>
  <si>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</si>
  <si>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[ - ] Orientasi Pelayanan SDIDTK</t>
    </r>
  </si>
  <si>
    <r>
      <rPr>
        <rFont val="Arial MT"/>
        <color rgb="FF000000"/>
        <sz val="10.0"/>
      </rPr>
      <t xml:space="preserve">Makanan dan Minuman Rapat
</t>
    </r>
    <r>
      <rPr>
        <rFont val="Arial MT"/>
        <color rgb="FF000000"/>
        <sz val="10.0"/>
      </rPr>
      <t>Spesifikasi : Belanja konsumsi kegiatan rapat atau sejenisnya (makan)</t>
    </r>
  </si>
  <si>
    <r>
      <rPr>
        <rFont val="Arial MT"/>
        <color theme="1"/>
        <sz val="10.0"/>
      </rPr>
      <t>120 Orang / Kali</t>
    </r>
  </si>
  <si>
    <r>
      <rPr>
        <rFont val="Arial MT"/>
        <color theme="1"/>
        <sz val="10.0"/>
      </rPr>
      <t>Orang / Kali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</si>
  <si>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</si>
  <si>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Makanan dan Minuman Rapat
</t>
    </r>
    <r>
      <rPr>
        <rFont val="Arial MT"/>
        <color rgb="FF000000"/>
        <sz val="10.0"/>
      </rPr>
      <t>Spesifikasi : Belanja konsumsi kegiatan rapat atau sejenisnya (snack)</t>
    </r>
  </si>
  <si>
    <r>
      <rPr>
        <rFont val="Arial MT"/>
        <color theme="1"/>
        <sz val="10.0"/>
      </rPr>
      <t>120 Orang / Kali</t>
    </r>
  </si>
  <si>
    <r>
      <rPr>
        <rFont val="Arial MT"/>
        <color theme="1"/>
        <sz val="10.0"/>
      </rPr>
      <t>Orang / Kali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</si>
  <si>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</si>
  <si>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5.1.02.02</t>
    </r>
  </si>
  <si>
    <r>
      <rPr>
        <rFont val="Arial"/>
        <b/>
        <color theme="1"/>
        <sz val="10.0"/>
      </rPr>
      <t>Belanja Jasa</t>
    </r>
  </si>
  <si>
    <r>
      <rPr>
        <rFont val="Arial"/>
        <b/>
        <color theme="1"/>
        <sz val="10.0"/>
      </rPr>
      <t>5.1.02.02.001</t>
    </r>
  </si>
  <si>
    <r>
      <rPr>
        <rFont val="Arial"/>
        <b/>
        <color theme="1"/>
        <sz val="10.0"/>
      </rPr>
      <t>Belanja Jasa Kantor</t>
    </r>
  </si>
  <si>
    <r>
      <rPr>
        <rFont val="Arial"/>
        <b/>
        <color theme="1"/>
        <sz val="10.0"/>
      </rPr>
      <t>5.1.02.02.001.00003</t>
    </r>
  </si>
  <si>
    <r>
      <rPr>
        <rFont val="Arial"/>
        <b/>
        <color theme="1"/>
        <sz val="10.0"/>
      </rPr>
      <t>Honorarium Narasumber atau Pembahas, Moderator, Pembawa Acara, dan Panitia</t>
    </r>
  </si>
  <si>
    <r>
      <rPr>
        <rFont val="Arial"/>
        <b/>
        <color theme="1"/>
        <sz val="10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</si>
  <si>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10.0"/>
      </rPr>
      <t>[ - ] Orientasi MTBS</t>
    </r>
  </si>
  <si>
    <r>
      <rPr>
        <rFont val="Arial MT"/>
        <color rgb="FF000000"/>
        <sz val="10.0"/>
      </rPr>
      <t xml:space="preserve">Honorarium Narasumber Profesional
</t>
    </r>
    <r>
      <rPr>
        <rFont val="Arial MT"/>
        <color rgb="FF000000"/>
        <sz val="10.0"/>
      </rPr>
      <t>Spesifikasi : Pakar, Praktisi, atau Pembicara Khusus</t>
    </r>
  </si>
  <si>
    <r>
      <rPr>
        <rFont val="Arial MT"/>
        <color theme="1"/>
        <sz val="10.0"/>
      </rPr>
      <t>2 Orang / Jam</t>
    </r>
  </si>
  <si>
    <r>
      <rPr>
        <rFont val="Arial MT"/>
        <color theme="1"/>
        <sz val="10.0"/>
      </rPr>
      <t>Orang / Jam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</si>
  <si>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</si>
  <si>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[ - ] Orientasi Pelayanan SDIDTK</t>
    </r>
  </si>
  <si>
    <r>
      <rPr>
        <rFont val="Arial MT"/>
        <color rgb="FF000000"/>
        <sz val="10.0"/>
      </rPr>
      <t xml:space="preserve">Honorarium Narasumber Profesional
</t>
    </r>
    <r>
      <rPr>
        <rFont val="Arial MT"/>
        <color rgb="FF000000"/>
        <sz val="10.0"/>
      </rPr>
      <t>Spesifikasi : Pakar, Praktisi, atau Pembicara Khusus</t>
    </r>
  </si>
  <si>
    <r>
      <rPr>
        <rFont val="Arial MT"/>
        <color theme="1"/>
        <sz val="10.0"/>
      </rPr>
      <t>2 Orang / Jam</t>
    </r>
  </si>
  <si>
    <r>
      <rPr>
        <rFont val="Arial MT"/>
        <color theme="1"/>
        <sz val="10.0"/>
      </rPr>
      <t>Orang / Jam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</si>
  <si>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</si>
  <si>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[ - ] Orientasi PKAT</t>
    </r>
  </si>
  <si>
    <r>
      <rPr>
        <rFont val="Arial MT"/>
        <color rgb="FF000000"/>
        <sz val="10.0"/>
      </rPr>
      <t xml:space="preserve">Honorarium Narasumber/Pembahas
</t>
    </r>
    <r>
      <rPr>
        <rFont val="Arial MT"/>
        <color rgb="FF000000"/>
        <sz val="10.0"/>
      </rPr>
      <t>Spesifikasi : Pejabat Eselon III ke bawah/ yang disetarakan</t>
    </r>
  </si>
  <si>
    <r>
      <rPr>
        <rFont val="Arial MT"/>
        <color theme="1"/>
        <sz val="10.0"/>
      </rPr>
      <t>2 Orang / Jam</t>
    </r>
  </si>
  <si>
    <r>
      <rPr>
        <rFont val="Arial MT"/>
        <color theme="1"/>
        <sz val="10.0"/>
      </rPr>
      <t>Orang / Jam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</si>
  <si>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</si>
  <si>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Honorarium Narasumber Profesional
</t>
    </r>
    <r>
      <rPr>
        <rFont val="Arial MT"/>
        <color rgb="FF000000"/>
        <sz val="10.0"/>
      </rPr>
      <t>Spesifikasi : Pakar, Praktisi, atau Pembicara Khusus</t>
    </r>
  </si>
  <si>
    <r>
      <rPr>
        <rFont val="Arial MT"/>
        <color theme="1"/>
        <sz val="10.0"/>
      </rPr>
      <t>4 Orang / Jam</t>
    </r>
  </si>
  <si>
    <r>
      <rPr>
        <rFont val="Arial MT"/>
        <color theme="1"/>
        <sz val="10.0"/>
      </rPr>
      <t>Orang / Jam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</si>
  <si>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</si>
  <si>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5.1.02.04</t>
    </r>
  </si>
  <si>
    <r>
      <rPr>
        <rFont val="Arial"/>
        <b/>
        <color theme="1"/>
        <sz val="10.0"/>
      </rPr>
      <t>Belanja Perjalanan Dinas</t>
    </r>
  </si>
  <si>
    <r>
      <rPr>
        <rFont val="Arial"/>
        <b/>
        <color theme="1"/>
        <sz val="10.0"/>
      </rPr>
      <t>5.1.02.04.001</t>
    </r>
  </si>
  <si>
    <r>
      <rPr>
        <rFont val="Arial"/>
        <b/>
        <color theme="1"/>
        <sz val="10.0"/>
      </rPr>
      <t>Belanja Perjalanan Dinas Dalam Negeri</t>
    </r>
  </si>
  <si>
    <r>
      <rPr>
        <rFont val="Arial"/>
        <b/>
        <color theme="1"/>
        <sz val="10.0"/>
      </rPr>
      <t>5.1.02.04.001.00001</t>
    </r>
  </si>
  <si>
    <r>
      <rPr>
        <rFont val="Arial"/>
        <b/>
        <color theme="1"/>
        <sz val="10.0"/>
      </rPr>
      <t>Belanja Perjalanan Dinas Biasa</t>
    </r>
  </si>
  <si>
    <r>
      <rPr>
        <rFont val="Arial"/>
        <b/>
        <color rgb="FF000000"/>
        <sz val="10.0"/>
      </rPr>
      <t xml:space="preserve">[ # ] Belanja Perjalanan Dinas Biasa
</t>
    </r>
    <r>
      <rPr>
        <rFont val="Arial"/>
        <b/>
        <color rgb="FF000000"/>
        <sz val="10.0"/>
      </rPr>
      <t>Sumber Dana : PENDAPATAN ASLI DAERAH (PAD)</t>
    </r>
  </si>
  <si>
    <r>
      <rPr>
        <rFont val="Arial"/>
        <b/>
        <color theme="1"/>
        <sz val="10.0"/>
      </rPr>
      <t>[ - ] Konsultasi Program</t>
    </r>
  </si>
  <si>
    <r>
      <rPr>
        <rFont val="Arial MT"/>
        <color theme="1"/>
        <sz val="10.0"/>
      </rPr>
      <t>Biaya Transportasi Perjalanan Dinas Dalam Negeri Spesifikasi : dari Kabupaten Bogor ke DKI Jakarta (one way)</t>
    </r>
  </si>
  <si>
    <r>
      <rPr>
        <rFont val="Arial MT"/>
        <color theme="1"/>
        <sz val="10.0"/>
      </rPr>
      <t>1 Orang / Kali</t>
    </r>
  </si>
  <si>
    <r>
      <rPr>
        <rFont val="Arial MT"/>
        <color theme="1"/>
        <sz val="10.0"/>
      </rPr>
      <t>Orang / Kali</t>
    </r>
  </si>
  <si>
    <r>
      <rPr>
        <rFont val="Arial MT"/>
        <color theme="1"/>
        <sz val="12.0"/>
      </rPr>
      <t>-</t>
    </r>
  </si>
  <si>
    <r>
      <rPr>
        <rFont val="Arial MT"/>
        <color theme="1"/>
        <sz val="10.0"/>
      </rPr>
      <t>Uang Harian Perjalanan Dinas Dalam Negeri Spesifikasi : ke DKI Jakarta (luar kota)</t>
    </r>
  </si>
  <si>
    <r>
      <rPr>
        <rFont val="Arial MT"/>
        <color theme="1"/>
        <sz val="10.0"/>
      </rPr>
      <t>2 Orang / Hari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</si>
  <si>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</si>
  <si>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</si>
  <si>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5.1.02.04.001.00003</t>
    </r>
  </si>
  <si>
    <r>
      <rPr>
        <rFont val="Arial"/>
        <b/>
        <color theme="1"/>
        <sz val="10.0"/>
      </rPr>
      <t>Belanja Perjalanan Dinas Dalam Kota</t>
    </r>
  </si>
  <si>
    <r>
      <rPr>
        <rFont val="Arial"/>
        <b/>
        <color rgb="FF000000"/>
        <sz val="10.0"/>
      </rPr>
      <t xml:space="preserve">[ # ] Belanja Perjalanan Dinas Dalam Kota
</t>
    </r>
    <r>
      <rPr>
        <rFont val="Arial"/>
        <b/>
        <color rgb="FF000000"/>
        <sz val="10.0"/>
      </rPr>
      <t>Sumber Dana : PENDAPATAN ASLI DAERAH (PAD)</t>
    </r>
  </si>
  <si>
    <r>
      <rPr>
        <rFont val="Arial"/>
        <b/>
        <color theme="1"/>
        <sz val="10.0"/>
      </rPr>
      <t>[ - ] Supervisi Fasilitatif di Fasilitas Kesehatan</t>
    </r>
  </si>
  <si>
    <r>
      <rPr>
        <rFont val="Arial MT"/>
        <color rgb="FF000000"/>
        <sz val="10.0"/>
      </rPr>
      <t xml:space="preserve">Biaya transport perjalanan dinas antar kecamatan untuk Mobil
</t>
    </r>
    <r>
      <rPr>
        <rFont val="Arial MT"/>
        <color rgb="FF000000"/>
        <sz val="10.0"/>
      </rPr>
      <t xml:space="preserve">&gt;2000cc
</t>
    </r>
    <r>
      <rPr>
        <rFont val="Arial MT"/>
        <color rgb="FF000000"/>
        <sz val="10.0"/>
      </rPr>
      <t>Spesifikasi : dari Kecamatan Cibinong ke Kecamatan Ciomas</t>
    </r>
  </si>
  <si>
    <r>
      <rPr>
        <rFont val="Arial MT"/>
        <color theme="1"/>
        <sz val="10.0"/>
      </rPr>
      <t>1 Orang / Hari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</si>
  <si>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</si>
  <si>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</si>
  <si>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Biaya transport perjalanan dinas antar kecamatan untuk Mobil
</t>
    </r>
    <r>
      <rPr>
        <rFont val="Arial MT"/>
        <color rgb="FF000000"/>
        <sz val="10.0"/>
      </rPr>
      <t xml:space="preserve">&gt;2000cc
</t>
    </r>
    <r>
      <rPr>
        <rFont val="Arial MT"/>
        <color rgb="FF000000"/>
        <sz val="10.0"/>
      </rPr>
      <t>Spesifikasi : dari Kecamatan Cibinong ke Kecamatan Gunungputri</t>
    </r>
  </si>
  <si>
    <r>
      <rPr>
        <rFont val="Arial MT"/>
        <color theme="1"/>
        <sz val="10.0"/>
      </rPr>
      <t>1 Orang / Hari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</si>
  <si>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</si>
  <si>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</si>
  <si>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Biaya transport perjalanan dinas antar kecamatan untuk Mobil
</t>
    </r>
    <r>
      <rPr>
        <rFont val="Arial MT"/>
        <color rgb="FF000000"/>
        <sz val="10.0"/>
      </rPr>
      <t xml:space="preserve">&gt;2000cc
</t>
    </r>
    <r>
      <rPr>
        <rFont val="Arial MT"/>
        <color rgb="FF000000"/>
        <sz val="10.0"/>
      </rPr>
      <t>Spesifikasi : dari Kecamatan Cibinong ke Kecamatan Jasinga</t>
    </r>
  </si>
  <si>
    <r>
      <rPr>
        <rFont val="Arial MT"/>
        <color theme="1"/>
        <sz val="10.0"/>
      </rPr>
      <t>1 Orang / Kali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</si>
  <si>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</si>
  <si>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</si>
  <si>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Biaya transport perjalanan dinas antar kecamatan untuk Mobil
</t>
    </r>
    <r>
      <rPr>
        <rFont val="Arial MT"/>
        <color rgb="FF000000"/>
        <sz val="10.0"/>
      </rPr>
      <t xml:space="preserve">&gt;2000cc
</t>
    </r>
    <r>
      <rPr>
        <rFont val="Arial MT"/>
        <color rgb="FF000000"/>
        <sz val="10.0"/>
      </rPr>
      <t>Spesifikasi : dari Kecamatan Cibinong ke Kecamatan Klapanunggal</t>
    </r>
  </si>
  <si>
    <r>
      <rPr>
        <rFont val="Arial MT"/>
        <color theme="1"/>
        <sz val="10.0"/>
      </rPr>
      <t>1 Orang/Kali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</si>
  <si>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</si>
  <si>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</si>
  <si>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Biaya transport perjalanan dinas antar kecamatan untuk Mobil
</t>
    </r>
    <r>
      <rPr>
        <rFont val="Arial MT"/>
        <color rgb="FF000000"/>
        <sz val="10.0"/>
      </rPr>
      <t xml:space="preserve">&gt;2000cc
</t>
    </r>
    <r>
      <rPr>
        <rFont val="Arial MT"/>
        <color rgb="FF000000"/>
        <sz val="10.0"/>
      </rPr>
      <t>Spesifikasi : dari Kecamatan Cibinong ke Kecamatan Leuwiliang</t>
    </r>
  </si>
  <si>
    <r>
      <rPr>
        <rFont val="Arial MT"/>
        <color theme="1"/>
        <sz val="10.0"/>
      </rPr>
      <t>1 Orang / Hari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</si>
  <si>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</si>
  <si>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</si>
  <si>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Biaya transport perjalanan dinas antar kecamatan untuk Mobil
</t>
    </r>
    <r>
      <rPr>
        <rFont val="Arial MT"/>
        <color rgb="FF000000"/>
        <sz val="10.0"/>
      </rPr>
      <t xml:space="preserve">&gt;2000cc
</t>
    </r>
    <r>
      <rPr>
        <rFont val="Arial MT"/>
        <color rgb="FF000000"/>
        <sz val="10.0"/>
      </rPr>
      <t>Spesifikasi : dari Kecamatan Cibinong ke Kecamatan Parungpanjang</t>
    </r>
  </si>
  <si>
    <r>
      <rPr>
        <rFont val="Arial MT"/>
        <color theme="1"/>
        <sz val="10.0"/>
      </rPr>
      <t>1 Orang / Hari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</si>
  <si>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</si>
  <si>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</si>
  <si>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Biaya transport perjalanan dinas antar kecamatan untuk Mobil
</t>
    </r>
    <r>
      <rPr>
        <rFont val="Arial MT"/>
        <color rgb="FF000000"/>
        <sz val="10.0"/>
      </rPr>
      <t xml:space="preserve">&gt;2000cc
</t>
    </r>
    <r>
      <rPr>
        <rFont val="Arial MT"/>
        <color rgb="FF000000"/>
        <sz val="10.0"/>
      </rPr>
      <t>Spesifikasi : dari Kecamatan Cibinong ke Kecamatan Rancabungur</t>
    </r>
  </si>
  <si>
    <r>
      <rPr>
        <rFont val="Arial MT"/>
        <color theme="1"/>
        <sz val="10.0"/>
      </rPr>
      <t>1 Orang / Hari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</si>
  <si>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</si>
  <si>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</si>
  <si>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Biaya transport perjalanan dinas antar kecamatan untuk Mobil
</t>
    </r>
    <r>
      <rPr>
        <rFont val="Arial MT"/>
        <color rgb="FF000000"/>
        <sz val="10.0"/>
      </rPr>
      <t xml:space="preserve">&gt;2000cc
</t>
    </r>
    <r>
      <rPr>
        <rFont val="Arial MT"/>
        <color rgb="FF000000"/>
        <sz val="10.0"/>
      </rPr>
      <t>Spesifikasi : dari Kecamatan Cibinong ke Kecamatan Tanjungsari</t>
    </r>
  </si>
  <si>
    <r>
      <rPr>
        <rFont val="Arial MT"/>
        <color theme="1"/>
        <sz val="10.0"/>
      </rPr>
      <t>1 Orang / Kali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</si>
  <si>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</si>
  <si>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</si>
  <si>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Uang Harian Perjalanan Dinas Dalam Daerah
</t>
    </r>
    <r>
      <rPr>
        <rFont val="Arial MT"/>
        <color rgb="FF000000"/>
        <sz val="10.0"/>
      </rPr>
      <t>Spesifikasi : Perjalanan Dinas Dalam Daerah Lebih dari 8 jam</t>
    </r>
  </si>
  <si>
    <r>
      <rPr>
        <rFont val="Arial MT"/>
        <color theme="1"/>
        <sz val="10.0"/>
      </rPr>
      <t>24 Orang / Hari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</si>
  <si>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</si>
  <si>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</si>
  <si>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0.0"/>
      </rPr>
      <t>5.1.02.04.001.00004</t>
    </r>
  </si>
  <si>
    <t>Belanja Perjalanan Dinas Paket Meeting Dalam Kota</t>
  </si>
  <si>
    <r>
      <rPr>
        <rFont val="Arial"/>
        <b/>
        <color theme="1"/>
        <sz val="10.0"/>
      </rPr>
      <t>[ # ] Belanja Perjalanan Dinas Paket Meeting Dalam Kota Sumber Dana : PENDAPATAN ASLI DAERAH (PAD)</t>
    </r>
  </si>
  <si>
    <r>
      <rPr>
        <rFont val="Arial"/>
        <b/>
        <color theme="1"/>
        <sz val="10.0"/>
      </rPr>
      <t>[ - ] Orientasi PKAT</t>
    </r>
  </si>
  <si>
    <r>
      <rPr>
        <rFont val="Arial MT"/>
        <color rgb="FF000000"/>
        <sz val="10.0"/>
      </rPr>
      <t xml:space="preserve">Biaya Kegiatan Rapat atau Pertemuan di Luar Kantor - paket fullboard
</t>
    </r>
    <r>
      <rPr>
        <rFont val="Arial MT"/>
        <color rgb="FF000000"/>
        <sz val="10.0"/>
      </rPr>
      <t>Spesifikasi : setingkat Pejabat Eselon II ke bawah di Hotel Bintang 3, Hotel Bintang 4 atau Hotel Bintang 5 (paket fullboard)</t>
    </r>
  </si>
  <si>
    <r>
      <rPr>
        <rFont val="Arial MT"/>
        <color theme="1"/>
        <sz val="10.0"/>
      </rPr>
      <t>38 Orang/Paket</t>
    </r>
  </si>
  <si>
    <r>
      <rPr>
        <rFont val="Arial MT"/>
        <color theme="1"/>
        <sz val="10.0"/>
      </rPr>
      <t>Orang / Paket</t>
    </r>
  </si>
  <si>
    <r>
      <rPr>
        <rFont val="Arial MT"/>
        <color theme="1"/>
        <sz val="12.0"/>
      </rPr>
      <t>-</t>
    </r>
  </si>
  <si>
    <r>
      <rPr>
        <rFont val="Arial MT"/>
        <color rgb="FF000000"/>
        <sz val="10.0"/>
      </rPr>
      <t xml:space="preserve">Biaya transport perjalanan dinas antar kecamatan untuk Mobil
</t>
    </r>
    <r>
      <rPr>
        <rFont val="Arial MT"/>
        <color rgb="FF000000"/>
        <sz val="10.0"/>
      </rPr>
      <t xml:space="preserve">&lt;2000cc
</t>
    </r>
    <r>
      <rPr>
        <rFont val="Arial MT"/>
        <color rgb="FF000000"/>
        <sz val="10.0"/>
      </rPr>
      <t>Spesifikasi : dari Kecamatan Cibinong ke Kecamatan Babakan Madang</t>
    </r>
  </si>
  <si>
    <r>
      <rPr>
        <rFont val="Arial MT"/>
        <color theme="1"/>
        <sz val="10.0"/>
      </rPr>
      <t>1 Orang / Kali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</si>
  <si>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</si>
  <si>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</si>
  <si>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 MT"/>
        <color theme="1"/>
        <sz val="10.0"/>
      </rPr>
      <t>Uang Harian Kegiatan Rapat atau Pertemuan di Luar Kantor Spesifikasi : Fullboard</t>
    </r>
  </si>
  <si>
    <r>
      <rPr>
        <rFont val="Arial MT"/>
        <color theme="1"/>
        <sz val="10.0"/>
      </rPr>
      <t>10 Orang / Hari</t>
    </r>
  </si>
  <si>
    <r>
      <rPr>
        <rFont val="Arial MT"/>
        <color theme="1"/>
        <sz val="10.0"/>
      </rPr>
      <t>Orang / Hari</t>
    </r>
  </si>
  <si>
    <r>
      <rPr>
        <rFont val="Arial MT"/>
        <color theme="1"/>
        <sz val="12.0"/>
      </rPr>
      <t>-</t>
    </r>
  </si>
  <si>
    <r>
      <rPr>
        <rFont val="Arial"/>
        <b/>
        <color theme="1"/>
        <sz val="12.0"/>
      </rPr>
      <t>Jumlah Anggaran Sub Kegiatan Sebelum 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</si>
</sst>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\ %"/>
    <numFmt numFmtId="165" formatCode="m\.d\.yy"/>
  </numFmts>
  <fonts count="14">
    <font>
      <sz val="10.0"/>
      <color rgb="FF000000"/>
      <name val="Times New Roman"/>
      <scheme val="minor"/>
    </font>
    <font>
      <b/>
      <sz val="18.0"/>
      <color theme="1"/>
      <name val="Arial"/>
    </font>
    <font/>
    <font>
      <sz val="15.0"/>
      <color theme="1"/>
      <name val="Arial"/>
    </font>
    <font>
      <sz val="18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b/>
      <sz val="15.0"/>
      <color theme="1"/>
      <name val="Arial"/>
    </font>
    <font>
      <b/>
      <sz val="12.0"/>
      <color theme="1"/>
      <name val="Arial"/>
    </font>
    <font>
      <sz val="10.0"/>
      <color rgb="FF000000"/>
      <name val="Times New Roman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1" fillId="0" fontId="6" numFmtId="164" xfId="0" applyAlignment="1" applyBorder="1" applyFont="1" applyNumberFormat="1">
      <alignment horizontal="left" shrinkToFit="1" vertical="top" wrapText="0"/>
    </xf>
    <xf borderId="4" fillId="0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5" fillId="0" fontId="8" numFmtId="0" xfId="0" applyAlignment="1" applyBorder="1" applyFont="1">
      <alignment horizontal="left" shrinkToFit="0" vertical="top" wrapText="1"/>
    </xf>
    <xf borderId="6" fillId="0" fontId="8" numFmtId="0" xfId="0" applyAlignment="1" applyBorder="1" applyFont="1">
      <alignment horizontal="center" shrinkToFit="0" vertical="top" wrapText="1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1" fillId="0" fontId="8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vertical="top"/>
    </xf>
    <xf borderId="11" fillId="0" fontId="2" numFmtId="0" xfId="0" applyAlignment="1" applyBorder="1" applyFont="1">
      <alignment horizontal="left" vertical="top"/>
    </xf>
    <xf borderId="12" fillId="0" fontId="2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left" vertical="top"/>
    </xf>
    <xf borderId="4" fillId="0" fontId="10" numFmtId="1" xfId="0" applyAlignment="1" applyBorder="1" applyFont="1" applyNumberFormat="1">
      <alignment horizontal="left" shrinkToFit="1" vertical="top" wrapText="0"/>
    </xf>
    <xf borderId="1" fillId="2" fontId="11" numFmtId="0" xfId="0" applyAlignment="1" applyBorder="1" applyFill="1" applyFont="1">
      <alignment horizontal="left" shrinkToFit="0" vertical="top" wrapText="1"/>
    </xf>
    <xf borderId="1" fillId="2" fontId="10" numFmtId="4" xfId="0" applyAlignment="1" applyBorder="1" applyFont="1" applyNumberFormat="1">
      <alignment horizontal="right" shrinkToFit="1" vertical="top" wrapText="0"/>
    </xf>
    <xf borderId="0" fillId="0" fontId="9" numFmtId="4" xfId="0" applyAlignment="1" applyFont="1" applyNumberFormat="1">
      <alignment horizontal="left" vertical="top"/>
    </xf>
    <xf borderId="4" fillId="0" fontId="11" numFmtId="0" xfId="0" applyAlignment="1" applyBorder="1" applyFont="1">
      <alignment horizontal="left" shrinkToFit="0" vertical="top" wrapText="1"/>
    </xf>
    <xf borderId="1" fillId="0" fontId="11" numFmtId="0" xfId="0" applyAlignment="1" applyBorder="1" applyFont="1">
      <alignment horizontal="left" shrinkToFit="0" vertical="top" wrapText="1"/>
    </xf>
    <xf borderId="1" fillId="0" fontId="10" numFmtId="4" xfId="0" applyAlignment="1" applyBorder="1" applyFont="1" applyNumberFormat="1">
      <alignment horizontal="right" shrinkToFit="1" vertical="top" wrapText="0"/>
    </xf>
    <xf borderId="4" fillId="0" fontId="10" numFmtId="165" xfId="0" applyAlignment="1" applyBorder="1" applyFont="1" applyNumberFormat="1">
      <alignment horizontal="left" shrinkToFit="1" vertical="top" wrapText="0"/>
    </xf>
    <xf borderId="1" fillId="3" fontId="11" numFmtId="0" xfId="0" applyAlignment="1" applyBorder="1" applyFill="1" applyFont="1">
      <alignment horizontal="left" shrinkToFit="0" vertical="top" wrapText="1"/>
    </xf>
    <xf borderId="1" fillId="3" fontId="10" numFmtId="4" xfId="0" applyAlignment="1" applyBorder="1" applyFont="1" applyNumberFormat="1">
      <alignment horizontal="right" shrinkToFit="1" vertical="top" wrapText="0"/>
    </xf>
    <xf borderId="4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top" wrapText="1"/>
    </xf>
    <xf borderId="4" fillId="0" fontId="12" numFmtId="0" xfId="0" applyAlignment="1" applyBorder="1" applyFont="1">
      <alignment horizontal="left" shrinkToFit="0" vertical="top" wrapText="1"/>
    </xf>
    <xf borderId="1" fillId="0" fontId="13" numFmtId="4" xfId="0" applyAlignment="1" applyBorder="1" applyFont="1" applyNumberFormat="1">
      <alignment horizontal="right" shrinkToFit="1" vertical="top" wrapText="0"/>
    </xf>
    <xf borderId="1" fillId="0" fontId="13" numFmtId="2" xfId="0" applyAlignment="1" applyBorder="1" applyFont="1" applyNumberFormat="1">
      <alignment horizontal="right" shrinkToFit="1" vertical="top" wrapText="0"/>
    </xf>
    <xf borderId="4" fillId="0" fontId="9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left" shrinkToFit="0" vertical="top" wrapText="1"/>
    </xf>
    <xf borderId="1" fillId="3" fontId="11" numFmtId="4" xfId="0" applyAlignment="1" applyBorder="1" applyFont="1" applyNumberFormat="1">
      <alignment horizontal="right" shrinkToFit="1" vertical="top" wrapText="0"/>
    </xf>
    <xf borderId="1" fillId="0" fontId="10" numFmtId="4" xfId="0" applyAlignment="1" applyBorder="1" applyFont="1" applyNumberFormat="1">
      <alignment horizontal="righ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.71"/>
    <col customWidth="1" min="3" max="3" width="6.43"/>
    <col customWidth="1" min="4" max="4" width="56.86"/>
    <col customWidth="1" min="5" max="5" width="4.14"/>
    <col customWidth="1" min="6" max="6" width="18.14"/>
    <col customWidth="1" min="7" max="7" width="11.43"/>
    <col customWidth="1" min="8" max="8" width="5.14"/>
    <col customWidth="1" min="9" max="9" width="10.71"/>
    <col customWidth="1" min="10" max="11" width="7.86"/>
    <col customWidth="1" min="12" max="12" width="49.29"/>
    <col customWidth="1" min="13" max="13" width="8.71"/>
    <col customWidth="1" min="14" max="14" width="13.86"/>
    <col customWidth="1" min="15" max="26" width="8.71"/>
  </cols>
  <sheetData>
    <row r="1" ht="7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7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42.7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ht="24.75" customHeight="1">
      <c r="A4" s="6" t="s">
        <v>3</v>
      </c>
      <c r="B4" s="2"/>
      <c r="C4" s="3"/>
      <c r="D4" s="6" t="s">
        <v>4</v>
      </c>
      <c r="E4" s="2"/>
      <c r="F4" s="2"/>
      <c r="G4" s="2"/>
      <c r="H4" s="2"/>
      <c r="I4" s="2"/>
      <c r="J4" s="2"/>
      <c r="K4" s="2"/>
      <c r="L4" s="3"/>
    </row>
    <row r="5" ht="24.75" customHeight="1">
      <c r="A5" s="6" t="s">
        <v>5</v>
      </c>
      <c r="B5" s="2"/>
      <c r="C5" s="3"/>
      <c r="D5" s="6" t="s">
        <v>6</v>
      </c>
      <c r="E5" s="2"/>
      <c r="F5" s="2"/>
      <c r="G5" s="2"/>
      <c r="H5" s="2"/>
      <c r="I5" s="2"/>
      <c r="J5" s="2"/>
      <c r="K5" s="2"/>
      <c r="L5" s="3"/>
    </row>
    <row r="6" ht="24.75" customHeight="1">
      <c r="A6" s="6" t="s">
        <v>7</v>
      </c>
      <c r="B6" s="2"/>
      <c r="C6" s="3"/>
      <c r="D6" s="6" t="s">
        <v>8</v>
      </c>
      <c r="E6" s="2"/>
      <c r="F6" s="2"/>
      <c r="G6" s="2"/>
      <c r="H6" s="2"/>
      <c r="I6" s="2"/>
      <c r="J6" s="2"/>
      <c r="K6" s="2"/>
      <c r="L6" s="3"/>
    </row>
    <row r="7" ht="24.75" customHeight="1">
      <c r="A7" s="6" t="s">
        <v>9</v>
      </c>
      <c r="B7" s="2"/>
      <c r="C7" s="3"/>
      <c r="D7" s="6" t="s">
        <v>10</v>
      </c>
      <c r="E7" s="2"/>
      <c r="F7" s="2"/>
      <c r="G7" s="2"/>
      <c r="H7" s="2"/>
      <c r="I7" s="2"/>
      <c r="J7" s="2"/>
      <c r="K7" s="2"/>
      <c r="L7" s="3"/>
    </row>
    <row r="8" ht="24.75" customHeight="1">
      <c r="A8" s="6" t="s">
        <v>11</v>
      </c>
      <c r="B8" s="2"/>
      <c r="C8" s="3"/>
      <c r="D8" s="7" t="s">
        <v>12</v>
      </c>
      <c r="E8" s="2"/>
      <c r="F8" s="2"/>
      <c r="G8" s="2"/>
      <c r="H8" s="2"/>
      <c r="I8" s="2"/>
      <c r="J8" s="2"/>
      <c r="K8" s="2"/>
      <c r="L8" s="3"/>
    </row>
    <row r="9" ht="24.75" customHeight="1">
      <c r="A9" s="6" t="s">
        <v>13</v>
      </c>
      <c r="B9" s="2"/>
      <c r="C9" s="3"/>
      <c r="D9" s="7" t="s">
        <v>14</v>
      </c>
      <c r="E9" s="2"/>
      <c r="F9" s="2"/>
      <c r="G9" s="2"/>
      <c r="H9" s="2"/>
      <c r="I9" s="2"/>
      <c r="J9" s="2"/>
      <c r="K9" s="2"/>
      <c r="L9" s="3"/>
    </row>
    <row r="10" ht="24.75" customHeight="1">
      <c r="A10" s="6" t="s">
        <v>15</v>
      </c>
      <c r="B10" s="2"/>
      <c r="C10" s="3"/>
      <c r="D10" s="7" t="s">
        <v>16</v>
      </c>
      <c r="E10" s="2"/>
      <c r="F10" s="2"/>
      <c r="G10" s="2"/>
      <c r="H10" s="2"/>
      <c r="I10" s="2"/>
      <c r="J10" s="2"/>
      <c r="K10" s="2"/>
      <c r="L10" s="3"/>
    </row>
    <row r="11" ht="24.75" customHeight="1">
      <c r="A11" s="6" t="s">
        <v>17</v>
      </c>
      <c r="B11" s="2"/>
      <c r="C11" s="3"/>
      <c r="D11" s="6" t="s">
        <v>18</v>
      </c>
      <c r="E11" s="2"/>
      <c r="F11" s="2"/>
      <c r="G11" s="2"/>
      <c r="H11" s="2"/>
      <c r="I11" s="2"/>
      <c r="J11" s="2"/>
      <c r="K11" s="2"/>
      <c r="L11" s="3"/>
    </row>
    <row r="12" ht="24.75" customHeight="1">
      <c r="A12" s="6" t="s">
        <v>19</v>
      </c>
      <c r="B12" s="2"/>
      <c r="C12" s="3"/>
      <c r="D12" s="6" t="s">
        <v>20</v>
      </c>
      <c r="E12" s="2"/>
      <c r="F12" s="2"/>
      <c r="G12" s="2"/>
      <c r="H12" s="2"/>
      <c r="I12" s="2"/>
      <c r="J12" s="2"/>
      <c r="K12" s="2"/>
      <c r="L12" s="3"/>
    </row>
    <row r="13" ht="24.75" customHeight="1">
      <c r="A13" s="6" t="s">
        <v>21</v>
      </c>
      <c r="B13" s="2"/>
      <c r="C13" s="3"/>
      <c r="D13" s="6" t="s">
        <v>22</v>
      </c>
      <c r="E13" s="2"/>
      <c r="F13" s="2"/>
      <c r="G13" s="2"/>
      <c r="H13" s="2"/>
      <c r="I13" s="2"/>
      <c r="J13" s="2"/>
      <c r="K13" s="2"/>
      <c r="L13" s="3"/>
    </row>
    <row r="14" ht="24.75" customHeight="1">
      <c r="A14" s="6" t="s">
        <v>23</v>
      </c>
      <c r="B14" s="2"/>
      <c r="C14" s="3"/>
      <c r="D14" s="6" t="s">
        <v>24</v>
      </c>
      <c r="E14" s="2"/>
      <c r="F14" s="2"/>
      <c r="G14" s="2"/>
      <c r="H14" s="2"/>
      <c r="I14" s="2"/>
      <c r="J14" s="2"/>
      <c r="K14" s="2"/>
      <c r="L14" s="3"/>
    </row>
    <row r="15" ht="24.75" customHeight="1">
      <c r="A15" s="6" t="s">
        <v>25</v>
      </c>
      <c r="B15" s="2"/>
      <c r="C15" s="3"/>
      <c r="D15" s="6" t="s">
        <v>26</v>
      </c>
      <c r="E15" s="2"/>
      <c r="F15" s="2"/>
      <c r="G15" s="2"/>
      <c r="H15" s="2"/>
      <c r="I15" s="2"/>
      <c r="J15" s="2"/>
      <c r="K15" s="2"/>
      <c r="L15" s="3"/>
    </row>
    <row r="16" ht="24.75" customHeight="1">
      <c r="A16" s="6" t="s">
        <v>27</v>
      </c>
      <c r="B16" s="2"/>
      <c r="C16" s="3"/>
      <c r="D16" s="6" t="s">
        <v>28</v>
      </c>
      <c r="E16" s="2"/>
      <c r="F16" s="2"/>
      <c r="G16" s="2"/>
      <c r="H16" s="2"/>
      <c r="I16" s="2"/>
      <c r="J16" s="2"/>
      <c r="K16" s="2"/>
      <c r="L16" s="3"/>
    </row>
    <row r="17" ht="24.75" customHeight="1">
      <c r="A17" s="6" t="s">
        <v>29</v>
      </c>
      <c r="B17" s="2"/>
      <c r="C17" s="3"/>
      <c r="D17" s="6" t="s">
        <v>30</v>
      </c>
      <c r="E17" s="2"/>
      <c r="F17" s="2"/>
      <c r="G17" s="2"/>
      <c r="H17" s="2"/>
      <c r="I17" s="2"/>
      <c r="J17" s="2"/>
      <c r="K17" s="2"/>
      <c r="L17" s="3"/>
    </row>
    <row r="18" ht="24.75" customHeight="1">
      <c r="A18" s="6" t="s">
        <v>31</v>
      </c>
      <c r="B18" s="2"/>
      <c r="C18" s="3"/>
      <c r="D18" s="6" t="s">
        <v>32</v>
      </c>
      <c r="E18" s="2"/>
      <c r="F18" s="2"/>
      <c r="G18" s="2"/>
      <c r="H18" s="2"/>
      <c r="I18" s="2"/>
      <c r="J18" s="2"/>
      <c r="K18" s="2"/>
      <c r="L18" s="3"/>
    </row>
    <row r="19" ht="24.75" customHeight="1">
      <c r="A19" s="6" t="s">
        <v>33</v>
      </c>
      <c r="B19" s="2"/>
      <c r="C19" s="3"/>
      <c r="D19" s="6" t="s">
        <v>34</v>
      </c>
      <c r="E19" s="2"/>
      <c r="F19" s="2"/>
      <c r="G19" s="2"/>
      <c r="H19" s="2"/>
      <c r="I19" s="2"/>
      <c r="J19" s="2"/>
      <c r="K19" s="2"/>
      <c r="L19" s="3"/>
    </row>
    <row r="20" ht="27.0" customHeight="1">
      <c r="A20" s="4" t="s">
        <v>35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ht="27.0" customHeight="1">
      <c r="A21" s="4" t="s">
        <v>36</v>
      </c>
      <c r="B21" s="2"/>
      <c r="C21" s="2"/>
      <c r="D21" s="2"/>
      <c r="E21" s="2"/>
      <c r="F21" s="2"/>
      <c r="G21" s="2"/>
      <c r="H21" s="3"/>
      <c r="I21" s="4" t="s">
        <v>37</v>
      </c>
      <c r="J21" s="2"/>
      <c r="K21" s="2"/>
      <c r="L21" s="3"/>
    </row>
    <row r="22" ht="27.0" customHeight="1">
      <c r="A22" s="8" t="s">
        <v>38</v>
      </c>
      <c r="B22" s="3"/>
      <c r="C22" s="8" t="s">
        <v>39</v>
      </c>
      <c r="D22" s="3"/>
      <c r="E22" s="8" t="s">
        <v>40</v>
      </c>
      <c r="F22" s="2"/>
      <c r="G22" s="2"/>
      <c r="H22" s="3"/>
      <c r="I22" s="8" t="s">
        <v>41</v>
      </c>
      <c r="J22" s="2"/>
      <c r="K22" s="3"/>
      <c r="L22" s="9" t="s">
        <v>42</v>
      </c>
    </row>
    <row r="23" ht="37.5" customHeight="1">
      <c r="A23" s="6" t="s">
        <v>43</v>
      </c>
      <c r="B23" s="3"/>
      <c r="C23" s="6" t="s">
        <v>44</v>
      </c>
      <c r="D23" s="3"/>
      <c r="E23" s="10">
        <v>1.0</v>
      </c>
      <c r="F23" s="2"/>
      <c r="G23" s="2"/>
      <c r="H23" s="3"/>
      <c r="I23" s="6" t="s">
        <v>45</v>
      </c>
      <c r="J23" s="2"/>
      <c r="K23" s="3"/>
      <c r="L23" s="11" t="s">
        <v>44</v>
      </c>
      <c r="M23" s="12"/>
    </row>
    <row r="24" ht="23.25" customHeight="1">
      <c r="A24" s="6" t="s">
        <v>46</v>
      </c>
      <c r="B24" s="3"/>
      <c r="C24" s="6" t="s">
        <v>47</v>
      </c>
      <c r="D24" s="3"/>
      <c r="E24" s="6" t="s">
        <v>48</v>
      </c>
      <c r="F24" s="2"/>
      <c r="G24" s="2"/>
      <c r="H24" s="3"/>
      <c r="I24" s="6" t="s">
        <v>49</v>
      </c>
      <c r="J24" s="2"/>
      <c r="K24" s="3"/>
      <c r="L24" s="13" t="s">
        <v>50</v>
      </c>
    </row>
    <row r="25" ht="37.5" customHeight="1">
      <c r="A25" s="6" t="s">
        <v>51</v>
      </c>
      <c r="B25" s="3"/>
      <c r="C25" s="6" t="s">
        <v>52</v>
      </c>
      <c r="D25" s="3"/>
      <c r="E25" s="6" t="s">
        <v>53</v>
      </c>
      <c r="F25" s="2"/>
      <c r="G25" s="2"/>
      <c r="H25" s="3"/>
      <c r="I25" s="6" t="s">
        <v>54</v>
      </c>
      <c r="J25" s="2"/>
      <c r="K25" s="3"/>
      <c r="L25" s="13" t="s">
        <v>55</v>
      </c>
    </row>
    <row r="26" ht="23.25" customHeight="1">
      <c r="A26" s="6" t="s">
        <v>56</v>
      </c>
      <c r="B26" s="3"/>
      <c r="C26" s="6" t="s">
        <v>57</v>
      </c>
      <c r="D26" s="3"/>
      <c r="E26" s="6" t="s">
        <v>58</v>
      </c>
      <c r="F26" s="2"/>
      <c r="G26" s="2"/>
      <c r="H26" s="3"/>
      <c r="I26" s="6" t="s">
        <v>59</v>
      </c>
      <c r="J26" s="2"/>
      <c r="K26" s="3"/>
      <c r="L26" s="13" t="s">
        <v>60</v>
      </c>
    </row>
    <row r="27" ht="44.25" customHeight="1">
      <c r="A27" s="4" t="s">
        <v>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</row>
    <row r="28" ht="23.25" customHeight="1">
      <c r="A28" s="6" t="s">
        <v>62</v>
      </c>
      <c r="B28" s="2"/>
      <c r="C28" s="3"/>
      <c r="D28" s="6" t="s">
        <v>63</v>
      </c>
      <c r="E28" s="2"/>
      <c r="F28" s="2"/>
      <c r="G28" s="2"/>
      <c r="H28" s="2"/>
      <c r="I28" s="2"/>
      <c r="J28" s="2"/>
      <c r="K28" s="2"/>
      <c r="L28" s="3"/>
    </row>
    <row r="29" ht="23.25" customHeight="1">
      <c r="A29" s="6" t="s">
        <v>64</v>
      </c>
      <c r="B29" s="2"/>
      <c r="C29" s="3"/>
      <c r="D29" s="6" t="s">
        <v>65</v>
      </c>
      <c r="E29" s="2"/>
      <c r="F29" s="2"/>
      <c r="G29" s="2"/>
      <c r="H29" s="2"/>
      <c r="I29" s="2"/>
      <c r="J29" s="2"/>
      <c r="K29" s="2"/>
      <c r="L29" s="3"/>
    </row>
    <row r="30" ht="23.25" customHeight="1">
      <c r="A30" s="6" t="s">
        <v>66</v>
      </c>
      <c r="B30" s="2"/>
      <c r="C30" s="3"/>
      <c r="D30" s="6" t="s">
        <v>67</v>
      </c>
      <c r="E30" s="2"/>
      <c r="F30" s="2"/>
      <c r="G30" s="2"/>
      <c r="H30" s="2"/>
      <c r="I30" s="2"/>
      <c r="J30" s="2"/>
      <c r="K30" s="2"/>
      <c r="L30" s="3"/>
    </row>
    <row r="31" ht="23.25" customHeight="1">
      <c r="A31" s="6" t="s">
        <v>68</v>
      </c>
      <c r="B31" s="2"/>
      <c r="C31" s="3"/>
      <c r="D31" s="6" t="s">
        <v>69</v>
      </c>
      <c r="E31" s="2"/>
      <c r="F31" s="2"/>
      <c r="G31" s="2"/>
      <c r="H31" s="2"/>
      <c r="I31" s="2"/>
      <c r="J31" s="2"/>
      <c r="K31" s="2"/>
      <c r="L31" s="3"/>
    </row>
    <row r="32" ht="23.25" customHeight="1">
      <c r="A32" s="6" t="s">
        <v>70</v>
      </c>
      <c r="B32" s="2"/>
      <c r="C32" s="3"/>
      <c r="D32" s="6" t="s">
        <v>71</v>
      </c>
      <c r="E32" s="2"/>
      <c r="F32" s="2"/>
      <c r="G32" s="2"/>
      <c r="H32" s="2"/>
      <c r="I32" s="2"/>
      <c r="J32" s="2"/>
      <c r="K32" s="2"/>
      <c r="L32" s="3"/>
    </row>
    <row r="33" ht="23.25" customHeight="1">
      <c r="A33" s="6" t="s">
        <v>72</v>
      </c>
      <c r="B33" s="2"/>
      <c r="C33" s="3"/>
      <c r="D33" s="6" t="s">
        <v>73</v>
      </c>
      <c r="E33" s="2"/>
      <c r="F33" s="2"/>
      <c r="G33" s="2"/>
      <c r="H33" s="2"/>
      <c r="I33" s="2"/>
      <c r="J33" s="2"/>
      <c r="K33" s="2"/>
      <c r="L33" s="3"/>
    </row>
    <row r="34" ht="44.25" customHeight="1">
      <c r="A34" s="14" t="s">
        <v>74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</row>
    <row r="35" ht="25.5" customHeight="1">
      <c r="A35" s="15" t="s">
        <v>75</v>
      </c>
      <c r="B35" s="16" t="s">
        <v>76</v>
      </c>
      <c r="C35" s="17"/>
      <c r="D35" s="17"/>
      <c r="E35" s="18"/>
      <c r="F35" s="19" t="s">
        <v>77</v>
      </c>
      <c r="G35" s="2"/>
      <c r="H35" s="2"/>
      <c r="I35" s="2"/>
      <c r="J35" s="2"/>
      <c r="K35" s="2"/>
      <c r="L35" s="3"/>
    </row>
    <row r="36" ht="37.5" customHeight="1">
      <c r="A36" s="20"/>
      <c r="B36" s="21"/>
      <c r="C36" s="22"/>
      <c r="D36" s="22"/>
      <c r="E36" s="23"/>
      <c r="F36" s="24" t="s">
        <v>78</v>
      </c>
      <c r="G36" s="24" t="s">
        <v>79</v>
      </c>
      <c r="H36" s="19" t="s">
        <v>80</v>
      </c>
      <c r="I36" s="3"/>
      <c r="J36" s="24" t="s">
        <v>81</v>
      </c>
      <c r="K36" s="19" t="s">
        <v>82</v>
      </c>
      <c r="L36" s="3"/>
      <c r="N36" s="25" t="s">
        <v>83</v>
      </c>
    </row>
    <row r="37" ht="23.25" customHeight="1">
      <c r="A37" s="26">
        <v>5.0</v>
      </c>
      <c r="B37" s="27" t="s">
        <v>84</v>
      </c>
      <c r="C37" s="2"/>
      <c r="D37" s="2"/>
      <c r="E37" s="2"/>
      <c r="F37" s="2"/>
      <c r="G37" s="2"/>
      <c r="H37" s="2"/>
      <c r="I37" s="2"/>
      <c r="J37" s="3"/>
      <c r="K37" s="28">
        <f>K42+K47+K55+K59+K67+K80+K85+K97</f>
        <v>127391000</v>
      </c>
      <c r="L37" s="3"/>
      <c r="N37" s="29">
        <v>1.27391E8</v>
      </c>
      <c r="O37" s="29">
        <f>N37-K37</f>
        <v>0</v>
      </c>
    </row>
    <row r="38" ht="23.25" customHeight="1">
      <c r="A38" s="30" t="s">
        <v>85</v>
      </c>
      <c r="B38" s="31" t="s">
        <v>86</v>
      </c>
      <c r="C38" s="2"/>
      <c r="D38" s="2"/>
      <c r="E38" s="2"/>
      <c r="F38" s="2"/>
      <c r="G38" s="2"/>
      <c r="H38" s="2"/>
      <c r="I38" s="2"/>
      <c r="J38" s="3"/>
      <c r="K38" s="32">
        <f>K37</f>
        <v>127391000</v>
      </c>
      <c r="L38" s="3"/>
    </row>
    <row r="39" ht="23.25" customHeight="1">
      <c r="A39" s="33">
        <v>37377.0</v>
      </c>
      <c r="B39" s="31" t="s">
        <v>87</v>
      </c>
      <c r="C39" s="2"/>
      <c r="D39" s="2"/>
      <c r="E39" s="2"/>
      <c r="F39" s="2"/>
      <c r="G39" s="2"/>
      <c r="H39" s="2"/>
      <c r="I39" s="2"/>
      <c r="J39" s="3"/>
      <c r="K39" s="32">
        <f>K37</f>
        <v>127391000</v>
      </c>
      <c r="L39" s="3"/>
    </row>
    <row r="40" ht="23.25" customHeight="1">
      <c r="A40" s="30" t="s">
        <v>88</v>
      </c>
      <c r="B40" s="31" t="s">
        <v>89</v>
      </c>
      <c r="C40" s="2"/>
      <c r="D40" s="2"/>
      <c r="E40" s="2"/>
      <c r="F40" s="2"/>
      <c r="G40" s="2"/>
      <c r="H40" s="2"/>
      <c r="I40" s="2"/>
      <c r="J40" s="3"/>
      <c r="K40" s="32">
        <v>7.1231487E7</v>
      </c>
      <c r="L40" s="3"/>
    </row>
    <row r="41" ht="23.25" customHeight="1">
      <c r="A41" s="30" t="s">
        <v>90</v>
      </c>
      <c r="B41" s="31" t="s">
        <v>91</v>
      </c>
      <c r="C41" s="2"/>
      <c r="D41" s="2"/>
      <c r="E41" s="2"/>
      <c r="F41" s="2"/>
      <c r="G41" s="2"/>
      <c r="H41" s="2"/>
      <c r="I41" s="2"/>
      <c r="J41" s="3"/>
      <c r="K41" s="32">
        <v>7.1231487E7</v>
      </c>
      <c r="L41" s="3"/>
    </row>
    <row r="42" ht="23.25" customHeight="1">
      <c r="A42" s="30" t="s">
        <v>92</v>
      </c>
      <c r="B42" s="34" t="s">
        <v>93</v>
      </c>
      <c r="C42" s="2"/>
      <c r="D42" s="2"/>
      <c r="E42" s="2"/>
      <c r="F42" s="2"/>
      <c r="G42" s="2"/>
      <c r="H42" s="2"/>
      <c r="I42" s="2"/>
      <c r="J42" s="3"/>
      <c r="K42" s="35">
        <v>1613250.0</v>
      </c>
      <c r="L42" s="3"/>
    </row>
    <row r="43" ht="33.0" customHeight="1">
      <c r="A43" s="36"/>
      <c r="B43" s="31" t="s">
        <v>94</v>
      </c>
      <c r="C43" s="2"/>
      <c r="D43" s="2"/>
      <c r="E43" s="2"/>
      <c r="F43" s="2"/>
      <c r="G43" s="2"/>
      <c r="H43" s="2"/>
      <c r="I43" s="2"/>
      <c r="J43" s="3"/>
      <c r="K43" s="32">
        <v>1613250.0</v>
      </c>
      <c r="L43" s="3"/>
    </row>
    <row r="44" ht="23.25" customHeight="1">
      <c r="A44" s="36"/>
      <c r="B44" s="31" t="s">
        <v>95</v>
      </c>
      <c r="C44" s="2"/>
      <c r="D44" s="2"/>
      <c r="E44" s="2"/>
      <c r="F44" s="2"/>
      <c r="G44" s="2"/>
      <c r="H44" s="2"/>
      <c r="I44" s="2"/>
      <c r="J44" s="3"/>
      <c r="K44" s="32">
        <v>1613250.0</v>
      </c>
      <c r="L44" s="3"/>
    </row>
    <row r="45" ht="33.0" customHeight="1">
      <c r="A45" s="36"/>
      <c r="B45" s="37" t="s">
        <v>96</v>
      </c>
      <c r="C45" s="2"/>
      <c r="D45" s="2"/>
      <c r="E45" s="3"/>
      <c r="F45" s="38" t="s">
        <v>97</v>
      </c>
      <c r="G45" s="38" t="s">
        <v>98</v>
      </c>
      <c r="H45" s="39">
        <v>73450.0</v>
      </c>
      <c r="I45" s="3"/>
      <c r="J45" s="13" t="s">
        <v>99</v>
      </c>
      <c r="K45" s="39">
        <v>734500.0</v>
      </c>
      <c r="L45" s="3"/>
    </row>
    <row r="46" ht="33.0" customHeight="1">
      <c r="A46" s="36"/>
      <c r="B46" s="37" t="s">
        <v>100</v>
      </c>
      <c r="C46" s="2"/>
      <c r="D46" s="2"/>
      <c r="E46" s="3"/>
      <c r="F46" s="38" t="s">
        <v>101</v>
      </c>
      <c r="G46" s="38" t="s">
        <v>102</v>
      </c>
      <c r="H46" s="39">
        <v>87875.0</v>
      </c>
      <c r="I46" s="3"/>
      <c r="J46" s="13" t="s">
        <v>103</v>
      </c>
      <c r="K46" s="39">
        <v>878750.0</v>
      </c>
      <c r="L46" s="3"/>
    </row>
    <row r="47" ht="23.25" customHeight="1">
      <c r="A47" s="30" t="s">
        <v>104</v>
      </c>
      <c r="B47" s="34" t="s">
        <v>105</v>
      </c>
      <c r="C47" s="2"/>
      <c r="D47" s="2"/>
      <c r="E47" s="2"/>
      <c r="F47" s="2"/>
      <c r="G47" s="2"/>
      <c r="H47" s="2"/>
      <c r="I47" s="2"/>
      <c r="J47" s="3"/>
      <c r="K47" s="35">
        <f>K48</f>
        <v>56228050</v>
      </c>
      <c r="L47" s="3"/>
    </row>
    <row r="48" ht="33.0" customHeight="1">
      <c r="A48" s="36"/>
      <c r="B48" s="31" t="s">
        <v>106</v>
      </c>
      <c r="C48" s="2"/>
      <c r="D48" s="2"/>
      <c r="E48" s="2"/>
      <c r="F48" s="2"/>
      <c r="G48" s="2"/>
      <c r="H48" s="2"/>
      <c r="I48" s="2"/>
      <c r="J48" s="3"/>
      <c r="K48" s="32">
        <f>K49+K51+K53</f>
        <v>56228050</v>
      </c>
      <c r="L48" s="3"/>
    </row>
    <row r="49" ht="23.25" customHeight="1">
      <c r="A49" s="36"/>
      <c r="B49" s="31" t="s">
        <v>107</v>
      </c>
      <c r="C49" s="2"/>
      <c r="D49" s="2"/>
      <c r="E49" s="2"/>
      <c r="F49" s="2"/>
      <c r="G49" s="2"/>
      <c r="H49" s="2"/>
      <c r="I49" s="2"/>
      <c r="J49" s="3"/>
      <c r="K49" s="39">
        <f>K50</f>
        <v>52000950</v>
      </c>
      <c r="L49" s="3"/>
    </row>
    <row r="50" ht="33.0" customHeight="1">
      <c r="A50" s="36"/>
      <c r="B50" s="37" t="s">
        <v>108</v>
      </c>
      <c r="C50" s="2"/>
      <c r="D50" s="2"/>
      <c r="E50" s="3"/>
      <c r="F50" s="38">
        <v>1266.0</v>
      </c>
      <c r="G50" s="38" t="s">
        <v>109</v>
      </c>
      <c r="H50" s="39">
        <v>41075.0</v>
      </c>
      <c r="I50" s="3"/>
      <c r="J50" s="13" t="s">
        <v>110</v>
      </c>
      <c r="K50" s="39">
        <f>F50*H50</f>
        <v>52000950</v>
      </c>
      <c r="L50" s="3"/>
    </row>
    <row r="51" ht="23.25" customHeight="1">
      <c r="A51" s="36"/>
      <c r="B51" s="31" t="s">
        <v>111</v>
      </c>
      <c r="C51" s="2"/>
      <c r="D51" s="2"/>
      <c r="E51" s="2"/>
      <c r="F51" s="2"/>
      <c r="G51" s="2"/>
      <c r="H51" s="2"/>
      <c r="I51" s="2"/>
      <c r="J51" s="3"/>
      <c r="K51" s="32">
        <f>K52</f>
        <v>150</v>
      </c>
      <c r="L51" s="3"/>
    </row>
    <row r="52" ht="33.0" customHeight="1">
      <c r="A52" s="36"/>
      <c r="B52" s="37" t="s">
        <v>112</v>
      </c>
      <c r="C52" s="2"/>
      <c r="D52" s="2"/>
      <c r="E52" s="3"/>
      <c r="F52" s="38">
        <v>0.4285714286</v>
      </c>
      <c r="G52" s="38" t="s">
        <v>113</v>
      </c>
      <c r="H52" s="40">
        <v>350.0</v>
      </c>
      <c r="I52" s="3"/>
      <c r="J52" s="13" t="s">
        <v>114</v>
      </c>
      <c r="K52" s="39">
        <f>F52*H52</f>
        <v>150</v>
      </c>
      <c r="L52" s="3"/>
    </row>
    <row r="53" ht="23.25" customHeight="1">
      <c r="A53" s="36"/>
      <c r="B53" s="31" t="s">
        <v>115</v>
      </c>
      <c r="C53" s="2"/>
      <c r="D53" s="2"/>
      <c r="E53" s="2"/>
      <c r="F53" s="2"/>
      <c r="G53" s="2"/>
      <c r="H53" s="2"/>
      <c r="I53" s="2"/>
      <c r="J53" s="3"/>
      <c r="K53" s="39">
        <f>K54</f>
        <v>4226950</v>
      </c>
      <c r="L53" s="3"/>
    </row>
    <row r="54" ht="33.0" customHeight="1">
      <c r="A54" s="36"/>
      <c r="B54" s="37" t="s">
        <v>116</v>
      </c>
      <c r="C54" s="2"/>
      <c r="D54" s="2"/>
      <c r="E54" s="3"/>
      <c r="F54" s="38" t="s">
        <v>117</v>
      </c>
      <c r="G54" s="38" t="s">
        <v>118</v>
      </c>
      <c r="H54" s="40">
        <v>350.0</v>
      </c>
      <c r="I54" s="3"/>
      <c r="J54" s="13" t="s">
        <v>119</v>
      </c>
      <c r="K54" s="39">
        <f>12077*H54</f>
        <v>4226950</v>
      </c>
      <c r="L54" s="3"/>
    </row>
    <row r="55" ht="23.25" customHeight="1">
      <c r="A55" s="30" t="s">
        <v>120</v>
      </c>
      <c r="B55" s="34" t="s">
        <v>121</v>
      </c>
      <c r="C55" s="2"/>
      <c r="D55" s="2"/>
      <c r="E55" s="2"/>
      <c r="F55" s="2"/>
      <c r="G55" s="2"/>
      <c r="H55" s="2"/>
      <c r="I55" s="2"/>
      <c r="J55" s="3"/>
      <c r="K55" s="35">
        <v>2288700.0</v>
      </c>
      <c r="L55" s="3"/>
    </row>
    <row r="56" ht="33.0" customHeight="1">
      <c r="A56" s="36"/>
      <c r="B56" s="31" t="s">
        <v>122</v>
      </c>
      <c r="C56" s="2"/>
      <c r="D56" s="2"/>
      <c r="E56" s="2"/>
      <c r="F56" s="2"/>
      <c r="G56" s="2"/>
      <c r="H56" s="2"/>
      <c r="I56" s="2"/>
      <c r="J56" s="3"/>
      <c r="K56" s="32">
        <v>2288700.0</v>
      </c>
      <c r="L56" s="3"/>
    </row>
    <row r="57" ht="23.25" customHeight="1">
      <c r="A57" s="36"/>
      <c r="B57" s="31" t="s">
        <v>123</v>
      </c>
      <c r="C57" s="2"/>
      <c r="D57" s="2"/>
      <c r="E57" s="2"/>
      <c r="F57" s="2"/>
      <c r="G57" s="2"/>
      <c r="H57" s="2"/>
      <c r="I57" s="2"/>
      <c r="J57" s="3"/>
      <c r="K57" s="32">
        <v>2288700.0</v>
      </c>
      <c r="L57" s="3"/>
    </row>
    <row r="58" ht="33.0" customHeight="1">
      <c r="A58" s="36"/>
      <c r="B58" s="37" t="s">
        <v>124</v>
      </c>
      <c r="C58" s="2"/>
      <c r="D58" s="2"/>
      <c r="E58" s="3"/>
      <c r="F58" s="38" t="s">
        <v>125</v>
      </c>
      <c r="G58" s="38" t="s">
        <v>126</v>
      </c>
      <c r="H58" s="39">
        <v>63575.0</v>
      </c>
      <c r="I58" s="3"/>
      <c r="J58" s="13" t="s">
        <v>127</v>
      </c>
      <c r="K58" s="39">
        <v>2288700.0</v>
      </c>
      <c r="L58" s="3"/>
    </row>
    <row r="59" ht="23.25" customHeight="1">
      <c r="A59" s="30" t="s">
        <v>128</v>
      </c>
      <c r="B59" s="34" t="s">
        <v>129</v>
      </c>
      <c r="C59" s="2"/>
      <c r="D59" s="2"/>
      <c r="E59" s="2"/>
      <c r="F59" s="2"/>
      <c r="G59" s="2"/>
      <c r="H59" s="2"/>
      <c r="I59" s="2"/>
      <c r="J59" s="3"/>
      <c r="K59" s="35">
        <v>1.188E7</v>
      </c>
      <c r="L59" s="3"/>
    </row>
    <row r="60" ht="33.0" customHeight="1">
      <c r="A60" s="36"/>
      <c r="B60" s="37" t="s">
        <v>130</v>
      </c>
      <c r="C60" s="2"/>
      <c r="D60" s="2"/>
      <c r="E60" s="2"/>
      <c r="F60" s="2"/>
      <c r="G60" s="2"/>
      <c r="H60" s="2"/>
      <c r="I60" s="2"/>
      <c r="J60" s="3"/>
      <c r="K60" s="32">
        <v>1.188E7</v>
      </c>
      <c r="L60" s="3"/>
    </row>
    <row r="61" ht="23.25" customHeight="1">
      <c r="A61" s="36"/>
      <c r="B61" s="31" t="s">
        <v>131</v>
      </c>
      <c r="C61" s="2"/>
      <c r="D61" s="2"/>
      <c r="E61" s="2"/>
      <c r="F61" s="2"/>
      <c r="G61" s="2"/>
      <c r="H61" s="2"/>
      <c r="I61" s="2"/>
      <c r="J61" s="3"/>
      <c r="K61" s="32">
        <v>5940000.0</v>
      </c>
      <c r="L61" s="3"/>
    </row>
    <row r="62" ht="44.25" customHeight="1">
      <c r="A62" s="41"/>
      <c r="B62" s="37" t="s">
        <v>132</v>
      </c>
      <c r="C62" s="2"/>
      <c r="D62" s="2"/>
      <c r="E62" s="3"/>
      <c r="F62" s="38" t="s">
        <v>133</v>
      </c>
      <c r="G62" s="38" t="s">
        <v>134</v>
      </c>
      <c r="H62" s="39">
        <v>33000.0</v>
      </c>
      <c r="I62" s="3"/>
      <c r="J62" s="42" t="s">
        <v>135</v>
      </c>
      <c r="K62" s="39">
        <v>3960000.0</v>
      </c>
      <c r="L62" s="3"/>
    </row>
    <row r="63" ht="44.25" customHeight="1">
      <c r="A63" s="41"/>
      <c r="B63" s="37" t="s">
        <v>136</v>
      </c>
      <c r="C63" s="2"/>
      <c r="D63" s="2"/>
      <c r="E63" s="3"/>
      <c r="F63" s="38" t="s">
        <v>137</v>
      </c>
      <c r="G63" s="38" t="s">
        <v>138</v>
      </c>
      <c r="H63" s="39">
        <v>16500.0</v>
      </c>
      <c r="I63" s="3"/>
      <c r="J63" s="42" t="s">
        <v>139</v>
      </c>
      <c r="K63" s="39">
        <v>1980000.0</v>
      </c>
      <c r="L63" s="3"/>
    </row>
    <row r="64" ht="23.25" customHeight="1">
      <c r="A64" s="36"/>
      <c r="B64" s="31" t="s">
        <v>140</v>
      </c>
      <c r="C64" s="2"/>
      <c r="D64" s="2"/>
      <c r="E64" s="2"/>
      <c r="F64" s="2"/>
      <c r="G64" s="2"/>
      <c r="H64" s="2"/>
      <c r="I64" s="2"/>
      <c r="J64" s="3"/>
      <c r="K64" s="32">
        <v>5940000.0</v>
      </c>
      <c r="L64" s="3"/>
    </row>
    <row r="65" ht="44.25" customHeight="1">
      <c r="A65" s="41"/>
      <c r="B65" s="37" t="s">
        <v>141</v>
      </c>
      <c r="C65" s="2"/>
      <c r="D65" s="2"/>
      <c r="E65" s="3"/>
      <c r="F65" s="38" t="s">
        <v>142</v>
      </c>
      <c r="G65" s="38" t="s">
        <v>143</v>
      </c>
      <c r="H65" s="39">
        <v>33000.0</v>
      </c>
      <c r="I65" s="3"/>
      <c r="J65" s="42" t="s">
        <v>144</v>
      </c>
      <c r="K65" s="39">
        <v>3960000.0</v>
      </c>
      <c r="L65" s="3"/>
    </row>
    <row r="66" ht="44.25" customHeight="1">
      <c r="A66" s="41"/>
      <c r="B66" s="37" t="s">
        <v>145</v>
      </c>
      <c r="C66" s="2"/>
      <c r="D66" s="2"/>
      <c r="E66" s="3"/>
      <c r="F66" s="38" t="s">
        <v>146</v>
      </c>
      <c r="G66" s="38" t="s">
        <v>147</v>
      </c>
      <c r="H66" s="39">
        <v>16500.0</v>
      </c>
      <c r="I66" s="3"/>
      <c r="J66" s="42" t="s">
        <v>148</v>
      </c>
      <c r="K66" s="39">
        <v>1980000.0</v>
      </c>
      <c r="L66" s="3"/>
    </row>
    <row r="67" ht="23.25" customHeight="1">
      <c r="A67" s="30" t="s">
        <v>149</v>
      </c>
      <c r="B67" s="34" t="s">
        <v>150</v>
      </c>
      <c r="C67" s="2"/>
      <c r="D67" s="2"/>
      <c r="E67" s="2"/>
      <c r="F67" s="2"/>
      <c r="G67" s="2"/>
      <c r="H67" s="2"/>
      <c r="I67" s="2"/>
      <c r="J67" s="3"/>
      <c r="K67" s="35">
        <v>1.54E7</v>
      </c>
      <c r="L67" s="3"/>
    </row>
    <row r="68" ht="23.25" customHeight="1">
      <c r="A68" s="30" t="s">
        <v>151</v>
      </c>
      <c r="B68" s="31" t="s">
        <v>152</v>
      </c>
      <c r="C68" s="2"/>
      <c r="D68" s="2"/>
      <c r="E68" s="2"/>
      <c r="F68" s="2"/>
      <c r="G68" s="2"/>
      <c r="H68" s="2"/>
      <c r="I68" s="2"/>
      <c r="J68" s="3"/>
      <c r="K68" s="32">
        <v>1.54E7</v>
      </c>
      <c r="L68" s="3"/>
    </row>
    <row r="69" ht="23.25" customHeight="1">
      <c r="A69" s="30" t="s">
        <v>153</v>
      </c>
      <c r="B69" s="31" t="s">
        <v>154</v>
      </c>
      <c r="C69" s="2"/>
      <c r="D69" s="2"/>
      <c r="E69" s="2"/>
      <c r="F69" s="2"/>
      <c r="G69" s="2"/>
      <c r="H69" s="2"/>
      <c r="I69" s="2"/>
      <c r="J69" s="3"/>
      <c r="K69" s="32">
        <v>1.54E7</v>
      </c>
      <c r="L69" s="3"/>
    </row>
    <row r="70" ht="33.0" customHeight="1">
      <c r="A70" s="36"/>
      <c r="B70" s="31" t="s">
        <v>155</v>
      </c>
      <c r="C70" s="2"/>
      <c r="D70" s="2"/>
      <c r="E70" s="2"/>
      <c r="F70" s="2"/>
      <c r="G70" s="2"/>
      <c r="H70" s="2"/>
      <c r="I70" s="2"/>
      <c r="J70" s="3"/>
      <c r="K70" s="32">
        <v>1.54E7</v>
      </c>
      <c r="L70" s="3"/>
    </row>
    <row r="71" ht="23.25" customHeight="1">
      <c r="A71" s="36"/>
      <c r="B71" s="31" t="s">
        <v>156</v>
      </c>
      <c r="C71" s="2"/>
      <c r="D71" s="2"/>
      <c r="E71" s="2"/>
      <c r="F71" s="2"/>
      <c r="G71" s="2"/>
      <c r="H71" s="2"/>
      <c r="I71" s="2"/>
      <c r="J71" s="3"/>
      <c r="K71" s="32">
        <v>3400000.0</v>
      </c>
      <c r="L71" s="3"/>
    </row>
    <row r="72" ht="33.0" customHeight="1">
      <c r="A72" s="36"/>
      <c r="B72" s="37" t="s">
        <v>157</v>
      </c>
      <c r="C72" s="2"/>
      <c r="D72" s="2"/>
      <c r="E72" s="3"/>
      <c r="F72" s="38" t="s">
        <v>158</v>
      </c>
      <c r="G72" s="38" t="s">
        <v>159</v>
      </c>
      <c r="H72" s="39">
        <v>1700000.0</v>
      </c>
      <c r="I72" s="3"/>
      <c r="J72" s="13" t="s">
        <v>160</v>
      </c>
      <c r="K72" s="39">
        <v>3400000.0</v>
      </c>
      <c r="L72" s="3"/>
    </row>
    <row r="73" ht="23.25" customHeight="1">
      <c r="A73" s="36"/>
      <c r="B73" s="31" t="s">
        <v>161</v>
      </c>
      <c r="C73" s="2"/>
      <c r="D73" s="2"/>
      <c r="E73" s="2"/>
      <c r="F73" s="2"/>
      <c r="G73" s="2"/>
      <c r="H73" s="2"/>
      <c r="I73" s="2"/>
      <c r="J73" s="3"/>
      <c r="K73" s="32">
        <v>3400000.0</v>
      </c>
      <c r="L73" s="3"/>
    </row>
    <row r="74" ht="33.0" customHeight="1">
      <c r="A74" s="36"/>
      <c r="B74" s="37" t="s">
        <v>162</v>
      </c>
      <c r="C74" s="2"/>
      <c r="D74" s="2"/>
      <c r="E74" s="3"/>
      <c r="F74" s="38" t="s">
        <v>163</v>
      </c>
      <c r="G74" s="38" t="s">
        <v>164</v>
      </c>
      <c r="H74" s="39">
        <v>1700000.0</v>
      </c>
      <c r="I74" s="3"/>
      <c r="J74" s="13" t="s">
        <v>165</v>
      </c>
      <c r="K74" s="39">
        <v>3400000.0</v>
      </c>
      <c r="L74" s="3"/>
    </row>
    <row r="75" ht="23.25" customHeight="1">
      <c r="A75" s="36"/>
      <c r="B75" s="31" t="s">
        <v>166</v>
      </c>
      <c r="C75" s="2"/>
      <c r="D75" s="2"/>
      <c r="E75" s="2"/>
      <c r="F75" s="2"/>
      <c r="G75" s="2"/>
      <c r="H75" s="2"/>
      <c r="I75" s="2"/>
      <c r="J75" s="3"/>
      <c r="K75" s="32">
        <v>8600000.0</v>
      </c>
      <c r="L75" s="3"/>
    </row>
    <row r="76" ht="33.0" customHeight="1">
      <c r="A76" s="36"/>
      <c r="B76" s="37" t="s">
        <v>167</v>
      </c>
      <c r="C76" s="2"/>
      <c r="D76" s="2"/>
      <c r="E76" s="3"/>
      <c r="F76" s="38" t="s">
        <v>168</v>
      </c>
      <c r="G76" s="38" t="s">
        <v>169</v>
      </c>
      <c r="H76" s="39">
        <v>900000.0</v>
      </c>
      <c r="I76" s="3"/>
      <c r="J76" s="13" t="s">
        <v>170</v>
      </c>
      <c r="K76" s="39">
        <v>1800000.0</v>
      </c>
      <c r="L76" s="3"/>
    </row>
    <row r="77" ht="33.0" customHeight="1">
      <c r="A77" s="36"/>
      <c r="B77" s="37" t="s">
        <v>171</v>
      </c>
      <c r="C77" s="2"/>
      <c r="D77" s="2"/>
      <c r="E77" s="3"/>
      <c r="F77" s="38" t="s">
        <v>172</v>
      </c>
      <c r="G77" s="38" t="s">
        <v>173</v>
      </c>
      <c r="H77" s="39">
        <v>1700000.0</v>
      </c>
      <c r="I77" s="3"/>
      <c r="J77" s="13" t="s">
        <v>174</v>
      </c>
      <c r="K77" s="39">
        <v>6800000.0</v>
      </c>
      <c r="L77" s="3"/>
    </row>
    <row r="78" ht="23.25" customHeight="1">
      <c r="A78" s="30" t="s">
        <v>175</v>
      </c>
      <c r="B78" s="31" t="s">
        <v>176</v>
      </c>
      <c r="C78" s="2"/>
      <c r="D78" s="2"/>
      <c r="E78" s="2"/>
      <c r="F78" s="2"/>
      <c r="G78" s="2"/>
      <c r="H78" s="2"/>
      <c r="I78" s="2"/>
      <c r="J78" s="3"/>
      <c r="K78" s="32">
        <v>3.9981E7</v>
      </c>
      <c r="L78" s="3"/>
    </row>
    <row r="79" ht="23.25" customHeight="1">
      <c r="A79" s="30" t="s">
        <v>177</v>
      </c>
      <c r="B79" s="31" t="s">
        <v>178</v>
      </c>
      <c r="C79" s="2"/>
      <c r="D79" s="2"/>
      <c r="E79" s="2"/>
      <c r="F79" s="2"/>
      <c r="G79" s="2"/>
      <c r="H79" s="2"/>
      <c r="I79" s="2"/>
      <c r="J79" s="3"/>
      <c r="K79" s="32">
        <v>3.9981E7</v>
      </c>
      <c r="L79" s="3"/>
    </row>
    <row r="80" ht="23.25" customHeight="1">
      <c r="A80" s="30" t="s">
        <v>179</v>
      </c>
      <c r="B80" s="34" t="s">
        <v>180</v>
      </c>
      <c r="C80" s="2"/>
      <c r="D80" s="2"/>
      <c r="E80" s="2"/>
      <c r="F80" s="2"/>
      <c r="G80" s="2"/>
      <c r="H80" s="2"/>
      <c r="I80" s="2"/>
      <c r="J80" s="3"/>
      <c r="K80" s="35">
        <v>1360000.0</v>
      </c>
      <c r="L80" s="3"/>
    </row>
    <row r="81" ht="33.0" customHeight="1">
      <c r="A81" s="36"/>
      <c r="B81" s="37" t="s">
        <v>181</v>
      </c>
      <c r="C81" s="2"/>
      <c r="D81" s="2"/>
      <c r="E81" s="2"/>
      <c r="F81" s="2"/>
      <c r="G81" s="2"/>
      <c r="H81" s="2"/>
      <c r="I81" s="2"/>
      <c r="J81" s="3"/>
      <c r="K81" s="32">
        <v>1360000.0</v>
      </c>
      <c r="L81" s="3"/>
    </row>
    <row r="82" ht="23.25" customHeight="1">
      <c r="A82" s="36"/>
      <c r="B82" s="31" t="s">
        <v>182</v>
      </c>
      <c r="C82" s="2"/>
      <c r="D82" s="2"/>
      <c r="E82" s="2"/>
      <c r="F82" s="2"/>
      <c r="G82" s="2"/>
      <c r="H82" s="2"/>
      <c r="I82" s="2"/>
      <c r="J82" s="3"/>
      <c r="K82" s="32">
        <v>1360000.0</v>
      </c>
      <c r="L82" s="3"/>
    </row>
    <row r="83" ht="33.0" customHeight="1">
      <c r="A83" s="36"/>
      <c r="B83" s="43" t="s">
        <v>183</v>
      </c>
      <c r="C83" s="2"/>
      <c r="D83" s="2"/>
      <c r="E83" s="3"/>
      <c r="F83" s="38" t="s">
        <v>184</v>
      </c>
      <c r="G83" s="38" t="s">
        <v>185</v>
      </c>
      <c r="H83" s="39">
        <v>300000.0</v>
      </c>
      <c r="I83" s="3"/>
      <c r="J83" s="13" t="s">
        <v>186</v>
      </c>
      <c r="K83" s="39">
        <v>300000.0</v>
      </c>
      <c r="L83" s="3"/>
    </row>
    <row r="84" ht="33.0" customHeight="1">
      <c r="A84" s="36"/>
      <c r="B84" s="43" t="s">
        <v>187</v>
      </c>
      <c r="C84" s="2"/>
      <c r="D84" s="2"/>
      <c r="E84" s="3"/>
      <c r="F84" s="38" t="s">
        <v>188</v>
      </c>
      <c r="G84" s="38" t="s">
        <v>189</v>
      </c>
      <c r="H84" s="39">
        <v>530000.0</v>
      </c>
      <c r="I84" s="3"/>
      <c r="J84" s="13" t="s">
        <v>190</v>
      </c>
      <c r="K84" s="39">
        <v>1060000.0</v>
      </c>
      <c r="L84" s="3"/>
    </row>
    <row r="85" ht="23.25" customHeight="1">
      <c r="A85" s="30" t="s">
        <v>191</v>
      </c>
      <c r="B85" s="34" t="s">
        <v>192</v>
      </c>
      <c r="C85" s="2"/>
      <c r="D85" s="2"/>
      <c r="E85" s="2"/>
      <c r="F85" s="2"/>
      <c r="G85" s="2"/>
      <c r="H85" s="2"/>
      <c r="I85" s="2"/>
      <c r="J85" s="3"/>
      <c r="K85" s="35">
        <v>5750000.0</v>
      </c>
      <c r="L85" s="3"/>
    </row>
    <row r="86" ht="33.0" customHeight="1">
      <c r="A86" s="36"/>
      <c r="B86" s="37" t="s">
        <v>193</v>
      </c>
      <c r="C86" s="2"/>
      <c r="D86" s="2"/>
      <c r="E86" s="2"/>
      <c r="F86" s="2"/>
      <c r="G86" s="2"/>
      <c r="H86" s="2"/>
      <c r="I86" s="2"/>
      <c r="J86" s="3"/>
      <c r="K86" s="32">
        <v>5750000.0</v>
      </c>
      <c r="L86" s="3"/>
    </row>
    <row r="87" ht="23.25" customHeight="1">
      <c r="A87" s="36"/>
      <c r="B87" s="31" t="s">
        <v>194</v>
      </c>
      <c r="C87" s="2"/>
      <c r="D87" s="2"/>
      <c r="E87" s="2"/>
      <c r="F87" s="2"/>
      <c r="G87" s="2"/>
      <c r="H87" s="2"/>
      <c r="I87" s="2"/>
      <c r="J87" s="3"/>
      <c r="K87" s="32">
        <v>5750000.0</v>
      </c>
      <c r="L87" s="3"/>
    </row>
    <row r="88" ht="44.25" customHeight="1">
      <c r="A88" s="41"/>
      <c r="B88" s="37" t="s">
        <v>195</v>
      </c>
      <c r="C88" s="2"/>
      <c r="D88" s="2"/>
      <c r="E88" s="3"/>
      <c r="F88" s="38" t="s">
        <v>196</v>
      </c>
      <c r="G88" s="38" t="s">
        <v>197</v>
      </c>
      <c r="H88" s="39">
        <v>155000.0</v>
      </c>
      <c r="I88" s="3"/>
      <c r="J88" s="42" t="s">
        <v>198</v>
      </c>
      <c r="K88" s="39">
        <v>155000.0</v>
      </c>
      <c r="L88" s="3"/>
    </row>
    <row r="89" ht="44.25" customHeight="1">
      <c r="A89" s="41"/>
      <c r="B89" s="37" t="s">
        <v>199</v>
      </c>
      <c r="C89" s="2"/>
      <c r="D89" s="2"/>
      <c r="E89" s="3"/>
      <c r="F89" s="38" t="s">
        <v>200</v>
      </c>
      <c r="G89" s="38" t="s">
        <v>201</v>
      </c>
      <c r="H89" s="39">
        <v>165000.0</v>
      </c>
      <c r="I89" s="3"/>
      <c r="J89" s="42" t="s">
        <v>202</v>
      </c>
      <c r="K89" s="39">
        <v>165000.0</v>
      </c>
      <c r="L89" s="3"/>
    </row>
    <row r="90" ht="44.25" customHeight="1">
      <c r="A90" s="41"/>
      <c r="B90" s="37" t="s">
        <v>203</v>
      </c>
      <c r="C90" s="2"/>
      <c r="D90" s="2"/>
      <c r="E90" s="3"/>
      <c r="F90" s="38" t="s">
        <v>204</v>
      </c>
      <c r="G90" s="38" t="s">
        <v>205</v>
      </c>
      <c r="H90" s="39">
        <v>290000.0</v>
      </c>
      <c r="I90" s="3"/>
      <c r="J90" s="42" t="s">
        <v>206</v>
      </c>
      <c r="K90" s="39">
        <v>290000.0</v>
      </c>
      <c r="L90" s="3"/>
    </row>
    <row r="91" ht="55.5" customHeight="1">
      <c r="A91" s="41"/>
      <c r="B91" s="37" t="s">
        <v>207</v>
      </c>
      <c r="C91" s="2"/>
      <c r="D91" s="2"/>
      <c r="E91" s="3"/>
      <c r="F91" s="38" t="s">
        <v>208</v>
      </c>
      <c r="G91" s="38" t="s">
        <v>209</v>
      </c>
      <c r="H91" s="39">
        <v>150000.0</v>
      </c>
      <c r="I91" s="3"/>
      <c r="J91" s="13" t="s">
        <v>210</v>
      </c>
      <c r="K91" s="39">
        <v>150000.0</v>
      </c>
      <c r="L91" s="3"/>
    </row>
    <row r="92" ht="44.25" customHeight="1">
      <c r="A92" s="41"/>
      <c r="B92" s="37" t="s">
        <v>211</v>
      </c>
      <c r="C92" s="2"/>
      <c r="D92" s="2"/>
      <c r="E92" s="3"/>
      <c r="F92" s="38" t="s">
        <v>212</v>
      </c>
      <c r="G92" s="38" t="s">
        <v>213</v>
      </c>
      <c r="H92" s="39">
        <v>250000.0</v>
      </c>
      <c r="I92" s="3"/>
      <c r="J92" s="42" t="s">
        <v>214</v>
      </c>
      <c r="K92" s="39">
        <v>250000.0</v>
      </c>
      <c r="L92" s="3"/>
    </row>
    <row r="93" ht="55.5" customHeight="1">
      <c r="A93" s="41"/>
      <c r="B93" s="37" t="s">
        <v>215</v>
      </c>
      <c r="C93" s="2"/>
      <c r="D93" s="2"/>
      <c r="E93" s="3"/>
      <c r="F93" s="38" t="s">
        <v>216</v>
      </c>
      <c r="G93" s="38" t="s">
        <v>217</v>
      </c>
      <c r="H93" s="39">
        <v>250000.0</v>
      </c>
      <c r="I93" s="3"/>
      <c r="J93" s="13" t="s">
        <v>218</v>
      </c>
      <c r="K93" s="39">
        <v>250000.0</v>
      </c>
      <c r="L93" s="3"/>
    </row>
    <row r="94" ht="55.5" customHeight="1">
      <c r="A94" s="41"/>
      <c r="B94" s="37" t="s">
        <v>219</v>
      </c>
      <c r="C94" s="2"/>
      <c r="D94" s="2"/>
      <c r="E94" s="3"/>
      <c r="F94" s="38" t="s">
        <v>220</v>
      </c>
      <c r="G94" s="38" t="s">
        <v>221</v>
      </c>
      <c r="H94" s="39">
        <v>150000.0</v>
      </c>
      <c r="I94" s="3"/>
      <c r="J94" s="13" t="s">
        <v>222</v>
      </c>
      <c r="K94" s="39">
        <v>150000.0</v>
      </c>
      <c r="L94" s="3"/>
    </row>
    <row r="95" ht="44.25" customHeight="1">
      <c r="A95" s="41"/>
      <c r="B95" s="37" t="s">
        <v>223</v>
      </c>
      <c r="C95" s="2"/>
      <c r="D95" s="2"/>
      <c r="E95" s="3"/>
      <c r="F95" s="38" t="s">
        <v>224</v>
      </c>
      <c r="G95" s="38" t="s">
        <v>225</v>
      </c>
      <c r="H95" s="39">
        <v>260000.0</v>
      </c>
      <c r="I95" s="3"/>
      <c r="J95" s="42" t="s">
        <v>226</v>
      </c>
      <c r="K95" s="39">
        <v>260000.0</v>
      </c>
      <c r="L95" s="3"/>
    </row>
    <row r="96" ht="33.0" customHeight="1">
      <c r="A96" s="36"/>
      <c r="B96" s="37" t="s">
        <v>227</v>
      </c>
      <c r="C96" s="2"/>
      <c r="D96" s="2"/>
      <c r="E96" s="3"/>
      <c r="F96" s="38" t="s">
        <v>228</v>
      </c>
      <c r="G96" s="38" t="s">
        <v>229</v>
      </c>
      <c r="H96" s="39">
        <v>170000.0</v>
      </c>
      <c r="I96" s="3"/>
      <c r="J96" s="13" t="s">
        <v>230</v>
      </c>
      <c r="K96" s="39">
        <v>4080000.0</v>
      </c>
      <c r="L96" s="3"/>
    </row>
    <row r="97" ht="23.25" customHeight="1">
      <c r="A97" s="30" t="s">
        <v>231</v>
      </c>
      <c r="B97" s="34" t="s">
        <v>232</v>
      </c>
      <c r="C97" s="2"/>
      <c r="D97" s="2"/>
      <c r="E97" s="2"/>
      <c r="F97" s="2"/>
      <c r="G97" s="2"/>
      <c r="H97" s="2"/>
      <c r="I97" s="2"/>
      <c r="J97" s="3"/>
      <c r="K97" s="44">
        <v>3.2871E7</v>
      </c>
      <c r="L97" s="3"/>
    </row>
    <row r="98" ht="33.0" customHeight="1">
      <c r="A98" s="36"/>
      <c r="B98" s="31" t="s">
        <v>233</v>
      </c>
      <c r="C98" s="2"/>
      <c r="D98" s="2"/>
      <c r="E98" s="2"/>
      <c r="F98" s="2"/>
      <c r="G98" s="2"/>
      <c r="H98" s="2"/>
      <c r="I98" s="2"/>
      <c r="J98" s="3"/>
      <c r="K98" s="32">
        <v>3.2871E7</v>
      </c>
      <c r="L98" s="3"/>
    </row>
    <row r="99" ht="23.25" customHeight="1">
      <c r="A99" s="36"/>
      <c r="B99" s="31" t="s">
        <v>234</v>
      </c>
      <c r="C99" s="2"/>
      <c r="D99" s="2"/>
      <c r="E99" s="2"/>
      <c r="F99" s="2"/>
      <c r="G99" s="2"/>
      <c r="H99" s="2"/>
      <c r="I99" s="2"/>
      <c r="J99" s="3"/>
      <c r="K99" s="32">
        <v>3.2871E7</v>
      </c>
      <c r="L99" s="3"/>
    </row>
    <row r="100" ht="55.5" customHeight="1">
      <c r="A100" s="41"/>
      <c r="B100" s="37" t="s">
        <v>235</v>
      </c>
      <c r="C100" s="2"/>
      <c r="D100" s="2"/>
      <c r="E100" s="3"/>
      <c r="F100" s="38" t="s">
        <v>236</v>
      </c>
      <c r="G100" s="38" t="s">
        <v>237</v>
      </c>
      <c r="H100" s="39">
        <v>822000.0</v>
      </c>
      <c r="I100" s="3"/>
      <c r="J100" s="13" t="s">
        <v>238</v>
      </c>
      <c r="K100" s="39">
        <v>3.1236E7</v>
      </c>
      <c r="L100" s="3"/>
    </row>
    <row r="101" ht="55.5" customHeight="1">
      <c r="A101" s="41"/>
      <c r="B101" s="37" t="s">
        <v>239</v>
      </c>
      <c r="C101" s="2"/>
      <c r="D101" s="2"/>
      <c r="E101" s="3"/>
      <c r="F101" s="38" t="s">
        <v>240</v>
      </c>
      <c r="G101" s="38" t="s">
        <v>241</v>
      </c>
      <c r="H101" s="39">
        <v>135000.0</v>
      </c>
      <c r="I101" s="3"/>
      <c r="J101" s="13" t="s">
        <v>242</v>
      </c>
      <c r="K101" s="39">
        <v>135000.0</v>
      </c>
      <c r="L101" s="3"/>
    </row>
    <row r="102" ht="33.0" customHeight="1">
      <c r="A102" s="36"/>
      <c r="B102" s="43" t="s">
        <v>243</v>
      </c>
      <c r="C102" s="2"/>
      <c r="D102" s="2"/>
      <c r="E102" s="3"/>
      <c r="F102" s="38" t="s">
        <v>244</v>
      </c>
      <c r="G102" s="38" t="s">
        <v>245</v>
      </c>
      <c r="H102" s="39">
        <v>150000.0</v>
      </c>
      <c r="I102" s="3"/>
      <c r="J102" s="13" t="s">
        <v>246</v>
      </c>
      <c r="K102" s="39">
        <v>1500000.0</v>
      </c>
      <c r="L102" s="3"/>
    </row>
    <row r="103" ht="37.5" customHeight="1">
      <c r="A103" s="19" t="s">
        <v>247</v>
      </c>
      <c r="B103" s="2"/>
      <c r="C103" s="2"/>
      <c r="D103" s="2"/>
      <c r="E103" s="2"/>
      <c r="F103" s="2"/>
      <c r="G103" s="2"/>
      <c r="H103" s="2"/>
      <c r="I103" s="2"/>
      <c r="J103" s="3"/>
      <c r="K103" s="45">
        <f>K97+K85+K80+K67+K59+K55+K47+K42</f>
        <v>127391000</v>
      </c>
      <c r="L103" s="3"/>
    </row>
    <row r="104" ht="207.0" customHeight="1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</row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40">
    <mergeCell ref="E26:H26"/>
    <mergeCell ref="I26:K26"/>
    <mergeCell ref="A27:L27"/>
    <mergeCell ref="D28:L28"/>
    <mergeCell ref="D29:L29"/>
    <mergeCell ref="D30:L30"/>
    <mergeCell ref="D31:L31"/>
    <mergeCell ref="D32:L32"/>
    <mergeCell ref="D33:L33"/>
    <mergeCell ref="A34:L34"/>
    <mergeCell ref="B35:E36"/>
    <mergeCell ref="F35:L35"/>
    <mergeCell ref="H36:I36"/>
    <mergeCell ref="K36:L36"/>
    <mergeCell ref="A1:L1"/>
    <mergeCell ref="A2:L2"/>
    <mergeCell ref="A3:L3"/>
    <mergeCell ref="A4:C4"/>
    <mergeCell ref="D4:L4"/>
    <mergeCell ref="A5:C5"/>
    <mergeCell ref="D5:L5"/>
    <mergeCell ref="A6:C6"/>
    <mergeCell ref="D6:L6"/>
    <mergeCell ref="A7:C7"/>
    <mergeCell ref="D7:L7"/>
    <mergeCell ref="A8:C8"/>
    <mergeCell ref="D8:L8"/>
    <mergeCell ref="D9:L9"/>
    <mergeCell ref="A9:C9"/>
    <mergeCell ref="A10:C10"/>
    <mergeCell ref="A11:C11"/>
    <mergeCell ref="A12:C12"/>
    <mergeCell ref="A13:C13"/>
    <mergeCell ref="A14:C14"/>
    <mergeCell ref="A15:C15"/>
    <mergeCell ref="D10:L10"/>
    <mergeCell ref="D11:L11"/>
    <mergeCell ref="D12:L12"/>
    <mergeCell ref="D13:L13"/>
    <mergeCell ref="D14:L14"/>
    <mergeCell ref="D15:L15"/>
    <mergeCell ref="D16:L16"/>
    <mergeCell ref="C24:D24"/>
    <mergeCell ref="C25:D25"/>
    <mergeCell ref="C26:D26"/>
    <mergeCell ref="E22:H22"/>
    <mergeCell ref="E23:H23"/>
    <mergeCell ref="I23:K23"/>
    <mergeCell ref="E24:H24"/>
    <mergeCell ref="I24:K24"/>
    <mergeCell ref="E25:H25"/>
    <mergeCell ref="I25:K25"/>
    <mergeCell ref="K64:L64"/>
    <mergeCell ref="K65:L65"/>
    <mergeCell ref="H89:I89"/>
    <mergeCell ref="H90:I90"/>
    <mergeCell ref="H91:I91"/>
    <mergeCell ref="H92:I92"/>
    <mergeCell ref="H93:I93"/>
    <mergeCell ref="H94:I94"/>
    <mergeCell ref="H95:I95"/>
    <mergeCell ref="H96:I96"/>
    <mergeCell ref="B90:E90"/>
    <mergeCell ref="B91:E91"/>
    <mergeCell ref="B92:E92"/>
    <mergeCell ref="B93:E93"/>
    <mergeCell ref="B94:E94"/>
    <mergeCell ref="B95:E95"/>
    <mergeCell ref="B96:E96"/>
    <mergeCell ref="H101:I101"/>
    <mergeCell ref="H102:I102"/>
    <mergeCell ref="B97:J97"/>
    <mergeCell ref="B98:J98"/>
    <mergeCell ref="B99:J99"/>
    <mergeCell ref="B100:E100"/>
    <mergeCell ref="H100:I100"/>
    <mergeCell ref="B101:E101"/>
    <mergeCell ref="B102:E102"/>
    <mergeCell ref="H77:I77"/>
    <mergeCell ref="K77:L77"/>
    <mergeCell ref="B78:J78"/>
    <mergeCell ref="K78:L78"/>
    <mergeCell ref="B79:J79"/>
    <mergeCell ref="K79:L79"/>
    <mergeCell ref="K80:L80"/>
    <mergeCell ref="B80:J80"/>
    <mergeCell ref="B81:J81"/>
    <mergeCell ref="K81:L81"/>
    <mergeCell ref="B82:J82"/>
    <mergeCell ref="K82:L82"/>
    <mergeCell ref="H83:I83"/>
    <mergeCell ref="K83:L83"/>
    <mergeCell ref="B83:E83"/>
    <mergeCell ref="B84:E84"/>
    <mergeCell ref="H84:I84"/>
    <mergeCell ref="K84:L84"/>
    <mergeCell ref="B85:J85"/>
    <mergeCell ref="K85:L85"/>
    <mergeCell ref="K86:L86"/>
    <mergeCell ref="B86:J86"/>
    <mergeCell ref="B87:J87"/>
    <mergeCell ref="K87:L87"/>
    <mergeCell ref="B88:E88"/>
    <mergeCell ref="H88:I88"/>
    <mergeCell ref="B89:E89"/>
    <mergeCell ref="K90:L90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88:L88"/>
    <mergeCell ref="K89:L89"/>
    <mergeCell ref="K91:L91"/>
    <mergeCell ref="K92:L92"/>
    <mergeCell ref="K93:L93"/>
    <mergeCell ref="K94:L94"/>
    <mergeCell ref="K95:L95"/>
    <mergeCell ref="A103:J103"/>
    <mergeCell ref="A104:L104"/>
    <mergeCell ref="D17:L17"/>
    <mergeCell ref="D18:L18"/>
    <mergeCell ref="D19:L19"/>
    <mergeCell ref="A20:L20"/>
    <mergeCell ref="A21:H21"/>
    <mergeCell ref="I21:L21"/>
    <mergeCell ref="I22:K22"/>
    <mergeCell ref="A16:C16"/>
    <mergeCell ref="A17:C17"/>
    <mergeCell ref="A18:C18"/>
    <mergeCell ref="A19:C19"/>
    <mergeCell ref="A22:B22"/>
    <mergeCell ref="C22:D22"/>
    <mergeCell ref="C23:D23"/>
    <mergeCell ref="A31:C31"/>
    <mergeCell ref="A32:C32"/>
    <mergeCell ref="A33:C33"/>
    <mergeCell ref="A35:A36"/>
    <mergeCell ref="A23:B23"/>
    <mergeCell ref="A24:B24"/>
    <mergeCell ref="A25:B25"/>
    <mergeCell ref="A26:B26"/>
    <mergeCell ref="A28:C28"/>
    <mergeCell ref="A29:C29"/>
    <mergeCell ref="A30:C30"/>
    <mergeCell ref="B37:J37"/>
    <mergeCell ref="K37:L37"/>
    <mergeCell ref="B38:J38"/>
    <mergeCell ref="K38:L38"/>
    <mergeCell ref="B39:J39"/>
    <mergeCell ref="K39:L39"/>
    <mergeCell ref="K40:L40"/>
    <mergeCell ref="B40:J40"/>
    <mergeCell ref="B41:J41"/>
    <mergeCell ref="K41:L41"/>
    <mergeCell ref="B42:J42"/>
    <mergeCell ref="K42:L42"/>
    <mergeCell ref="B43:J43"/>
    <mergeCell ref="K43:L43"/>
    <mergeCell ref="B44:J44"/>
    <mergeCell ref="K44:L44"/>
    <mergeCell ref="B45:E45"/>
    <mergeCell ref="H45:I45"/>
    <mergeCell ref="K45:L45"/>
    <mergeCell ref="H46:I46"/>
    <mergeCell ref="K46:L46"/>
    <mergeCell ref="B46:E46"/>
    <mergeCell ref="B47:J47"/>
    <mergeCell ref="K47:L47"/>
    <mergeCell ref="B48:J48"/>
    <mergeCell ref="K48:L48"/>
    <mergeCell ref="B49:J49"/>
    <mergeCell ref="K49:L49"/>
    <mergeCell ref="B50:E50"/>
    <mergeCell ref="H50:I50"/>
    <mergeCell ref="K50:L50"/>
    <mergeCell ref="B51:J51"/>
    <mergeCell ref="K51:L51"/>
    <mergeCell ref="H52:I52"/>
    <mergeCell ref="K52:L52"/>
    <mergeCell ref="B52:E52"/>
    <mergeCell ref="B53:J53"/>
    <mergeCell ref="K53:L53"/>
    <mergeCell ref="B54:E54"/>
    <mergeCell ref="H54:I54"/>
    <mergeCell ref="K54:L54"/>
    <mergeCell ref="K55:L55"/>
    <mergeCell ref="B55:J55"/>
    <mergeCell ref="B56:J56"/>
    <mergeCell ref="K56:L56"/>
    <mergeCell ref="B57:J57"/>
    <mergeCell ref="K57:L57"/>
    <mergeCell ref="H58:I58"/>
    <mergeCell ref="K58:L58"/>
    <mergeCell ref="B58:E58"/>
    <mergeCell ref="B59:J59"/>
    <mergeCell ref="K59:L59"/>
    <mergeCell ref="B60:J60"/>
    <mergeCell ref="K60:L60"/>
    <mergeCell ref="B61:J61"/>
    <mergeCell ref="K61:L61"/>
    <mergeCell ref="B63:E63"/>
    <mergeCell ref="B65:E65"/>
    <mergeCell ref="B66:E66"/>
    <mergeCell ref="B62:E62"/>
    <mergeCell ref="H62:I62"/>
    <mergeCell ref="K62:L62"/>
    <mergeCell ref="H63:I63"/>
    <mergeCell ref="K63:L63"/>
    <mergeCell ref="B64:J64"/>
    <mergeCell ref="H65:I65"/>
    <mergeCell ref="H66:I66"/>
    <mergeCell ref="K66:L66"/>
    <mergeCell ref="B67:J67"/>
    <mergeCell ref="K67:L67"/>
    <mergeCell ref="B68:J68"/>
    <mergeCell ref="K68:L68"/>
    <mergeCell ref="K69:L69"/>
    <mergeCell ref="B69:J69"/>
    <mergeCell ref="B70:J70"/>
    <mergeCell ref="K70:L70"/>
    <mergeCell ref="B71:J71"/>
    <mergeCell ref="K71:L71"/>
    <mergeCell ref="H72:I72"/>
    <mergeCell ref="K72:L72"/>
    <mergeCell ref="B74:E74"/>
    <mergeCell ref="B76:E76"/>
    <mergeCell ref="B77:E77"/>
    <mergeCell ref="K75:L75"/>
    <mergeCell ref="K76:L76"/>
    <mergeCell ref="B72:E72"/>
    <mergeCell ref="B73:J73"/>
    <mergeCell ref="K73:L73"/>
    <mergeCell ref="H74:I74"/>
    <mergeCell ref="K74:L74"/>
    <mergeCell ref="B75:J75"/>
    <mergeCell ref="H76:I7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2026-02-18T06:52:52Z</dcterms:created>
  <dc:creator>SIPD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2026-01-22T00:00:00Z</vt:filetime>
  </property>
  <property fmtid="{D5CDD505-2E9C-101B-9397-08002B2CF9AE}" pid="3" name="Creator">
    <vt:lpwstr>-</vt:lpwstr>
  </property>
  <property fmtid="{D5CDD505-2E9C-101B-9397-08002B2CF9AE}" pid="4" name="Producer">
    <vt:lpwstr>jsPDF 2.5.2</vt:lpwstr>
  </property>
  <property fmtid="{D5CDD505-2E9C-101B-9397-08002B2CF9AE}" pid="5" name="LastSaved">
    <vt:filetime>2026-01-22T00:00:00Z</vt:filetime>
  </property>
</Properties>
</file>