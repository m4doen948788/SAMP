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f2b5ed51de404d/Desktop/"/>
    </mc:Choice>
  </mc:AlternateContent>
  <xr:revisionPtr revIDLastSave="0" documentId="8_{6EAC31A2-8EF5-4644-A3D5-7AD263CDC948}" xr6:coauthVersionLast="47" xr6:coauthVersionMax="47" xr10:uidLastSave="{00000000-0000-0000-0000-000000000000}"/>
  <bookViews>
    <workbookView xWindow="-110" yWindow="-110" windowWidth="19420" windowHeight="11500" xr2:uid="{4CAB74C4-767F-4FB2-AAD3-20719A7ECD51}"/>
  </bookViews>
  <sheets>
    <sheet name="bersalin" sheetId="1" r:id="rId1"/>
  </sheets>
  <definedNames>
    <definedName name="_xlnm.Print_Area" localSheetId="0">bersalin!$A$1:$H$79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8" i="1" l="1"/>
  <c r="D77" i="1"/>
  <c r="H77" i="1" s="1"/>
  <c r="H75" i="1" s="1"/>
  <c r="D74" i="1"/>
  <c r="H74" i="1" s="1"/>
  <c r="H73" i="1"/>
  <c r="H72" i="1"/>
  <c r="H71" i="1"/>
  <c r="H70" i="1"/>
  <c r="H68" i="1" s="1"/>
  <c r="H67" i="1" s="1"/>
  <c r="H66" i="1" s="1"/>
  <c r="D65" i="1"/>
  <c r="H65" i="1" s="1"/>
  <c r="H63" i="1"/>
  <c r="D61" i="1"/>
  <c r="H61" i="1" s="1"/>
  <c r="H56" i="1"/>
  <c r="D56" i="1"/>
  <c r="H55" i="1"/>
  <c r="D55" i="1"/>
  <c r="H53" i="1"/>
  <c r="H52" i="1"/>
  <c r="D50" i="1"/>
  <c r="H50" i="1" s="1"/>
  <c r="D49" i="1"/>
  <c r="H49" i="1" s="1"/>
  <c r="H47" i="1" s="1"/>
  <c r="H46" i="1"/>
  <c r="H45" i="1"/>
  <c r="H44" i="1"/>
  <c r="H43" i="1"/>
  <c r="H42" i="1" s="1"/>
  <c r="H41" i="1"/>
  <c r="H40" i="1"/>
  <c r="D39" i="1"/>
  <c r="H39" i="1" s="1"/>
  <c r="H38" i="1" s="1"/>
  <c r="H34" i="1" s="1"/>
  <c r="H33" i="1" s="1"/>
  <c r="H37" i="1"/>
  <c r="H36" i="1"/>
  <c r="H35" i="1"/>
  <c r="H59" i="1" l="1"/>
  <c r="H58" i="1" s="1"/>
  <c r="H57" i="1" s="1"/>
  <c r="H32" i="1" s="1"/>
  <c r="H31" i="1" s="1"/>
  <c r="H30" i="1" s="1"/>
  <c r="G24" i="1" l="1"/>
  <c r="H79" i="1"/>
  <c r="C81" i="1" s="1"/>
  <c r="K30" i="1"/>
</calcChain>
</file>

<file path=xl/sharedStrings.xml><?xml version="1.0" encoding="utf-8"?>
<sst xmlns="http://schemas.openxmlformats.org/spreadsheetml/2006/main" count="171" uniqueCount="130">
  <si>
    <t xml:space="preserve">RINCIAN BELANJA SUB KEGIATAN </t>
  </si>
  <si>
    <t>SATUAN KERJA PERANGKAT DAERAH</t>
  </si>
  <si>
    <t>Pemerintah Kabupaten Bogor Tahun Anggaran 2027</t>
  </si>
  <si>
    <t>Urusan Pemerintahan</t>
  </si>
  <si>
    <t>:</t>
  </si>
  <si>
    <t>1 URUSAN PEMERINTAHAN WAJIB YANG BERKAITAN DENGAN PELAYANAN DASAR</t>
  </si>
  <si>
    <t>Urusan</t>
  </si>
  <si>
    <t>1.02 URUSAN PEMERINTAHAN BIDANG KESEHATAN</t>
  </si>
  <si>
    <t>Unit Organisasi</t>
  </si>
  <si>
    <t>1.02.0.00.0.00.01.0000 DINAS KESEHATAN</t>
  </si>
  <si>
    <t>Sub Unit Organisasi</t>
  </si>
  <si>
    <t>-</t>
  </si>
  <si>
    <t>Program</t>
  </si>
  <si>
    <t>1.02.02 PROGRAM PEMENUHAN UPAYA KESEHATAN PERORANGAN DAN UPAYA KESEHATAN MASYARAKAT</t>
  </si>
  <si>
    <t>Kegiatan</t>
  </si>
  <si>
    <t xml:space="preserve">1.02.02.2.02 Penyediaan Layanan Kesehatan untuk UKM dan UKP Rujukan Tingkat Daerah Kabupaten/Kota </t>
  </si>
  <si>
    <t>Sub Kegiatan</t>
  </si>
  <si>
    <t>1.02.02.2.02.0002 Pengelolaan Pelayanan Kesehatan Ibu Bersalin</t>
  </si>
  <si>
    <t>SPM</t>
  </si>
  <si>
    <t>Jenis Layanan</t>
  </si>
  <si>
    <t>Sumber Pendanaan</t>
  </si>
  <si>
    <t>PENDAPATAN ASLI DAERAH (PAD)</t>
  </si>
  <si>
    <t>Lokasi Kegiatan</t>
  </si>
  <si>
    <t>Petugas Puskesmas,Kab. Bogor, Semua Kecamatan, Semua Kelurahan</t>
  </si>
  <si>
    <t>Waktu Pelaksanaan</t>
  </si>
  <si>
    <t>Januari s.d Desember</t>
  </si>
  <si>
    <t>Kelompok Sasaran</t>
  </si>
  <si>
    <t>Petugas Promkes</t>
  </si>
  <si>
    <t>Jumlah 2025</t>
  </si>
  <si>
    <t>Jumlah 2026</t>
  </si>
  <si>
    <t>Rp.37.036.575,00</t>
  </si>
  <si>
    <t>Jumlah 2027</t>
  </si>
  <si>
    <t>Rp.116.244.000,00</t>
  </si>
  <si>
    <t>Indikator &amp; Tolak Ukur Kinerja Belanja</t>
  </si>
  <si>
    <t>Indikator</t>
  </si>
  <si>
    <t>Tolak Ukur Kinerja</t>
  </si>
  <si>
    <t>Target Kinerja</t>
  </si>
  <si>
    <t>Capaian Program</t>
  </si>
  <si>
    <t>Persentase Layanan Standar Pelayanan Minimal (SPM) Bidang Kesehatan</t>
  </si>
  <si>
    <t>92.296 Orang</t>
  </si>
  <si>
    <t xml:space="preserve">Masukan </t>
  </si>
  <si>
    <t>Dana Yang Dibutuhkan</t>
  </si>
  <si>
    <t>Keluaran</t>
  </si>
  <si>
    <t>Jumlah Dokumen Hasil Pengelolaan Pelayanan kesehatan Ibu Bersalin</t>
  </si>
  <si>
    <t>7 Dokumen</t>
  </si>
  <si>
    <t>Hasil</t>
  </si>
  <si>
    <t>Jumlah Jenis Pengelolaan Layanan Kesehatan</t>
  </si>
  <si>
    <t>Rincian Belanja Sub Kegiatan</t>
  </si>
  <si>
    <t xml:space="preserve">Kode Rekening </t>
  </si>
  <si>
    <t>Uraian</t>
  </si>
  <si>
    <t xml:space="preserve">Rincian Perhitungan </t>
  </si>
  <si>
    <t>Jumlah</t>
  </si>
  <si>
    <t xml:space="preserve">Koefisien </t>
  </si>
  <si>
    <t>Satuan</t>
  </si>
  <si>
    <t>Harga</t>
  </si>
  <si>
    <t>PPN</t>
  </si>
  <si>
    <t>BELANJA DAERAH</t>
  </si>
  <si>
    <t>5.1</t>
  </si>
  <si>
    <t>BELANJA OPERASI</t>
  </si>
  <si>
    <t>5.1.02</t>
  </si>
  <si>
    <t>Belanja Barang dan Jasa</t>
  </si>
  <si>
    <t>5.1.02.01</t>
  </si>
  <si>
    <t>Belanja Barang</t>
  </si>
  <si>
    <t>5.1.02.01.01</t>
  </si>
  <si>
    <t>Belanja Barang Barang Pakai Habis</t>
  </si>
  <si>
    <t>5.1.02.01.01.0025</t>
  </si>
  <si>
    <t>Belanja Alat/ Bahan untuk Kegiatan Kantor- Kertas dan Cover</t>
  </si>
  <si>
    <t>Kertas F4 80 gr</t>
  </si>
  <si>
    <t>Rim</t>
  </si>
  <si>
    <t>Kertas A4 80 gr</t>
  </si>
  <si>
    <t>5.1.02.01.01.0026</t>
  </si>
  <si>
    <t>Belanja Alat/ Bahan untuk Kegiatan Kantor- Bahan Cetak</t>
  </si>
  <si>
    <t>Spanduk</t>
  </si>
  <si>
    <t>Meter</t>
  </si>
  <si>
    <t>Fotocopy</t>
  </si>
  <si>
    <t>Lembar</t>
  </si>
  <si>
    <t>Pembulatan</t>
  </si>
  <si>
    <t>5.1.02.01.01.0029</t>
  </si>
  <si>
    <t>Belanja Alat/ bahan untuk Kegiatan Kantor - Bahan  komputer                                                                              2.205.000,00</t>
  </si>
  <si>
    <t>tinta printer Epson 003 black</t>
  </si>
  <si>
    <t>buah</t>
  </si>
  <si>
    <t>tinta printer Epson 003 cyan</t>
  </si>
  <si>
    <t>tinta printer Epson 003 magenta</t>
  </si>
  <si>
    <t>tinta printer Epson 003 yellow</t>
  </si>
  <si>
    <t>5.1.02.01.01.0052</t>
  </si>
  <si>
    <t>Belanja Makanan dan Minuman Rapat</t>
  </si>
  <si>
    <t xml:space="preserve">[-] Belanja Konsumsi Pembinaan Wilayah Puskesmas </t>
  </si>
  <si>
    <t>Beban makanan dan minuman rapat (149 orang)</t>
  </si>
  <si>
    <t xml:space="preserve">Orang/Kali </t>
  </si>
  <si>
    <t>[-] Belanja Konsumsi Pertemuan koordinasi dengan RS kab bogor</t>
  </si>
  <si>
    <t>Beban makanan dan minuman rapat (32 RS + 8 org )</t>
  </si>
  <si>
    <t>[-] Belanja Konsumsi Pertemuan Koordinasi Petugas  Puskesmas</t>
  </si>
  <si>
    <t>Beban makanan dan minuman rapat (120x2org)</t>
  </si>
  <si>
    <t>5.1.02.02</t>
  </si>
  <si>
    <t>Belanja Jasa</t>
  </si>
  <si>
    <t>5.1.02.02.01</t>
  </si>
  <si>
    <t>Belanja Jasa Kantor</t>
  </si>
  <si>
    <t>5.1.02.02.01.0003</t>
  </si>
  <si>
    <t xml:space="preserve">Honorarium Narasumber atau Pembahas, Moderator, Pembawa Acara, dan Panitia </t>
  </si>
  <si>
    <t xml:space="preserve">[-] Pembinaan Wilayah Puskesmas </t>
  </si>
  <si>
    <t>Honorarium Narasumber/Pembahas (1orx2jamx1kl)</t>
  </si>
  <si>
    <t>Orang/jam</t>
  </si>
  <si>
    <t>[-] Pertemuan Koordinasi Petugas  Puskesmas</t>
  </si>
  <si>
    <t>Honorarium Narasumber/Pembahas Pakar/Ahli (1orx2jam)</t>
  </si>
  <si>
    <t>[-] Pertemuan Review Data Skrining HPP, PE, Asfexsia Puskesmas dan Rumah Sakit</t>
  </si>
  <si>
    <t>Honorarium Narasumber/Pembahas (2orx2jamx1kl)</t>
  </si>
  <si>
    <t>5.1.02.04</t>
  </si>
  <si>
    <t>Belanja Perjalanan Dinas</t>
  </si>
  <si>
    <t>5.1.02.04.01</t>
  </si>
  <si>
    <t xml:space="preserve">Belanja Perjalanan Dinas Dalam Negeri </t>
  </si>
  <si>
    <t>5.1.02.04.01.0003</t>
  </si>
  <si>
    <t>Belanja Perjalanan Dinas Dalam Kota</t>
  </si>
  <si>
    <t>[-] Belanja Perjalanan Dinas Pembinaan Wilayah Puskesmas</t>
  </si>
  <si>
    <t>Cibinong-Parung Panjang &gt; 2000 cc</t>
  </si>
  <si>
    <t>Orang/Hari</t>
  </si>
  <si>
    <t>Cibinong-ciawi &gt; 2000 cc</t>
  </si>
  <si>
    <t>Leuwiliang</t>
  </si>
  <si>
    <t>cibinong-tanjungsari&gt;2000cc</t>
  </si>
  <si>
    <t>Ciawi</t>
  </si>
  <si>
    <t>cibinong-sukaraja&gt;2000cc</t>
  </si>
  <si>
    <t>Jonggol 4</t>
  </si>
  <si>
    <t>Uang Harian Perjalanan Dinas Dalam Daerah lebih dari 8 jam</t>
  </si>
  <si>
    <t>5.1.02.04.01.0004</t>
  </si>
  <si>
    <t>Belanja Perjalanan Dinas Paket Meeting Dalam Kota</t>
  </si>
  <si>
    <t>Biaya Kegiatan rapat/pertemuan di luar kantor-fullday (65 org x 1 kl)</t>
  </si>
  <si>
    <t>Uang Harian Kegiatan Rapat</t>
  </si>
  <si>
    <t>Grand Total :</t>
  </si>
  <si>
    <t>PAGU AWAL</t>
  </si>
  <si>
    <t>PAGU PENGURANGAN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</si>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</sst>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[Red]#,##0"/>
    <numFmt numFmtId="165" formatCode="&quot;Rp&quot;#,##0;[Red]&quot;Rp&quot;#,##0"/>
    <numFmt numFmtId="166" formatCode="_(* #,##0_);_(* \(#,##0\);_(* &quot;-&quot;??_);_(@_)"/>
    <numFmt numFmtId="167" formatCode="_-[$Rp-421]* #,##0.00_-;\-[$Rp-421]* #,##0.00_-;_-[$Rp-421]* &quot;-&quot;??_-;_-@_-"/>
    <numFmt numFmtId="168" formatCode="&quot;Rp&quot;#,##0_);\(&quot;Rp&quot;#,##0\)"/>
  </numFmts>
  <fonts count="8">
    <font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5" fontId="0" fillId="0" borderId="5" xfId="0" applyNumberForma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9" fontId="0" fillId="0" borderId="5" xfId="0" applyNumberForma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right" vertical="center"/>
    </xf>
    <xf numFmtId="166" fontId="0" fillId="0" borderId="0" xfId="1" applyNumberFormat="1" applyFont="1"/>
    <xf numFmtId="165" fontId="0" fillId="0" borderId="0" xfId="0" applyNumberFormat="1"/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43" fontId="0" fillId="0" borderId="0" xfId="0" applyNumberFormat="1"/>
    <xf numFmtId="0" fontId="3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5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left" vertical="center" wrapText="1" indent="2"/>
    </xf>
    <xf numFmtId="0" fontId="7" fillId="0" borderId="1" xfId="0" applyFont="1" applyBorder="1" applyAlignment="1">
      <alignment horizontal="left" vertical="center" wrapText="1" indent="1"/>
    </xf>
    <xf numFmtId="167" fontId="7" fillId="0" borderId="1" xfId="0" quotePrefix="1" applyNumberFormat="1" applyFont="1" applyBorder="1" applyAlignment="1">
      <alignment horizontal="left" vertical="center" wrapText="1" indent="1"/>
    </xf>
    <xf numFmtId="0" fontId="7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1" xfId="0" applyFont="1" applyBorder="1"/>
    <xf numFmtId="0" fontId="0" fillId="0" borderId="1" xfId="0" applyBorder="1"/>
    <xf numFmtId="165" fontId="3" fillId="0" borderId="1" xfId="0" applyNumberFormat="1" applyFont="1" applyBorder="1" applyAlignment="1">
      <alignment horizontal="right"/>
    </xf>
    <xf numFmtId="0" fontId="0" fillId="0" borderId="6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8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7BDC-680D-4DCA-98C4-2DD0BA93A734}">
  <sheetPr>
    <tabColor theme="0" tint="-0.14996795556505021"/>
  </sheetPr>
  <dimension ref="A1:L83"/>
  <sheetViews>
    <sheetView tabSelected="1" topLeftCell="A30" zoomScaleNormal="100" zoomScaleSheetLayoutView="110" workbookViewId="0">
      <selection activeCell="C42" sqref="C42:F42"/>
    </sheetView>
  </sheetViews>
  <sheetFormatPr defaultColWidth="9" defaultRowHeight="14.5"/>
  <cols>
    <col min="1" max="1" width="18.26953125" customWidth="1"/>
    <col min="2" max="2" width="2.453125" customWidth="1"/>
    <col min="3" max="3" width="31.90625" customWidth="1"/>
    <col min="4" max="4" width="8.453125" customWidth="1"/>
    <col min="5" max="5" width="14" customWidth="1"/>
    <col min="6" max="6" width="15.54296875" customWidth="1"/>
    <col min="7" max="7" width="7.1796875" customWidth="1"/>
    <col min="8" max="8" width="18.36328125" style="96" customWidth="1"/>
    <col min="9" max="9" width="8.36328125" customWidth="1"/>
    <col min="10" max="10" width="13.90625" hidden="1" customWidth="1"/>
    <col min="11" max="11" width="18.08984375" customWidth="1"/>
    <col min="12" max="12" width="16" customWidth="1"/>
  </cols>
  <sheetData>
    <row r="1" spans="1:8" ht="18.5">
      <c r="A1" s="1" t="s">
        <v>0</v>
      </c>
      <c r="B1" s="1"/>
      <c r="C1" s="1"/>
      <c r="D1" s="1"/>
      <c r="E1" s="1"/>
      <c r="F1" s="1"/>
      <c r="G1" s="1"/>
      <c r="H1" s="1"/>
    </row>
    <row r="2" spans="1:8" ht="18.5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5" t="s">
        <v>3</v>
      </c>
      <c r="B5" s="4" t="s">
        <v>4</v>
      </c>
      <c r="C5" s="6" t="s">
        <v>5</v>
      </c>
      <c r="D5" s="6"/>
      <c r="E5" s="6"/>
      <c r="F5" s="6"/>
      <c r="G5" s="6"/>
      <c r="H5" s="4"/>
    </row>
    <row r="6" spans="1:8">
      <c r="A6" s="5" t="s">
        <v>6</v>
      </c>
      <c r="B6" s="4" t="s">
        <v>4</v>
      </c>
      <c r="C6" s="6" t="s">
        <v>7</v>
      </c>
      <c r="D6" s="6"/>
      <c r="E6" s="6"/>
      <c r="F6" s="6"/>
      <c r="G6" s="6"/>
      <c r="H6" s="6"/>
    </row>
    <row r="7" spans="1:8">
      <c r="A7" s="5" t="s">
        <v>8</v>
      </c>
      <c r="B7" s="4" t="s">
        <v>4</v>
      </c>
      <c r="C7" s="5" t="s">
        <v>9</v>
      </c>
      <c r="D7" s="4"/>
      <c r="E7" s="4"/>
      <c r="F7" s="4"/>
      <c r="G7" s="4"/>
      <c r="H7" s="4"/>
    </row>
    <row r="8" spans="1:8">
      <c r="A8" s="5" t="s">
        <v>10</v>
      </c>
      <c r="B8" s="4" t="s">
        <v>4</v>
      </c>
      <c r="C8" s="7" t="s">
        <v>11</v>
      </c>
      <c r="D8" s="4"/>
      <c r="E8" s="4"/>
      <c r="F8" s="4"/>
      <c r="G8" s="4"/>
      <c r="H8" s="4"/>
    </row>
    <row r="9" spans="1:8">
      <c r="A9" s="5" t="s">
        <v>12</v>
      </c>
      <c r="B9" s="4" t="s">
        <v>4</v>
      </c>
      <c r="C9" s="6" t="s">
        <v>13</v>
      </c>
      <c r="D9" s="6"/>
      <c r="E9" s="6"/>
      <c r="F9" s="6"/>
      <c r="G9" s="6"/>
      <c r="H9" s="8"/>
    </row>
    <row r="10" spans="1:8">
      <c r="A10" s="5" t="s">
        <v>14</v>
      </c>
      <c r="B10" s="4" t="s">
        <v>4</v>
      </c>
      <c r="C10" s="9" t="s">
        <v>15</v>
      </c>
      <c r="D10" s="9"/>
      <c r="E10" s="9"/>
      <c r="F10" s="9"/>
      <c r="G10" s="9"/>
      <c r="H10" s="9"/>
    </row>
    <row r="11" spans="1:8">
      <c r="A11" s="5" t="s">
        <v>16</v>
      </c>
      <c r="B11" s="4" t="s">
        <v>4</v>
      </c>
      <c r="C11" s="6" t="s">
        <v>17</v>
      </c>
      <c r="D11" s="6"/>
      <c r="E11" s="6"/>
      <c r="F11" s="6"/>
      <c r="G11" s="6"/>
      <c r="H11" s="8"/>
    </row>
    <row r="12" spans="1:8">
      <c r="A12" s="5" t="s">
        <v>18</v>
      </c>
      <c r="B12" s="4" t="s">
        <v>4</v>
      </c>
      <c r="C12" s="10" t="s">
        <v>11</v>
      </c>
      <c r="D12" s="6"/>
      <c r="E12" s="6"/>
      <c r="F12" s="6"/>
      <c r="G12" s="6"/>
      <c r="H12" s="8"/>
    </row>
    <row r="13" spans="1:8">
      <c r="A13" s="5" t="s">
        <v>19</v>
      </c>
      <c r="B13" s="4" t="s">
        <v>4</v>
      </c>
      <c r="C13" s="10" t="s">
        <v>11</v>
      </c>
      <c r="D13" s="6"/>
      <c r="E13" s="6"/>
      <c r="F13" s="6"/>
      <c r="G13" s="6"/>
      <c r="H13" s="8"/>
    </row>
    <row r="14" spans="1:8">
      <c r="A14" s="5" t="s">
        <v>20</v>
      </c>
      <c r="B14" s="4" t="s">
        <v>4</v>
      </c>
      <c r="C14" s="5" t="s">
        <v>21</v>
      </c>
      <c r="D14" s="4"/>
      <c r="E14" s="4"/>
      <c r="F14" s="4"/>
      <c r="G14" s="4"/>
      <c r="H14" s="4"/>
    </row>
    <row r="15" spans="1:8">
      <c r="A15" s="5" t="s">
        <v>22</v>
      </c>
      <c r="B15" s="4" t="s">
        <v>4</v>
      </c>
      <c r="C15" s="5" t="s">
        <v>23</v>
      </c>
      <c r="D15" s="4"/>
      <c r="E15" s="4"/>
      <c r="F15" s="4"/>
      <c r="G15" s="4"/>
      <c r="H15" s="4"/>
    </row>
    <row r="16" spans="1:8">
      <c r="A16" s="5" t="s">
        <v>24</v>
      </c>
      <c r="B16" s="4" t="s">
        <v>4</v>
      </c>
      <c r="C16" s="5" t="s">
        <v>25</v>
      </c>
      <c r="D16" s="4"/>
      <c r="E16" s="4"/>
      <c r="F16" s="4"/>
      <c r="G16" s="4"/>
      <c r="H16" s="4"/>
    </row>
    <row r="17" spans="1:12">
      <c r="A17" s="5" t="s">
        <v>26</v>
      </c>
      <c r="B17" s="4" t="s">
        <v>4</v>
      </c>
      <c r="C17" s="5" t="s">
        <v>27</v>
      </c>
      <c r="D17" s="4"/>
      <c r="E17" s="4"/>
      <c r="F17" s="4"/>
      <c r="G17" s="4"/>
      <c r="H17" s="4"/>
    </row>
    <row r="18" spans="1:12">
      <c r="A18" s="5" t="s">
        <v>28</v>
      </c>
      <c r="B18" s="4" t="s">
        <v>4</v>
      </c>
      <c r="C18" s="5"/>
      <c r="D18" s="4"/>
      <c r="E18" s="4"/>
      <c r="F18" s="4"/>
      <c r="G18" s="4"/>
      <c r="H18" s="4"/>
    </row>
    <row r="19" spans="1:12">
      <c r="A19" s="5" t="s">
        <v>29</v>
      </c>
      <c r="B19" s="4" t="s">
        <v>4</v>
      </c>
      <c r="C19" s="6" t="s">
        <v>30</v>
      </c>
      <c r="D19" s="6"/>
      <c r="E19" s="6"/>
      <c r="F19" s="6"/>
      <c r="G19" s="6"/>
      <c r="H19" s="11"/>
    </row>
    <row r="20" spans="1:12">
      <c r="A20" s="5" t="s">
        <v>31</v>
      </c>
      <c r="B20" s="4" t="s">
        <v>4</v>
      </c>
      <c r="C20" s="12" t="s">
        <v>32</v>
      </c>
      <c r="D20" s="12"/>
      <c r="E20" s="12"/>
      <c r="F20" s="12"/>
      <c r="G20" s="12"/>
      <c r="H20" s="12"/>
    </row>
    <row r="21" spans="1:12" ht="18.649999999999999" customHeight="1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12">
      <c r="A22" s="16" t="s">
        <v>34</v>
      </c>
      <c r="B22" s="17"/>
      <c r="C22" s="18" t="s">
        <v>35</v>
      </c>
      <c r="D22" s="19"/>
      <c r="E22" s="19"/>
      <c r="F22" s="20"/>
      <c r="G22" s="17" t="s">
        <v>36</v>
      </c>
      <c r="H22" s="21"/>
    </row>
    <row r="23" spans="1:12">
      <c r="A23" s="16" t="s">
        <v>37</v>
      </c>
      <c r="B23" s="17"/>
      <c r="C23" s="22" t="s">
        <v>38</v>
      </c>
      <c r="D23" s="23"/>
      <c r="E23" s="23"/>
      <c r="F23" s="24"/>
      <c r="G23" s="22" t="s">
        <v>39</v>
      </c>
      <c r="H23" s="24"/>
    </row>
    <row r="24" spans="1:12">
      <c r="A24" s="16" t="s">
        <v>40</v>
      </c>
      <c r="B24" s="17"/>
      <c r="C24" s="22" t="s">
        <v>41</v>
      </c>
      <c r="D24" s="23"/>
      <c r="E24" s="23"/>
      <c r="F24" s="24"/>
      <c r="G24" s="25">
        <f>H30</f>
        <v>116243999.875</v>
      </c>
      <c r="H24" s="24"/>
    </row>
    <row r="25" spans="1:12">
      <c r="A25" s="16" t="s">
        <v>42</v>
      </c>
      <c r="B25" s="26"/>
      <c r="C25" s="27" t="s">
        <v>43</v>
      </c>
      <c r="D25" s="28"/>
      <c r="E25" s="28"/>
      <c r="F25" s="29"/>
      <c r="G25" s="27" t="s">
        <v>44</v>
      </c>
      <c r="H25" s="29"/>
    </row>
    <row r="26" spans="1:12" ht="16.5" customHeight="1">
      <c r="A26" s="16" t="s">
        <v>45</v>
      </c>
      <c r="B26" s="17"/>
      <c r="C26" s="30" t="s">
        <v>46</v>
      </c>
      <c r="D26" s="31"/>
      <c r="E26" s="31"/>
      <c r="F26" s="31"/>
      <c r="G26" s="32">
        <v>1</v>
      </c>
      <c r="H26" s="33"/>
    </row>
    <row r="27" spans="1:12">
      <c r="A27" s="34" t="s">
        <v>47</v>
      </c>
      <c r="B27" s="35"/>
      <c r="C27" s="35"/>
      <c r="D27" s="35"/>
      <c r="E27" s="35"/>
      <c r="F27" s="35"/>
      <c r="G27" s="35"/>
      <c r="H27" s="36"/>
    </row>
    <row r="28" spans="1:12">
      <c r="A28" s="37" t="s">
        <v>48</v>
      </c>
      <c r="B28" s="38"/>
      <c r="C28" s="37" t="s">
        <v>49</v>
      </c>
      <c r="D28" s="39" t="s">
        <v>50</v>
      </c>
      <c r="E28" s="40"/>
      <c r="F28" s="40"/>
      <c r="G28" s="41"/>
      <c r="H28" s="42" t="s">
        <v>51</v>
      </c>
    </row>
    <row r="29" spans="1:12">
      <c r="A29" s="43"/>
      <c r="B29" s="44"/>
      <c r="C29" s="43"/>
      <c r="D29" s="45" t="s">
        <v>52</v>
      </c>
      <c r="E29" s="45" t="s">
        <v>53</v>
      </c>
      <c r="F29" s="45" t="s">
        <v>54</v>
      </c>
      <c r="G29" s="45" t="s">
        <v>55</v>
      </c>
      <c r="H29" s="46"/>
    </row>
    <row r="30" spans="1:12">
      <c r="A30" s="47">
        <v>5</v>
      </c>
      <c r="B30" s="48"/>
      <c r="C30" s="48" t="s">
        <v>56</v>
      </c>
      <c r="D30" s="40"/>
      <c r="E30" s="40"/>
      <c r="F30" s="40"/>
      <c r="G30" s="41"/>
      <c r="H30" s="49">
        <f>H31</f>
        <v>116243999.875</v>
      </c>
      <c r="K30" s="50">
        <f>H30-116244000</f>
        <v>-0.125</v>
      </c>
      <c r="L30" s="51"/>
    </row>
    <row r="31" spans="1:12">
      <c r="A31" s="52" t="s">
        <v>57</v>
      </c>
      <c r="B31" s="53"/>
      <c r="C31" s="54" t="s">
        <v>58</v>
      </c>
      <c r="D31" s="55"/>
      <c r="E31" s="55"/>
      <c r="F31" s="55"/>
      <c r="G31" s="56"/>
      <c r="H31" s="49">
        <f>H32</f>
        <v>116243999.875</v>
      </c>
      <c r="K31" s="57"/>
      <c r="L31" s="51"/>
    </row>
    <row r="32" spans="1:12">
      <c r="A32" s="52" t="s">
        <v>59</v>
      </c>
      <c r="B32" s="53"/>
      <c r="C32" s="54" t="s">
        <v>60</v>
      </c>
      <c r="D32" s="55"/>
      <c r="E32" s="55"/>
      <c r="F32" s="55"/>
      <c r="G32" s="56"/>
      <c r="H32" s="49">
        <f>H33+H57+H66</f>
        <v>116243999.875</v>
      </c>
    </row>
    <row r="33" spans="1:11">
      <c r="A33" s="52" t="s">
        <v>61</v>
      </c>
      <c r="B33" s="52"/>
      <c r="C33" s="58" t="s">
        <v>62</v>
      </c>
      <c r="D33" s="58"/>
      <c r="E33" s="58"/>
      <c r="F33" s="58"/>
      <c r="G33" s="58"/>
      <c r="H33" s="49">
        <f>H34</f>
        <v>55544999.875</v>
      </c>
    </row>
    <row r="34" spans="1:11">
      <c r="A34" s="52" t="s">
        <v>63</v>
      </c>
      <c r="B34" s="52"/>
      <c r="C34" s="58" t="s">
        <v>64</v>
      </c>
      <c r="D34" s="58"/>
      <c r="E34" s="58"/>
      <c r="F34" s="58"/>
      <c r="G34" s="58"/>
      <c r="H34" s="49">
        <f>+H35+H38+H42+H47</f>
        <v>55544999.875</v>
      </c>
      <c r="K34" s="51"/>
    </row>
    <row r="35" spans="1:11">
      <c r="A35" s="52" t="s">
        <v>65</v>
      </c>
      <c r="B35" s="53"/>
      <c r="C35" s="54" t="s">
        <v>66</v>
      </c>
      <c r="D35" s="55"/>
      <c r="E35" s="55"/>
      <c r="F35" s="55"/>
      <c r="G35" s="56"/>
      <c r="H35" s="49">
        <f>SUM(H36:H37)</f>
        <v>1701125</v>
      </c>
    </row>
    <row r="36" spans="1:11">
      <c r="A36" s="17"/>
      <c r="B36" s="17"/>
      <c r="C36" s="17" t="s">
        <v>67</v>
      </c>
      <c r="D36" s="17">
        <v>11</v>
      </c>
      <c r="E36" s="17" t="s">
        <v>68</v>
      </c>
      <c r="F36" s="59">
        <v>87875</v>
      </c>
      <c r="G36" s="17">
        <v>0</v>
      </c>
      <c r="H36" s="60">
        <f t="shared" ref="H36:H37" si="0">SUM(F36*D36)</f>
        <v>966625</v>
      </c>
    </row>
    <row r="37" spans="1:11">
      <c r="A37" s="17"/>
      <c r="B37" s="17"/>
      <c r="C37" s="17" t="s">
        <v>69</v>
      </c>
      <c r="D37" s="17">
        <v>10</v>
      </c>
      <c r="E37" s="17" t="s">
        <v>68</v>
      </c>
      <c r="F37" s="59">
        <v>73450</v>
      </c>
      <c r="G37" s="17">
        <v>0</v>
      </c>
      <c r="H37" s="60">
        <f t="shared" si="0"/>
        <v>734500</v>
      </c>
    </row>
    <row r="38" spans="1:11">
      <c r="A38" s="52" t="s">
        <v>70</v>
      </c>
      <c r="B38" s="53"/>
      <c r="C38" s="54" t="s">
        <v>71</v>
      </c>
      <c r="D38" s="55"/>
      <c r="E38" s="55"/>
      <c r="F38" s="55"/>
      <c r="G38" s="56"/>
      <c r="H38" s="49">
        <f>SUM(H39:H41)</f>
        <v>653874.875</v>
      </c>
      <c r="K38" s="51"/>
    </row>
    <row r="39" spans="1:11">
      <c r="A39" s="17"/>
      <c r="B39" s="61"/>
      <c r="C39" s="62" t="s">
        <v>72</v>
      </c>
      <c r="D39" s="63">
        <f>2*5</f>
        <v>10</v>
      </c>
      <c r="E39" s="63" t="s">
        <v>73</v>
      </c>
      <c r="F39" s="64">
        <v>48250</v>
      </c>
      <c r="G39" s="65">
        <v>0</v>
      </c>
      <c r="H39" s="66">
        <f t="shared" ref="H39:H46" si="1">SUM(F39*D39)</f>
        <v>482500</v>
      </c>
    </row>
    <row r="40" spans="1:11">
      <c r="A40" s="17"/>
      <c r="B40" s="61"/>
      <c r="C40" s="67" t="s">
        <v>74</v>
      </c>
      <c r="D40" s="63">
        <v>403</v>
      </c>
      <c r="E40" s="63" t="s">
        <v>75</v>
      </c>
      <c r="F40" s="64">
        <v>425</v>
      </c>
      <c r="G40" s="65">
        <v>0</v>
      </c>
      <c r="H40" s="66">
        <f t="shared" si="1"/>
        <v>171275</v>
      </c>
    </row>
    <row r="41" spans="1:11">
      <c r="A41" s="17"/>
      <c r="B41" s="61"/>
      <c r="C41" s="67" t="s">
        <v>76</v>
      </c>
      <c r="D41" s="63">
        <v>0.23499999999999999</v>
      </c>
      <c r="E41" s="63" t="s">
        <v>75</v>
      </c>
      <c r="F41" s="64">
        <v>425</v>
      </c>
      <c r="G41" s="65">
        <v>0</v>
      </c>
      <c r="H41" s="66">
        <f t="shared" si="1"/>
        <v>99.875</v>
      </c>
    </row>
    <row r="42" spans="1:11" ht="14.5" customHeight="1">
      <c r="A42" s="68" t="s">
        <v>77</v>
      </c>
      <c r="B42" s="69"/>
      <c r="C42" s="70" t="s">
        <v>78</v>
      </c>
      <c r="D42" s="71"/>
      <c r="E42" s="71"/>
      <c r="F42" s="71"/>
      <c r="G42" s="72"/>
      <c r="H42" s="73">
        <f>SUM(H43:H46)</f>
        <v>2205000</v>
      </c>
    </row>
    <row r="43" spans="1:11" ht="14.5" customHeight="1">
      <c r="A43" s="74"/>
      <c r="B43" s="75"/>
      <c r="C43" s="75" t="s">
        <v>79</v>
      </c>
      <c r="D43" s="76">
        <v>2</v>
      </c>
      <c r="E43" s="77" t="s">
        <v>80</v>
      </c>
      <c r="F43" s="78">
        <v>315000</v>
      </c>
      <c r="G43" s="79"/>
      <c r="H43" s="66">
        <f t="shared" si="1"/>
        <v>630000</v>
      </c>
    </row>
    <row r="44" spans="1:11" ht="14.5" customHeight="1">
      <c r="A44" s="74"/>
      <c r="B44" s="75"/>
      <c r="C44" s="75" t="s">
        <v>81</v>
      </c>
      <c r="D44" s="76">
        <v>2</v>
      </c>
      <c r="E44" s="77" t="s">
        <v>80</v>
      </c>
      <c r="F44" s="78">
        <v>262500</v>
      </c>
      <c r="G44" s="79"/>
      <c r="H44" s="66">
        <f t="shared" si="1"/>
        <v>525000</v>
      </c>
    </row>
    <row r="45" spans="1:11" ht="14.5" customHeight="1">
      <c r="A45" s="74"/>
      <c r="B45" s="75"/>
      <c r="C45" s="75" t="s">
        <v>82</v>
      </c>
      <c r="D45" s="76">
        <v>2</v>
      </c>
      <c r="E45" s="77" t="s">
        <v>80</v>
      </c>
      <c r="F45" s="78">
        <v>262500</v>
      </c>
      <c r="G45" s="79"/>
      <c r="H45" s="66">
        <f t="shared" si="1"/>
        <v>525000</v>
      </c>
    </row>
    <row r="46" spans="1:11" ht="14.5" customHeight="1">
      <c r="A46" s="74"/>
      <c r="B46" s="75"/>
      <c r="C46" s="75" t="s">
        <v>83</v>
      </c>
      <c r="D46" s="76">
        <v>2</v>
      </c>
      <c r="E46" s="77" t="s">
        <v>80</v>
      </c>
      <c r="F46" s="78">
        <v>262500</v>
      </c>
      <c r="G46" s="79"/>
      <c r="H46" s="66">
        <f t="shared" si="1"/>
        <v>525000</v>
      </c>
    </row>
    <row r="47" spans="1:11" ht="15.75" customHeight="1">
      <c r="A47" s="52" t="s">
        <v>84</v>
      </c>
      <c r="B47" s="53"/>
      <c r="C47" s="80" t="s">
        <v>85</v>
      </c>
      <c r="D47" s="81"/>
      <c r="E47" s="81"/>
      <c r="F47" s="81"/>
      <c r="G47" s="82"/>
      <c r="H47" s="49">
        <f>SUM(H49:H56)</f>
        <v>50985000</v>
      </c>
    </row>
    <row r="48" spans="1:11" ht="15.75" customHeight="1">
      <c r="A48" s="52"/>
      <c r="B48" s="53"/>
      <c r="C48" s="54" t="s">
        <v>86</v>
      </c>
      <c r="D48" s="55"/>
      <c r="E48" s="55"/>
      <c r="F48" s="55"/>
      <c r="G48" s="56"/>
      <c r="H48" s="60"/>
    </row>
    <row r="49" spans="1:8" ht="33" customHeight="1">
      <c r="A49" s="52"/>
      <c r="B49" s="53"/>
      <c r="C49" s="83" t="s">
        <v>87</v>
      </c>
      <c r="D49" s="17">
        <f>150*5</f>
        <v>750</v>
      </c>
      <c r="E49" s="17" t="s">
        <v>88</v>
      </c>
      <c r="F49" s="59">
        <v>33000</v>
      </c>
      <c r="G49" s="17">
        <v>0</v>
      </c>
      <c r="H49" s="60">
        <f t="shared" ref="H49:H50" si="2">SUM(F49*D49)</f>
        <v>24750000</v>
      </c>
    </row>
    <row r="50" spans="1:8" ht="29" customHeight="1">
      <c r="A50" s="52"/>
      <c r="B50" s="53"/>
      <c r="C50" s="83" t="s">
        <v>87</v>
      </c>
      <c r="D50" s="17">
        <f>150*5</f>
        <v>750</v>
      </c>
      <c r="E50" s="17" t="s">
        <v>88</v>
      </c>
      <c r="F50" s="59">
        <v>16500</v>
      </c>
      <c r="G50" s="17">
        <v>0</v>
      </c>
      <c r="H50" s="60">
        <f t="shared" si="2"/>
        <v>12375000</v>
      </c>
    </row>
    <row r="51" spans="1:8" ht="21.5" customHeight="1">
      <c r="A51" s="52"/>
      <c r="B51" s="53"/>
      <c r="C51" s="54" t="s">
        <v>89</v>
      </c>
      <c r="D51" s="55"/>
      <c r="E51" s="55"/>
      <c r="F51" s="55"/>
      <c r="G51" s="56"/>
      <c r="H51" s="60"/>
    </row>
    <row r="52" spans="1:8" ht="29" customHeight="1">
      <c r="A52" s="52"/>
      <c r="B52" s="53"/>
      <c r="C52" s="83" t="s">
        <v>90</v>
      </c>
      <c r="D52" s="17">
        <v>40</v>
      </c>
      <c r="E52" s="17" t="s">
        <v>88</v>
      </c>
      <c r="F52" s="59">
        <v>33000</v>
      </c>
      <c r="G52" s="17">
        <v>0</v>
      </c>
      <c r="H52" s="60">
        <f t="shared" ref="H52:H53" si="3">SUM(F52*D52)</f>
        <v>1320000</v>
      </c>
    </row>
    <row r="53" spans="1:8" ht="29" customHeight="1">
      <c r="A53" s="52"/>
      <c r="B53" s="53"/>
      <c r="C53" s="83" t="s">
        <v>90</v>
      </c>
      <c r="D53" s="17">
        <v>40</v>
      </c>
      <c r="E53" s="17" t="s">
        <v>88</v>
      </c>
      <c r="F53" s="59">
        <v>16500</v>
      </c>
      <c r="G53" s="17">
        <v>0</v>
      </c>
      <c r="H53" s="60">
        <f t="shared" si="3"/>
        <v>660000</v>
      </c>
    </row>
    <row r="54" spans="1:8">
      <c r="A54" s="52"/>
      <c r="B54" s="53"/>
      <c r="C54" s="54" t="s">
        <v>91</v>
      </c>
      <c r="D54" s="55"/>
      <c r="E54" s="55"/>
      <c r="F54" s="55"/>
      <c r="G54" s="56"/>
      <c r="H54" s="60"/>
    </row>
    <row r="55" spans="1:8" ht="29">
      <c r="A55" s="17"/>
      <c r="B55" s="17"/>
      <c r="C55" s="83" t="s">
        <v>92</v>
      </c>
      <c r="D55" s="17">
        <f>120*2</f>
        <v>240</v>
      </c>
      <c r="E55" s="17" t="s">
        <v>88</v>
      </c>
      <c r="F55" s="59">
        <v>33000</v>
      </c>
      <c r="G55" s="17">
        <v>0</v>
      </c>
      <c r="H55" s="60">
        <f t="shared" ref="H55:H56" si="4">SUM(F55*D55)</f>
        <v>7920000</v>
      </c>
    </row>
    <row r="56" spans="1:8" ht="29">
      <c r="A56" s="17"/>
      <c r="B56" s="17"/>
      <c r="C56" s="83" t="s">
        <v>92</v>
      </c>
      <c r="D56" s="17">
        <f>120*2</f>
        <v>240</v>
      </c>
      <c r="E56" s="17" t="s">
        <v>88</v>
      </c>
      <c r="F56" s="59">
        <v>16500</v>
      </c>
      <c r="G56" s="17">
        <v>0</v>
      </c>
      <c r="H56" s="60">
        <f t="shared" si="4"/>
        <v>3960000</v>
      </c>
    </row>
    <row r="57" spans="1:8">
      <c r="A57" s="52" t="s">
        <v>93</v>
      </c>
      <c r="B57" s="52"/>
      <c r="C57" s="58" t="s">
        <v>94</v>
      </c>
      <c r="D57" s="58"/>
      <c r="E57" s="58"/>
      <c r="F57" s="58"/>
      <c r="G57" s="58"/>
      <c r="H57" s="49">
        <f>H58</f>
        <v>17800000</v>
      </c>
    </row>
    <row r="58" spans="1:8">
      <c r="A58" s="52" t="s">
        <v>95</v>
      </c>
      <c r="B58" s="52"/>
      <c r="C58" s="58" t="s">
        <v>96</v>
      </c>
      <c r="D58" s="58"/>
      <c r="E58" s="58"/>
      <c r="F58" s="58"/>
      <c r="G58" s="58"/>
      <c r="H58" s="49">
        <f>H59</f>
        <v>17800000</v>
      </c>
    </row>
    <row r="59" spans="1:8" ht="19.25" customHeight="1">
      <c r="A59" s="52" t="s">
        <v>97</v>
      </c>
      <c r="B59" s="52"/>
      <c r="C59" s="80" t="s">
        <v>98</v>
      </c>
      <c r="D59" s="81"/>
      <c r="E59" s="81"/>
      <c r="F59" s="81"/>
      <c r="G59" s="82"/>
      <c r="H59" s="49">
        <f>SUM(H60:H65)</f>
        <v>17800000</v>
      </c>
    </row>
    <row r="60" spans="1:8" ht="21" customHeight="1">
      <c r="A60" s="52"/>
      <c r="B60" s="53"/>
      <c r="C60" s="54" t="s">
        <v>99</v>
      </c>
      <c r="D60" s="55"/>
      <c r="E60" s="55"/>
      <c r="F60" s="55"/>
      <c r="G60" s="56"/>
      <c r="H60" s="60"/>
    </row>
    <row r="61" spans="1:8" ht="35.4" customHeight="1">
      <c r="A61" s="17"/>
      <c r="B61" s="17"/>
      <c r="C61" s="83" t="s">
        <v>100</v>
      </c>
      <c r="D61" s="83">
        <f>2*6</f>
        <v>12</v>
      </c>
      <c r="E61" s="83" t="s">
        <v>101</v>
      </c>
      <c r="F61" s="84">
        <v>900000</v>
      </c>
      <c r="G61" s="83">
        <v>0</v>
      </c>
      <c r="H61" s="60">
        <f t="shared" ref="H61" si="5">SUM(F61*D61)</f>
        <v>10800000</v>
      </c>
    </row>
    <row r="62" spans="1:8" ht="18.5" customHeight="1">
      <c r="A62" s="26"/>
      <c r="B62" s="26"/>
      <c r="C62" s="54" t="s">
        <v>102</v>
      </c>
      <c r="D62" s="55"/>
      <c r="E62" s="55"/>
      <c r="F62" s="55"/>
      <c r="G62" s="56"/>
      <c r="H62" s="60"/>
    </row>
    <row r="63" spans="1:8" ht="35.4" customHeight="1">
      <c r="A63" s="26"/>
      <c r="B63" s="26"/>
      <c r="C63" s="83" t="s">
        <v>103</v>
      </c>
      <c r="D63" s="83">
        <v>2</v>
      </c>
      <c r="E63" s="83" t="s">
        <v>101</v>
      </c>
      <c r="F63" s="84">
        <v>1700000</v>
      </c>
      <c r="G63" s="83">
        <v>0</v>
      </c>
      <c r="H63" s="60">
        <f t="shared" ref="H63" si="6">SUM(F63*D63)</f>
        <v>3400000</v>
      </c>
    </row>
    <row r="64" spans="1:8" ht="16" customHeight="1">
      <c r="A64" s="26"/>
      <c r="B64" s="85"/>
      <c r="C64" s="80" t="s">
        <v>104</v>
      </c>
      <c r="D64" s="81"/>
      <c r="E64" s="81"/>
      <c r="F64" s="81"/>
      <c r="G64" s="82"/>
      <c r="H64" s="60"/>
    </row>
    <row r="65" spans="1:12" ht="35.4" customHeight="1">
      <c r="A65" s="26"/>
      <c r="B65" s="85"/>
      <c r="C65" s="83" t="s">
        <v>105</v>
      </c>
      <c r="D65" s="83">
        <f>2*2</f>
        <v>4</v>
      </c>
      <c r="E65" s="83" t="s">
        <v>101</v>
      </c>
      <c r="F65" s="84">
        <v>900000</v>
      </c>
      <c r="G65" s="83">
        <v>0</v>
      </c>
      <c r="H65" s="60">
        <f t="shared" ref="H65" si="7">SUM(F65*D65)</f>
        <v>3600000</v>
      </c>
    </row>
    <row r="66" spans="1:12">
      <c r="A66" s="52" t="s">
        <v>106</v>
      </c>
      <c r="B66" s="53"/>
      <c r="C66" s="54" t="s">
        <v>107</v>
      </c>
      <c r="D66" s="55"/>
      <c r="E66" s="55"/>
      <c r="F66" s="55"/>
      <c r="G66" s="56"/>
      <c r="H66" s="49">
        <f>H67+H75</f>
        <v>42899000</v>
      </c>
    </row>
    <row r="67" spans="1:12">
      <c r="A67" s="52" t="s">
        <v>108</v>
      </c>
      <c r="B67" s="53"/>
      <c r="C67" s="54" t="s">
        <v>109</v>
      </c>
      <c r="D67" s="55"/>
      <c r="E67" s="55"/>
      <c r="F67" s="55"/>
      <c r="G67" s="56"/>
      <c r="H67" s="49">
        <f>+H68</f>
        <v>15310000</v>
      </c>
    </row>
    <row r="68" spans="1:12">
      <c r="A68" s="52" t="s">
        <v>110</v>
      </c>
      <c r="B68" s="53"/>
      <c r="C68" s="54" t="s">
        <v>111</v>
      </c>
      <c r="D68" s="55"/>
      <c r="E68" s="55"/>
      <c r="F68" s="55"/>
      <c r="G68" s="56"/>
      <c r="H68" s="49">
        <f>SUM(H69:H74)</f>
        <v>15310000</v>
      </c>
    </row>
    <row r="69" spans="1:12">
      <c r="A69" s="52"/>
      <c r="B69" s="53"/>
      <c r="C69" s="80" t="s">
        <v>112</v>
      </c>
      <c r="D69" s="81"/>
      <c r="E69" s="81"/>
      <c r="F69" s="81"/>
      <c r="G69" s="82"/>
      <c r="H69" s="49"/>
    </row>
    <row r="70" spans="1:12">
      <c r="A70" s="17"/>
      <c r="B70" s="17"/>
      <c r="C70" s="83" t="s">
        <v>113</v>
      </c>
      <c r="D70" s="17">
        <v>6</v>
      </c>
      <c r="E70" s="17" t="s">
        <v>114</v>
      </c>
      <c r="F70" s="59">
        <v>250000</v>
      </c>
      <c r="G70" s="17"/>
      <c r="H70" s="60">
        <f t="shared" ref="H70:H74" si="8">SUM(F70*D70)</f>
        <v>1500000</v>
      </c>
    </row>
    <row r="71" spans="1:12">
      <c r="A71" s="17"/>
      <c r="B71" s="17"/>
      <c r="C71" s="83" t="s">
        <v>115</v>
      </c>
      <c r="D71" s="17">
        <v>5</v>
      </c>
      <c r="E71" s="17" t="s">
        <v>114</v>
      </c>
      <c r="F71" s="59">
        <v>215000</v>
      </c>
      <c r="G71" s="17">
        <v>0</v>
      </c>
      <c r="H71" s="60">
        <f t="shared" si="8"/>
        <v>1075000</v>
      </c>
      <c r="K71" t="s">
        <v>116</v>
      </c>
      <c r="L71">
        <v>4</v>
      </c>
    </row>
    <row r="72" spans="1:12">
      <c r="A72" s="17"/>
      <c r="B72" s="17"/>
      <c r="C72" s="83" t="s">
        <v>117</v>
      </c>
      <c r="D72" s="17">
        <v>5</v>
      </c>
      <c r="E72" s="17" t="s">
        <v>114</v>
      </c>
      <c r="F72" s="59">
        <v>260000</v>
      </c>
      <c r="G72" s="17"/>
      <c r="H72" s="60">
        <f t="shared" si="8"/>
        <v>1300000</v>
      </c>
      <c r="K72" t="s">
        <v>118</v>
      </c>
      <c r="L72">
        <v>4</v>
      </c>
    </row>
    <row r="73" spans="1:12">
      <c r="A73" s="17"/>
      <c r="B73" s="17"/>
      <c r="C73" s="83" t="s">
        <v>119</v>
      </c>
      <c r="D73" s="17">
        <v>5</v>
      </c>
      <c r="E73" s="17" t="s">
        <v>114</v>
      </c>
      <c r="F73" s="59">
        <v>145000</v>
      </c>
      <c r="G73" s="17"/>
      <c r="H73" s="60">
        <f t="shared" si="8"/>
        <v>725000</v>
      </c>
      <c r="K73" t="s">
        <v>120</v>
      </c>
      <c r="L73">
        <v>4</v>
      </c>
    </row>
    <row r="74" spans="1:12" ht="29">
      <c r="A74" s="17"/>
      <c r="B74" s="17"/>
      <c r="C74" s="83" t="s">
        <v>121</v>
      </c>
      <c r="D74" s="17">
        <f>3*21</f>
        <v>63</v>
      </c>
      <c r="E74" s="17" t="s">
        <v>114</v>
      </c>
      <c r="F74" s="59">
        <v>170000</v>
      </c>
      <c r="G74" s="17">
        <v>0</v>
      </c>
      <c r="H74" s="60">
        <f t="shared" si="8"/>
        <v>10710000</v>
      </c>
    </row>
    <row r="75" spans="1:12">
      <c r="A75" s="86" t="s">
        <v>122</v>
      </c>
      <c r="B75" s="86"/>
      <c r="C75" s="86" t="s">
        <v>123</v>
      </c>
      <c r="D75" s="87"/>
      <c r="E75" s="87"/>
      <c r="F75" s="87"/>
      <c r="G75" s="87"/>
      <c r="H75" s="88">
        <f>SUM(H77:H78)</f>
        <v>27589000</v>
      </c>
    </row>
    <row r="76" spans="1:12">
      <c r="A76" s="61"/>
      <c r="B76" s="89"/>
      <c r="C76" s="80" t="s">
        <v>104</v>
      </c>
      <c r="D76" s="81"/>
      <c r="E76" s="81"/>
      <c r="F76" s="81"/>
      <c r="G76" s="82"/>
      <c r="H76" s="60"/>
    </row>
    <row r="77" spans="1:12" ht="29">
      <c r="A77" s="61"/>
      <c r="B77" s="89"/>
      <c r="C77" s="83" t="s">
        <v>124</v>
      </c>
      <c r="D77" s="17">
        <f>68</f>
        <v>68</v>
      </c>
      <c r="E77" s="90" t="s">
        <v>114</v>
      </c>
      <c r="F77" s="59">
        <v>398000</v>
      </c>
      <c r="G77" s="17">
        <v>0</v>
      </c>
      <c r="H77" s="60">
        <f t="shared" ref="H77:H78" si="9">SUM(F77*D77)</f>
        <v>27064000</v>
      </c>
    </row>
    <row r="78" spans="1:12">
      <c r="A78" s="61"/>
      <c r="B78" s="89"/>
      <c r="C78" s="83" t="s">
        <v>125</v>
      </c>
      <c r="D78" s="17">
        <v>5</v>
      </c>
      <c r="E78" s="90" t="s">
        <v>114</v>
      </c>
      <c r="F78" s="59">
        <v>105000</v>
      </c>
      <c r="G78" s="17">
        <v>0</v>
      </c>
      <c r="H78" s="60">
        <f t="shared" si="9"/>
        <v>525000</v>
      </c>
    </row>
    <row r="79" spans="1:12">
      <c r="A79" s="91" t="s">
        <v>126</v>
      </c>
      <c r="B79" s="92"/>
      <c r="C79" s="92"/>
      <c r="D79" s="92"/>
      <c r="E79" s="92"/>
      <c r="F79" s="92"/>
      <c r="G79" s="93"/>
      <c r="H79" s="94">
        <f>H30</f>
        <v>116243999.875</v>
      </c>
      <c r="J79" s="95"/>
    </row>
    <row r="81" spans="1:8">
      <c r="A81" t="s">
        <v>127</v>
      </c>
      <c r="B81" t="s">
        <v>4</v>
      </c>
      <c r="C81" s="50">
        <f>H79</f>
        <v>116243999.875</v>
      </c>
      <c r="H81" s="95"/>
    </row>
    <row r="82" spans="1:8">
      <c r="A82" t="s">
        <v>128</v>
      </c>
      <c r="B82" t="s">
        <v>4</v>
      </c>
      <c r="C82" s="50"/>
    </row>
    <row r="83" spans="1:8">
      <c r="A83" t="s">
        <v>129</v>
      </c>
      <c r="C83" s="97"/>
    </row>
  </sheetData>
  <mergeCells count="43">
    <mergeCell ref="C66:G66"/>
    <mergeCell ref="C67:G67"/>
    <mergeCell ref="C68:G68"/>
    <mergeCell ref="C69:G69"/>
    <mergeCell ref="C76:G76"/>
    <mergeCell ref="A79:G79"/>
    <mergeCell ref="C57:G57"/>
    <mergeCell ref="C58:G58"/>
    <mergeCell ref="C59:G59"/>
    <mergeCell ref="C60:G60"/>
    <mergeCell ref="C62:G62"/>
    <mergeCell ref="C64:G64"/>
    <mergeCell ref="C38:G38"/>
    <mergeCell ref="C42:F42"/>
    <mergeCell ref="C47:G47"/>
    <mergeCell ref="C48:G48"/>
    <mergeCell ref="C51:G51"/>
    <mergeCell ref="C54:G54"/>
    <mergeCell ref="D30:G30"/>
    <mergeCell ref="C31:G31"/>
    <mergeCell ref="C32:G32"/>
    <mergeCell ref="C33:G33"/>
    <mergeCell ref="C34:G34"/>
    <mergeCell ref="C35:G35"/>
    <mergeCell ref="C26:F26"/>
    <mergeCell ref="G26:H26"/>
    <mergeCell ref="A27:H27"/>
    <mergeCell ref="A28:A29"/>
    <mergeCell ref="C28:C29"/>
    <mergeCell ref="D28:G28"/>
    <mergeCell ref="H28:H29"/>
    <mergeCell ref="C23:F23"/>
    <mergeCell ref="G23:H23"/>
    <mergeCell ref="C24:F24"/>
    <mergeCell ref="G24:H24"/>
    <mergeCell ref="C25:F25"/>
    <mergeCell ref="G25:H25"/>
    <mergeCell ref="A1:H1"/>
    <mergeCell ref="A2:H2"/>
    <mergeCell ref="A3:H3"/>
    <mergeCell ref="C10:H10"/>
    <mergeCell ref="A21:H21"/>
    <mergeCell ref="C22:F22"/>
  </mergeCells>
  <pageMargins left="0.70866141732283505" right="0.70866141732283505" top="0.74803149606299202" bottom="0.74803149606299202" header="0.31496062992126" footer="0.31496062992126"/>
  <pageSetup paperSize="5" scale="80" orientation="portrait" r:id="rId1"/>
  <rowBreaks count="2" manualBreakCount="2">
    <brk id="56" max="7" man="1"/>
    <brk id="6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bersalin</vt:lpstr>
      <vt:lpstr>bersalin!Print_Area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qoriah</dc:creator>
  <cp:lastModifiedBy>dede qoriah</cp:lastModifiedBy>
  <dcterms:created xsi:type="dcterms:W3CDTF">2026-02-27T04:55:34Z</dcterms:created>
  <dcterms:modified xsi:type="dcterms:W3CDTF">2026-02-27T04:56:21Z</dcterms:modified>
</cp:coreProperties>
</file>