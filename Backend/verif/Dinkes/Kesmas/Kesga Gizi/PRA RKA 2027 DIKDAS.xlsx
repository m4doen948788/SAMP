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GGARAN AUSREM\2027\"/>
    </mc:Choice>
  </mc:AlternateContent>
  <xr:revisionPtr revIDLastSave="0" documentId="13_ncr:1_{0DAE7784-5032-47EF-826B-6660B6990E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wal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7" l="1"/>
  <c r="K34" i="7"/>
  <c r="K54" i="7"/>
  <c r="K52" i="7" s="1"/>
  <c r="K70" i="7"/>
  <c r="K72" i="7"/>
  <c r="K71" i="7"/>
  <c r="K38" i="7"/>
  <c r="K35" i="7"/>
  <c r="K73" i="7"/>
  <c r="K64" i="7"/>
  <c r="K63" i="7"/>
  <c r="K62" i="7"/>
  <c r="K61" i="7"/>
  <c r="K60" i="7"/>
  <c r="K58" i="7"/>
  <c r="K68" i="7"/>
  <c r="K66" i="7" s="1"/>
  <c r="K51" i="7"/>
  <c r="K50" i="7"/>
  <c r="K48" i="7"/>
  <c r="K47" i="7" s="1"/>
  <c r="K45" i="7"/>
  <c r="K44" i="7"/>
  <c r="K42" i="7"/>
  <c r="K41" i="7"/>
  <c r="K37" i="7"/>
  <c r="K36" i="7" s="1"/>
  <c r="K31" i="7"/>
  <c r="K30" i="7"/>
  <c r="K32" i="7" l="1"/>
  <c r="K69" i="7"/>
  <c r="K43" i="7"/>
  <c r="K57" i="7"/>
  <c r="K29" i="7"/>
  <c r="K40" i="7"/>
  <c r="K49" i="7"/>
  <c r="K46" i="7" s="1"/>
  <c r="K39" i="7" l="1"/>
  <c r="K56" i="7"/>
  <c r="K55" i="7" s="1"/>
  <c r="K74" i="7" l="1"/>
</calcChain>
</file>

<file path=xl/sharedStrings.xml><?xml version="1.0" encoding="utf-8"?>
<sst xmlns="http://schemas.openxmlformats.org/spreadsheetml/2006/main" count="160" uniqueCount="120">
  <si>
    <t>Urusan</t>
  </si>
  <si>
    <t>Unit Organisasi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</si>
  <si>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</si>
  <si>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</si>
  <si>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</si>
  <si>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</si>
  <si>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</si>
  <si>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</si>
  <si>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</si>
  <si>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Kelompok Sasaran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</si>
  <si>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</si>
  <si>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</si>
  <si>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</si>
  <si>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</si>
  <si>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</si>
  <si>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</si>
  <si>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</si>
  <si>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Rincian Belanja Sub Kegiatan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</si>
  <si>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</si>
  <si>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</si>
  <si>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</si>
  <si>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</si>
  <si>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</si>
  <si>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</si>
  <si>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</si>
  <si>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</si>
  <si>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Grand Total :</t>
  </si>
  <si>
    <t>Kabupaten Bogor,........................................</t>
  </si>
  <si>
    <t>:  1.02 URUSAN PEMERINTAHAN WAJIB YANG BERHUBUNGAN DENGAN PELAYANAN DASAR</t>
  </si>
  <si>
    <t>: 1.02.0.00.0.00.01.0000 DINAS KESEHATAN</t>
  </si>
  <si>
    <t>:  1.02.00.00.0.00.01.0005 Bidang Kesehatan Masyarakat</t>
  </si>
  <si>
    <t>: 1.02.02 PROGRAM PEMENUHAN UPAYA KESEHATAN PERORANGAN DAN UPAYA KESEHATAN MASYARAKAT</t>
  </si>
  <si>
    <t>: 1.02.02.2.02 Penyediaan Layanan Kesehatan untuk UKM dan UKP Rujukan Tingkat Daerah Kabupaten Bogor</t>
  </si>
  <si>
    <t>: Januari s.d Desember</t>
  </si>
  <si>
    <t>: Petugas Puskesmas</t>
  </si>
  <si>
    <t>Dana yang dibutuhkan</t>
  </si>
  <si>
    <t>jam</t>
  </si>
  <si>
    <t>Uang Transport</t>
  </si>
  <si>
    <t>orang</t>
  </si>
  <si>
    <t>lembar</t>
  </si>
  <si>
    <t>BELANJA ALAT BAHAN UNTUK KEGIATAN KANTOR-BAHAN CETAK</t>
  </si>
  <si>
    <t>Uang Harian</t>
  </si>
  <si>
    <t>Fotokopi BW F4</t>
  </si>
  <si>
    <t>Honorarium Narasumber atau Pembahas, Moderator, Pembawa Acara dan panitia</t>
  </si>
  <si>
    <t>orang/jam</t>
  </si>
  <si>
    <t>Honorarium Narasumber PNS</t>
  </si>
  <si>
    <t>orang/kali</t>
  </si>
  <si>
    <t>Monitoring program</t>
  </si>
  <si>
    <t>Snack</t>
  </si>
  <si>
    <t>Makan</t>
  </si>
  <si>
    <t>Pertemuan Perencanaan Program</t>
  </si>
  <si>
    <t>Pertemuan Evaluasi Program</t>
  </si>
  <si>
    <t>rim</t>
  </si>
  <si>
    <t>kali</t>
  </si>
  <si>
    <t>bh</t>
  </si>
  <si>
    <t>BELANJA ALAT BAHAN UNTUK KEGIATAN KANTOR- BAHAN KOMPUTER</t>
  </si>
  <si>
    <t>BELANJA MAKAN MINUM RAPAT</t>
  </si>
  <si>
    <t>5.1.02.01.01.0029</t>
  </si>
  <si>
    <t>5.1.02.01.01.0052</t>
  </si>
  <si>
    <t>5.1.02.02.01.0003</t>
  </si>
  <si>
    <t>5.1.02.01.01.0026</t>
  </si>
  <si>
    <t>5.1.02.01.01.0025</t>
  </si>
  <si>
    <t>5.1.02.04.01.0003</t>
  </si>
  <si>
    <t>5.1.02.04.01</t>
  </si>
  <si>
    <t>BELANJA PERJALANAN DINAS DALAM NEGERI</t>
  </si>
  <si>
    <t>BELANJA PERJALANAN DINAS DALAM KOTA</t>
  </si>
  <si>
    <t>Cibinong-Jonggol</t>
  </si>
  <si>
    <t>Cibinong-Jasinga</t>
  </si>
  <si>
    <t>Cibinong-Ciawi</t>
  </si>
  <si>
    <t>Cibinong-Leuwiliang</t>
  </si>
  <si>
    <t>Cibinong-Parung</t>
  </si>
  <si>
    <t>Honorarium Narasumber Non PNS</t>
  </si>
  <si>
    <t>hari</t>
  </si>
  <si>
    <t>5.1.02.04.01.0004</t>
  </si>
  <si>
    <t>BELANJA PERJALANAN DINAS PAKET MEETING DALAM KOTA</t>
  </si>
  <si>
    <t>orang/hari</t>
  </si>
  <si>
    <t>: 1.02.02.2.02.0005 Pengelolaan Pelayanan Kesehatan pada Usia Pendidikan Dasar</t>
  </si>
  <si>
    <t>SPM</t>
  </si>
  <si>
    <t>: SPM Bidang Kesehatan</t>
  </si>
  <si>
    <t>Jenis Layanan</t>
  </si>
  <si>
    <t>: Pelayanan Kesehatan Pada Usia Pendidikan Dasar</t>
  </si>
  <si>
    <t>: Pendapatan Asli Daerah (PAD)</t>
  </si>
  <si>
    <t>: Cibinong, Kab.Bogor</t>
  </si>
  <si>
    <t>Indikator &amp; Tolak Ukur Kinerja Belanja</t>
  </si>
  <si>
    <t>Persentase layanan Standar Pelayanan Minimal (SPM) Bidang Kesehatan</t>
  </si>
  <si>
    <t>Jumlah anak usia pendidkan dasar yang mendapatkan pelayanan kesehatan sesuai standar</t>
  </si>
  <si>
    <t>Jumlah jenis pengelolaan layanan kesehatan</t>
  </si>
  <si>
    <t>paket</t>
  </si>
  <si>
    <t>BELANJA ALAT BAHAN UNTUK KEGIATAN KANTOR- KERTAS DAN COVER</t>
  </si>
  <si>
    <t>Kertas HVS A4 75 gr</t>
  </si>
  <si>
    <t>Kertas HVS F4 75 gr</t>
  </si>
  <si>
    <t>Alokasi 2026</t>
  </si>
  <si>
    <t>30 jenis</t>
  </si>
  <si>
    <t>Tinta Printer Epson 003 Black</t>
  </si>
  <si>
    <t>Workshop Kesehatan Anak Usia Sekolah dan Remaja</t>
  </si>
  <si>
    <t>Uang Harian (Jawa Barat)</t>
  </si>
  <si>
    <t>Uang Harian (DKI Jakarta)</t>
  </si>
  <si>
    <t>Uang Transport (Jawa Barat) PP</t>
  </si>
  <si>
    <t>Biaya Kegiatan Rapat atau Pertemuan di luar kantor - paket fullday</t>
  </si>
  <si>
    <t>Belanja Paket Meeting</t>
  </si>
  <si>
    <t>Uang Transport (DKI Jakarta)</t>
  </si>
  <si>
    <t>5.1.02.02.15</t>
  </si>
  <si>
    <t>5.1.02.02.15.0002</t>
  </si>
  <si>
    <t>BELANJA SEWA ASET TIDAK BERWUJUD</t>
  </si>
  <si>
    <t>Bwlanja Sewa Aset Tidak Berwujud- Lisensi dan Franchise</t>
  </si>
  <si>
    <t>Lisensi Rapat Virtual Pro perbulan (300 partisipan)</t>
  </si>
  <si>
    <t>per</t>
  </si>
  <si>
    <t>dr.Fusia Meidiawaty, SH,MHKes.,MARS</t>
  </si>
  <si>
    <t>Kepala Dinas Kesehatan</t>
  </si>
  <si>
    <t>Alokasi 2027</t>
  </si>
  <si>
    <t>:  Rp.</t>
  </si>
  <si>
    <t>Rp. 97.629.000</t>
  </si>
  <si>
    <t>:  Rp. 97.629.000</t>
  </si>
  <si>
    <t>buku</t>
  </si>
  <si>
    <t>Fotokopi BW A4</t>
  </si>
  <si>
    <t>Tinta Printer Epson 003 Warna</t>
  </si>
  <si>
    <t>tahun</t>
  </si>
  <si>
    <t>5.1.02.04.01.0001</t>
  </si>
  <si>
    <t>BELANJA PERJALANAN DINAS BIASA/ LUAR KOTA</t>
  </si>
  <si>
    <t>Cetaj Buku Rapor Kesehatan Anak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</si>
</sst>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6" x14ac:knownFonts="1">
    <font>
      <sz val="11"/>
      <color theme="1"/>
      <name val="Calibri"/>
      <family val="2"/>
      <scheme val="minor"/>
    </font>
    <font>
      <sz val="8.5"/>
      <color theme="1"/>
      <name val="Arial Black"/>
      <family val="2"/>
    </font>
    <font>
      <sz val="9.5"/>
      <color theme="1"/>
      <name val="Arial Black"/>
      <family val="2"/>
    </font>
    <font>
      <sz val="2"/>
      <color theme="1"/>
      <name val="Arial Black"/>
      <family val="2"/>
    </font>
    <font>
      <sz val="10"/>
      <color theme="1"/>
      <name val="Arial Black"/>
      <family val="2"/>
    </font>
    <font>
      <b/>
      <sz val="8.5"/>
      <color theme="1"/>
      <name val="Arial"/>
      <family val="2"/>
    </font>
    <font>
      <sz val="1"/>
      <color theme="1"/>
      <name val="Arial Black"/>
      <family val="2"/>
    </font>
    <font>
      <sz val="8"/>
      <color theme="1"/>
      <name val="Times New Roman"/>
      <family val="1"/>
    </font>
    <font>
      <sz val="13"/>
      <color theme="1"/>
      <name val="Arial Black"/>
      <family val="2"/>
    </font>
    <font>
      <sz val="13.5"/>
      <color theme="1"/>
      <name val="Arial Black"/>
      <family val="2"/>
    </font>
    <font>
      <sz val="11"/>
      <color theme="1"/>
      <name val="Calibri"/>
      <family val="2"/>
      <scheme val="minor"/>
    </font>
    <font>
      <sz val="8.5"/>
      <color theme="1"/>
      <name val="Arial"/>
      <family val="2"/>
    </font>
    <font>
      <b/>
      <sz val="12"/>
      <color theme="1"/>
      <name val="Arial"/>
      <family val="2"/>
    </font>
    <font>
      <sz val="8"/>
      <color rgb="FF181C32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164" fontId="0" fillId="0" borderId="0" xfId="0" applyNumberFormat="1"/>
    <xf numFmtId="164" fontId="11" fillId="2" borderId="19" xfId="0" applyNumberFormat="1" applyFont="1" applyFill="1" applyBorder="1" applyAlignment="1">
      <alignment horizontal="left" vertical="center" wrapText="1" indent="3"/>
    </xf>
    <xf numFmtId="0" fontId="5" fillId="0" borderId="19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3"/>
    </xf>
    <xf numFmtId="0" fontId="11" fillId="0" borderId="19" xfId="0" applyFont="1" applyBorder="1" applyAlignment="1">
      <alignment vertical="center" wrapText="1"/>
    </xf>
    <xf numFmtId="164" fontId="11" fillId="0" borderId="19" xfId="1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3" fontId="11" fillId="0" borderId="19" xfId="0" applyNumberFormat="1" applyFont="1" applyBorder="1" applyAlignment="1">
      <alignment vertical="center" wrapText="1"/>
    </xf>
    <xf numFmtId="164" fontId="11" fillId="0" borderId="19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right" vertical="center" wrapText="1"/>
    </xf>
    <xf numFmtId="164" fontId="5" fillId="2" borderId="19" xfId="0" applyNumberFormat="1" applyFont="1" applyFill="1" applyBorder="1" applyAlignment="1">
      <alignment horizontal="left" vertical="center" wrapText="1" indent="3"/>
    </xf>
    <xf numFmtId="164" fontId="12" fillId="2" borderId="1" xfId="0" applyNumberFormat="1" applyFont="1" applyFill="1" applyBorder="1" applyAlignment="1">
      <alignment vertical="center" wrapText="1"/>
    </xf>
    <xf numFmtId="0" fontId="5" fillId="0" borderId="19" xfId="0" quotePrefix="1" applyFont="1" applyBorder="1" applyAlignment="1">
      <alignment horizontal="left" vertical="center" wrapText="1" indent="1"/>
    </xf>
    <xf numFmtId="164" fontId="5" fillId="2" borderId="19" xfId="1" applyFont="1" applyFill="1" applyBorder="1" applyAlignment="1">
      <alignment horizontal="center" vertical="center" wrapText="1"/>
    </xf>
    <xf numFmtId="164" fontId="5" fillId="2" borderId="19" xfId="0" applyNumberFormat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164" fontId="11" fillId="0" borderId="19" xfId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3" fontId="11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 indent="2"/>
    </xf>
    <xf numFmtId="0" fontId="4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right" vertical="center" wrapText="1" indent="1"/>
    </xf>
    <xf numFmtId="164" fontId="11" fillId="2" borderId="19" xfId="1" applyFont="1" applyFill="1" applyBorder="1" applyAlignment="1">
      <alignment vertical="center" wrapText="1"/>
    </xf>
    <xf numFmtId="0" fontId="13" fillId="0" borderId="0" xfId="0" applyFont="1"/>
    <xf numFmtId="0" fontId="14" fillId="0" borderId="19" xfId="0" applyFont="1" applyBorder="1" applyAlignment="1">
      <alignment horizontal="left" vertical="center" wrapText="1" indent="1"/>
    </xf>
    <xf numFmtId="164" fontId="11" fillId="3" borderId="19" xfId="0" applyNumberFormat="1" applyFont="1" applyFill="1" applyBorder="1" applyAlignment="1">
      <alignment horizontal="left" vertical="center" wrapText="1" indent="3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15" fillId="0" borderId="0" xfId="0" applyFont="1"/>
    <xf numFmtId="164" fontId="15" fillId="4" borderId="0" xfId="0" applyNumberFormat="1" applyFont="1" applyFill="1"/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 indent="4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 indent="2"/>
    </xf>
    <xf numFmtId="0" fontId="1" fillId="0" borderId="19" xfId="0" applyFont="1" applyBorder="1" applyAlignment="1">
      <alignment vertical="center" wrapText="1"/>
    </xf>
    <xf numFmtId="9" fontId="1" fillId="0" borderId="19" xfId="0" applyNumberFormat="1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164" fontId="1" fillId="0" borderId="19" xfId="1" applyFont="1" applyBorder="1" applyAlignment="1">
      <alignment vertical="center" wrapText="1"/>
    </xf>
    <xf numFmtId="164" fontId="1" fillId="0" borderId="22" xfId="1" applyFont="1" applyBorder="1" applyAlignment="1">
      <alignment vertical="center" wrapText="1"/>
    </xf>
    <xf numFmtId="0" fontId="1" fillId="0" borderId="19" xfId="0" applyFont="1" applyBorder="1" applyAlignment="1">
      <alignment horizontal="left" vertical="top" wrapText="1"/>
    </xf>
    <xf numFmtId="3" fontId="1" fillId="0" borderId="19" xfId="0" applyNumberFormat="1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 indent="2"/>
    </xf>
    <xf numFmtId="0" fontId="5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left" vertical="center" wrapText="1" indent="8"/>
    </xf>
    <xf numFmtId="0" fontId="11" fillId="0" borderId="19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2" fillId="2" borderId="18" xfId="0" applyFont="1" applyFill="1" applyBorder="1" applyAlignment="1">
      <alignment horizontal="right" vertical="center" wrapText="1"/>
    </xf>
    <xf numFmtId="0" fontId="12" fillId="2" borderId="24" xfId="0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7" fillId="0" borderId="9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4778</xdr:colOff>
      <xdr:row>0</xdr:row>
      <xdr:rowOff>3810</xdr:rowOff>
    </xdr:from>
    <xdr:to>
      <xdr:col>11</xdr:col>
      <xdr:colOff>461625</xdr:colOff>
      <xdr:row>3</xdr:row>
      <xdr:rowOff>135255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4778" y="3810"/>
          <a:ext cx="8749550" cy="676156"/>
          <a:chOff x="6" y="6"/>
          <a:chExt cx="10323" cy="1107"/>
        </a:xfrm>
      </xdr:grpSpPr>
      <xdr:sp macro="" textlink="">
        <xdr:nvSpPr>
          <xdr:cNvPr id="3" name="AutoShape 5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/>
          </xdr:cNvSpPr>
        </xdr:nvSpPr>
        <xdr:spPr bwMode="auto">
          <a:xfrm>
            <a:off x="6" y="6"/>
            <a:ext cx="10323" cy="1107"/>
          </a:xfrm>
          <a:custGeom>
            <a:avLst/>
            <a:gdLst>
              <a:gd name="T0" fmla="+- 0 7 7"/>
              <a:gd name="T1" fmla="*/ T0 w 10323"/>
              <a:gd name="T2" fmla="+- 0 7 7"/>
              <a:gd name="T3" fmla="*/ 7 h 1107"/>
              <a:gd name="T4" fmla="+- 0 10330 7"/>
              <a:gd name="T5" fmla="*/ T4 w 10323"/>
              <a:gd name="T6" fmla="+- 0 7 7"/>
              <a:gd name="T7" fmla="*/ 7 h 1107"/>
              <a:gd name="T8" fmla="+- 0 10330 7"/>
              <a:gd name="T9" fmla="*/ T8 w 10323"/>
              <a:gd name="T10" fmla="+- 0 678 7"/>
              <a:gd name="T11" fmla="*/ 678 h 1107"/>
              <a:gd name="T12" fmla="+- 0 7 7"/>
              <a:gd name="T13" fmla="*/ T12 w 10323"/>
              <a:gd name="T14" fmla="+- 0 678 7"/>
              <a:gd name="T15" fmla="*/ 678 h 1107"/>
              <a:gd name="T16" fmla="+- 0 7 7"/>
              <a:gd name="T17" fmla="*/ T16 w 10323"/>
              <a:gd name="T18" fmla="+- 0 7 7"/>
              <a:gd name="T19" fmla="*/ 7 h 1107"/>
              <a:gd name="T20" fmla="+- 0 7 7"/>
              <a:gd name="T21" fmla="*/ T20 w 10323"/>
              <a:gd name="T22" fmla="+- 0 704 7"/>
              <a:gd name="T23" fmla="*/ 704 h 1107"/>
              <a:gd name="T24" fmla="+- 0 10330 7"/>
              <a:gd name="T25" fmla="*/ T24 w 10323"/>
              <a:gd name="T26" fmla="+- 0 704 7"/>
              <a:gd name="T27" fmla="*/ 704 h 1107"/>
              <a:gd name="T28" fmla="+- 0 10330 7"/>
              <a:gd name="T29" fmla="*/ T28 w 10323"/>
              <a:gd name="T30" fmla="+- 0 1113 7"/>
              <a:gd name="T31" fmla="*/ 1113 h 1107"/>
              <a:gd name="T32" fmla="+- 0 7 7"/>
              <a:gd name="T33" fmla="*/ T32 w 10323"/>
              <a:gd name="T34" fmla="+- 0 1113 7"/>
              <a:gd name="T35" fmla="*/ 1113 h 1107"/>
              <a:gd name="T36" fmla="+- 0 7 7"/>
              <a:gd name="T37" fmla="*/ T36 w 10323"/>
              <a:gd name="T38" fmla="+- 0 704 7"/>
              <a:gd name="T39" fmla="*/ 704 h 110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</a:cxnLst>
            <a:rect l="0" t="0" r="r" b="b"/>
            <a:pathLst>
              <a:path w="10323" h="1107">
                <a:moveTo>
                  <a:pt x="0" y="0"/>
                </a:moveTo>
                <a:lnTo>
                  <a:pt x="10323" y="0"/>
                </a:lnTo>
                <a:lnTo>
                  <a:pt x="10323" y="671"/>
                </a:lnTo>
                <a:lnTo>
                  <a:pt x="0" y="671"/>
                </a:lnTo>
                <a:lnTo>
                  <a:pt x="0" y="0"/>
                </a:lnTo>
                <a:close/>
                <a:moveTo>
                  <a:pt x="0" y="697"/>
                </a:moveTo>
                <a:lnTo>
                  <a:pt x="10323" y="697"/>
                </a:lnTo>
                <a:lnTo>
                  <a:pt x="10323" y="1106"/>
                </a:lnTo>
                <a:lnTo>
                  <a:pt x="0" y="1106"/>
                </a:lnTo>
                <a:lnTo>
                  <a:pt x="0" y="697"/>
                </a:lnTo>
                <a:close/>
              </a:path>
            </a:pathLst>
          </a:custGeom>
          <a:noFill/>
          <a:ln w="8361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" name="Text Box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" y="697"/>
            <a:ext cx="10310" cy="4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r>
              <a:rPr lang="id-ID" sz="950">
                <a:effectLst/>
                <a:latin typeface="Arial Black"/>
                <a:ea typeface="Arial Black"/>
                <a:cs typeface="Arial Black"/>
              </a:rPr>
              <a:t>Pemerintah Kabupaten Bogor Tahun Anggaran 202</a:t>
            </a:r>
            <a:r>
              <a:rPr lang="en-US" sz="950">
                <a:effectLst/>
                <a:latin typeface="Arial Black"/>
                <a:ea typeface="Arial Black"/>
                <a:cs typeface="Arial Black"/>
              </a:rPr>
              <a:t>7</a:t>
            </a:r>
          </a:p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endParaRPr lang="id-ID" sz="950">
              <a:effectLst/>
              <a:latin typeface="Arial Black"/>
              <a:ea typeface="Arial Black"/>
              <a:cs typeface="Arial Black"/>
            </a:endParaRPr>
          </a:p>
          <a:p>
            <a:pPr marL="1547495" marR="1547495" algn="ctr">
              <a:spcBef>
                <a:spcPts val="400"/>
              </a:spcBef>
              <a:spcAft>
                <a:spcPts val="0"/>
              </a:spcAft>
            </a:pPr>
            <a:endParaRPr lang="en-US" sz="1100">
              <a:effectLst/>
              <a:latin typeface="Arial Black"/>
              <a:ea typeface="Arial Black"/>
              <a:cs typeface="Arial Black"/>
            </a:endParaRPr>
          </a:p>
        </xdr:txBody>
      </xdr:sp>
      <xdr:sp macro="" textlink="">
        <xdr:nvSpPr>
          <xdr:cNvPr id="5" name="Text Box 3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" y="13"/>
            <a:ext cx="10310" cy="67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161540" marR="1736090" indent="100965">
              <a:lnSpc>
                <a:spcPct val="120000"/>
              </a:lnSpc>
              <a:spcBef>
                <a:spcPts val="490"/>
              </a:spcBef>
              <a:spcAft>
                <a:spcPts val="0"/>
              </a:spcAft>
            </a:pPr>
            <a:r>
              <a:rPr lang="id-ID" sz="950" b="1">
                <a:effectLst/>
                <a:latin typeface="Arial"/>
                <a:ea typeface="Arial Black"/>
                <a:cs typeface="Arial Black"/>
              </a:rPr>
              <a:t>     RINCIAN ANGGARAN BELANJA KEGIATAN </a:t>
            </a:r>
            <a:r>
              <a:rPr lang="en-ID" sz="950" b="1">
                <a:effectLst/>
                <a:latin typeface="Arial"/>
                <a:ea typeface="Arial Black"/>
                <a:cs typeface="Arial Black"/>
              </a:rPr>
              <a:t>                                    </a:t>
            </a:r>
            <a:endParaRPr lang="id-ID" sz="950" b="1">
              <a:effectLst/>
              <a:latin typeface="Arial"/>
              <a:ea typeface="Arial Black"/>
              <a:cs typeface="Arial Black"/>
            </a:endParaRPr>
          </a:p>
          <a:p>
            <a:pPr marL="2161540" marR="1736090" indent="100965">
              <a:lnSpc>
                <a:spcPct val="120000"/>
              </a:lnSpc>
              <a:spcBef>
                <a:spcPts val="490"/>
              </a:spcBef>
              <a:spcAft>
                <a:spcPts val="0"/>
              </a:spcAft>
            </a:pPr>
            <a:r>
              <a:rPr lang="id-ID" sz="950" b="1">
                <a:effectLst/>
                <a:latin typeface="Arial"/>
                <a:ea typeface="Arial Black"/>
                <a:cs typeface="Arial Black"/>
              </a:rPr>
              <a:t>SATUAN KERJ</a:t>
            </a:r>
            <a:r>
              <a:rPr lang="en-ID" sz="950" b="1">
                <a:effectLst/>
                <a:latin typeface="Arial"/>
                <a:ea typeface="Arial Black"/>
                <a:cs typeface="Arial Black"/>
              </a:rPr>
              <a:t>A </a:t>
            </a:r>
            <a:r>
              <a:rPr lang="en-ID" sz="950" b="1" baseline="0">
                <a:effectLst/>
                <a:latin typeface="Arial"/>
                <a:ea typeface="Arial Black"/>
                <a:cs typeface="Arial Black"/>
              </a:rPr>
              <a:t>P</a:t>
            </a:r>
            <a:r>
              <a:rPr lang="id-ID" sz="950" b="1">
                <a:effectLst/>
                <a:latin typeface="Arial"/>
                <a:ea typeface="Arial Black"/>
                <a:cs typeface="Arial Black"/>
              </a:rPr>
              <a:t>ERANGKAT DAERAH</a:t>
            </a:r>
            <a:endParaRPr lang="en-US" sz="1100">
              <a:effectLst/>
              <a:latin typeface="Arial Black"/>
              <a:ea typeface="Arial Black"/>
              <a:cs typeface="Arial Black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L80"/>
  <sheetViews>
    <sheetView tabSelected="1" zoomScale="160" zoomScaleNormal="160" workbookViewId="0">
      <selection activeCell="B1" sqref="B1"/>
    </sheetView>
  </sheetViews>
  <sheetFormatPr defaultRowHeight="14.25" x14ac:dyDescent="0.45"/>
  <cols>
    <col min="1" max="1" width="20.59765625" customWidth="1"/>
    <col min="5" max="5" width="9.3984375" customWidth="1"/>
    <col min="6" max="6" width="3.3984375" customWidth="1"/>
    <col min="7" max="7" width="11.73046875" customWidth="1"/>
    <col min="10" max="10" width="10.265625" customWidth="1"/>
    <col min="11" max="11" width="15.265625" bestFit="1" customWidth="1"/>
    <col min="12" max="12" width="13.3984375" bestFit="1" customWidth="1"/>
  </cols>
  <sheetData>
    <row r="5" spans="1:2" x14ac:dyDescent="0.45">
      <c r="A5" s="1" t="s">
        <v>0</v>
      </c>
      <c r="B5" s="1" t="s">
        <v>28</v>
      </c>
    </row>
    <row r="6" spans="1:2" x14ac:dyDescent="0.45">
      <c r="A6" s="1" t="s">
        <v>1</v>
      </c>
      <c r="B6" s="1" t="s">
        <v>29</v>
      </c>
    </row>
    <row r="7" spans="1:2" x14ac:dyDescent="0.45">
      <c r="A7" s="1" t="s">
        <v>2</v>
      </c>
      <c r="B7" s="1" t="s">
        <v>30</v>
      </c>
    </row>
    <row r="8" spans="1:2" x14ac:dyDescent="0.45">
      <c r="A8" s="1" t="s">
        <v>3</v>
      </c>
      <c r="B8" s="1" t="s">
        <v>31</v>
      </c>
    </row>
    <row r="9" spans="1:2" x14ac:dyDescent="0.45">
      <c r="A9" s="1" t="s">
        <v>4</v>
      </c>
      <c r="B9" s="1" t="s">
        <v>32</v>
      </c>
    </row>
    <row r="10" spans="1:2" x14ac:dyDescent="0.45">
      <c r="A10" s="1" t="s">
        <v>5</v>
      </c>
      <c r="B10" s="1" t="s">
        <v>76</v>
      </c>
    </row>
    <row r="11" spans="1:2" x14ac:dyDescent="0.45">
      <c r="A11" s="1" t="s">
        <v>77</v>
      </c>
      <c r="B11" s="1" t="s">
        <v>78</v>
      </c>
    </row>
    <row r="12" spans="1:2" x14ac:dyDescent="0.45">
      <c r="A12" s="1" t="s">
        <v>79</v>
      </c>
      <c r="B12" s="1" t="s">
        <v>80</v>
      </c>
    </row>
    <row r="13" spans="1:2" x14ac:dyDescent="0.45">
      <c r="A13" s="1" t="s">
        <v>6</v>
      </c>
      <c r="B13" s="1" t="s">
        <v>81</v>
      </c>
    </row>
    <row r="14" spans="1:2" x14ac:dyDescent="0.45">
      <c r="A14" s="1" t="s">
        <v>7</v>
      </c>
      <c r="B14" s="1" t="s">
        <v>82</v>
      </c>
    </row>
    <row r="15" spans="1:2" x14ac:dyDescent="0.45">
      <c r="A15" s="1" t="s">
        <v>8</v>
      </c>
      <c r="B15" s="1" t="s">
        <v>33</v>
      </c>
    </row>
    <row r="16" spans="1:2" x14ac:dyDescent="0.45">
      <c r="A16" s="1" t="s">
        <v>9</v>
      </c>
      <c r="B16" s="1" t="s">
        <v>34</v>
      </c>
    </row>
    <row r="17" spans="1:11" x14ac:dyDescent="0.45">
      <c r="A17" s="1" t="s">
        <v>91</v>
      </c>
      <c r="B17" s="1" t="s">
        <v>110</v>
      </c>
    </row>
    <row r="18" spans="1:11" x14ac:dyDescent="0.45">
      <c r="A18" s="1" t="s">
        <v>109</v>
      </c>
      <c r="B18" s="1" t="s">
        <v>112</v>
      </c>
    </row>
    <row r="19" spans="1:11" ht="14.65" thickBot="1" x14ac:dyDescent="0.5">
      <c r="A19" s="2"/>
    </row>
    <row r="20" spans="1:11" ht="15" x14ac:dyDescent="0.45">
      <c r="A20" s="34" t="s">
        <v>83</v>
      </c>
      <c r="B20" s="35"/>
      <c r="C20" s="35"/>
      <c r="D20" s="35"/>
      <c r="E20" s="35"/>
      <c r="F20" s="35"/>
      <c r="G20" s="35"/>
      <c r="H20" s="35"/>
      <c r="I20" s="35"/>
      <c r="J20" s="35"/>
      <c r="K20" s="36"/>
    </row>
    <row r="21" spans="1:11" x14ac:dyDescent="0.45">
      <c r="A21" s="37" t="s">
        <v>10</v>
      </c>
      <c r="B21" s="37"/>
      <c r="C21" s="38" t="s">
        <v>11</v>
      </c>
      <c r="D21" s="38"/>
      <c r="E21" s="38"/>
      <c r="F21" s="38"/>
      <c r="G21" s="38"/>
      <c r="H21" s="38"/>
      <c r="I21" s="38"/>
      <c r="J21" s="39" t="s">
        <v>12</v>
      </c>
      <c r="K21" s="39"/>
    </row>
    <row r="22" spans="1:11" ht="24" customHeight="1" x14ac:dyDescent="0.45">
      <c r="A22" s="40" t="s">
        <v>13</v>
      </c>
      <c r="B22" s="40"/>
      <c r="C22" s="40" t="s">
        <v>84</v>
      </c>
      <c r="D22" s="40"/>
      <c r="E22" s="40"/>
      <c r="F22" s="40"/>
      <c r="G22" s="40"/>
      <c r="H22" s="40"/>
      <c r="I22" s="40"/>
      <c r="J22" s="41">
        <v>1</v>
      </c>
      <c r="K22" s="42"/>
    </row>
    <row r="23" spans="1:11" x14ac:dyDescent="0.45">
      <c r="A23" s="40" t="s">
        <v>14</v>
      </c>
      <c r="B23" s="40"/>
      <c r="C23" s="40" t="s">
        <v>35</v>
      </c>
      <c r="D23" s="40"/>
      <c r="E23" s="40"/>
      <c r="F23" s="40"/>
      <c r="G23" s="40"/>
      <c r="H23" s="40"/>
      <c r="I23" s="40"/>
      <c r="J23" s="43" t="s">
        <v>111</v>
      </c>
      <c r="K23" s="44"/>
    </row>
    <row r="24" spans="1:11" ht="21.75" customHeight="1" x14ac:dyDescent="0.45">
      <c r="A24" s="45" t="s">
        <v>15</v>
      </c>
      <c r="B24" s="45"/>
      <c r="C24" s="40" t="s">
        <v>85</v>
      </c>
      <c r="D24" s="40"/>
      <c r="E24" s="40"/>
      <c r="F24" s="40"/>
      <c r="G24" s="40"/>
      <c r="H24" s="40"/>
      <c r="I24" s="40"/>
      <c r="J24" s="46"/>
      <c r="K24" s="40"/>
    </row>
    <row r="25" spans="1:11" ht="27.75" customHeight="1" x14ac:dyDescent="0.45">
      <c r="A25" s="40" t="s">
        <v>16</v>
      </c>
      <c r="B25" s="40"/>
      <c r="C25" s="40" t="s">
        <v>86</v>
      </c>
      <c r="D25" s="40"/>
      <c r="E25" s="40"/>
      <c r="F25" s="40"/>
      <c r="G25" s="40"/>
      <c r="H25" s="40"/>
      <c r="I25" s="40"/>
      <c r="J25" s="40" t="s">
        <v>92</v>
      </c>
      <c r="K25" s="40"/>
    </row>
    <row r="26" spans="1:11" ht="15" x14ac:dyDescent="0.45">
      <c r="A26" s="50" t="s">
        <v>17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</row>
    <row r="27" spans="1:11" ht="15.75" x14ac:dyDescent="0.45">
      <c r="A27" s="23"/>
      <c r="B27" s="51"/>
      <c r="C27" s="51"/>
      <c r="D27" s="52" t="s">
        <v>20</v>
      </c>
      <c r="E27" s="52"/>
      <c r="F27" s="52"/>
      <c r="G27" s="52"/>
      <c r="H27" s="52"/>
      <c r="I27" s="52"/>
      <c r="J27" s="52"/>
      <c r="K27" s="23"/>
    </row>
    <row r="28" spans="1:11" x14ac:dyDescent="0.45">
      <c r="A28" s="5" t="s">
        <v>18</v>
      </c>
      <c r="B28" s="47" t="s">
        <v>19</v>
      </c>
      <c r="C28" s="47"/>
      <c r="D28" s="48" t="s">
        <v>22</v>
      </c>
      <c r="E28" s="48"/>
      <c r="F28" s="22"/>
      <c r="G28" s="5" t="s">
        <v>23</v>
      </c>
      <c r="H28" s="5" t="s">
        <v>24</v>
      </c>
      <c r="I28" s="49" t="s">
        <v>25</v>
      </c>
      <c r="J28" s="49"/>
      <c r="K28" s="6" t="s">
        <v>21</v>
      </c>
    </row>
    <row r="29" spans="1:11" ht="15" customHeight="1" x14ac:dyDescent="0.45">
      <c r="A29" s="15" t="s">
        <v>61</v>
      </c>
      <c r="B29" s="57" t="s">
        <v>88</v>
      </c>
      <c r="C29" s="58"/>
      <c r="D29" s="58"/>
      <c r="E29" s="58"/>
      <c r="F29" s="58"/>
      <c r="G29" s="58"/>
      <c r="H29" s="58"/>
      <c r="I29" s="58"/>
      <c r="J29" s="59"/>
      <c r="K29" s="16">
        <f>K30+K31</f>
        <v>1613250</v>
      </c>
    </row>
    <row r="30" spans="1:11" ht="39" customHeight="1" x14ac:dyDescent="0.45">
      <c r="A30" s="30"/>
      <c r="B30" s="53" t="s">
        <v>89</v>
      </c>
      <c r="C30" s="53"/>
      <c r="D30" s="20">
        <v>10</v>
      </c>
      <c r="E30" s="20" t="s">
        <v>52</v>
      </c>
      <c r="F30" s="20"/>
      <c r="G30" s="20"/>
      <c r="H30" s="21">
        <v>73450</v>
      </c>
      <c r="I30" s="20"/>
      <c r="J30" s="20"/>
      <c r="K30" s="19">
        <f>D30*H30</f>
        <v>734500</v>
      </c>
    </row>
    <row r="31" spans="1:11" ht="26.25" customHeight="1" x14ac:dyDescent="0.45">
      <c r="A31" s="27"/>
      <c r="B31" s="53" t="s">
        <v>90</v>
      </c>
      <c r="C31" s="53"/>
      <c r="D31" s="20">
        <v>10</v>
      </c>
      <c r="E31" s="20" t="s">
        <v>52</v>
      </c>
      <c r="F31" s="20"/>
      <c r="G31" s="20"/>
      <c r="H31" s="21">
        <v>87875</v>
      </c>
      <c r="I31" s="20"/>
      <c r="J31" s="20"/>
      <c r="K31" s="19">
        <f>D31*H31</f>
        <v>878750</v>
      </c>
    </row>
    <row r="32" spans="1:11" ht="25.5" customHeight="1" x14ac:dyDescent="0.45">
      <c r="A32" s="15" t="s">
        <v>60</v>
      </c>
      <c r="B32" s="54" t="s">
        <v>40</v>
      </c>
      <c r="C32" s="55"/>
      <c r="D32" s="55"/>
      <c r="E32" s="55"/>
      <c r="F32" s="55"/>
      <c r="G32" s="55"/>
      <c r="H32" s="55"/>
      <c r="I32" s="55"/>
      <c r="J32" s="56"/>
      <c r="K32" s="13">
        <f>K33+K35+K34</f>
        <v>21320550</v>
      </c>
    </row>
    <row r="33" spans="1:11" ht="23.25" customHeight="1" x14ac:dyDescent="0.45">
      <c r="A33" s="31"/>
      <c r="B33" s="53" t="s">
        <v>114</v>
      </c>
      <c r="C33" s="53"/>
      <c r="D33" s="7">
        <v>1023</v>
      </c>
      <c r="E33" s="7" t="s">
        <v>39</v>
      </c>
      <c r="F33" s="7">
        <v>1</v>
      </c>
      <c r="G33" s="7" t="s">
        <v>53</v>
      </c>
      <c r="H33" s="7">
        <v>350</v>
      </c>
      <c r="I33" s="7"/>
      <c r="J33" s="7"/>
      <c r="K33" s="8">
        <f>D33*F33*H33</f>
        <v>358050</v>
      </c>
    </row>
    <row r="34" spans="1:11" ht="23.25" customHeight="1" x14ac:dyDescent="0.45">
      <c r="A34" s="29"/>
      <c r="B34" s="53" t="s">
        <v>42</v>
      </c>
      <c r="C34" s="53"/>
      <c r="D34" s="7">
        <v>1000</v>
      </c>
      <c r="E34" s="7" t="s">
        <v>39</v>
      </c>
      <c r="F34" s="7">
        <v>1</v>
      </c>
      <c r="G34" s="7" t="s">
        <v>53</v>
      </c>
      <c r="H34" s="7">
        <v>425</v>
      </c>
      <c r="I34" s="7"/>
      <c r="J34" s="7"/>
      <c r="K34" s="8">
        <f>D34*H34</f>
        <v>425000</v>
      </c>
    </row>
    <row r="35" spans="1:11" ht="33.75" customHeight="1" x14ac:dyDescent="0.45">
      <c r="A35" s="29"/>
      <c r="B35" s="53" t="s">
        <v>119</v>
      </c>
      <c r="C35" s="53"/>
      <c r="D35" s="7">
        <v>500</v>
      </c>
      <c r="E35" s="7" t="s">
        <v>113</v>
      </c>
      <c r="F35" s="7">
        <v>1</v>
      </c>
      <c r="G35" s="7" t="s">
        <v>53</v>
      </c>
      <c r="H35" s="7">
        <v>41075</v>
      </c>
      <c r="I35" s="7"/>
      <c r="J35" s="7"/>
      <c r="K35" s="8">
        <f>D35*F35*H35</f>
        <v>20537500</v>
      </c>
    </row>
    <row r="36" spans="1:11" ht="23.25" customHeight="1" x14ac:dyDescent="0.45">
      <c r="A36" s="15" t="s">
        <v>57</v>
      </c>
      <c r="B36" s="54" t="s">
        <v>55</v>
      </c>
      <c r="C36" s="55"/>
      <c r="D36" s="55"/>
      <c r="E36" s="55"/>
      <c r="F36" s="55"/>
      <c r="G36" s="55"/>
      <c r="H36" s="55"/>
      <c r="I36" s="55"/>
      <c r="J36" s="56"/>
      <c r="K36" s="13">
        <f>K37+K38</f>
        <v>1175200</v>
      </c>
    </row>
    <row r="37" spans="1:11" ht="23.25" customHeight="1" x14ac:dyDescent="0.45">
      <c r="A37" s="26"/>
      <c r="B37" s="53" t="s">
        <v>93</v>
      </c>
      <c r="C37" s="53"/>
      <c r="D37" s="7">
        <v>4</v>
      </c>
      <c r="E37" s="7" t="s">
        <v>54</v>
      </c>
      <c r="F37" s="7"/>
      <c r="G37" s="7"/>
      <c r="H37" s="7">
        <v>108800</v>
      </c>
      <c r="I37" s="7"/>
      <c r="J37" s="7"/>
      <c r="K37" s="8">
        <f>D37*H37</f>
        <v>435200</v>
      </c>
    </row>
    <row r="38" spans="1:11" ht="23.25" customHeight="1" x14ac:dyDescent="0.45">
      <c r="A38" s="26"/>
      <c r="B38" s="53" t="s">
        <v>115</v>
      </c>
      <c r="C38" s="53"/>
      <c r="D38" s="7">
        <v>8</v>
      </c>
      <c r="E38" s="7" t="s">
        <v>54</v>
      </c>
      <c r="F38" s="7"/>
      <c r="G38" s="7"/>
      <c r="H38" s="7">
        <v>92500</v>
      </c>
      <c r="I38" s="7"/>
      <c r="J38" s="7"/>
      <c r="K38" s="8">
        <f t="shared" ref="K38" si="0">D38*H38</f>
        <v>740000</v>
      </c>
    </row>
    <row r="39" spans="1:11" ht="28.5" customHeight="1" x14ac:dyDescent="0.45">
      <c r="A39" s="15" t="s">
        <v>58</v>
      </c>
      <c r="B39" s="54" t="s">
        <v>56</v>
      </c>
      <c r="C39" s="55"/>
      <c r="D39" s="55"/>
      <c r="E39" s="55"/>
      <c r="F39" s="55"/>
      <c r="G39" s="55"/>
      <c r="H39" s="55"/>
      <c r="I39" s="55"/>
      <c r="J39" s="56"/>
      <c r="K39" s="13">
        <f>K40+K43</f>
        <v>11880000</v>
      </c>
    </row>
    <row r="40" spans="1:11" ht="26.25" customHeight="1" x14ac:dyDescent="0.45">
      <c r="A40" s="24">
        <v>1</v>
      </c>
      <c r="B40" s="60" t="s">
        <v>50</v>
      </c>
      <c r="C40" s="61"/>
      <c r="D40" s="61"/>
      <c r="E40" s="61"/>
      <c r="F40" s="61"/>
      <c r="G40" s="61"/>
      <c r="H40" s="61"/>
      <c r="I40" s="61"/>
      <c r="J40" s="62"/>
      <c r="K40" s="4">
        <f>K41+K42</f>
        <v>5940000</v>
      </c>
    </row>
    <row r="41" spans="1:11" ht="15.75" customHeight="1" x14ac:dyDescent="0.45">
      <c r="A41" s="5"/>
      <c r="B41" s="53" t="s">
        <v>48</v>
      </c>
      <c r="C41" s="53"/>
      <c r="D41" s="7">
        <v>120</v>
      </c>
      <c r="E41" s="7" t="s">
        <v>38</v>
      </c>
      <c r="F41" s="7"/>
      <c r="G41" s="18" t="s">
        <v>46</v>
      </c>
      <c r="H41" s="7">
        <v>16500</v>
      </c>
      <c r="I41" s="7"/>
      <c r="J41" s="7"/>
      <c r="K41" s="8">
        <f>D41*H41</f>
        <v>1980000</v>
      </c>
    </row>
    <row r="42" spans="1:11" ht="15.75" customHeight="1" x14ac:dyDescent="0.45">
      <c r="A42" s="5"/>
      <c r="B42" s="53" t="s">
        <v>49</v>
      </c>
      <c r="C42" s="53"/>
      <c r="D42" s="7">
        <v>120</v>
      </c>
      <c r="E42" s="7" t="s">
        <v>38</v>
      </c>
      <c r="F42" s="7"/>
      <c r="G42" s="18" t="s">
        <v>46</v>
      </c>
      <c r="H42" s="7">
        <v>33000</v>
      </c>
      <c r="I42" s="7"/>
      <c r="J42" s="7"/>
      <c r="K42" s="8">
        <f>D42*H42</f>
        <v>3960000</v>
      </c>
    </row>
    <row r="43" spans="1:11" ht="24" customHeight="1" x14ac:dyDescent="0.45">
      <c r="A43" s="24">
        <v>2</v>
      </c>
      <c r="B43" s="60" t="s">
        <v>51</v>
      </c>
      <c r="C43" s="61"/>
      <c r="D43" s="61"/>
      <c r="E43" s="61"/>
      <c r="F43" s="61"/>
      <c r="G43" s="61"/>
      <c r="H43" s="61"/>
      <c r="I43" s="61"/>
      <c r="J43" s="62"/>
      <c r="K43" s="4">
        <f>K44+K45</f>
        <v>5940000</v>
      </c>
    </row>
    <row r="44" spans="1:11" ht="15.75" customHeight="1" x14ac:dyDescent="0.45">
      <c r="A44" s="5"/>
      <c r="B44" s="53" t="s">
        <v>48</v>
      </c>
      <c r="C44" s="53"/>
      <c r="D44" s="7">
        <v>120</v>
      </c>
      <c r="E44" s="7" t="s">
        <v>38</v>
      </c>
      <c r="F44" s="7"/>
      <c r="G44" s="18" t="s">
        <v>46</v>
      </c>
      <c r="H44" s="7">
        <v>16500</v>
      </c>
      <c r="I44" s="7"/>
      <c r="J44" s="7"/>
      <c r="K44" s="8">
        <f>D44*H44</f>
        <v>1980000</v>
      </c>
    </row>
    <row r="45" spans="1:11" ht="15.75" customHeight="1" x14ac:dyDescent="0.45">
      <c r="A45" s="5"/>
      <c r="B45" s="53" t="s">
        <v>49</v>
      </c>
      <c r="C45" s="53"/>
      <c r="D45" s="7">
        <v>120</v>
      </c>
      <c r="E45" s="7" t="s">
        <v>38</v>
      </c>
      <c r="F45" s="7"/>
      <c r="G45" s="18" t="s">
        <v>46</v>
      </c>
      <c r="H45" s="7">
        <v>33000</v>
      </c>
      <c r="I45" s="7"/>
      <c r="J45" s="7"/>
      <c r="K45" s="8">
        <f>D45*H45</f>
        <v>3960000</v>
      </c>
    </row>
    <row r="46" spans="1:11" ht="30" customHeight="1" x14ac:dyDescent="0.45">
      <c r="A46" s="15" t="s">
        <v>59</v>
      </c>
      <c r="B46" s="54" t="s">
        <v>43</v>
      </c>
      <c r="C46" s="55"/>
      <c r="D46" s="55"/>
      <c r="E46" s="55"/>
      <c r="F46" s="55"/>
      <c r="G46" s="55"/>
      <c r="H46" s="55"/>
      <c r="I46" s="55"/>
      <c r="J46" s="56"/>
      <c r="K46" s="13">
        <f>+K47+K49</f>
        <v>5300000</v>
      </c>
    </row>
    <row r="47" spans="1:11" ht="22.5" customHeight="1" x14ac:dyDescent="0.45">
      <c r="A47" s="24">
        <v>1</v>
      </c>
      <c r="B47" s="63" t="s">
        <v>51</v>
      </c>
      <c r="C47" s="64"/>
      <c r="D47" s="64"/>
      <c r="E47" s="64"/>
      <c r="F47" s="64"/>
      <c r="G47" s="64"/>
      <c r="H47" s="64"/>
      <c r="I47" s="64"/>
      <c r="J47" s="65"/>
      <c r="K47" s="4">
        <f>K48</f>
        <v>1800000</v>
      </c>
    </row>
    <row r="48" spans="1:11" ht="24.75" customHeight="1" x14ac:dyDescent="0.45">
      <c r="A48" s="5"/>
      <c r="B48" s="53" t="s">
        <v>45</v>
      </c>
      <c r="C48" s="53"/>
      <c r="D48" s="7">
        <v>1</v>
      </c>
      <c r="E48" s="7" t="s">
        <v>44</v>
      </c>
      <c r="F48" s="7">
        <v>2</v>
      </c>
      <c r="G48" s="18" t="s">
        <v>36</v>
      </c>
      <c r="H48" s="7">
        <v>900000</v>
      </c>
      <c r="I48" s="7"/>
      <c r="J48" s="7"/>
      <c r="K48" s="8">
        <f>D48*F48*H48</f>
        <v>1800000</v>
      </c>
    </row>
    <row r="49" spans="1:11" ht="26.25" customHeight="1" x14ac:dyDescent="0.45">
      <c r="A49" s="24">
        <v>2</v>
      </c>
      <c r="B49" s="60" t="s">
        <v>94</v>
      </c>
      <c r="C49" s="61"/>
      <c r="D49" s="61"/>
      <c r="E49" s="61"/>
      <c r="F49" s="61"/>
      <c r="G49" s="61"/>
      <c r="H49" s="61"/>
      <c r="I49" s="61"/>
      <c r="J49" s="62"/>
      <c r="K49" s="25">
        <f>K50+K51</f>
        <v>3500000</v>
      </c>
    </row>
    <row r="50" spans="1:11" ht="26.25" customHeight="1" x14ac:dyDescent="0.45">
      <c r="A50" s="5"/>
      <c r="B50" s="53" t="s">
        <v>45</v>
      </c>
      <c r="C50" s="53"/>
      <c r="D50" s="7">
        <v>1</v>
      </c>
      <c r="E50" s="7" t="s">
        <v>44</v>
      </c>
      <c r="F50" s="7">
        <v>2</v>
      </c>
      <c r="G50" s="18" t="s">
        <v>36</v>
      </c>
      <c r="H50" s="7">
        <v>900000</v>
      </c>
      <c r="I50" s="7"/>
      <c r="J50" s="7"/>
      <c r="K50" s="8">
        <f>D50*F50*H50</f>
        <v>1800000</v>
      </c>
    </row>
    <row r="51" spans="1:11" ht="26.25" customHeight="1" x14ac:dyDescent="0.45">
      <c r="A51" s="5"/>
      <c r="B51" s="53" t="s">
        <v>71</v>
      </c>
      <c r="C51" s="53"/>
      <c r="D51" s="7">
        <v>1</v>
      </c>
      <c r="E51" s="7" t="s">
        <v>38</v>
      </c>
      <c r="F51" s="7">
        <v>1</v>
      </c>
      <c r="G51" s="7" t="s">
        <v>36</v>
      </c>
      <c r="H51" s="7">
        <v>1700000</v>
      </c>
      <c r="I51" s="7"/>
      <c r="J51" s="7"/>
      <c r="K51" s="8">
        <f>D51*F51*H51</f>
        <v>1700000</v>
      </c>
    </row>
    <row r="52" spans="1:11" ht="29.25" customHeight="1" x14ac:dyDescent="0.45">
      <c r="A52" s="32" t="s">
        <v>101</v>
      </c>
      <c r="B52" s="54" t="s">
        <v>103</v>
      </c>
      <c r="C52" s="55"/>
      <c r="D52" s="55"/>
      <c r="E52" s="55"/>
      <c r="F52" s="55"/>
      <c r="G52" s="55"/>
      <c r="H52" s="55"/>
      <c r="I52" s="55"/>
      <c r="J52" s="56"/>
      <c r="K52" s="33">
        <f>K54</f>
        <v>1800000</v>
      </c>
    </row>
    <row r="53" spans="1:11" ht="19.149999999999999" customHeight="1" x14ac:dyDescent="0.45">
      <c r="A53" s="32" t="s">
        <v>102</v>
      </c>
      <c r="B53" s="93" t="s">
        <v>104</v>
      </c>
      <c r="C53" s="94"/>
      <c r="D53" s="94"/>
      <c r="E53" s="94"/>
      <c r="F53" s="94"/>
      <c r="G53" s="94"/>
      <c r="H53" s="94"/>
      <c r="I53" s="94"/>
      <c r="J53" s="95"/>
    </row>
    <row r="54" spans="1:11" ht="23.25" customHeight="1" x14ac:dyDescent="0.45">
      <c r="B54" s="96" t="s">
        <v>105</v>
      </c>
      <c r="C54" s="96"/>
      <c r="D54" s="7">
        <v>1</v>
      </c>
      <c r="E54" s="7" t="s">
        <v>53</v>
      </c>
      <c r="F54" s="7" t="s">
        <v>106</v>
      </c>
      <c r="G54" s="7" t="s">
        <v>116</v>
      </c>
      <c r="H54" s="7">
        <v>1800000</v>
      </c>
      <c r="I54" s="7"/>
      <c r="J54" s="7"/>
      <c r="K54" s="8">
        <f>D54*H54</f>
        <v>1800000</v>
      </c>
    </row>
    <row r="55" spans="1:11" ht="31.5" customHeight="1" x14ac:dyDescent="0.45">
      <c r="A55" s="15" t="s">
        <v>63</v>
      </c>
      <c r="B55" s="54" t="s">
        <v>64</v>
      </c>
      <c r="C55" s="55"/>
      <c r="D55" s="55"/>
      <c r="E55" s="55"/>
      <c r="F55" s="55"/>
      <c r="G55" s="55"/>
      <c r="H55" s="55"/>
      <c r="I55" s="55"/>
      <c r="J55" s="56"/>
      <c r="K55" s="13">
        <f>K56+K66+K69</f>
        <v>32460000</v>
      </c>
    </row>
    <row r="56" spans="1:11" x14ac:dyDescent="0.45">
      <c r="A56" s="15" t="s">
        <v>62</v>
      </c>
      <c r="B56" s="54" t="s">
        <v>65</v>
      </c>
      <c r="C56" s="55"/>
      <c r="D56" s="55"/>
      <c r="E56" s="55"/>
      <c r="F56" s="55"/>
      <c r="G56" s="55"/>
      <c r="H56" s="55"/>
      <c r="I56" s="55"/>
      <c r="J56" s="56"/>
      <c r="K56" s="13">
        <f>K57+K69</f>
        <v>6520000</v>
      </c>
    </row>
    <row r="57" spans="1:11" ht="17.25" customHeight="1" x14ac:dyDescent="0.45">
      <c r="A57" s="15"/>
      <c r="B57" s="54" t="s">
        <v>47</v>
      </c>
      <c r="C57" s="55"/>
      <c r="D57" s="55"/>
      <c r="E57" s="55"/>
      <c r="F57" s="55"/>
      <c r="G57" s="55"/>
      <c r="H57" s="55"/>
      <c r="I57" s="55"/>
      <c r="J57" s="56"/>
      <c r="K57" s="13">
        <f>K58+K60+K61+K62+K63+K64</f>
        <v>4460000</v>
      </c>
    </row>
    <row r="58" spans="1:11" x14ac:dyDescent="0.45">
      <c r="A58" s="9"/>
      <c r="B58" s="53" t="s">
        <v>41</v>
      </c>
      <c r="C58" s="53"/>
      <c r="D58" s="7">
        <v>2</v>
      </c>
      <c r="E58" s="7" t="s">
        <v>38</v>
      </c>
      <c r="F58" s="7">
        <v>10</v>
      </c>
      <c r="G58" s="7" t="s">
        <v>53</v>
      </c>
      <c r="H58" s="10">
        <v>170000</v>
      </c>
      <c r="I58" s="7"/>
      <c r="J58" s="7"/>
      <c r="K58" s="8">
        <f>D58*F58*H58</f>
        <v>3400000</v>
      </c>
    </row>
    <row r="59" spans="1:11" x14ac:dyDescent="0.45">
      <c r="A59" s="9"/>
      <c r="B59" s="60" t="s">
        <v>37</v>
      </c>
      <c r="C59" s="62"/>
      <c r="D59" s="7"/>
      <c r="E59" s="7"/>
      <c r="F59" s="7"/>
      <c r="G59" s="7"/>
      <c r="H59" s="10"/>
      <c r="I59" s="7"/>
      <c r="J59" s="7"/>
      <c r="K59" s="8"/>
    </row>
    <row r="60" spans="1:11" ht="22.5" customHeight="1" x14ac:dyDescent="0.45">
      <c r="A60" s="9"/>
      <c r="B60" s="60" t="s">
        <v>66</v>
      </c>
      <c r="C60" s="62"/>
      <c r="D60" s="7">
        <v>1</v>
      </c>
      <c r="E60" s="7" t="s">
        <v>38</v>
      </c>
      <c r="F60" s="7">
        <v>1</v>
      </c>
      <c r="G60" s="7" t="s">
        <v>53</v>
      </c>
      <c r="H60" s="10">
        <v>165000</v>
      </c>
      <c r="I60" s="7"/>
      <c r="J60" s="7"/>
      <c r="K60" s="8">
        <f>D60*F60*H60</f>
        <v>165000</v>
      </c>
    </row>
    <row r="61" spans="1:11" x14ac:dyDescent="0.45">
      <c r="A61" s="9"/>
      <c r="B61" s="60" t="s">
        <v>67</v>
      </c>
      <c r="C61" s="62"/>
      <c r="D61" s="7">
        <v>1</v>
      </c>
      <c r="E61" s="7" t="s">
        <v>38</v>
      </c>
      <c r="F61" s="7">
        <v>1</v>
      </c>
      <c r="G61" s="7" t="s">
        <v>53</v>
      </c>
      <c r="H61" s="10">
        <v>245000</v>
      </c>
      <c r="I61" s="7"/>
      <c r="J61" s="7"/>
      <c r="K61" s="8">
        <f t="shared" ref="K61:K64" si="1">D61*F61*H61</f>
        <v>245000</v>
      </c>
    </row>
    <row r="62" spans="1:11" x14ac:dyDescent="0.45">
      <c r="A62" s="9"/>
      <c r="B62" s="60" t="s">
        <v>68</v>
      </c>
      <c r="C62" s="62"/>
      <c r="D62" s="7">
        <v>1</v>
      </c>
      <c r="E62" s="7" t="s">
        <v>38</v>
      </c>
      <c r="F62" s="7">
        <v>1</v>
      </c>
      <c r="G62" s="7" t="s">
        <v>53</v>
      </c>
      <c r="H62" s="10">
        <v>180000</v>
      </c>
      <c r="I62" s="7"/>
      <c r="J62" s="7"/>
      <c r="K62" s="8">
        <f t="shared" si="1"/>
        <v>180000</v>
      </c>
    </row>
    <row r="63" spans="1:11" x14ac:dyDescent="0.45">
      <c r="A63" s="9"/>
      <c r="B63" s="60" t="s">
        <v>69</v>
      </c>
      <c r="C63" s="62"/>
      <c r="D63" s="7">
        <v>1</v>
      </c>
      <c r="E63" s="7" t="s">
        <v>38</v>
      </c>
      <c r="F63" s="7">
        <v>1</v>
      </c>
      <c r="G63" s="7" t="s">
        <v>53</v>
      </c>
      <c r="H63" s="10">
        <v>210000</v>
      </c>
      <c r="I63" s="7"/>
      <c r="J63" s="7"/>
      <c r="K63" s="8">
        <f t="shared" si="1"/>
        <v>210000</v>
      </c>
    </row>
    <row r="64" spans="1:11" x14ac:dyDescent="0.45">
      <c r="A64" s="9"/>
      <c r="B64" s="60" t="s">
        <v>70</v>
      </c>
      <c r="C64" s="62"/>
      <c r="D64" s="7">
        <v>1</v>
      </c>
      <c r="E64" s="7" t="s">
        <v>38</v>
      </c>
      <c r="F64" s="7">
        <v>2</v>
      </c>
      <c r="G64" s="7" t="s">
        <v>53</v>
      </c>
      <c r="H64" s="10">
        <v>130000</v>
      </c>
      <c r="I64" s="7"/>
      <c r="J64" s="7"/>
      <c r="K64" s="8">
        <f t="shared" si="1"/>
        <v>260000</v>
      </c>
    </row>
    <row r="65" spans="1:12" ht="14.25" customHeight="1" x14ac:dyDescent="0.45">
      <c r="A65" s="32" t="s">
        <v>73</v>
      </c>
      <c r="B65" s="54" t="s">
        <v>74</v>
      </c>
      <c r="C65" s="55"/>
      <c r="D65" s="55"/>
      <c r="E65" s="55"/>
      <c r="F65" s="55"/>
      <c r="G65" s="55"/>
      <c r="H65" s="55"/>
      <c r="I65" s="55"/>
      <c r="J65" s="56"/>
      <c r="K65" s="8"/>
    </row>
    <row r="66" spans="1:12" x14ac:dyDescent="0.45">
      <c r="A66" s="15"/>
      <c r="B66" s="54" t="s">
        <v>99</v>
      </c>
      <c r="C66" s="55"/>
      <c r="D66" s="55"/>
      <c r="E66" s="55"/>
      <c r="F66" s="55"/>
      <c r="G66" s="55"/>
      <c r="H66" s="55"/>
      <c r="I66" s="55"/>
      <c r="J66" s="56"/>
      <c r="K66" s="13">
        <f>K68</f>
        <v>23880000</v>
      </c>
    </row>
    <row r="67" spans="1:12" x14ac:dyDescent="0.45">
      <c r="A67" s="24"/>
      <c r="B67" s="60" t="s">
        <v>94</v>
      </c>
      <c r="C67" s="61"/>
      <c r="D67" s="61"/>
      <c r="E67" s="61"/>
      <c r="F67" s="61"/>
      <c r="G67" s="61"/>
      <c r="H67" s="61"/>
      <c r="I67" s="61"/>
      <c r="J67" s="62"/>
      <c r="K67" s="28"/>
    </row>
    <row r="68" spans="1:12" ht="37.15" customHeight="1" x14ac:dyDescent="0.45">
      <c r="A68" s="5"/>
      <c r="B68" s="53" t="s">
        <v>98</v>
      </c>
      <c r="C68" s="53"/>
      <c r="D68" s="7">
        <v>60</v>
      </c>
      <c r="E68" s="7" t="s">
        <v>75</v>
      </c>
      <c r="F68" s="7">
        <v>1</v>
      </c>
      <c r="G68" s="18" t="s">
        <v>87</v>
      </c>
      <c r="H68" s="7">
        <v>398000</v>
      </c>
      <c r="I68" s="7"/>
      <c r="J68" s="7"/>
      <c r="K68" s="8">
        <f>D68*F68*H68</f>
        <v>23880000</v>
      </c>
    </row>
    <row r="69" spans="1:12" ht="27.4" customHeight="1" x14ac:dyDescent="0.45">
      <c r="A69" s="15" t="s">
        <v>117</v>
      </c>
      <c r="B69" s="54" t="s">
        <v>118</v>
      </c>
      <c r="C69" s="55"/>
      <c r="D69" s="55"/>
      <c r="E69" s="55"/>
      <c r="F69" s="55"/>
      <c r="G69" s="55"/>
      <c r="H69" s="55"/>
      <c r="I69" s="55"/>
      <c r="J69" s="56"/>
      <c r="K69" s="17">
        <f>K70+K71+K72+K73</f>
        <v>2060000</v>
      </c>
    </row>
    <row r="70" spans="1:12" ht="22.5" customHeight="1" x14ac:dyDescent="0.45">
      <c r="A70" s="15"/>
      <c r="B70" s="60" t="s">
        <v>95</v>
      </c>
      <c r="C70" s="62"/>
      <c r="D70" s="12">
        <v>2</v>
      </c>
      <c r="E70" s="18" t="s">
        <v>38</v>
      </c>
      <c r="F70" s="20">
        <v>1</v>
      </c>
      <c r="G70" s="18" t="s">
        <v>72</v>
      </c>
      <c r="H70" s="19">
        <v>430000</v>
      </c>
      <c r="I70" s="20"/>
      <c r="J70" s="20"/>
      <c r="K70" s="11">
        <f>D70*H70</f>
        <v>860000</v>
      </c>
    </row>
    <row r="71" spans="1:12" ht="21" customHeight="1" x14ac:dyDescent="0.45">
      <c r="A71" s="15"/>
      <c r="B71" s="60" t="s">
        <v>96</v>
      </c>
      <c r="C71" s="62"/>
      <c r="D71" s="12">
        <v>1</v>
      </c>
      <c r="E71" s="18" t="s">
        <v>38</v>
      </c>
      <c r="F71" s="20">
        <v>1</v>
      </c>
      <c r="G71" s="18" t="s">
        <v>72</v>
      </c>
      <c r="H71" s="19">
        <v>530000</v>
      </c>
      <c r="I71" s="20"/>
      <c r="J71" s="20"/>
      <c r="K71" s="11">
        <f>D71*H71</f>
        <v>530000</v>
      </c>
    </row>
    <row r="72" spans="1:12" ht="30.4" customHeight="1" x14ac:dyDescent="0.45">
      <c r="A72" s="15"/>
      <c r="B72" s="53" t="s">
        <v>97</v>
      </c>
      <c r="C72" s="53"/>
      <c r="D72" s="7">
        <v>1</v>
      </c>
      <c r="E72" s="7" t="s">
        <v>38</v>
      </c>
      <c r="F72" s="7">
        <v>2</v>
      </c>
      <c r="G72" s="7" t="s">
        <v>53</v>
      </c>
      <c r="H72" s="10">
        <v>185000</v>
      </c>
      <c r="I72" s="7"/>
      <c r="J72" s="7"/>
      <c r="K72" s="8">
        <f>D72*F72*H72</f>
        <v>370000</v>
      </c>
    </row>
    <row r="73" spans="1:12" ht="28.5" customHeight="1" x14ac:dyDescent="0.45">
      <c r="A73" s="9"/>
      <c r="B73" s="53" t="s">
        <v>100</v>
      </c>
      <c r="C73" s="53"/>
      <c r="D73" s="7">
        <v>1</v>
      </c>
      <c r="E73" s="7" t="s">
        <v>38</v>
      </c>
      <c r="F73" s="7">
        <v>1</v>
      </c>
      <c r="G73" s="7" t="s">
        <v>53</v>
      </c>
      <c r="H73" s="10">
        <v>300000</v>
      </c>
      <c r="I73" s="7"/>
      <c r="J73" s="7"/>
      <c r="K73" s="8">
        <f>D73*F73*H73</f>
        <v>300000</v>
      </c>
    </row>
    <row r="74" spans="1:12" ht="30" customHeight="1" thickBot="1" x14ac:dyDescent="0.5">
      <c r="A74" s="66" t="s">
        <v>26</v>
      </c>
      <c r="B74" s="67"/>
      <c r="C74" s="67"/>
      <c r="D74" s="67"/>
      <c r="E74" s="67"/>
      <c r="F74" s="67"/>
      <c r="G74" s="67"/>
      <c r="H74" s="67"/>
      <c r="I74" s="67"/>
      <c r="J74" s="68"/>
      <c r="K74" s="14">
        <f>K29+K32+K36+K39+K46+K66+K55</f>
        <v>97629000</v>
      </c>
      <c r="L74" s="3"/>
    </row>
    <row r="75" spans="1:12" ht="14.65" thickTop="1" x14ac:dyDescent="0.45">
      <c r="A75" s="69"/>
      <c r="B75" s="70"/>
      <c r="C75" s="70"/>
      <c r="D75" s="71"/>
      <c r="E75" s="78" t="s">
        <v>27</v>
      </c>
      <c r="F75" s="79"/>
      <c r="G75" s="79"/>
      <c r="H75" s="79"/>
      <c r="I75" s="79"/>
      <c r="J75" s="79"/>
      <c r="K75" s="80"/>
      <c r="L75" s="3"/>
    </row>
    <row r="76" spans="1:12" ht="15" customHeight="1" x14ac:dyDescent="0.45">
      <c r="A76" s="72"/>
      <c r="B76" s="73"/>
      <c r="C76" s="73"/>
      <c r="D76" s="74"/>
      <c r="E76" s="81" t="s">
        <v>108</v>
      </c>
      <c r="F76" s="82"/>
      <c r="G76" s="82"/>
      <c r="H76" s="82"/>
      <c r="I76" s="82"/>
      <c r="J76" s="82"/>
      <c r="K76" s="83"/>
      <c r="L76" s="3"/>
    </row>
    <row r="77" spans="1:12" ht="20.65" x14ac:dyDescent="0.45">
      <c r="A77" s="72"/>
      <c r="B77" s="73"/>
      <c r="C77" s="73"/>
      <c r="D77" s="74"/>
      <c r="E77" s="84"/>
      <c r="F77" s="85"/>
      <c r="G77" s="85"/>
      <c r="H77" s="85"/>
      <c r="I77" s="85"/>
      <c r="J77" s="85"/>
      <c r="K77" s="86"/>
    </row>
    <row r="78" spans="1:12" ht="20.65" x14ac:dyDescent="0.45">
      <c r="A78" s="72"/>
      <c r="B78" s="73"/>
      <c r="C78" s="73"/>
      <c r="D78" s="74"/>
      <c r="E78" s="84"/>
      <c r="F78" s="85"/>
      <c r="G78" s="85"/>
      <c r="H78" s="85"/>
      <c r="I78" s="85"/>
      <c r="J78" s="85"/>
      <c r="K78" s="86"/>
    </row>
    <row r="79" spans="1:12" ht="21" x14ac:dyDescent="0.45">
      <c r="A79" s="72"/>
      <c r="B79" s="73"/>
      <c r="C79" s="73"/>
      <c r="D79" s="74"/>
      <c r="E79" s="87"/>
      <c r="F79" s="88"/>
      <c r="G79" s="88"/>
      <c r="H79" s="88"/>
      <c r="I79" s="88"/>
      <c r="J79" s="88"/>
      <c r="K79" s="89"/>
    </row>
    <row r="80" spans="1:12" ht="14.65" thickBot="1" x14ac:dyDescent="0.5">
      <c r="A80" s="75"/>
      <c r="B80" s="76"/>
      <c r="C80" s="76"/>
      <c r="D80" s="77"/>
      <c r="E80" s="90" t="s">
        <v>107</v>
      </c>
      <c r="F80" s="91"/>
      <c r="G80" s="91"/>
      <c r="H80" s="91"/>
      <c r="I80" s="91"/>
      <c r="J80" s="91"/>
      <c r="K80" s="92"/>
    </row>
  </sheetData>
  <mergeCells count="75">
    <mergeCell ref="B38:C38"/>
    <mergeCell ref="B71:C71"/>
    <mergeCell ref="B72:C72"/>
    <mergeCell ref="B52:J52"/>
    <mergeCell ref="B53:J53"/>
    <mergeCell ref="B54:C54"/>
    <mergeCell ref="B70:C70"/>
    <mergeCell ref="B63:C63"/>
    <mergeCell ref="B64:C64"/>
    <mergeCell ref="B69:J69"/>
    <mergeCell ref="B57:J57"/>
    <mergeCell ref="B58:C58"/>
    <mergeCell ref="B59:C59"/>
    <mergeCell ref="B60:C60"/>
    <mergeCell ref="B73:C73"/>
    <mergeCell ref="A74:J74"/>
    <mergeCell ref="A75:D80"/>
    <mergeCell ref="E75:K75"/>
    <mergeCell ref="E76:K76"/>
    <mergeCell ref="E77:K77"/>
    <mergeCell ref="E78:K78"/>
    <mergeCell ref="E79:K79"/>
    <mergeCell ref="E80:K80"/>
    <mergeCell ref="B66:J66"/>
    <mergeCell ref="B67:J67"/>
    <mergeCell ref="B68:C68"/>
    <mergeCell ref="B55:J55"/>
    <mergeCell ref="B46:J46"/>
    <mergeCell ref="B47:J47"/>
    <mergeCell ref="B48:C48"/>
    <mergeCell ref="B65:J65"/>
    <mergeCell ref="B61:C61"/>
    <mergeCell ref="B62:C62"/>
    <mergeCell ref="B56:J56"/>
    <mergeCell ref="B49:J49"/>
    <mergeCell ref="B50:C50"/>
    <mergeCell ref="B51:C51"/>
    <mergeCell ref="B44:C44"/>
    <mergeCell ref="B45:C45"/>
    <mergeCell ref="B39:J39"/>
    <mergeCell ref="B40:J40"/>
    <mergeCell ref="B41:C41"/>
    <mergeCell ref="B42:C42"/>
    <mergeCell ref="B43:J43"/>
    <mergeCell ref="B35:C35"/>
    <mergeCell ref="B36:J36"/>
    <mergeCell ref="B37:C37"/>
    <mergeCell ref="B29:J29"/>
    <mergeCell ref="B30:C30"/>
    <mergeCell ref="B31:C31"/>
    <mergeCell ref="B32:J32"/>
    <mergeCell ref="B33:C33"/>
    <mergeCell ref="B34:C34"/>
    <mergeCell ref="B28:C28"/>
    <mergeCell ref="D28:E28"/>
    <mergeCell ref="I28:J28"/>
    <mergeCell ref="A25:B25"/>
    <mergeCell ref="C25:I25"/>
    <mergeCell ref="J25:K25"/>
    <mergeCell ref="A26:K26"/>
    <mergeCell ref="B27:C27"/>
    <mergeCell ref="D27:J27"/>
    <mergeCell ref="A23:B23"/>
    <mergeCell ref="C23:I23"/>
    <mergeCell ref="J23:K23"/>
    <mergeCell ref="A24:B24"/>
    <mergeCell ref="C24:I24"/>
    <mergeCell ref="J24:K24"/>
    <mergeCell ref="A20:K20"/>
    <mergeCell ref="A21:B21"/>
    <mergeCell ref="C21:I21"/>
    <mergeCell ref="J21:K21"/>
    <mergeCell ref="A22:B22"/>
    <mergeCell ref="C22:I22"/>
    <mergeCell ref="J22:K22"/>
  </mergeCells>
  <pageMargins left="0.7" right="0.7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</dc:creator>
  <cp:lastModifiedBy>Lenovo pw</cp:lastModifiedBy>
  <cp:lastPrinted>2024-05-02T07:24:50Z</cp:lastPrinted>
  <dcterms:created xsi:type="dcterms:W3CDTF">2021-06-11T02:03:21Z</dcterms:created>
  <dcterms:modified xsi:type="dcterms:W3CDTF">2026-02-14T03:12:11Z</dcterms:modified>
</cp:coreProperties>
</file>