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02.02.2.02.0044 Kespro" sheetId="1" r:id="rId4"/>
  </sheets>
  <definedNames/>
  <calcPr/>
  <extLst>
    <ext uri="GoogleSheetsCustomDataVersion2">
      <go:sheetsCustomData xmlns:go="http://customooxmlschemas.google.com/" r:id="rId5" roundtripDataChecksum="762+kn+sjTW6xzXXPKj+neVmdAjQJGi44emtHPOXTDc="/>
    </ext>
  </extLst>
</workbook>
</file>

<file path=xl/sharedStrings.xml><?xml version="1.0" encoding="utf-8"?>
<sst xmlns="http://schemas.openxmlformats.org/spreadsheetml/2006/main" count="142" uniqueCount="115">
  <si>
    <t>Urusan</t>
  </si>
  <si>
    <t>:  1.02 URUSAN PEMERINTAHAN WAJIB YANG BERHUBUNGAN DENGAN PELAYANAN DASAR</t>
  </si>
  <si>
    <t>Unit Organisasi</t>
  </si>
  <si>
    <t>: 1.02.0.00.0.00.01.0000 DINAS KESEHATAN</t>
  </si>
  <si>
    <t>Sub Unit Organisasi</t>
  </si>
  <si>
    <t>:  1.02.00.00.0.00.01.0005 Bidang Kesehatan Masyarakat</t>
  </si>
  <si>
    <t>Program</t>
  </si>
  <si>
    <t>: 1.02.02 PROGRAM PEMENUHAN UPAYA KESEHATAN PERORANGAN DAN UPAYA KESEHATAN MASYARAKAT</t>
  </si>
  <si>
    <t>Kegiatan</t>
  </si>
  <si>
    <t>: 1.02.02.2.02 Penyediaan Layanan Kesehatan untuk UKM dan UKP Rujukan Tingkat Daerah Kabupaten Bogor</t>
  </si>
  <si>
    <t>Sub Kegiatan</t>
  </si>
  <si>
    <t>: 1.02.02.2.02.0044  Pengelolaan Pelayanan Kesehatan Reproduksi</t>
  </si>
  <si>
    <t>Sumber Pendanaan</t>
  </si>
  <si>
    <t>: PENDAPATAN ASLI DAERAH (PAD)</t>
  </si>
  <si>
    <t>Lokasi Kegiatan</t>
  </si>
  <si>
    <t>:</t>
  </si>
  <si>
    <t>Waktu Pelaksanaan</t>
  </si>
  <si>
    <t>: Januari s.d Desember</t>
  </si>
  <si>
    <t>Kelompok Sasaran</t>
  </si>
  <si>
    <t>: Petugas Puskesmas, Lintas program</t>
  </si>
  <si>
    <t>Jumlah 2026</t>
  </si>
  <si>
    <t>: 43.383.150</t>
  </si>
  <si>
    <t>Jumlah 2027</t>
  </si>
  <si>
    <t xml:space="preserve">: </t>
  </si>
  <si>
    <t>Jumlah 2028</t>
  </si>
  <si>
    <t>Indikator &amp; Tolok Ukur Kinerja Belanja</t>
  </si>
  <si>
    <t>Indikator</t>
  </si>
  <si>
    <t>Tolak Ukur Kinerja</t>
  </si>
  <si>
    <t>Target Kinerja</t>
  </si>
  <si>
    <t>Capaian Program</t>
  </si>
  <si>
    <t>Masukan</t>
  </si>
  <si>
    <t>Dana yang dibutuhkan</t>
  </si>
  <si>
    <t>Keluaran</t>
  </si>
  <si>
    <t>Jumlah dokumen hasil pengelolaan pelayanan kesehatan reproduksi</t>
  </si>
  <si>
    <t>4 dokumen</t>
  </si>
  <si>
    <t>Hasil</t>
  </si>
  <si>
    <t>Rincian Belanja Sub Kegiatan</t>
  </si>
  <si>
    <t>Rincian Perhitungan</t>
  </si>
  <si>
    <t>Kode Rekening</t>
  </si>
  <si>
    <t>Uraian</t>
  </si>
  <si>
    <t>Koefisien</t>
  </si>
  <si>
    <t>Satuan</t>
  </si>
  <si>
    <t>Harga</t>
  </si>
  <si>
    <t>Jumlah</t>
  </si>
  <si>
    <t>BELANJA DAERAH</t>
  </si>
  <si>
    <t>5.1</t>
  </si>
  <si>
    <t>BELANJA OPERASI</t>
  </si>
  <si>
    <t>5.1.02</t>
  </si>
  <si>
    <t>Belanja Barang/Jasa</t>
  </si>
  <si>
    <t>5.1.02.01</t>
  </si>
  <si>
    <t>Belanja Barang</t>
  </si>
  <si>
    <t>5.1.02.01.01</t>
  </si>
  <si>
    <t>belanja Barang Habis pakai</t>
  </si>
  <si>
    <t>5.1.02.01.01.0052</t>
  </si>
  <si>
    <t>Belanja Makanan dan minuman Rapat</t>
  </si>
  <si>
    <t>Jamuan Makan</t>
  </si>
  <si>
    <t xml:space="preserve">Pertemuan Perencanaan dan Evaluasi Pelayanan Kesehatan calon pengantin </t>
  </si>
  <si>
    <t>orx</t>
  </si>
  <si>
    <t>Pertemuan Peremcanaan dan Evaluasi Skrining Layak Hamil pada PUS dan Pelayanan KB</t>
  </si>
  <si>
    <t>Pertemuan Pengelola Program Pelayanan Kesehatan Disabilitas</t>
  </si>
  <si>
    <t>5.1.02.01.001.00029</t>
  </si>
  <si>
    <t>Belanja Alat/Bahan untuk kegiatan kantor - Bahan Komputer</t>
  </si>
  <si>
    <t>tinta Printer Epson 003, warna</t>
  </si>
  <si>
    <t>tinta Printer Epson 003, balck</t>
  </si>
  <si>
    <t>5.1.02.01.01.0025</t>
  </si>
  <si>
    <t>Belanja alat/bahan untuk kegiatan kantor,kertas dan cover</t>
  </si>
  <si>
    <t>Kertas                                                                        Sesifikasi :Kertas HVS A4 80 gram</t>
  </si>
  <si>
    <t>rim</t>
  </si>
  <si>
    <t>Kertas                                                                        Sesifikasi :Kertas HVS F4 80 gram</t>
  </si>
  <si>
    <t>5.1.02.04</t>
  </si>
  <si>
    <t>Belanja Perjalanan Dinas</t>
  </si>
  <si>
    <t>5.1.02.04.01</t>
  </si>
  <si>
    <t>Belanja Perjalanan Dinas Dalam Negeri</t>
  </si>
  <si>
    <t>5.1.02.04.01.0003</t>
  </si>
  <si>
    <t>Belanja  perjalanan dinas dalam kota</t>
  </si>
  <si>
    <t>Monitoring Pelaksanaan  Pelayanan Kesehatan Reproduksi di Puskesmas dan RS</t>
  </si>
  <si>
    <t>Biaya transport perjalanan dinas antar kecamatan dari ke Cibinong-Jasinga</t>
  </si>
  <si>
    <t>orang/kali</t>
  </si>
  <si>
    <t>kali</t>
  </si>
  <si>
    <t>Biaya transport perjalanan dinas antar dari/ke kecamatandari/ke Cibinong- Ciawi</t>
  </si>
  <si>
    <t>Biaya transport perjalanan dinas antar kecamatan dari ke Cibinong-Leuwiliang</t>
  </si>
  <si>
    <t>Biaya transport perjalanan dinas antar kecamatan dari/ke Cibinong - babakan madang</t>
  </si>
  <si>
    <t>Biaya transport perjalanan dinas antar kecamatan dari/ke Cibinong- Jonggol</t>
  </si>
  <si>
    <t>Biaya transport perjalanan dinas lingkup kecamatan</t>
  </si>
  <si>
    <t>Biaya transport perjalanan dinas antar kecamatan dari/ke Cibinong -  gunung sindur</t>
  </si>
  <si>
    <t>Biaya transport perjalanan dinas antar kecamatan dari/ke Cibinong -  cibungbulang</t>
  </si>
  <si>
    <t>Uang harian perjalanan dinas dalam daerah lebih dari 8 jam</t>
  </si>
  <si>
    <t>5.1.02.04.01.0001</t>
  </si>
  <si>
    <t>Belanja  perjalanan dinas Biasa</t>
  </si>
  <si>
    <t>Biaya transport perjalanan dinas  Dalam Negeri  Spesifikasi : dari kabupaten Bogor Ke DKI Jakarta (one way)</t>
  </si>
  <si>
    <t>Uang Harian Perjalanan Dinas Dalam Negeri  Spesifikasi : ke DKI Jakarta (Luar Kota)</t>
  </si>
  <si>
    <t>Biaya transport perjalanan dinas  Dalam Negeri  Spesifikasi : dari kabupaten Bogor Ke kota Bandung (one way)</t>
  </si>
  <si>
    <t>Uang Harian kegiatan rapat atau pertemuan diluar kantor : ke Bandung (Luar Kota)</t>
  </si>
  <si>
    <t>orang/hari</t>
  </si>
  <si>
    <t>5.1.02.02.01.0003</t>
  </si>
  <si>
    <t>Honorarium Narasumber atau Pembahas, Moderator, Pembawa Acara dan panitia</t>
  </si>
  <si>
    <t>Honorarium Narasumber atau pembahas                                  Spesifikasi : Pejabat Esselon 3 kebawah yang disetarakan</t>
  </si>
  <si>
    <t>orang/jam</t>
  </si>
  <si>
    <t>jam</t>
  </si>
  <si>
    <t>Jumlah Anggaran Sub Kegiatan :</t>
  </si>
  <si>
    <t xml:space="preserve"> </t>
  </si>
  <si>
    <t>Januari</t>
  </si>
  <si>
    <t>Kabupaten Bogor,                                2026</t>
  </si>
  <si>
    <t>Februari</t>
  </si>
  <si>
    <t>Kepala ...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</si>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</sst>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_);_(* \(#,##0\);_(* &quot;-&quot;_);_(@_)"/>
    <numFmt numFmtId="165" formatCode="_(* #,##0.00000_);_(* \(#,##0.00000\);_(* &quot;-&quot;_);_(@_)"/>
    <numFmt numFmtId="166" formatCode="_(* #,##0_);_(* \(#,##0\);_(* &quot;-&quot;??_);_(@_)"/>
  </numFmts>
  <fonts count="18">
    <font>
      <sz val="11.0"/>
      <color theme="1"/>
      <name val="Calibri"/>
      <scheme val="minor"/>
    </font>
    <font>
      <sz val="10.0"/>
      <color theme="1"/>
      <name val="Arial"/>
    </font>
    <font>
      <sz val="2.0"/>
      <color theme="1"/>
      <name val="Arial Black"/>
    </font>
    <font/>
    <font>
      <sz val="11.0"/>
      <color theme="1"/>
      <name val="Calibri"/>
    </font>
    <font>
      <sz val="11.0"/>
      <color theme="1"/>
      <name val="Arial Narrow"/>
    </font>
    <font>
      <sz val="9.0"/>
      <color theme="1"/>
      <name val="Arial Black"/>
    </font>
    <font>
      <sz val="10.0"/>
      <color theme="1"/>
      <name val="Arial Black"/>
    </font>
    <font>
      <b/>
      <sz val="8.0"/>
      <color theme="1"/>
      <name val="Arial"/>
    </font>
    <font>
      <sz val="8.0"/>
      <color theme="1"/>
      <name val="Calibri"/>
    </font>
    <font>
      <sz val="8.0"/>
      <color theme="1"/>
      <name val="Arial"/>
    </font>
    <font>
      <color theme="1"/>
      <name val="Calibri"/>
      <scheme val="minor"/>
    </font>
    <font>
      <b/>
      <sz val="9.0"/>
      <color theme="1"/>
      <name val="Arial"/>
    </font>
    <font>
      <b/>
      <sz val="10.0"/>
      <color theme="1"/>
      <name val="Arial"/>
    </font>
    <font>
      <b/>
      <sz val="11.0"/>
      <color theme="1"/>
      <name val="Calibri"/>
    </font>
    <font>
      <sz val="8.0"/>
      <color theme="1"/>
      <name val="Times New Roman"/>
    </font>
    <font>
      <sz val="8.0"/>
      <color theme="1"/>
      <name val="Arial Black"/>
    </font>
    <font>
      <b/>
      <u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</fills>
  <borders count="29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double">
        <color rgb="FF000000"/>
      </bottom>
    </border>
    <border>
      <top/>
      <bottom style="double">
        <color rgb="FF000000"/>
      </bottom>
    </border>
    <border>
      <right/>
      <top/>
      <bottom style="double">
        <color rgb="FF000000"/>
      </bottom>
    </border>
    <border>
      <left/>
      <right style="medium">
        <color rgb="FF000000"/>
      </right>
      <top/>
      <bottom style="double">
        <color rgb="FF000000"/>
      </bottom>
    </border>
    <border>
      <left style="medium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</border>
    <border>
      <right style="medium">
        <color rgb="FF000000"/>
      </right>
      <top style="double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Font="1"/>
    <xf borderId="1" fillId="2" fontId="1" numFmtId="0" xfId="0" applyAlignment="1" applyBorder="1" applyFill="1" applyFont="1">
      <alignment horizontal="left" vertical="center"/>
    </xf>
    <xf borderId="1" fillId="2" fontId="1" numFmtId="0" xfId="0" applyBorder="1" applyFont="1"/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vertical="center"/>
    </xf>
    <xf borderId="2" fillId="0" fontId="1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0" fontId="1" numFmtId="0" xfId="0" applyAlignment="1" applyBorder="1" applyFont="1">
      <alignment horizontal="left" shrinkToFit="0" vertical="center" wrapText="1"/>
    </xf>
    <xf borderId="5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5" fillId="0" fontId="1" numFmtId="9" xfId="0" applyAlignment="1" applyBorder="1" applyFont="1" applyNumberFormat="1">
      <alignment horizontal="right" shrinkToFit="0" vertical="center" wrapText="1"/>
    </xf>
    <xf borderId="5" fillId="0" fontId="1" numFmtId="164" xfId="0" applyAlignment="1" applyBorder="1" applyFont="1" applyNumberFormat="1">
      <alignment horizontal="right" shrinkToFit="0" vertical="top" wrapText="1"/>
    </xf>
    <xf borderId="0" fillId="0" fontId="4" numFmtId="0" xfId="0" applyAlignment="1" applyFont="1">
      <alignment horizontal="left"/>
    </xf>
    <xf borderId="2" fillId="0" fontId="1" numFmtId="0" xfId="0" applyAlignment="1" applyBorder="1" applyFont="1">
      <alignment horizontal="left" shrinkToFit="0" vertical="top" wrapText="1"/>
    </xf>
    <xf borderId="5" fillId="0" fontId="4" numFmtId="3" xfId="0" applyAlignment="1" applyBorder="1" applyFont="1" applyNumberFormat="1">
      <alignment horizontal="right"/>
    </xf>
    <xf borderId="2" fillId="0" fontId="5" numFmtId="0" xfId="0" applyAlignment="1" applyBorder="1" applyFont="1">
      <alignment shrinkToFit="0" vertical="center" wrapText="1"/>
    </xf>
    <xf borderId="5" fillId="0" fontId="1" numFmtId="9" xfId="0" applyAlignment="1" applyBorder="1" applyFont="1" applyNumberFormat="1">
      <alignment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shrinkToFit="0" vertical="center" wrapText="1"/>
    </xf>
    <xf borderId="2" fillId="0" fontId="7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horizontal="left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5" fillId="0" fontId="8" numFmtId="164" xfId="0" applyAlignment="1" applyBorder="1" applyFont="1" applyNumberFormat="1">
      <alignment horizontal="left" shrinkToFit="0" vertical="center" wrapText="1"/>
    </xf>
    <xf borderId="0" fillId="0" fontId="4" numFmtId="164" xfId="0" applyFont="1" applyNumberFormat="1"/>
    <xf borderId="1" fillId="3" fontId="4" numFmtId="0" xfId="0" applyBorder="1" applyFill="1" applyFont="1"/>
    <xf borderId="1" fillId="3" fontId="4" numFmtId="164" xfId="0" applyBorder="1" applyFont="1" applyNumberFormat="1"/>
    <xf borderId="1" fillId="3" fontId="9" numFmtId="164" xfId="0" applyAlignment="1" applyBorder="1" applyFont="1" applyNumberFormat="1">
      <alignment shrinkToFit="0" wrapText="1"/>
    </xf>
    <xf borderId="6" fillId="3" fontId="8" numFmtId="3" xfId="0" applyAlignment="1" applyBorder="1" applyFont="1" applyNumberFormat="1">
      <alignment horizontal="right" vertical="top"/>
    </xf>
    <xf borderId="5" fillId="3" fontId="8" numFmtId="0" xfId="0" applyAlignment="1" applyBorder="1" applyFont="1">
      <alignment horizontal="left" shrinkToFit="0" vertical="center" wrapText="1"/>
    </xf>
    <xf borderId="2" fillId="4" fontId="8" numFmtId="0" xfId="0" applyAlignment="1" applyBorder="1" applyFill="1" applyFont="1">
      <alignment horizontal="left" shrinkToFit="0" vertical="center" wrapText="1"/>
    </xf>
    <xf borderId="7" fillId="3" fontId="8" numFmtId="0" xfId="0" applyAlignment="1" applyBorder="1" applyFont="1">
      <alignment horizontal="center" shrinkToFit="0" vertical="center" wrapText="1"/>
    </xf>
    <xf borderId="8" fillId="3" fontId="8" numFmtId="0" xfId="0" applyAlignment="1" applyBorder="1" applyFont="1">
      <alignment horizontal="center" shrinkToFit="0" vertical="center" wrapText="1"/>
    </xf>
    <xf borderId="5" fillId="4" fontId="8" numFmtId="164" xfId="0" applyAlignment="1" applyBorder="1" applyFont="1" applyNumberFormat="1">
      <alignment horizontal="left" shrinkToFit="0" vertical="center" wrapText="1"/>
    </xf>
    <xf borderId="1" fillId="3" fontId="8" numFmtId="3" xfId="0" applyAlignment="1" applyBorder="1" applyFont="1" applyNumberFormat="1">
      <alignment horizontal="right" vertical="top"/>
    </xf>
    <xf borderId="7" fillId="3" fontId="8" numFmtId="0" xfId="0" applyAlignment="1" applyBorder="1" applyFont="1">
      <alignment horizontal="left" shrinkToFit="0" vertical="center" wrapText="1"/>
    </xf>
    <xf borderId="9" fillId="3" fontId="8" numFmtId="0" xfId="0" applyAlignment="1" applyBorder="1" applyFont="1">
      <alignment horizontal="left" shrinkToFit="0" vertical="center" wrapText="1"/>
    </xf>
    <xf borderId="5" fillId="3" fontId="8" numFmtId="164" xfId="0" applyAlignment="1" applyBorder="1" applyFont="1" applyNumberFormat="1">
      <alignment horizontal="left" shrinkToFit="0" vertical="center" wrapText="1"/>
    </xf>
    <xf borderId="5" fillId="3" fontId="10" numFmtId="0" xfId="0" applyAlignment="1" applyBorder="1" applyFont="1">
      <alignment horizontal="left" shrinkToFit="0" vertical="center" wrapText="1"/>
    </xf>
    <xf borderId="2" fillId="3" fontId="10" numFmtId="0" xfId="0" applyAlignment="1" applyBorder="1" applyFont="1">
      <alignment horizontal="left" shrinkToFit="0" vertical="top" wrapText="1"/>
    </xf>
    <xf borderId="7" fillId="3" fontId="10" numFmtId="0" xfId="0" applyAlignment="1" applyBorder="1" applyFont="1">
      <alignment horizontal="center" shrinkToFit="0" vertical="center" wrapText="1"/>
    </xf>
    <xf borderId="8" fillId="3" fontId="10" numFmtId="0" xfId="0" applyAlignment="1" applyBorder="1" applyFont="1">
      <alignment horizontal="center" shrinkToFit="0" vertical="center" wrapText="1"/>
    </xf>
    <xf borderId="5" fillId="3" fontId="10" numFmtId="164" xfId="0" applyAlignment="1" applyBorder="1" applyFont="1" applyNumberFormat="1">
      <alignment horizontal="left" shrinkToFit="0" vertical="center" wrapText="1"/>
    </xf>
    <xf borderId="7" fillId="3" fontId="10" numFmtId="0" xfId="0" applyAlignment="1" applyBorder="1" applyFont="1">
      <alignment horizontal="left" shrinkToFit="0" vertical="top" wrapText="1"/>
    </xf>
    <xf borderId="9" fillId="3" fontId="10" numFmtId="0" xfId="0" applyAlignment="1" applyBorder="1" applyFont="1">
      <alignment horizontal="left" shrinkToFit="0" vertical="top" wrapText="1"/>
    </xf>
    <xf borderId="7" fillId="4" fontId="8" numFmtId="0" xfId="0" applyAlignment="1" applyBorder="1" applyFont="1">
      <alignment horizontal="center" shrinkToFit="0" vertical="center" wrapText="1"/>
    </xf>
    <xf borderId="8" fillId="4" fontId="8" numFmtId="0" xfId="0" applyAlignment="1" applyBorder="1" applyFont="1">
      <alignment horizontal="center" shrinkToFit="0" vertical="center" wrapText="1"/>
    </xf>
    <xf borderId="1" fillId="3" fontId="9" numFmtId="165" xfId="0" applyAlignment="1" applyBorder="1" applyFont="1" applyNumberFormat="1">
      <alignment shrinkToFit="0" wrapText="1"/>
    </xf>
    <xf borderId="2" fillId="3" fontId="8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vertical="center"/>
    </xf>
    <xf borderId="2" fillId="3" fontId="10" numFmtId="0" xfId="0" applyAlignment="1" applyBorder="1" applyFont="1">
      <alignment horizontal="left" shrinkToFit="0" vertical="center" wrapText="1"/>
    </xf>
    <xf borderId="1" fillId="3" fontId="9" numFmtId="0" xfId="0" applyAlignment="1" applyBorder="1" applyFont="1">
      <alignment shrinkToFit="0" wrapText="1"/>
    </xf>
    <xf borderId="5" fillId="3" fontId="8" numFmtId="0" xfId="0" applyAlignment="1" applyBorder="1" applyFont="1">
      <alignment horizontal="left" shrinkToFit="0" vertical="top" wrapText="1"/>
    </xf>
    <xf borderId="2" fillId="4" fontId="8" numFmtId="0" xfId="0" applyAlignment="1" applyBorder="1" applyFont="1">
      <alignment horizontal="left" shrinkToFit="0" vertical="top" wrapText="1"/>
    </xf>
    <xf borderId="5" fillId="4" fontId="10" numFmtId="0" xfId="0" applyAlignment="1" applyBorder="1" applyFont="1">
      <alignment horizontal="center" shrinkToFit="0" vertical="center" wrapText="1"/>
    </xf>
    <xf borderId="5" fillId="4" fontId="8" numFmtId="164" xfId="0" applyAlignment="1" applyBorder="1" applyFont="1" applyNumberFormat="1">
      <alignment shrinkToFit="0" vertical="center" wrapText="1"/>
    </xf>
    <xf borderId="5" fillId="3" fontId="10" numFmtId="0" xfId="0" applyAlignment="1" applyBorder="1" applyFont="1">
      <alignment horizontal="center" shrinkToFit="0" vertical="center" wrapText="1"/>
    </xf>
    <xf borderId="5" fillId="3" fontId="10" numFmtId="164" xfId="0" applyAlignment="1" applyBorder="1" applyFont="1" applyNumberFormat="1">
      <alignment shrinkToFit="0" vertical="center" wrapText="1"/>
    </xf>
    <xf borderId="2" fillId="3" fontId="10" numFmtId="0" xfId="0" applyAlignment="1" applyBorder="1" applyFont="1">
      <alignment horizontal="left" vertical="top"/>
    </xf>
    <xf borderId="5" fillId="4" fontId="8" numFmtId="0" xfId="0" applyAlignment="1" applyBorder="1" applyFont="1">
      <alignment horizontal="left" shrinkToFit="0" vertical="center" wrapText="1"/>
    </xf>
    <xf borderId="2" fillId="3" fontId="10" numFmtId="0" xfId="0" applyAlignment="1" applyBorder="1" applyFont="1">
      <alignment horizontal="center" shrinkToFit="0" vertical="top" wrapText="1"/>
    </xf>
    <xf borderId="7" fillId="4" fontId="8" numFmtId="0" xfId="0" applyAlignment="1" applyBorder="1" applyFont="1">
      <alignment horizontal="left" vertical="top"/>
    </xf>
    <xf borderId="9" fillId="4" fontId="8" numFmtId="0" xfId="0" applyAlignment="1" applyBorder="1" applyFont="1">
      <alignment horizontal="left" vertical="top"/>
    </xf>
    <xf borderId="5" fillId="4" fontId="8" numFmtId="0" xfId="0" applyAlignment="1" applyBorder="1" applyFont="1">
      <alignment horizontal="center" shrinkToFit="0" vertical="center" wrapText="1"/>
    </xf>
    <xf borderId="2" fillId="3" fontId="8" numFmtId="0" xfId="0" applyAlignment="1" applyBorder="1" applyFont="1">
      <alignment horizontal="left" shrinkToFit="0" vertical="top" wrapText="1"/>
    </xf>
    <xf borderId="5" fillId="3" fontId="8" numFmtId="164" xfId="0" applyAlignment="1" applyBorder="1" applyFont="1" applyNumberFormat="1">
      <alignment shrinkToFit="0" vertical="center" wrapText="1"/>
    </xf>
    <xf borderId="10" fillId="0" fontId="3" numFmtId="0" xfId="0" applyBorder="1" applyFont="1"/>
    <xf borderId="5" fillId="3" fontId="10" numFmtId="164" xfId="0" applyAlignment="1" applyBorder="1" applyFont="1" applyNumberFormat="1">
      <alignment horizontal="center" shrinkToFit="0" vertical="center" wrapText="1"/>
    </xf>
    <xf borderId="0" fillId="0" fontId="11" numFmtId="0" xfId="0" applyFont="1"/>
    <xf borderId="5" fillId="4" fontId="8" numFmtId="0" xfId="0" applyAlignment="1" applyBorder="1" applyFont="1">
      <alignment horizontal="left" shrinkToFit="0" vertical="top" wrapText="1"/>
    </xf>
    <xf borderId="5" fillId="4" fontId="10" numFmtId="0" xfId="0" applyAlignment="1" applyBorder="1" applyFont="1">
      <alignment horizontal="center" shrinkToFit="0" vertical="top" wrapText="1"/>
    </xf>
    <xf borderId="5" fillId="4" fontId="8" numFmtId="164" xfId="0" applyAlignment="1" applyBorder="1" applyFont="1" applyNumberFormat="1">
      <alignment shrinkToFit="0" vertical="top" wrapText="1"/>
    </xf>
    <xf borderId="5" fillId="4" fontId="12" numFmtId="0" xfId="0" applyAlignment="1" applyBorder="1" applyFont="1">
      <alignment horizontal="left" shrinkToFit="0" vertical="center" wrapText="1"/>
    </xf>
    <xf borderId="2" fillId="4" fontId="10" numFmtId="0" xfId="0" applyAlignment="1" applyBorder="1" applyFont="1">
      <alignment horizontal="left" shrinkToFit="0" vertical="top" wrapText="1"/>
    </xf>
    <xf borderId="2" fillId="4" fontId="10" numFmtId="0" xfId="0" applyAlignment="1" applyBorder="1" applyFont="1">
      <alignment horizontal="center" shrinkToFit="0" vertical="center" wrapText="1"/>
    </xf>
    <xf borderId="5" fillId="3" fontId="12" numFmtId="0" xfId="0" applyAlignment="1" applyBorder="1" applyFont="1">
      <alignment horizontal="left" shrinkToFit="0" vertical="center" wrapText="1"/>
    </xf>
    <xf borderId="5" fillId="3" fontId="8" numFmtId="0" xfId="0" applyAlignment="1" applyBorder="1" applyFont="1">
      <alignment horizontal="center" shrinkToFit="0" vertical="center" wrapText="1"/>
    </xf>
    <xf borderId="5" fillId="3" fontId="10" numFmtId="3" xfId="0" applyAlignment="1" applyBorder="1" applyFont="1" applyNumberFormat="1">
      <alignment horizontal="center" shrinkToFit="0" vertical="center" wrapText="1"/>
    </xf>
    <xf borderId="11" fillId="3" fontId="13" numFmtId="0" xfId="0" applyAlignment="1" applyBorder="1" applyFont="1">
      <alignment horizontal="right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3" fontId="13" numFmtId="164" xfId="0" applyAlignment="1" applyBorder="1" applyFont="1" applyNumberFormat="1">
      <alignment shrinkToFit="0" vertical="center" wrapText="1"/>
    </xf>
    <xf borderId="1" fillId="3" fontId="14" numFmtId="164" xfId="0" applyBorder="1" applyFont="1" applyNumberFormat="1"/>
    <xf borderId="15" fillId="0" fontId="15" numFmtId="0" xfId="0" applyAlignment="1" applyBorder="1" applyFont="1">
      <alignment readingOrder="0" shrinkToFit="0" vertical="center" wrapText="1"/>
    </xf>
    <xf borderId="16" fillId="0" fontId="15" numFmtId="0" xfId="0" applyAlignment="1" applyBorder="1" applyFont="1">
      <alignment shrinkToFit="0" vertical="center" wrapText="1"/>
    </xf>
    <xf borderId="17" fillId="0" fontId="15" numFmtId="0" xfId="0" applyAlignment="1" applyBorder="1" applyFont="1">
      <alignment shrinkToFit="0" vertical="center" wrapText="1"/>
    </xf>
    <xf borderId="18" fillId="0" fontId="16" numFmtId="0" xfId="0" applyAlignment="1" applyBorder="1" applyFont="1">
      <alignment horizontal="center" shrinkToFit="0" vertical="center" wrapText="1"/>
    </xf>
    <xf borderId="16" fillId="0" fontId="3" numFmtId="0" xfId="0" applyBorder="1" applyFont="1"/>
    <xf borderId="19" fillId="0" fontId="3" numFmtId="0" xfId="0" applyBorder="1" applyFont="1"/>
    <xf borderId="20" fillId="0" fontId="4" numFmtId="0" xfId="0" applyAlignment="1" applyBorder="1" applyFont="1">
      <alignment vertical="top"/>
    </xf>
    <xf borderId="2" fillId="0" fontId="4" numFmtId="0" xfId="0" applyAlignment="1" applyBorder="1" applyFont="1">
      <alignment horizontal="left" shrinkToFit="0" vertical="top" wrapText="1"/>
    </xf>
    <xf borderId="5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vertical="top"/>
    </xf>
    <xf borderId="21" fillId="0" fontId="4" numFmtId="166" xfId="0" applyAlignment="1" applyBorder="1" applyFont="1" applyNumberFormat="1">
      <alignment vertical="top"/>
    </xf>
    <xf borderId="20" fillId="0" fontId="4" numFmtId="0" xfId="0" applyBorder="1" applyFont="1"/>
    <xf borderId="21" fillId="0" fontId="4" numFmtId="166" xfId="0" applyBorder="1" applyFont="1" applyNumberFormat="1"/>
    <xf borderId="22" fillId="0" fontId="4" numFmtId="0" xfId="0" applyAlignment="1" applyBorder="1" applyFont="1">
      <alignment horizontal="center"/>
    </xf>
    <xf borderId="23" fillId="0" fontId="3" numFmtId="0" xfId="0" applyBorder="1" applyFont="1"/>
    <xf borderId="22" fillId="0" fontId="4" numFmtId="0" xfId="0" applyBorder="1" applyFont="1"/>
    <xf borderId="23" fillId="0" fontId="4" numFmtId="166" xfId="0" applyBorder="1" applyFont="1" applyNumberFormat="1"/>
    <xf borderId="22" fillId="0" fontId="17" numFmtId="0" xfId="0" applyAlignment="1" applyBorder="1" applyFont="1">
      <alignment horizontal="center"/>
    </xf>
    <xf borderId="24" fillId="0" fontId="4" numFmtId="0" xfId="0" applyAlignment="1" applyBorder="1" applyFont="1">
      <alignment horizontal="center"/>
    </xf>
    <xf borderId="25" fillId="0" fontId="4" numFmtId="166" xfId="0" applyBorder="1" applyFont="1" applyNumberFormat="1"/>
    <xf borderId="26" fillId="0" fontId="4" numFmtId="0" xfId="0" applyBorder="1" applyFont="1"/>
    <xf borderId="27" fillId="0" fontId="4" numFmtId="0" xfId="0" applyBorder="1" applyFont="1"/>
    <xf borderId="28" fillId="0" fontId="4" numFmtId="166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19050</xdr:rowOff>
    </xdr:from>
    <xdr:ext cx="6953250" cy="723900"/>
    <xdr:grpSp>
      <xdr:nvGrpSpPr>
        <xdr:cNvPr id="2" name="Shape 2"/>
        <xdr:cNvGrpSpPr/>
      </xdr:nvGrpSpPr>
      <xdr:grpSpPr>
        <a:xfrm>
          <a:off x="1869375" y="3418050"/>
          <a:ext cx="6953250" cy="723900"/>
          <a:chOff x="1869375" y="3418050"/>
          <a:chExt cx="6953250" cy="723900"/>
        </a:xfrm>
      </xdr:grpSpPr>
      <xdr:grpSp>
        <xdr:nvGrpSpPr>
          <xdr:cNvPr id="3" name="Shape 3"/>
          <xdr:cNvGrpSpPr/>
        </xdr:nvGrpSpPr>
        <xdr:grpSpPr>
          <a:xfrm>
            <a:off x="1869375" y="3418050"/>
            <a:ext cx="6953250" cy="723900"/>
            <a:chOff x="0" y="6"/>
            <a:chExt cx="10329" cy="1107"/>
          </a:xfrm>
        </xdr:grpSpPr>
        <xdr:sp>
          <xdr:nvSpPr>
            <xdr:cNvPr id="4" name="Shape 4"/>
            <xdr:cNvSpPr/>
          </xdr:nvSpPr>
          <xdr:spPr>
            <a:xfrm>
              <a:off x="0" y="6"/>
              <a:ext cx="10325" cy="1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/>
          </xdr:nvSpPr>
          <xdr:spPr>
            <a:xfrm>
              <a:off x="6" y="6"/>
              <a:ext cx="10323" cy="1107"/>
            </a:xfrm>
            <a:custGeom>
              <a:rect b="b" l="l" r="r" t="t"/>
              <a:pathLst>
                <a:path extrusionOk="0" h="1107" w="10323">
                  <a:moveTo>
                    <a:pt x="0" y="0"/>
                  </a:moveTo>
                  <a:lnTo>
                    <a:pt x="10323" y="0"/>
                  </a:lnTo>
                  <a:lnTo>
                    <a:pt x="10323" y="671"/>
                  </a:lnTo>
                  <a:lnTo>
                    <a:pt x="0" y="671"/>
                  </a:lnTo>
                  <a:lnTo>
                    <a:pt x="0" y="0"/>
                  </a:lnTo>
                  <a:close/>
                  <a:moveTo>
                    <a:pt x="0" y="697"/>
                  </a:moveTo>
                  <a:lnTo>
                    <a:pt x="10323" y="697"/>
                  </a:lnTo>
                  <a:lnTo>
                    <a:pt x="10323" y="1106"/>
                  </a:lnTo>
                  <a:lnTo>
                    <a:pt x="0" y="1106"/>
                  </a:lnTo>
                  <a:lnTo>
                    <a:pt x="0" y="697"/>
                  </a:lnTo>
                  <a:close/>
                </a:path>
              </a:pathLst>
            </a:cu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6" name="Shape 6"/>
            <xdr:cNvSpPr txBox="1"/>
          </xdr:nvSpPr>
          <xdr:spPr>
            <a:xfrm>
              <a:off x="13" y="697"/>
              <a:ext cx="10310" cy="409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1547495" marR="1547495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950">
                  <a:latin typeface="Arial Black"/>
                  <a:ea typeface="Arial Black"/>
                  <a:cs typeface="Arial Black"/>
                  <a:sym typeface="Arial Black"/>
                </a:rPr>
                <a:t>Pemerintah Kabupaten Bogor Tahun Anggaran 2006</a:t>
              </a:r>
              <a:endParaRPr sz="1100">
                <a:latin typeface="Arial Black"/>
                <a:ea typeface="Arial Black"/>
                <a:cs typeface="Arial Black"/>
                <a:sym typeface="Arial Black"/>
              </a:endParaRPr>
            </a:p>
          </xdr:txBody>
        </xdr:sp>
        <xdr:sp>
          <xdr:nvSpPr>
            <xdr:cNvPr id="7" name="Shape 7"/>
            <xdr:cNvSpPr txBox="1"/>
          </xdr:nvSpPr>
          <xdr:spPr>
            <a:xfrm>
              <a:off x="0" y="54"/>
              <a:ext cx="10310" cy="67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100964" lvl="0" marL="2161540" marR="1736090" rtl="0" algn="ctr">
                <a:lnSpc>
                  <a:spcPct val="120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950">
                  <a:latin typeface="Arial"/>
                  <a:ea typeface="Arial"/>
                  <a:cs typeface="Arial"/>
                  <a:sym typeface="Arial"/>
                </a:rPr>
                <a:t>RINCIAN BELANJA SUB KEGIATAN          </a:t>
              </a:r>
              <a:endParaRPr sz="1400"/>
            </a:p>
            <a:p>
              <a:pPr indent="100964" lvl="0" marL="2161540" marR="1736090" rtl="0" algn="l">
                <a:lnSpc>
                  <a:spcPct val="120000"/>
                </a:lnSpc>
                <a:spcBef>
                  <a:spcPts val="490"/>
                </a:spcBef>
                <a:spcAft>
                  <a:spcPts val="0"/>
                </a:spcAft>
                <a:buNone/>
              </a:pPr>
              <a:r>
                <a:rPr b="1" lang="en-US" sz="950">
                  <a:latin typeface="Arial"/>
                  <a:ea typeface="Arial"/>
                  <a:cs typeface="Arial"/>
                  <a:sym typeface="Arial"/>
                </a:rPr>
                <a:t>                           SATUAN KERJA </a:t>
              </a:r>
              <a:r>
                <a:rPr b="1" lang="en-US" sz="950">
                  <a:latin typeface="Arial"/>
                  <a:ea typeface="Arial"/>
                  <a:cs typeface="Arial"/>
                  <a:sym typeface="Arial"/>
                </a:rPr>
                <a:t>P</a:t>
              </a:r>
              <a:r>
                <a:rPr b="1" lang="en-US" sz="950">
                  <a:latin typeface="Arial"/>
                  <a:ea typeface="Arial"/>
                  <a:cs typeface="Arial"/>
                  <a:sym typeface="Arial"/>
                </a:rPr>
                <a:t>ERANGKAT DAERAH</a:t>
              </a:r>
              <a:endParaRPr sz="1100">
                <a:latin typeface="Arial Black"/>
                <a:ea typeface="Arial Black"/>
                <a:cs typeface="Arial Black"/>
                <a:sym typeface="Arial Black"/>
              </a:endParaRPr>
            </a:p>
          </xdr:txBody>
        </xdr:sp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8.71"/>
    <col customWidth="1" min="3" max="3" width="18.57"/>
    <col customWidth="1" min="4" max="4" width="8.71"/>
    <col customWidth="1" min="5" max="5" width="9.43"/>
    <col customWidth="1" min="6" max="6" width="11.71"/>
    <col customWidth="1" min="7" max="7" width="10.43"/>
    <col customWidth="1" min="8" max="8" width="15.71"/>
    <col customWidth="1" min="9" max="9" width="14.71"/>
    <col customWidth="1" min="10" max="10" width="12.57"/>
    <col customWidth="1" min="11" max="11" width="14.86"/>
    <col customWidth="1" min="12" max="12" width="13.57"/>
    <col customWidth="1" min="13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A6" s="1" t="s">
        <v>0</v>
      </c>
      <c r="B6" s="1" t="s">
        <v>1</v>
      </c>
      <c r="C6" s="2"/>
      <c r="D6" s="2"/>
      <c r="E6" s="2"/>
      <c r="F6" s="2"/>
      <c r="G6" s="2"/>
      <c r="H6" s="2"/>
    </row>
    <row r="7" ht="14.25" customHeight="1">
      <c r="A7" s="1" t="s">
        <v>2</v>
      </c>
      <c r="B7" s="1" t="s">
        <v>3</v>
      </c>
      <c r="C7" s="2"/>
      <c r="D7" s="2"/>
      <c r="E7" s="2"/>
      <c r="F7" s="2"/>
      <c r="G7" s="2"/>
      <c r="H7" s="2"/>
    </row>
    <row r="8" ht="14.25" customHeight="1">
      <c r="A8" s="1" t="s">
        <v>4</v>
      </c>
      <c r="B8" s="1" t="s">
        <v>5</v>
      </c>
      <c r="C8" s="2"/>
      <c r="D8" s="2"/>
      <c r="E8" s="2"/>
      <c r="F8" s="2"/>
      <c r="G8" s="2"/>
      <c r="H8" s="2"/>
    </row>
    <row r="9" ht="14.25" customHeight="1">
      <c r="A9" s="1" t="s">
        <v>6</v>
      </c>
      <c r="B9" s="1" t="s">
        <v>7</v>
      </c>
      <c r="C9" s="2"/>
      <c r="D9" s="2"/>
      <c r="E9" s="2"/>
      <c r="F9" s="2"/>
      <c r="G9" s="2"/>
      <c r="H9" s="2"/>
    </row>
    <row r="10" ht="14.25" customHeight="1">
      <c r="A10" s="1" t="s">
        <v>8</v>
      </c>
      <c r="B10" s="1" t="s">
        <v>9</v>
      </c>
      <c r="C10" s="2"/>
      <c r="D10" s="2"/>
      <c r="E10" s="2"/>
      <c r="F10" s="2"/>
      <c r="G10" s="2"/>
      <c r="H10" s="2"/>
    </row>
    <row r="11" ht="14.25" customHeight="1">
      <c r="A11" s="3" t="s">
        <v>10</v>
      </c>
      <c r="B11" s="3" t="s">
        <v>11</v>
      </c>
      <c r="C11" s="4"/>
      <c r="D11" s="4"/>
      <c r="E11" s="4"/>
      <c r="F11" s="4"/>
      <c r="G11" s="2"/>
      <c r="H11" s="2"/>
    </row>
    <row r="12" ht="14.25" customHeight="1">
      <c r="A12" s="1" t="s">
        <v>12</v>
      </c>
      <c r="B12" s="1" t="s">
        <v>13</v>
      </c>
      <c r="C12" s="2"/>
      <c r="D12" s="2"/>
      <c r="E12" s="2"/>
      <c r="F12" s="2"/>
      <c r="G12" s="2"/>
      <c r="H12" s="2"/>
    </row>
    <row r="13" ht="14.25" customHeight="1">
      <c r="A13" s="1" t="s">
        <v>14</v>
      </c>
      <c r="B13" s="1" t="s">
        <v>15</v>
      </c>
      <c r="C13" s="2"/>
      <c r="D13" s="2"/>
      <c r="E13" s="2"/>
      <c r="F13" s="2"/>
      <c r="G13" s="2"/>
      <c r="H13" s="2"/>
    </row>
    <row r="14" ht="14.25" customHeight="1">
      <c r="A14" s="1" t="s">
        <v>16</v>
      </c>
      <c r="B14" s="1" t="s">
        <v>17</v>
      </c>
      <c r="C14" s="2"/>
      <c r="D14" s="2"/>
      <c r="E14" s="2"/>
      <c r="F14" s="2"/>
      <c r="G14" s="2"/>
      <c r="H14" s="2"/>
    </row>
    <row r="15" ht="14.25" customHeight="1">
      <c r="A15" s="1" t="s">
        <v>18</v>
      </c>
      <c r="B15" s="5" t="s">
        <v>19</v>
      </c>
      <c r="C15" s="2"/>
      <c r="D15" s="2"/>
      <c r="E15" s="2"/>
      <c r="F15" s="2"/>
      <c r="G15" s="2"/>
      <c r="H15" s="2"/>
    </row>
    <row r="16" ht="14.25" customHeight="1">
      <c r="A16" s="1" t="s">
        <v>20</v>
      </c>
      <c r="B16" s="1" t="s">
        <v>21</v>
      </c>
      <c r="C16" s="2"/>
      <c r="D16" s="2"/>
      <c r="E16" s="2"/>
      <c r="F16" s="2"/>
      <c r="G16" s="2"/>
      <c r="H16" s="2"/>
    </row>
    <row r="17" ht="14.25" customHeight="1">
      <c r="A17" s="1" t="s">
        <v>22</v>
      </c>
      <c r="B17" s="1" t="s">
        <v>23</v>
      </c>
      <c r="C17" s="2"/>
      <c r="D17" s="2"/>
      <c r="E17" s="2"/>
      <c r="F17" s="2"/>
      <c r="G17" s="2"/>
      <c r="H17" s="2"/>
    </row>
    <row r="18" ht="14.25" customHeight="1">
      <c r="A18" s="1" t="s">
        <v>24</v>
      </c>
      <c r="B18" s="1"/>
      <c r="C18" s="2"/>
      <c r="D18" s="2"/>
      <c r="E18" s="2"/>
      <c r="F18" s="2"/>
      <c r="G18" s="2"/>
      <c r="H18" s="2"/>
    </row>
    <row r="19" ht="14.25" customHeight="1">
      <c r="A19" s="6"/>
    </row>
    <row r="20" ht="15.75" customHeight="1">
      <c r="A20" s="7" t="s">
        <v>25</v>
      </c>
      <c r="B20" s="8"/>
      <c r="C20" s="8"/>
      <c r="D20" s="8"/>
      <c r="E20" s="8"/>
      <c r="F20" s="8"/>
      <c r="G20" s="8"/>
      <c r="H20" s="9"/>
    </row>
    <row r="21" ht="16.5" customHeight="1">
      <c r="A21" s="10" t="s">
        <v>26</v>
      </c>
      <c r="B21" s="9"/>
      <c r="C21" s="7" t="s">
        <v>27</v>
      </c>
      <c r="D21" s="8"/>
      <c r="E21" s="8"/>
      <c r="F21" s="8"/>
      <c r="G21" s="9"/>
      <c r="H21" s="11" t="s">
        <v>28</v>
      </c>
    </row>
    <row r="22" ht="24.0" customHeight="1">
      <c r="A22" s="12" t="s">
        <v>29</v>
      </c>
      <c r="B22" s="9"/>
      <c r="C22" s="12"/>
      <c r="D22" s="8"/>
      <c r="E22" s="8"/>
      <c r="F22" s="8"/>
      <c r="G22" s="9"/>
      <c r="H22" s="13"/>
    </row>
    <row r="23" ht="14.25" customHeight="1">
      <c r="A23" s="12" t="s">
        <v>30</v>
      </c>
      <c r="B23" s="9"/>
      <c r="C23" s="12" t="s">
        <v>31</v>
      </c>
      <c r="D23" s="8"/>
      <c r="E23" s="8"/>
      <c r="F23" s="8"/>
      <c r="G23" s="9"/>
      <c r="H23" s="14">
        <v>4.338315E7</v>
      </c>
      <c r="I23" s="15"/>
      <c r="J23" s="15"/>
      <c r="K23" s="15"/>
      <c r="L23" s="15"/>
    </row>
    <row r="24" ht="27.0" customHeight="1">
      <c r="A24" s="16" t="s">
        <v>32</v>
      </c>
      <c r="B24" s="9"/>
      <c r="C24" s="12" t="s">
        <v>33</v>
      </c>
      <c r="D24" s="8"/>
      <c r="E24" s="8"/>
      <c r="F24" s="8"/>
      <c r="G24" s="9"/>
      <c r="H24" s="17" t="s">
        <v>34</v>
      </c>
    </row>
    <row r="25" ht="34.5" customHeight="1">
      <c r="A25" s="10" t="s">
        <v>35</v>
      </c>
      <c r="B25" s="9"/>
      <c r="C25" s="18"/>
      <c r="D25" s="8"/>
      <c r="E25" s="8"/>
      <c r="F25" s="8"/>
      <c r="G25" s="8"/>
      <c r="H25" s="19"/>
    </row>
    <row r="26" ht="14.25" customHeight="1">
      <c r="A26" s="20" t="s">
        <v>36</v>
      </c>
      <c r="B26" s="8"/>
      <c r="C26" s="8"/>
      <c r="D26" s="8"/>
      <c r="E26" s="8"/>
      <c r="F26" s="8"/>
      <c r="G26" s="8"/>
      <c r="H26" s="9"/>
    </row>
    <row r="27" ht="14.25" customHeight="1">
      <c r="A27" s="21"/>
      <c r="B27" s="22"/>
      <c r="C27" s="9"/>
      <c r="D27" s="23" t="s">
        <v>37</v>
      </c>
      <c r="E27" s="8"/>
      <c r="F27" s="8"/>
      <c r="G27" s="9"/>
      <c r="H27" s="21"/>
    </row>
    <row r="28" ht="14.25" customHeight="1">
      <c r="A28" s="24" t="s">
        <v>38</v>
      </c>
      <c r="B28" s="25" t="s">
        <v>39</v>
      </c>
      <c r="C28" s="9"/>
      <c r="D28" s="25" t="s">
        <v>40</v>
      </c>
      <c r="E28" s="9"/>
      <c r="F28" s="26" t="s">
        <v>41</v>
      </c>
      <c r="G28" s="26" t="s">
        <v>42</v>
      </c>
      <c r="H28" s="24" t="s">
        <v>43</v>
      </c>
    </row>
    <row r="29" ht="14.25" customHeight="1">
      <c r="A29" s="24">
        <v>5.0</v>
      </c>
      <c r="B29" s="23" t="s">
        <v>44</v>
      </c>
      <c r="C29" s="9"/>
      <c r="D29" s="25"/>
      <c r="E29" s="27"/>
      <c r="F29" s="27"/>
      <c r="G29" s="27"/>
      <c r="H29" s="24"/>
    </row>
    <row r="30" ht="14.25" customHeight="1">
      <c r="A30" s="24" t="s">
        <v>45</v>
      </c>
      <c r="B30" s="23" t="s">
        <v>46</v>
      </c>
      <c r="C30" s="9"/>
      <c r="D30" s="25"/>
      <c r="E30" s="27"/>
      <c r="F30" s="27"/>
      <c r="G30" s="27"/>
      <c r="H30" s="24"/>
    </row>
    <row r="31" ht="14.25" customHeight="1">
      <c r="A31" s="24" t="s">
        <v>47</v>
      </c>
      <c r="B31" s="23" t="s">
        <v>48</v>
      </c>
      <c r="C31" s="9"/>
      <c r="D31" s="25"/>
      <c r="E31" s="27"/>
      <c r="F31" s="27"/>
      <c r="G31" s="27"/>
      <c r="H31" s="28">
        <f>H34+H40+H44+H50+H69</f>
        <v>43383150</v>
      </c>
      <c r="I31" s="29"/>
    </row>
    <row r="32" ht="14.25" customHeight="1">
      <c r="A32" s="24" t="s">
        <v>49</v>
      </c>
      <c r="B32" s="23" t="s">
        <v>50</v>
      </c>
      <c r="C32" s="9"/>
      <c r="D32" s="25"/>
      <c r="E32" s="27"/>
      <c r="F32" s="27"/>
      <c r="G32" s="27"/>
      <c r="H32" s="28"/>
      <c r="I32" s="30"/>
      <c r="J32" s="31"/>
      <c r="L32" s="29"/>
    </row>
    <row r="33" ht="21.75" customHeight="1">
      <c r="A33" s="24" t="s">
        <v>51</v>
      </c>
      <c r="B33" s="23" t="s">
        <v>52</v>
      </c>
      <c r="C33" s="9"/>
      <c r="D33" s="25"/>
      <c r="E33" s="8"/>
      <c r="F33" s="8"/>
      <c r="G33" s="8"/>
      <c r="H33" s="28"/>
      <c r="I33" s="31"/>
      <c r="J33" s="32"/>
      <c r="K33" s="33"/>
      <c r="L33" s="29"/>
    </row>
    <row r="34" ht="21.75" customHeight="1">
      <c r="A34" s="34" t="s">
        <v>53</v>
      </c>
      <c r="B34" s="35" t="s">
        <v>54</v>
      </c>
      <c r="C34" s="9"/>
      <c r="D34" s="36"/>
      <c r="E34" s="37"/>
      <c r="F34" s="37"/>
      <c r="G34" s="37"/>
      <c r="H34" s="38">
        <f>H36+H37+H38</f>
        <v>21780000</v>
      </c>
      <c r="I34" s="30"/>
      <c r="J34" s="32"/>
      <c r="K34" s="39"/>
      <c r="L34" s="29"/>
    </row>
    <row r="35" ht="21.75" customHeight="1">
      <c r="A35" s="34"/>
      <c r="B35" s="40" t="s">
        <v>55</v>
      </c>
      <c r="C35" s="41"/>
      <c r="D35" s="36"/>
      <c r="E35" s="37"/>
      <c r="F35" s="37"/>
      <c r="G35" s="37"/>
      <c r="H35" s="42"/>
      <c r="I35" s="31"/>
      <c r="J35" s="32"/>
      <c r="K35" s="39"/>
      <c r="L35" s="29"/>
    </row>
    <row r="36" ht="21.75" customHeight="1">
      <c r="A36" s="43"/>
      <c r="B36" s="44" t="s">
        <v>56</v>
      </c>
      <c r="C36" s="9"/>
      <c r="D36" s="45">
        <v>110.0</v>
      </c>
      <c r="E36" s="46" t="s">
        <v>57</v>
      </c>
      <c r="F36" s="46">
        <v>1.0</v>
      </c>
      <c r="G36" s="46">
        <v>49500.0</v>
      </c>
      <c r="H36" s="47">
        <f t="shared" ref="H36:H37" si="1">D36*F36*G36</f>
        <v>5445000</v>
      </c>
      <c r="I36" s="30"/>
      <c r="J36" s="32"/>
      <c r="K36" s="39"/>
      <c r="L36" s="29"/>
    </row>
    <row r="37" ht="22.5" customHeight="1">
      <c r="A37" s="43"/>
      <c r="B37" s="44" t="s">
        <v>58</v>
      </c>
      <c r="C37" s="9"/>
      <c r="D37" s="45">
        <v>110.0</v>
      </c>
      <c r="E37" s="46" t="s">
        <v>57</v>
      </c>
      <c r="F37" s="46">
        <v>2.0</v>
      </c>
      <c r="G37" s="46">
        <v>49500.0</v>
      </c>
      <c r="H37" s="47">
        <f t="shared" si="1"/>
        <v>10890000</v>
      </c>
      <c r="I37" s="30"/>
      <c r="J37" s="32"/>
      <c r="K37" s="39"/>
      <c r="L37" s="29"/>
    </row>
    <row r="38" ht="22.5" customHeight="1">
      <c r="A38" s="43"/>
      <c r="B38" s="44" t="s">
        <v>59</v>
      </c>
      <c r="C38" s="9"/>
      <c r="D38" s="45">
        <v>110.0</v>
      </c>
      <c r="E38" s="46" t="s">
        <v>57</v>
      </c>
      <c r="F38" s="46">
        <v>1.0</v>
      </c>
      <c r="G38" s="46">
        <v>49500.0</v>
      </c>
      <c r="H38" s="47">
        <f>G38*D38</f>
        <v>5445000</v>
      </c>
      <c r="I38" s="30"/>
      <c r="J38" s="32"/>
      <c r="K38" s="39"/>
      <c r="L38" s="29"/>
    </row>
    <row r="39" ht="22.5" customHeight="1">
      <c r="A39" s="43"/>
      <c r="B39" s="48"/>
      <c r="C39" s="49"/>
      <c r="D39" s="45"/>
      <c r="E39" s="46"/>
      <c r="F39" s="46"/>
      <c r="G39" s="46"/>
      <c r="H39" s="47"/>
      <c r="I39" s="30"/>
      <c r="J39" s="32"/>
      <c r="K39" s="39"/>
      <c r="L39" s="29"/>
    </row>
    <row r="40" ht="26.25" customHeight="1">
      <c r="A40" s="34" t="s">
        <v>60</v>
      </c>
      <c r="B40" s="35" t="s">
        <v>61</v>
      </c>
      <c r="C40" s="9"/>
      <c r="D40" s="50"/>
      <c r="E40" s="51"/>
      <c r="F40" s="51"/>
      <c r="G40" s="51"/>
      <c r="H40" s="38">
        <f>H41+H42+H43</f>
        <v>990200</v>
      </c>
      <c r="I40" s="30"/>
      <c r="J40" s="52"/>
      <c r="K40" s="39"/>
      <c r="L40" s="29"/>
    </row>
    <row r="41" ht="26.25" customHeight="1">
      <c r="A41" s="34"/>
      <c r="B41" s="53" t="s">
        <v>62</v>
      </c>
      <c r="C41" s="9"/>
      <c r="D41" s="36">
        <v>6.0</v>
      </c>
      <c r="E41" s="37"/>
      <c r="F41" s="37">
        <v>1.0</v>
      </c>
      <c r="G41" s="37">
        <v>92500.0</v>
      </c>
      <c r="H41" s="42">
        <f t="shared" ref="H41:H43" si="2">D41*G41</f>
        <v>555000</v>
      </c>
      <c r="I41" s="30"/>
      <c r="J41" s="32"/>
      <c r="K41" s="39"/>
      <c r="L41" s="29"/>
    </row>
    <row r="42" ht="22.5" customHeight="1">
      <c r="A42" s="43"/>
      <c r="B42" s="53" t="s">
        <v>63</v>
      </c>
      <c r="C42" s="9"/>
      <c r="D42" s="45">
        <v>4.0</v>
      </c>
      <c r="E42" s="46"/>
      <c r="F42" s="46">
        <v>1.0</v>
      </c>
      <c r="G42" s="46">
        <v>108800.0</v>
      </c>
      <c r="H42" s="47">
        <f t="shared" si="2"/>
        <v>435200</v>
      </c>
      <c r="I42" s="54"/>
      <c r="J42" s="32"/>
      <c r="K42" s="39"/>
      <c r="L42" s="29"/>
    </row>
    <row r="43" ht="21.0" customHeight="1">
      <c r="A43" s="43"/>
      <c r="B43" s="55"/>
      <c r="C43" s="9"/>
      <c r="D43" s="45"/>
      <c r="E43" s="46"/>
      <c r="F43" s="46"/>
      <c r="G43" s="46"/>
      <c r="H43" s="47">
        <f t="shared" si="2"/>
        <v>0</v>
      </c>
      <c r="I43" s="30"/>
      <c r="J43" s="56"/>
      <c r="K43" s="39"/>
      <c r="L43" s="29"/>
    </row>
    <row r="44" ht="25.5" customHeight="1">
      <c r="A44" s="57" t="s">
        <v>64</v>
      </c>
      <c r="B44" s="58" t="s">
        <v>65</v>
      </c>
      <c r="C44" s="9"/>
      <c r="D44" s="59"/>
      <c r="E44" s="59"/>
      <c r="F44" s="59"/>
      <c r="G44" s="59"/>
      <c r="H44" s="60">
        <f>H45+H46</f>
        <v>967950</v>
      </c>
      <c r="I44" s="30"/>
      <c r="J44" s="56"/>
      <c r="K44" s="39"/>
      <c r="L44" s="29"/>
    </row>
    <row r="45" ht="27.75" customHeight="1">
      <c r="A45" s="34"/>
      <c r="B45" s="44" t="s">
        <v>66</v>
      </c>
      <c r="C45" s="9"/>
      <c r="D45" s="61">
        <v>6.0</v>
      </c>
      <c r="E45" s="61"/>
      <c r="F45" s="61" t="s">
        <v>67</v>
      </c>
      <c r="G45" s="61">
        <v>73450.0</v>
      </c>
      <c r="H45" s="62">
        <f t="shared" ref="H45:H46" si="3">D45*G45</f>
        <v>440700</v>
      </c>
      <c r="I45" s="30"/>
      <c r="J45" s="56"/>
      <c r="K45" s="39"/>
      <c r="L45" s="29"/>
    </row>
    <row r="46" ht="29.25" customHeight="1">
      <c r="A46" s="34"/>
      <c r="B46" s="44" t="s">
        <v>68</v>
      </c>
      <c r="C46" s="9"/>
      <c r="D46" s="61">
        <v>6.0</v>
      </c>
      <c r="E46" s="61"/>
      <c r="F46" s="61" t="s">
        <v>67</v>
      </c>
      <c r="G46" s="61">
        <v>87875.0</v>
      </c>
      <c r="H46" s="62">
        <f t="shared" si="3"/>
        <v>527250</v>
      </c>
      <c r="I46" s="30"/>
      <c r="J46" s="56"/>
      <c r="K46" s="39"/>
      <c r="L46" s="29"/>
    </row>
    <row r="47" ht="22.5" customHeight="1">
      <c r="A47" s="34"/>
      <c r="B47" s="48"/>
      <c r="C47" s="49"/>
      <c r="D47" s="45"/>
      <c r="E47" s="46"/>
      <c r="F47" s="46"/>
      <c r="G47" s="46"/>
      <c r="H47" s="62"/>
      <c r="I47" s="30"/>
      <c r="J47" s="56"/>
      <c r="K47" s="39"/>
      <c r="L47" s="29"/>
    </row>
    <row r="48" ht="15.0" customHeight="1">
      <c r="A48" s="57"/>
      <c r="B48" s="48"/>
      <c r="C48" s="49"/>
      <c r="D48" s="61"/>
      <c r="E48" s="61"/>
      <c r="F48" s="61"/>
      <c r="G48" s="61"/>
      <c r="H48" s="47"/>
      <c r="I48" s="30"/>
      <c r="J48" s="30"/>
      <c r="K48" s="30"/>
      <c r="L48" s="30"/>
    </row>
    <row r="49" ht="14.25" customHeight="1">
      <c r="A49" s="34"/>
      <c r="B49" s="63"/>
      <c r="C49" s="9"/>
      <c r="D49" s="61"/>
      <c r="E49" s="61"/>
      <c r="F49" s="61"/>
      <c r="G49" s="61"/>
      <c r="H49" s="62">
        <f>D49*G49</f>
        <v>0</v>
      </c>
      <c r="I49" s="30"/>
      <c r="J49" s="30"/>
      <c r="K49" s="30"/>
      <c r="L49" s="30"/>
    </row>
    <row r="50" ht="14.25" customHeight="1">
      <c r="A50" s="64" t="s">
        <v>69</v>
      </c>
      <c r="B50" s="58" t="s">
        <v>70</v>
      </c>
      <c r="C50" s="9"/>
      <c r="D50" s="59"/>
      <c r="E50" s="59"/>
      <c r="F50" s="59"/>
      <c r="G50" s="59"/>
      <c r="H50" s="60">
        <f>H52+H63</f>
        <v>12445000</v>
      </c>
      <c r="I50" s="30"/>
      <c r="J50" s="30"/>
      <c r="K50" s="30"/>
      <c r="L50" s="30"/>
    </row>
    <row r="51" ht="13.5" customHeight="1">
      <c r="A51" s="34" t="s">
        <v>71</v>
      </c>
      <c r="B51" s="65" t="s">
        <v>72</v>
      </c>
      <c r="C51" s="9"/>
      <c r="D51" s="61"/>
      <c r="E51" s="61"/>
      <c r="F51" s="61"/>
      <c r="G51" s="61"/>
      <c r="H51" s="62"/>
      <c r="I51" s="30"/>
      <c r="J51" s="30"/>
      <c r="K51" s="30"/>
      <c r="L51" s="30"/>
    </row>
    <row r="52" ht="20.25" customHeight="1">
      <c r="A52" s="64" t="s">
        <v>73</v>
      </c>
      <c r="B52" s="66" t="s">
        <v>74</v>
      </c>
      <c r="C52" s="67"/>
      <c r="D52" s="68"/>
      <c r="E52" s="68"/>
      <c r="F52" s="68"/>
      <c r="G52" s="68"/>
      <c r="H52" s="60">
        <f>H53</f>
        <v>10815000</v>
      </c>
      <c r="I52" s="30"/>
      <c r="J52" s="30"/>
      <c r="K52" s="30"/>
      <c r="L52" s="30"/>
    </row>
    <row r="53" ht="37.5" customHeight="1">
      <c r="A53" s="34"/>
      <c r="B53" s="69" t="s">
        <v>75</v>
      </c>
      <c r="C53" s="9"/>
      <c r="D53" s="61"/>
      <c r="E53" s="61"/>
      <c r="F53" s="61"/>
      <c r="G53" s="61"/>
      <c r="H53" s="70">
        <f>H54+H55+H56+H57+H58+H60+H62+H59</f>
        <v>10815000</v>
      </c>
      <c r="I53" s="30"/>
      <c r="J53" s="30"/>
      <c r="K53" s="30"/>
      <c r="L53" s="30"/>
    </row>
    <row r="54" ht="39.0" customHeight="1">
      <c r="A54" s="34"/>
      <c r="B54" s="44" t="s">
        <v>76</v>
      </c>
      <c r="C54" s="71"/>
      <c r="D54" s="61">
        <v>2.0</v>
      </c>
      <c r="E54" s="61" t="s">
        <v>77</v>
      </c>
      <c r="F54" s="61" t="s">
        <v>78</v>
      </c>
      <c r="G54" s="72">
        <v>245000.0</v>
      </c>
      <c r="H54" s="62">
        <f t="shared" ref="H54:H60" si="4">D54*G54</f>
        <v>490000</v>
      </c>
      <c r="I54" s="30"/>
      <c r="J54" s="30"/>
      <c r="K54" s="30"/>
      <c r="L54" s="30"/>
    </row>
    <row r="55" ht="32.25" customHeight="1">
      <c r="A55" s="34"/>
      <c r="B55" s="44" t="s">
        <v>79</v>
      </c>
      <c r="C55" s="71"/>
      <c r="D55" s="61">
        <v>2.0</v>
      </c>
      <c r="E55" s="61" t="s">
        <v>77</v>
      </c>
      <c r="F55" s="61" t="s">
        <v>78</v>
      </c>
      <c r="G55" s="72">
        <v>180000.0</v>
      </c>
      <c r="H55" s="62">
        <f t="shared" si="4"/>
        <v>360000</v>
      </c>
      <c r="I55" s="30"/>
      <c r="J55" s="30"/>
      <c r="K55" s="30"/>
      <c r="L55" s="30"/>
    </row>
    <row r="56" ht="33.0" customHeight="1">
      <c r="A56" s="34"/>
      <c r="B56" s="44" t="s">
        <v>80</v>
      </c>
      <c r="C56" s="71"/>
      <c r="D56" s="61">
        <v>0.0</v>
      </c>
      <c r="E56" s="61" t="s">
        <v>77</v>
      </c>
      <c r="F56" s="61" t="s">
        <v>78</v>
      </c>
      <c r="G56" s="72">
        <v>210000.0</v>
      </c>
      <c r="H56" s="62">
        <f t="shared" si="4"/>
        <v>0</v>
      </c>
      <c r="I56" s="30"/>
      <c r="J56" s="30"/>
      <c r="K56" s="30"/>
      <c r="L56" s="30"/>
    </row>
    <row r="57" ht="36.75" customHeight="1">
      <c r="A57" s="34"/>
      <c r="B57" s="44" t="s">
        <v>81</v>
      </c>
      <c r="C57" s="71"/>
      <c r="D57" s="61">
        <v>3.0</v>
      </c>
      <c r="E57" s="61" t="s">
        <v>77</v>
      </c>
      <c r="F57" s="61" t="s">
        <v>78</v>
      </c>
      <c r="G57" s="72">
        <v>135000.0</v>
      </c>
      <c r="H57" s="62">
        <f t="shared" si="4"/>
        <v>405000</v>
      </c>
      <c r="I57" s="30"/>
      <c r="J57" s="30"/>
      <c r="K57" s="30"/>
      <c r="L57" s="30"/>
    </row>
    <row r="58" ht="27.75" customHeight="1">
      <c r="A58" s="34"/>
      <c r="B58" s="44" t="s">
        <v>82</v>
      </c>
      <c r="C58" s="71"/>
      <c r="D58" s="61">
        <v>2.0</v>
      </c>
      <c r="E58" s="61" t="s">
        <v>77</v>
      </c>
      <c r="F58" s="61" t="s">
        <v>78</v>
      </c>
      <c r="G58" s="72">
        <v>165000.0</v>
      </c>
      <c r="H58" s="62">
        <f t="shared" si="4"/>
        <v>330000</v>
      </c>
      <c r="I58" s="30"/>
      <c r="J58" s="30"/>
      <c r="K58" s="30"/>
      <c r="L58" s="30"/>
      <c r="N58" s="73">
        <v>0.0</v>
      </c>
    </row>
    <row r="59" ht="27.75" customHeight="1">
      <c r="A59" s="34"/>
      <c r="B59" s="44" t="s">
        <v>83</v>
      </c>
      <c r="C59" s="71"/>
      <c r="D59" s="61">
        <v>1.0</v>
      </c>
      <c r="E59" s="61" t="s">
        <v>77</v>
      </c>
      <c r="F59" s="61" t="s">
        <v>78</v>
      </c>
      <c r="G59" s="72">
        <v>100000.0</v>
      </c>
      <c r="H59" s="62">
        <f t="shared" si="4"/>
        <v>100000</v>
      </c>
      <c r="I59" s="30"/>
      <c r="J59" s="30"/>
      <c r="K59" s="30"/>
      <c r="L59" s="30"/>
    </row>
    <row r="60" ht="33.0" customHeight="1">
      <c r="A60" s="34"/>
      <c r="B60" s="44" t="s">
        <v>84</v>
      </c>
      <c r="C60" s="71"/>
      <c r="D60" s="61">
        <v>2.0</v>
      </c>
      <c r="E60" s="61" t="s">
        <v>77</v>
      </c>
      <c r="F60" s="61" t="s">
        <v>78</v>
      </c>
      <c r="G60" s="72">
        <v>145000.0</v>
      </c>
      <c r="H60" s="62">
        <f t="shared" si="4"/>
        <v>290000</v>
      </c>
      <c r="I60" s="30"/>
      <c r="J60" s="30"/>
      <c r="K60" s="30"/>
      <c r="L60" s="30"/>
    </row>
    <row r="61" ht="33.0" customHeight="1">
      <c r="A61" s="34"/>
      <c r="B61" s="44" t="s">
        <v>85</v>
      </c>
      <c r="C61" s="71"/>
      <c r="D61" s="61">
        <v>1.0</v>
      </c>
      <c r="E61" s="61" t="s">
        <v>77</v>
      </c>
      <c r="F61" s="61" t="s">
        <v>78</v>
      </c>
      <c r="G61" s="72">
        <v>160000.0</v>
      </c>
      <c r="H61" s="62">
        <f>G61*D61</f>
        <v>160000</v>
      </c>
      <c r="I61" s="30"/>
      <c r="J61" s="30"/>
      <c r="K61" s="30"/>
      <c r="L61" s="30"/>
    </row>
    <row r="62" ht="27.75" customHeight="1">
      <c r="A62" s="34"/>
      <c r="B62" s="44" t="s">
        <v>86</v>
      </c>
      <c r="C62" s="9"/>
      <c r="D62" s="61">
        <v>52.0</v>
      </c>
      <c r="E62" s="61" t="s">
        <v>77</v>
      </c>
      <c r="F62" s="61" t="s">
        <v>78</v>
      </c>
      <c r="G62" s="72">
        <v>170000.0</v>
      </c>
      <c r="H62" s="62">
        <f>D62*G62</f>
        <v>8840000</v>
      </c>
      <c r="I62" s="30"/>
      <c r="J62" s="30"/>
      <c r="K62" s="30"/>
      <c r="L62" s="30"/>
    </row>
    <row r="63" ht="27.75" customHeight="1">
      <c r="A63" s="74" t="s">
        <v>87</v>
      </c>
      <c r="B63" s="66" t="s">
        <v>88</v>
      </c>
      <c r="C63" s="67"/>
      <c r="D63" s="75"/>
      <c r="E63" s="75"/>
      <c r="F63" s="75"/>
      <c r="G63" s="75"/>
      <c r="H63" s="76">
        <f>H64+H65+H67+H68</f>
        <v>1630000</v>
      </c>
      <c r="I63" s="30"/>
      <c r="J63" s="30"/>
      <c r="K63" s="30"/>
      <c r="L63" s="30"/>
    </row>
    <row r="64" ht="38.25" customHeight="1">
      <c r="A64" s="34"/>
      <c r="B64" s="44" t="s">
        <v>89</v>
      </c>
      <c r="C64" s="71"/>
      <c r="D64" s="61">
        <v>1.0</v>
      </c>
      <c r="E64" s="61" t="s">
        <v>77</v>
      </c>
      <c r="F64" s="61" t="s">
        <v>78</v>
      </c>
      <c r="G64" s="72">
        <v>300000.0</v>
      </c>
      <c r="H64" s="62">
        <f t="shared" ref="H64:H65" si="5">D64*G64</f>
        <v>300000</v>
      </c>
      <c r="I64" s="30"/>
      <c r="J64" s="30"/>
      <c r="K64" s="30"/>
      <c r="L64" s="30"/>
    </row>
    <row r="65" ht="38.25" customHeight="1">
      <c r="A65" s="34"/>
      <c r="B65" s="44" t="s">
        <v>90</v>
      </c>
      <c r="C65" s="9"/>
      <c r="D65" s="61">
        <v>1.0</v>
      </c>
      <c r="E65" s="61" t="s">
        <v>77</v>
      </c>
      <c r="F65" s="61" t="s">
        <v>78</v>
      </c>
      <c r="G65" s="72">
        <v>530000.0</v>
      </c>
      <c r="H65" s="62">
        <f t="shared" si="5"/>
        <v>530000</v>
      </c>
      <c r="I65" s="30"/>
      <c r="J65" s="30"/>
      <c r="K65" s="30"/>
      <c r="L65" s="30"/>
    </row>
    <row r="66" ht="16.5" customHeight="1">
      <c r="A66" s="34"/>
      <c r="B66" s="44"/>
      <c r="C66" s="9"/>
      <c r="D66" s="61"/>
      <c r="E66" s="61"/>
      <c r="F66" s="61"/>
      <c r="G66" s="72"/>
      <c r="H66" s="62"/>
      <c r="I66" s="30"/>
      <c r="J66" s="30"/>
      <c r="K66" s="30"/>
      <c r="L66" s="30"/>
    </row>
    <row r="67" ht="49.5" customHeight="1">
      <c r="A67" s="34"/>
      <c r="B67" s="44" t="s">
        <v>91</v>
      </c>
      <c r="C67" s="71"/>
      <c r="D67" s="61">
        <v>2.0</v>
      </c>
      <c r="E67" s="61" t="s">
        <v>77</v>
      </c>
      <c r="F67" s="61" t="s">
        <v>78</v>
      </c>
      <c r="G67" s="72">
        <v>185000.0</v>
      </c>
      <c r="H67" s="62">
        <f t="shared" ref="H67:H68" si="6">D67*G67</f>
        <v>370000</v>
      </c>
      <c r="I67" s="30"/>
      <c r="J67" s="30"/>
      <c r="K67" s="30"/>
      <c r="L67" s="30"/>
    </row>
    <row r="68" ht="44.25" customHeight="1">
      <c r="A68" s="34"/>
      <c r="B68" s="44" t="s">
        <v>92</v>
      </c>
      <c r="C68" s="9"/>
      <c r="D68" s="61">
        <v>1.0</v>
      </c>
      <c r="E68" s="61" t="s">
        <v>93</v>
      </c>
      <c r="F68" s="61" t="s">
        <v>78</v>
      </c>
      <c r="G68" s="72">
        <v>430000.0</v>
      </c>
      <c r="H68" s="62">
        <f t="shared" si="6"/>
        <v>430000</v>
      </c>
      <c r="I68" s="30"/>
      <c r="J68" s="30"/>
      <c r="K68" s="30"/>
      <c r="L68" s="30"/>
    </row>
    <row r="69" ht="36.75" customHeight="1">
      <c r="A69" s="77" t="s">
        <v>94</v>
      </c>
      <c r="B69" s="78" t="s">
        <v>95</v>
      </c>
      <c r="C69" s="9"/>
      <c r="D69" s="79"/>
      <c r="E69" s="8"/>
      <c r="F69" s="8"/>
      <c r="G69" s="9"/>
      <c r="H69" s="38">
        <f>H71</f>
        <v>7200000</v>
      </c>
      <c r="I69" s="30"/>
      <c r="J69" s="30"/>
      <c r="K69" s="30"/>
      <c r="L69" s="30"/>
    </row>
    <row r="70" ht="24.75" customHeight="1">
      <c r="A70" s="80"/>
      <c r="B70" s="69"/>
      <c r="C70" s="9"/>
      <c r="D70" s="81"/>
      <c r="E70" s="81"/>
      <c r="F70" s="81"/>
      <c r="G70" s="81"/>
      <c r="H70" s="42"/>
      <c r="I70" s="30"/>
      <c r="J70" s="30"/>
      <c r="K70" s="30"/>
      <c r="L70" s="30"/>
    </row>
    <row r="71" ht="46.5" customHeight="1">
      <c r="A71" s="80"/>
      <c r="B71" s="44" t="s">
        <v>96</v>
      </c>
      <c r="C71" s="9"/>
      <c r="D71" s="61">
        <v>8.0</v>
      </c>
      <c r="E71" s="61" t="s">
        <v>97</v>
      </c>
      <c r="F71" s="61" t="s">
        <v>98</v>
      </c>
      <c r="G71" s="82">
        <v>900000.0</v>
      </c>
      <c r="H71" s="47">
        <f>D71*G71</f>
        <v>7200000</v>
      </c>
      <c r="I71" s="30"/>
      <c r="J71" s="30"/>
      <c r="K71" s="30"/>
      <c r="L71" s="30"/>
    </row>
    <row r="72" ht="14.25" customHeight="1">
      <c r="A72" s="83" t="s">
        <v>99</v>
      </c>
      <c r="B72" s="84"/>
      <c r="C72" s="84"/>
      <c r="D72" s="84"/>
      <c r="E72" s="84"/>
      <c r="F72" s="84"/>
      <c r="G72" s="85"/>
      <c r="H72" s="86">
        <f>H34+H40+H44+H50+H69</f>
        <v>43383150</v>
      </c>
      <c r="I72" s="30"/>
      <c r="J72" s="87"/>
      <c r="K72" s="87"/>
      <c r="L72" s="30"/>
    </row>
    <row r="73" ht="15.75" customHeight="1">
      <c r="A73" s="88" t="s">
        <v>100</v>
      </c>
      <c r="B73" s="89"/>
      <c r="C73" s="89"/>
      <c r="D73" s="90"/>
      <c r="E73" s="91"/>
      <c r="F73" s="92"/>
      <c r="G73" s="92"/>
      <c r="H73" s="93"/>
    </row>
    <row r="74" ht="15.75" customHeight="1">
      <c r="A74" s="94"/>
      <c r="B74" s="95"/>
      <c r="C74" s="9"/>
      <c r="D74" s="96"/>
      <c r="E74" s="97"/>
      <c r="F74" s="97"/>
      <c r="G74" s="98">
        <f>D74*F74</f>
        <v>0</v>
      </c>
    </row>
    <row r="75" ht="15.75" customHeight="1">
      <c r="A75" s="99" t="s">
        <v>101</v>
      </c>
      <c r="B75" s="100"/>
      <c r="C75" s="101" t="s">
        <v>102</v>
      </c>
      <c r="G75" s="102"/>
    </row>
    <row r="76" ht="15.75" customHeight="1">
      <c r="A76" s="99" t="s">
        <v>103</v>
      </c>
      <c r="B76" s="100"/>
      <c r="C76" s="101" t="s">
        <v>104</v>
      </c>
      <c r="G76" s="102"/>
    </row>
    <row r="77" ht="15.75" customHeight="1">
      <c r="A77" s="99" t="s">
        <v>105</v>
      </c>
      <c r="B77" s="100"/>
      <c r="C77" s="103"/>
      <c r="G77" s="104"/>
    </row>
    <row r="78" ht="15.75" customHeight="1">
      <c r="A78" s="99" t="s">
        <v>106</v>
      </c>
      <c r="B78" s="100"/>
      <c r="C78" s="103"/>
      <c r="G78" s="104"/>
    </row>
    <row r="79" ht="15.75" customHeight="1">
      <c r="A79" s="99" t="s">
        <v>107</v>
      </c>
      <c r="B79" s="100"/>
      <c r="C79" s="103"/>
      <c r="G79" s="104"/>
    </row>
    <row r="80" ht="15.75" customHeight="1">
      <c r="A80" s="99" t="s">
        <v>108</v>
      </c>
      <c r="B80" s="100"/>
      <c r="C80" s="103"/>
      <c r="G80" s="104"/>
    </row>
    <row r="81" ht="15.75" customHeight="1">
      <c r="A81" s="99" t="s">
        <v>109</v>
      </c>
      <c r="B81" s="100"/>
      <c r="C81" s="105"/>
      <c r="G81" s="102"/>
    </row>
    <row r="82" ht="15.75" customHeight="1">
      <c r="A82" s="99" t="s">
        <v>110</v>
      </c>
      <c r="B82" s="100"/>
      <c r="C82" s="101"/>
      <c r="G82" s="102"/>
    </row>
    <row r="83" ht="15.75" customHeight="1">
      <c r="A83" s="99" t="s">
        <v>111</v>
      </c>
      <c r="B83" s="100"/>
      <c r="C83" s="103"/>
      <c r="G83" s="104"/>
    </row>
    <row r="84" ht="15.75" customHeight="1">
      <c r="A84" s="99" t="s">
        <v>112</v>
      </c>
      <c r="B84" s="100"/>
      <c r="C84" s="103"/>
      <c r="G84" s="104"/>
    </row>
    <row r="85" ht="15.75" customHeight="1">
      <c r="A85" s="99" t="s">
        <v>113</v>
      </c>
      <c r="B85" s="100"/>
      <c r="C85" s="103"/>
      <c r="G85" s="104"/>
    </row>
    <row r="86" ht="15.75" customHeight="1">
      <c r="A86" s="99" t="s">
        <v>114</v>
      </c>
      <c r="B86" s="100"/>
      <c r="C86" s="103"/>
      <c r="G86" s="104"/>
    </row>
    <row r="87" ht="15.75" customHeight="1">
      <c r="A87" s="106" t="s">
        <v>43</v>
      </c>
      <c r="B87" s="107">
        <f>SUM(B75:B86)</f>
        <v>0</v>
      </c>
      <c r="C87" s="108"/>
      <c r="D87" s="109"/>
      <c r="E87" s="109"/>
      <c r="F87" s="109"/>
      <c r="G87" s="110"/>
    </row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2">
    <mergeCell ref="B71:C71"/>
    <mergeCell ref="B74:C74"/>
    <mergeCell ref="C75:G75"/>
    <mergeCell ref="C76:G76"/>
    <mergeCell ref="C81:G81"/>
    <mergeCell ref="C82:G82"/>
    <mergeCell ref="B67:C67"/>
    <mergeCell ref="B68:C68"/>
    <mergeCell ref="B69:C69"/>
    <mergeCell ref="D69:G69"/>
    <mergeCell ref="B70:C70"/>
    <mergeCell ref="A72:G72"/>
    <mergeCell ref="E73:H73"/>
    <mergeCell ref="A20:H20"/>
    <mergeCell ref="A21:B21"/>
    <mergeCell ref="C21:G21"/>
    <mergeCell ref="A22:B22"/>
    <mergeCell ref="C22:G22"/>
    <mergeCell ref="A23:B23"/>
    <mergeCell ref="C23:G23"/>
    <mergeCell ref="A24:B24"/>
    <mergeCell ref="C24:G24"/>
    <mergeCell ref="A25:B25"/>
    <mergeCell ref="C25:G25"/>
    <mergeCell ref="A26:H26"/>
    <mergeCell ref="B27:C27"/>
    <mergeCell ref="D27:G27"/>
    <mergeCell ref="B28:C28"/>
    <mergeCell ref="D28:E28"/>
    <mergeCell ref="B29:C29"/>
    <mergeCell ref="B30:C30"/>
    <mergeCell ref="B31:C31"/>
    <mergeCell ref="B32:C32"/>
    <mergeCell ref="D33:G33"/>
    <mergeCell ref="B33:C33"/>
    <mergeCell ref="B34:C34"/>
    <mergeCell ref="B36:C36"/>
    <mergeCell ref="B37:C37"/>
    <mergeCell ref="B38:C38"/>
    <mergeCell ref="B40:C40"/>
    <mergeCell ref="B41:C41"/>
    <mergeCell ref="B42:C42"/>
    <mergeCell ref="B43:C43"/>
    <mergeCell ref="B44:C44"/>
    <mergeCell ref="B45:C45"/>
    <mergeCell ref="B46:C46"/>
    <mergeCell ref="B49:C49"/>
    <mergeCell ref="B50:C50"/>
    <mergeCell ref="B51:C51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4:C64"/>
    <mergeCell ref="B65:C65"/>
    <mergeCell ref="B66:C6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2025-06-16T10:21:45Z</dcterms:created>
  <dc:creator>Nunik Dewi</dc:creator>
</cp:coreProperties>
</file>