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02.02.2.02.0007 (lansia)" sheetId="1" r:id="rId4"/>
  </sheets>
  <definedNames/>
  <calcPr/>
  <extLst>
    <ext uri="GoogleSheetsCustomDataVersion2">
      <go:sheetsCustomData xmlns:go="http://customooxmlschemas.google.com/" r:id="rId5" roundtripDataChecksum="Tc7VPsT/k34Wj6sbrhuvMggiQGj0UhhMxxPvS+2U8EQ="/>
    </ext>
  </extLst>
</workbook>
</file>

<file path=xl/sharedStrings.xml><?xml version="1.0" encoding="utf-8"?>
<sst xmlns="http://schemas.openxmlformats.org/spreadsheetml/2006/main" count="125" uniqueCount="111">
  <si>
    <t>RENCANA KERJA DAN ANGGARAN
SATUAN KERJA PERANGKAT DAERAH</t>
  </si>
  <si>
    <t>Formulir 
RKA-RINCIAN BELANJA
SKPD</t>
  </si>
  <si>
    <t>Pemerintah Kabupaten Bogor Tahun Anggaran 2027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</si>
  <si>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</si>
  <si>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</si>
  <si>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</si>
  <si>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</si>
  <si>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</si>
  <si>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Program</t>
  </si>
  <si>
    <t>:  1.02.02 PROGRAM PEMENUHAN UPAYA KESEHATAN PERORANGAN DAN UPAYA KESEHATAN MASYARAKAT</t>
  </si>
  <si>
    <t>Kegiatan</t>
  </si>
  <si>
    <t>:  1.02.02.2.02 Penyediaan Layanan Kesehatan untuk UKM dan UKP Rujukan Tingkat Daerah Kabupaten/Kota</t>
  </si>
  <si>
    <t>Sub Kegiatan</t>
  </si>
  <si>
    <t>:  1.02.02.2.02.0007 Pengelolaan Pelayanan Kesehatan pada Usia Lanjut</t>
  </si>
  <si>
    <t>Sumber Pendanaan</t>
  </si>
  <si>
    <t>:  PENDAPATAN ASLI DAERAH (PAD)</t>
  </si>
  <si>
    <t>Lokasi Kegiatan</t>
  </si>
  <si>
    <t>:  Kab. Bogor, Semua Kecamatan, Semua Kel/Desa</t>
  </si>
  <si>
    <t>Waktu Pelaksanaan</t>
  </si>
  <si>
    <t>: Januari s.d. Desember</t>
  </si>
  <si>
    <t>Kelompok Sasaran</t>
  </si>
  <si>
    <t>: DINAS KESEHATAN Kab. Bogor</t>
  </si>
  <si>
    <t>Jumlah 2026</t>
  </si>
  <si>
    <t>Jumlah 2027</t>
  </si>
  <si>
    <t>Jumlah 2028</t>
  </si>
  <si>
    <t>:</t>
  </si>
  <si>
    <t>Indikator dan Tolok Ukur Kinerja Belanja</t>
  </si>
  <si>
    <t>Indikator</t>
  </si>
  <si>
    <t>Tolak Ukur Kinerja</t>
  </si>
  <si>
    <t>Target Kinerja</t>
  </si>
  <si>
    <t>Capaian Program</t>
  </si>
  <si>
    <t>Persentase Usia lanjut yang mendapatkan pelayanan kesehatan sesuai standar</t>
  </si>
  <si>
    <t>Masukan</t>
  </si>
  <si>
    <t>Dana yang dibutuhkan</t>
  </si>
  <si>
    <t>Keluaran</t>
  </si>
  <si>
    <t>Jumlah  Usia lanjut yang mendapatkan pelayanan kesehatan sesuai standar</t>
  </si>
  <si>
    <t>Orang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</si>
  <si>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</si>
  <si>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</si>
  <si>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</si>
  <si>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</si>
  <si>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</si>
  <si>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</si>
  <si>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</si>
  <si>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</si>
  <si>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(Rp)</t>
  </si>
  <si>
    <t>5.1.02.01.001.00025</t>
  </si>
  <si>
    <t>Belanja Alat/Bahan untuk Kegiatan Kantor- Kertas dan Cover</t>
  </si>
  <si>
    <t xml:space="preserve"> Kertas HVS A4 80 gram</t>
  </si>
  <si>
    <t>rim</t>
  </si>
  <si>
    <t xml:space="preserve"> Kertas HVS F4 80 gram</t>
  </si>
  <si>
    <t>5.1.02.01.001.00026</t>
  </si>
  <si>
    <t>Belanja Alat/Bahan untuk Kegiatan Kantor- Bahan Cetak</t>
  </si>
  <si>
    <t>Cetak buku</t>
  </si>
  <si>
    <t>Cetak Buku Pedoman</t>
  </si>
  <si>
    <t>Buku</t>
  </si>
  <si>
    <t xml:space="preserve"> Spanduk</t>
  </si>
  <si>
    <t>Spanduk Spesifikasi  ; Fleksy jerman</t>
  </si>
  <si>
    <t>Meter</t>
  </si>
  <si>
    <t>5.1.02.01.001.00052</t>
  </si>
  <si>
    <t>Belanja Makanan dan Minuman Rapat</t>
  </si>
  <si>
    <t>Peringatan Hari Lanjut Usia Nasional ( HLUN)</t>
  </si>
  <si>
    <t>Makanan dan Minuman Rapat (makan)</t>
  </si>
  <si>
    <t>Orang/kali</t>
  </si>
  <si>
    <t>Makanan dan Minuman Rapat (snack)</t>
  </si>
  <si>
    <t>Raker Perencanaan program lansia</t>
  </si>
  <si>
    <t>Makanan dan Minuman Rapat ( Snack)</t>
  </si>
  <si>
    <t>5.1.02.01.001.00003</t>
  </si>
  <si>
    <t>Honorarium Narasumber atau Pembahas, Moderator, Pembawa Acara, dan Panitia</t>
  </si>
  <si>
    <t>Peringatan Hari Lanjut usia nasional (HLUN)</t>
  </si>
  <si>
    <t>Instruktur Senam Tingkat Lokal</t>
  </si>
  <si>
    <t>Orang/kegiatan</t>
  </si>
  <si>
    <t>5.1.02.04.001.00001</t>
  </si>
  <si>
    <t>Belanja Perjalanan Dinas Biasa</t>
  </si>
  <si>
    <t>Transport perjalanan dinas biasa</t>
  </si>
  <si>
    <t>Biaya Transportasi Perjalanan Dinas Dalam Negeri</t>
  </si>
  <si>
    <t>uang harian perjalanan  dinas biasa</t>
  </si>
  <si>
    <t>orang /kali</t>
  </si>
  <si>
    <t>Uang Harian Perjalanan Dinas Dalam Negeri Spesifikasi : ke Jawa Barat (luar kota)</t>
  </si>
  <si>
    <t>5.1.02.04.001.00003</t>
  </si>
  <si>
    <t>Belanja Perjalanan Dinas Dalam Kota</t>
  </si>
  <si>
    <t>Perjadin dalam kota</t>
  </si>
  <si>
    <t>Supervisi fasilitatif Pelayanan kesehatan lansia</t>
  </si>
  <si>
    <t>Uang Harian Perjalanan Dinas Dalam Daerah</t>
  </si>
  <si>
    <t xml:space="preserve"> Spesifikasi : Perjalanan Dinas Dalam Daerah lebih dari 8 jam</t>
  </si>
  <si>
    <t>orang/kali</t>
  </si>
  <si>
    <t xml:space="preserve">Biaya transport perjalanan dinas antar kecamatan untuk Mobil &lt; 2000cc          </t>
  </si>
  <si>
    <t>Biaya transport perjalanan dinas antar kecamatan untuk Mobil &lt;2000cc                                                                                 Spesifikasi : dari Kecamatan Cibinong ke Kecamatan Jonggol</t>
  </si>
  <si>
    <t>Org/kali</t>
  </si>
  <si>
    <t>Biaya transport perjalanan dinas antar kecamatan untuk Mobil &lt;2000cc                                                                                 Spesifikasi : dari Kecamatan Cibinong ke Kecamatan  Parung</t>
  </si>
  <si>
    <t>Biaya transport perjalanan dinas antar kecamatan untuk Mobil &lt;2000cc                                                                                 Spesifikasi : dari Kecamatan Cibinong ke Kecamatan Sukaraja</t>
  </si>
  <si>
    <t>Biaya transport perjalanan dinas antar kecamatan untuk Mobil &lt;2000cc                                                                                 Spesifikasi : dari Kecamatan Cibinong ke Kecamatan Tamansari</t>
  </si>
  <si>
    <t>Biaya transport perjalanan dinas antar kecamatan untuk Mobil &lt;2000cc                                                                                 Spesifikasi : dari Kecamatan Cibinong ke Kecamatan Ciawi</t>
  </si>
  <si>
    <t>Biaya transport perjalanan dinas antar kecamatan untuk Mobil &lt;2000cc                                                                                 Spesifikasi : dari Kecamatan Cibinong ke Kecamatan Tenjolaya</t>
  </si>
  <si>
    <t>Biaya transport perjalanan dinas antar kecamatan untuk Mobil &lt;2000cc                                                                                 Spesifikasi : dari Kecamatan Cibinong ke Kecamatan Parung</t>
  </si>
  <si>
    <t>Jumlah Anggaran Sub Kegiatan</t>
  </si>
  <si>
    <t>-</t>
  </si>
  <si>
    <t>Januari</t>
  </si>
  <si>
    <t>Kabupaten Bogor, 2026</t>
  </si>
  <si>
    <t>Februari</t>
  </si>
  <si>
    <t>Kepala ...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</si>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</sst>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p&quot;* #,##0.00_-;\-&quot;Rp&quot;* #,##0.00_-;_-&quot;Rp&quot;* &quot;-&quot;??_-;_-@"/>
    <numFmt numFmtId="165" formatCode="_(* #,##0_);_(* \(#,##0\);_(* &quot;-&quot;??_);_(@_)"/>
    <numFmt numFmtId="166" formatCode="_-* #,##0.00_-;\-* #,##0.00_-;_-* &quot;-&quot;??_-;_-@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Arial"/>
    </font>
    <font>
      <b/>
      <sz val="9.0"/>
      <color theme="1"/>
      <name val="Arial"/>
    </font>
    <font>
      <sz val="11.0"/>
      <color theme="0"/>
      <name val="Calibri"/>
    </font>
    <font>
      <sz val="8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6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CCCCCC"/>
      </right>
      <top style="double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double">
        <color rgb="FF000000"/>
      </top>
      <bottom style="medium">
        <color rgb="FF000000"/>
      </bottom>
    </border>
    <border>
      <left style="medium">
        <color rgb="FFCCCCCC"/>
      </left>
      <right style="double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000000"/>
      </top>
      <bottom style="medium">
        <color rgb="FFCCCCCC"/>
      </bottom>
    </border>
    <border>
      <top style="medium">
        <color rgb="FF000000"/>
      </top>
      <bottom style="medium">
        <color rgb="FFCCCCCC"/>
      </bottom>
    </border>
    <border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4" fillId="2" fontId="3" numFmtId="0" xfId="0" applyBorder="1" applyFill="1" applyFont="1"/>
    <xf borderId="5" fillId="2" fontId="3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3" numFmtId="2" xfId="0" applyFont="1" applyNumberFormat="1"/>
    <xf borderId="0" fillId="0" fontId="4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left"/>
    </xf>
    <xf borderId="8" fillId="0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2" fillId="0" fontId="3" numFmtId="9" xfId="0" applyAlignment="1" applyBorder="1" applyFont="1" applyNumberFormat="1">
      <alignment horizontal="right"/>
    </xf>
    <xf borderId="2" fillId="0" fontId="3" numFmtId="164" xfId="0" applyAlignment="1" applyBorder="1" applyFont="1" applyNumberFormat="1">
      <alignment horizontal="left" readingOrder="0"/>
    </xf>
    <xf borderId="12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left" vertical="center"/>
    </xf>
    <xf borderId="13" fillId="0" fontId="3" numFmtId="0" xfId="0" applyAlignment="1" applyBorder="1" applyFont="1">
      <alignment horizontal="right"/>
    </xf>
    <xf borderId="14" fillId="0" fontId="2" numFmtId="0" xfId="0" applyBorder="1" applyFont="1"/>
    <xf borderId="15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left"/>
    </xf>
    <xf borderId="16" fillId="0" fontId="3" numFmtId="9" xfId="0" applyAlignment="1" applyBorder="1" applyFont="1" applyNumberFormat="1">
      <alignment horizontal="right"/>
    </xf>
    <xf borderId="17" fillId="0" fontId="2" numFmtId="0" xfId="0" applyBorder="1" applyFont="1"/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1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1" numFmtId="165" xfId="0" applyAlignment="1" applyBorder="1" applyFont="1" applyNumberForma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1" numFmtId="0" xfId="0" applyAlignment="1" applyBorder="1" applyFont="1">
      <alignment horizontal="center" vertical="center"/>
    </xf>
    <xf borderId="28" fillId="0" fontId="1" numFmtId="165" xfId="0" applyAlignment="1" applyBorder="1" applyFont="1" applyNumberFormat="1">
      <alignment horizontal="center" vertical="center"/>
    </xf>
    <xf borderId="29" fillId="2" fontId="3" numFmtId="0" xfId="0" applyBorder="1" applyFont="1"/>
    <xf borderId="30" fillId="2" fontId="3" numFmtId="0" xfId="0" applyBorder="1" applyFont="1"/>
    <xf borderId="31" fillId="2" fontId="3" numFmtId="0" xfId="0" applyBorder="1" applyFont="1"/>
    <xf borderId="32" fillId="2" fontId="1" numFmtId="0" xfId="0" applyAlignment="1" applyBorder="1" applyFont="1">
      <alignment horizontal="center" vertical="center"/>
    </xf>
    <xf borderId="33" fillId="2" fontId="1" numFmtId="0" xfId="0" applyAlignment="1" applyBorder="1" applyFont="1">
      <alignment horizontal="center" vertical="center"/>
    </xf>
    <xf borderId="28" fillId="2" fontId="1" numFmtId="164" xfId="0" applyAlignment="1" applyBorder="1" applyFont="1" applyNumberForma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13" fillId="0" fontId="3" numFmtId="0" xfId="0" applyBorder="1" applyFont="1"/>
    <xf borderId="2" fillId="0" fontId="3" numFmtId="0" xfId="0" applyAlignment="1" applyBorder="1" applyFon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28" fillId="0" fontId="1" numFmtId="164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2" fontId="6" numFmtId="0" xfId="0" applyBorder="1" applyFont="1"/>
    <xf borderId="32" fillId="2" fontId="3" numFmtId="0" xfId="0" applyAlignment="1" applyBorder="1" applyFont="1">
      <alignment horizontal="center" vertical="center"/>
    </xf>
    <xf borderId="33" fillId="2" fontId="3" numFmtId="0" xfId="0" applyAlignment="1" applyBorder="1" applyFont="1">
      <alignment horizontal="center" vertical="center"/>
    </xf>
    <xf borderId="34" fillId="2" fontId="1" numFmtId="164" xfId="0" applyAlignment="1" applyBorder="1" applyFont="1" applyNumberFormat="1">
      <alignment horizontal="center" vertical="center"/>
    </xf>
    <xf borderId="27" fillId="0" fontId="3" numFmtId="0" xfId="0" applyBorder="1" applyFont="1"/>
    <xf borderId="35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29" fillId="2" fontId="1" numFmtId="0" xfId="0" applyBorder="1" applyFont="1"/>
    <xf borderId="1" fillId="2" fontId="1" numFmtId="0" xfId="0" applyAlignment="1" applyBorder="1" applyFont="1">
      <alignment horizontal="left"/>
    </xf>
    <xf borderId="36" fillId="0" fontId="2" numFmtId="0" xfId="0" applyBorder="1" applyFont="1"/>
    <xf borderId="37" fillId="0" fontId="1" numFmtId="0" xfId="0" applyAlignment="1" applyBorder="1" applyFont="1">
      <alignment vertical="top"/>
    </xf>
    <xf borderId="38" fillId="0" fontId="1" numFmtId="0" xfId="0" applyAlignment="1" applyBorder="1" applyFont="1">
      <alignment horizontal="left" vertical="center"/>
    </xf>
    <xf borderId="39" fillId="0" fontId="2" numFmtId="0" xfId="0" applyBorder="1" applyFont="1"/>
    <xf borderId="40" fillId="0" fontId="2" numFmtId="0" xfId="0" applyBorder="1" applyFont="1"/>
    <xf borderId="28" fillId="3" fontId="1" numFmtId="164" xfId="0" applyAlignment="1" applyBorder="1" applyFill="1" applyFont="1" applyNumberFormat="1">
      <alignment horizontal="center" vertical="center"/>
    </xf>
    <xf borderId="41" fillId="0" fontId="1" numFmtId="0" xfId="0" applyAlignment="1" applyBorder="1" applyFont="1">
      <alignment vertical="top"/>
    </xf>
    <xf borderId="27" fillId="0" fontId="3" numFmtId="0" xfId="0" applyAlignment="1" applyBorder="1" applyFont="1">
      <alignment horizontal="left" vertical="center"/>
    </xf>
    <xf borderId="27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7" fillId="0" fontId="3" numFmtId="164" xfId="0" applyAlignment="1" applyBorder="1" applyFont="1" applyNumberFormat="1">
      <alignment vertical="center"/>
    </xf>
    <xf borderId="42" fillId="0" fontId="3" numFmtId="164" xfId="0" applyAlignment="1" applyBorder="1" applyFont="1" applyNumberFormat="1">
      <alignment horizontal="center" vertical="center"/>
    </xf>
    <xf borderId="43" fillId="0" fontId="1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44" fillId="0" fontId="3" numFmtId="164" xfId="0" applyAlignment="1" applyBorder="1" applyFont="1" applyNumberFormat="1">
      <alignment vertical="center"/>
    </xf>
    <xf borderId="45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vertical="center"/>
    </xf>
    <xf borderId="27" fillId="0" fontId="3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3" numFmtId="164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2" fillId="0" fontId="3" numFmtId="0" xfId="0" applyBorder="1" applyFont="1"/>
    <xf borderId="26" fillId="0" fontId="3" numFmtId="0" xfId="0" applyBorder="1" applyFont="1"/>
    <xf borderId="25" fillId="0" fontId="3" numFmtId="165" xfId="0" applyAlignment="1" applyBorder="1" applyFont="1" applyNumberForma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27" fillId="0" fontId="3" numFmtId="0" xfId="0" applyAlignment="1" applyBorder="1" applyFont="1">
      <alignment horizontal="center"/>
    </xf>
    <xf borderId="43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center"/>
    </xf>
    <xf borderId="28" fillId="0" fontId="3" numFmtId="164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horizontal="left" vertical="center"/>
    </xf>
    <xf borderId="26" fillId="0" fontId="3" numFmtId="164" xfId="0" applyBorder="1" applyFont="1" applyNumberFormat="1"/>
    <xf borderId="3" fillId="0" fontId="3" numFmtId="164" xfId="0" applyBorder="1" applyFont="1" applyNumberFormat="1"/>
    <xf borderId="29" fillId="2" fontId="1" numFmtId="0" xfId="0" applyAlignment="1" applyBorder="1" applyFont="1">
      <alignment vertical="center"/>
    </xf>
    <xf borderId="46" fillId="2" fontId="1" numFmtId="0" xfId="0" applyAlignment="1" applyBorder="1" applyFont="1">
      <alignment horizontal="left" vertical="center"/>
    </xf>
    <xf borderId="32" fillId="2" fontId="3" numFmtId="0" xfId="0" applyBorder="1" applyFont="1"/>
    <xf borderId="33" fillId="2" fontId="3" numFmtId="164" xfId="0" applyBorder="1" applyFont="1" applyNumberFormat="1"/>
    <xf borderId="40" fillId="0" fontId="3" numFmtId="164" xfId="0" applyBorder="1" applyFont="1" applyNumberFormat="1"/>
    <xf borderId="27" fillId="0" fontId="1" numFmtId="0" xfId="0" applyAlignment="1" applyBorder="1" applyFont="1">
      <alignment horizontal="left" vertical="center"/>
    </xf>
    <xf borderId="47" fillId="3" fontId="3" numFmtId="164" xfId="0" applyAlignment="1" applyBorder="1" applyFont="1" applyNumberFormat="1">
      <alignment horizontal="center" vertical="center"/>
    </xf>
    <xf borderId="37" fillId="2" fontId="1" numFmtId="0" xfId="0" applyAlignment="1" applyBorder="1" applyFont="1">
      <alignment vertical="center"/>
    </xf>
    <xf borderId="32" fillId="2" fontId="3" numFmtId="0" xfId="0" applyAlignment="1" applyBorder="1" applyFont="1">
      <alignment vertical="center"/>
    </xf>
    <xf borderId="33" fillId="2" fontId="3" numFmtId="164" xfId="0" applyAlignment="1" applyBorder="1" applyFont="1" applyNumberFormat="1">
      <alignment vertical="center"/>
    </xf>
    <xf borderId="44" fillId="0" fontId="3" numFmtId="164" xfId="0" applyAlignment="1" applyBorder="1" applyFont="1" applyNumberFormat="1">
      <alignment horizontal="center" vertical="center"/>
    </xf>
    <xf borderId="28" fillId="0" fontId="3" numFmtId="165" xfId="0" applyAlignment="1" applyBorder="1" applyFont="1" applyNumberFormat="1">
      <alignment horizontal="center" vertical="center"/>
    </xf>
    <xf borderId="38" fillId="0" fontId="3" numFmtId="0" xfId="0" applyAlignment="1" applyBorder="1" applyFont="1">
      <alignment horizontal="left" vertical="center"/>
    </xf>
    <xf borderId="27" fillId="0" fontId="3" numFmtId="164" xfId="0" applyBorder="1" applyFont="1" applyNumberFormat="1"/>
    <xf borderId="42" fillId="0" fontId="1" numFmtId="164" xfId="0" applyAlignment="1" applyBorder="1" applyFont="1" applyNumberFormat="1">
      <alignment horizontal="center" vertical="center"/>
    </xf>
    <xf borderId="44" fillId="0" fontId="3" numFmtId="164" xfId="0" applyBorder="1" applyFont="1" applyNumberFormat="1"/>
    <xf borderId="1" fillId="0" fontId="3" numFmtId="0" xfId="0" applyAlignment="1" applyBorder="1" applyFont="1">
      <alignment horizontal="left" shrinkToFit="0" vertical="center" wrapText="1"/>
    </xf>
    <xf borderId="0" fillId="0" fontId="1" numFmtId="0" xfId="0" applyFont="1"/>
    <xf borderId="48" fillId="0" fontId="3" numFmtId="0" xfId="0" applyAlignment="1" applyBorder="1" applyFont="1">
      <alignment vertical="top"/>
    </xf>
    <xf borderId="43" fillId="0" fontId="3" numFmtId="0" xfId="0" applyAlignment="1" applyBorder="1" applyFont="1">
      <alignment horizontal="left" shrinkToFit="0" vertical="top" wrapText="1"/>
    </xf>
    <xf borderId="44" fillId="0" fontId="2" numFmtId="0" xfId="0" applyBorder="1" applyFont="1"/>
    <xf borderId="49" fillId="0" fontId="3" numFmtId="0" xfId="0" applyAlignment="1" applyBorder="1" applyFont="1">
      <alignment horizontal="center" vertical="top"/>
    </xf>
    <xf borderId="49" fillId="0" fontId="3" numFmtId="0" xfId="0" applyAlignment="1" applyBorder="1" applyFont="1">
      <alignment vertical="top"/>
    </xf>
    <xf borderId="45" fillId="0" fontId="3" numFmtId="165" xfId="0" applyAlignment="1" applyBorder="1" applyFont="1" applyNumberFormat="1">
      <alignment vertical="top"/>
    </xf>
    <xf borderId="1" fillId="0" fontId="1" numFmtId="0" xfId="0" applyAlignment="1" applyBorder="1" applyFont="1">
      <alignment horizontal="right" vertical="top"/>
    </xf>
    <xf borderId="27" fillId="0" fontId="1" numFmtId="164" xfId="0" applyAlignment="1" applyBorder="1" applyFont="1" applyNumberFormat="1">
      <alignment horizontal="right" vertical="top"/>
    </xf>
    <xf borderId="0" fillId="0" fontId="7" numFmtId="164" xfId="0" applyAlignment="1" applyFont="1" applyNumberFormat="1">
      <alignment horizontal="right"/>
    </xf>
    <xf borderId="0" fillId="0" fontId="3" numFmtId="165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vertical="center"/>
    </xf>
    <xf borderId="0" fillId="0" fontId="3" numFmtId="165" xfId="0" applyAlignment="1" applyFont="1" applyNumberFormat="1">
      <alignment vertical="top"/>
    </xf>
    <xf borderId="0" fillId="0" fontId="3" numFmtId="166" xfId="0" applyFont="1" applyNumberFormat="1"/>
    <xf borderId="0" fillId="0" fontId="7" numFmtId="164" xfId="0" applyFont="1" applyNumberFormat="1"/>
    <xf borderId="0" fillId="0" fontId="7" numFmtId="0" xfId="0" applyFont="1"/>
    <xf borderId="50" fillId="0" fontId="8" numFmtId="0" xfId="0" applyAlignment="1" applyBorder="1" applyFont="1">
      <alignment shrinkToFit="0" vertical="center" wrapText="1"/>
    </xf>
    <xf borderId="51" fillId="0" fontId="3" numFmtId="0" xfId="0" applyAlignment="1" applyBorder="1" applyFont="1">
      <alignment shrinkToFit="0" vertical="center" wrapText="1"/>
    </xf>
    <xf borderId="52" fillId="0" fontId="3" numFmtId="0" xfId="0" applyAlignment="1" applyBorder="1" applyFont="1">
      <alignment shrinkToFit="0" vertical="center" wrapText="1"/>
    </xf>
    <xf borderId="53" fillId="0" fontId="3" numFmtId="0" xfId="0" applyAlignment="1" applyBorder="1" applyFont="1">
      <alignment shrinkToFit="0" vertical="center" wrapText="1"/>
    </xf>
    <xf borderId="54" fillId="0" fontId="2" numFmtId="0" xfId="0" applyBorder="1" applyFont="1"/>
    <xf borderId="55" fillId="0" fontId="2" numFmtId="0" xfId="0" applyBorder="1" applyFont="1"/>
    <xf borderId="56" fillId="0" fontId="3" numFmtId="0" xfId="0" applyAlignment="1" applyBorder="1" applyFont="1">
      <alignment shrinkToFit="0" vertical="top" wrapText="1"/>
    </xf>
    <xf borderId="57" fillId="0" fontId="3" numFmtId="0" xfId="0" applyAlignment="1" applyBorder="1" applyFont="1">
      <alignment shrinkToFit="0" vertical="top" wrapText="1"/>
    </xf>
    <xf borderId="58" fillId="0" fontId="2" numFmtId="0" xfId="0" applyBorder="1" applyFont="1"/>
    <xf borderId="59" fillId="0" fontId="3" numFmtId="0" xfId="0" applyAlignment="1" applyBorder="1" applyFont="1">
      <alignment shrinkToFit="0" vertical="center" wrapText="1"/>
    </xf>
    <xf borderId="59" fillId="0" fontId="3" numFmtId="0" xfId="0" applyAlignment="1" applyBorder="1" applyFont="1">
      <alignment shrinkToFit="0" vertical="top" wrapText="1"/>
    </xf>
    <xf borderId="59" fillId="0" fontId="3" numFmtId="0" xfId="0" applyAlignment="1" applyBorder="1" applyFont="1">
      <alignment horizontal="right" shrinkToFit="0" vertical="top" wrapText="1"/>
    </xf>
    <xf borderId="60" fillId="0" fontId="3" numFmtId="0" xfId="0" applyAlignment="1" applyBorder="1" applyFont="1">
      <alignment shrinkToFit="0" wrapText="1"/>
    </xf>
    <xf borderId="56" fillId="0" fontId="3" numFmtId="0" xfId="0" applyAlignment="1" applyBorder="1" applyFont="1">
      <alignment shrinkToFit="0" wrapText="1"/>
    </xf>
    <xf borderId="59" fillId="0" fontId="3" numFmtId="0" xfId="0" applyAlignment="1" applyBorder="1" applyFont="1">
      <alignment shrinkToFit="0" wrapText="1"/>
    </xf>
    <xf borderId="61" fillId="0" fontId="3" numFmtId="0" xfId="0" applyAlignment="1" applyBorder="1" applyFont="1">
      <alignment horizontal="center" shrinkToFit="0" wrapText="1"/>
    </xf>
    <xf borderId="62" fillId="0" fontId="2" numFmtId="0" xfId="0" applyBorder="1" applyFont="1"/>
    <xf borderId="63" fillId="0" fontId="2" numFmtId="0" xfId="0" applyBorder="1" applyFont="1"/>
    <xf borderId="64" fillId="0" fontId="3" numFmtId="0" xfId="0" applyAlignment="1" applyBorder="1" applyFont="1">
      <alignment horizontal="center" shrinkToFit="0" wrapText="1"/>
    </xf>
    <xf borderId="65" fillId="0" fontId="2" numFmtId="0" xfId="0" applyBorder="1" applyFont="1"/>
    <xf borderId="66" fillId="0" fontId="2" numFmtId="0" xfId="0" applyBorder="1" applyFont="1"/>
    <xf borderId="67" fillId="0" fontId="3" numFmtId="0" xfId="0" applyAlignment="1" applyBorder="1" applyFont="1">
      <alignment shrinkToFit="0" wrapText="1"/>
    </xf>
    <xf borderId="64" fillId="0" fontId="3" numFmtId="0" xfId="0" applyAlignment="1" applyBorder="1" applyFont="1">
      <alignment shrinkToFit="0" wrapText="1"/>
    </xf>
    <xf borderId="56" fillId="0" fontId="3" numFmtId="0" xfId="0" applyAlignment="1" applyBorder="1" applyFont="1">
      <alignment horizontal="center" shrinkToFit="0" wrapText="1"/>
    </xf>
    <xf borderId="59" fillId="0" fontId="3" numFmtId="0" xfId="0" applyAlignment="1" applyBorder="1" applyFont="1">
      <alignment horizontal="right" shrinkToFit="0" wrapText="1"/>
    </xf>
    <xf borderId="68" fillId="0" fontId="3" numFmtId="0" xfId="0" applyAlignment="1" applyBorder="1" applyFont="1">
      <alignment shrinkToFit="0" wrapText="1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8.86"/>
    <col customWidth="1" min="3" max="3" width="32.0"/>
    <col customWidth="1" min="4" max="4" width="13.86"/>
    <col customWidth="1" min="5" max="5" width="9.43"/>
    <col customWidth="1" min="6" max="6" width="15.29"/>
    <col customWidth="1" min="7" max="7" width="17.43"/>
    <col customWidth="1" min="8" max="8" width="17.14"/>
    <col customWidth="1" min="9" max="9" width="24.71"/>
    <col customWidth="1" min="10" max="10" width="13.57"/>
    <col customWidth="1" min="11" max="21" width="8.71"/>
  </cols>
  <sheetData>
    <row r="1" ht="44.25" customHeight="1">
      <c r="A1" s="1" t="s">
        <v>0</v>
      </c>
      <c r="B1" s="2"/>
      <c r="C1" s="2"/>
      <c r="D1" s="2"/>
      <c r="E1" s="3"/>
      <c r="F1" s="1" t="s">
        <v>1</v>
      </c>
      <c r="G1" s="3"/>
    </row>
    <row r="2" ht="22.5" customHeight="1">
      <c r="A2" s="4" t="s">
        <v>2</v>
      </c>
      <c r="B2" s="2"/>
      <c r="C2" s="2"/>
      <c r="D2" s="2"/>
      <c r="E2" s="3"/>
      <c r="F2" s="1"/>
      <c r="G2" s="3"/>
    </row>
    <row r="3">
      <c r="A3" s="5"/>
      <c r="B3" s="5"/>
      <c r="C3" s="5"/>
      <c r="D3" s="5"/>
      <c r="E3" s="5"/>
      <c r="F3" s="5"/>
      <c r="G3" s="5"/>
    </row>
    <row r="4" ht="30.0" customHeight="1">
      <c r="A4" s="6" t="s">
        <v>3</v>
      </c>
      <c r="B4" s="6" t="s">
        <v>4</v>
      </c>
    </row>
    <row r="5" ht="30.0" customHeight="1">
      <c r="A5" s="6" t="s">
        <v>5</v>
      </c>
      <c r="B5" s="6" t="s">
        <v>6</v>
      </c>
    </row>
    <row r="6" ht="30.0" customHeight="1">
      <c r="A6" s="6" t="s">
        <v>7</v>
      </c>
      <c r="B6" s="6"/>
    </row>
    <row r="7" ht="30.0" customHeight="1">
      <c r="A7" s="6" t="s">
        <v>8</v>
      </c>
      <c r="B7" s="6" t="s">
        <v>9</v>
      </c>
    </row>
    <row r="8" ht="30.0" customHeight="1">
      <c r="A8" s="6" t="s">
        <v>10</v>
      </c>
      <c r="B8" s="6" t="s">
        <v>11</v>
      </c>
    </row>
    <row r="9" ht="30.0" customHeight="1">
      <c r="A9" s="7" t="s">
        <v>12</v>
      </c>
      <c r="B9" s="8" t="s">
        <v>13</v>
      </c>
      <c r="C9" s="9"/>
      <c r="D9" s="9"/>
      <c r="E9" s="9"/>
      <c r="F9" s="9"/>
      <c r="G9" s="10"/>
      <c r="J9" s="11"/>
    </row>
    <row r="10" ht="30.0" customHeight="1">
      <c r="A10" s="6" t="s">
        <v>14</v>
      </c>
      <c r="B10" s="6" t="s">
        <v>15</v>
      </c>
    </row>
    <row r="11" ht="30.0" customHeight="1">
      <c r="A11" s="6" t="s">
        <v>16</v>
      </c>
      <c r="B11" s="6" t="s">
        <v>17</v>
      </c>
    </row>
    <row r="12" ht="30.0" customHeight="1">
      <c r="A12" s="6" t="s">
        <v>18</v>
      </c>
      <c r="B12" s="6" t="s">
        <v>19</v>
      </c>
    </row>
    <row r="13" ht="30.0" customHeight="1">
      <c r="A13" s="6" t="s">
        <v>20</v>
      </c>
      <c r="B13" s="6" t="s">
        <v>21</v>
      </c>
    </row>
    <row r="14" ht="30.0" customHeight="1">
      <c r="A14" s="12" t="s">
        <v>22</v>
      </c>
      <c r="B14" s="13">
        <v>5.01366E7</v>
      </c>
    </row>
    <row r="15" ht="30.0" customHeight="1">
      <c r="A15" s="12" t="s">
        <v>23</v>
      </c>
      <c r="B15" s="14">
        <v>9.800865E7</v>
      </c>
    </row>
    <row r="16" ht="30.0" customHeight="1">
      <c r="A16" s="12" t="s">
        <v>24</v>
      </c>
      <c r="B16" s="12" t="s">
        <v>25</v>
      </c>
    </row>
    <row r="17" ht="30.0" customHeight="1">
      <c r="C17" s="15"/>
      <c r="D17" s="15"/>
      <c r="E17" s="15"/>
      <c r="F17" s="15"/>
      <c r="G17" s="15"/>
    </row>
    <row r="18" ht="27.0" customHeight="1">
      <c r="A18" s="16" t="s">
        <v>26</v>
      </c>
      <c r="B18" s="17"/>
      <c r="C18" s="17"/>
      <c r="D18" s="17"/>
      <c r="E18" s="17"/>
      <c r="F18" s="17"/>
      <c r="G18" s="18"/>
    </row>
    <row r="19" ht="27.0" customHeight="1">
      <c r="A19" s="19" t="s">
        <v>27</v>
      </c>
      <c r="B19" s="4" t="s">
        <v>28</v>
      </c>
      <c r="C19" s="2"/>
      <c r="D19" s="2"/>
      <c r="E19" s="3"/>
      <c r="F19" s="20" t="s">
        <v>29</v>
      </c>
      <c r="G19" s="3"/>
    </row>
    <row r="20" ht="36.0" customHeight="1">
      <c r="A20" s="21" t="s">
        <v>30</v>
      </c>
      <c r="B20" s="22" t="s">
        <v>31</v>
      </c>
      <c r="C20" s="2"/>
      <c r="D20" s="2"/>
      <c r="E20" s="3"/>
      <c r="F20" s="23">
        <v>1.0</v>
      </c>
      <c r="G20" s="3"/>
    </row>
    <row r="21" ht="30.0" customHeight="1">
      <c r="A21" s="21" t="s">
        <v>32</v>
      </c>
      <c r="B21" s="22" t="s">
        <v>33</v>
      </c>
      <c r="C21" s="2"/>
      <c r="D21" s="2"/>
      <c r="E21" s="3"/>
      <c r="F21" s="24">
        <v>9.800865E7</v>
      </c>
      <c r="G21" s="3"/>
    </row>
    <row r="22" ht="30.0" customHeight="1">
      <c r="A22" s="25" t="s">
        <v>34</v>
      </c>
      <c r="B22" s="26" t="s">
        <v>35</v>
      </c>
      <c r="C22" s="2"/>
      <c r="D22" s="2"/>
      <c r="E22" s="3"/>
      <c r="F22" s="27" t="s">
        <v>36</v>
      </c>
      <c r="G22" s="28"/>
    </row>
    <row r="23" ht="30.0" customHeight="1">
      <c r="A23" s="29" t="s">
        <v>37</v>
      </c>
      <c r="B23" s="30"/>
      <c r="C23" s="2"/>
      <c r="D23" s="2"/>
      <c r="E23" s="3"/>
      <c r="F23" s="31"/>
      <c r="G23" s="32"/>
    </row>
    <row r="24" ht="6.0" customHeight="1">
      <c r="B24" s="15"/>
      <c r="C24" s="15"/>
      <c r="D24" s="15"/>
      <c r="E24" s="15"/>
      <c r="F24" s="15"/>
      <c r="G24" s="15"/>
    </row>
    <row r="25" ht="30.0" customHeight="1">
      <c r="A25" s="33" t="s">
        <v>38</v>
      </c>
      <c r="B25" s="34" t="s">
        <v>39</v>
      </c>
      <c r="C25" s="35"/>
      <c r="D25" s="36" t="s">
        <v>40</v>
      </c>
      <c r="E25" s="17"/>
      <c r="F25" s="37"/>
      <c r="G25" s="38" t="s">
        <v>41</v>
      </c>
    </row>
    <row r="26" ht="30.0" customHeight="1">
      <c r="A26" s="39"/>
      <c r="B26" s="40"/>
      <c r="C26" s="41"/>
      <c r="D26" s="42" t="s">
        <v>42</v>
      </c>
      <c r="E26" s="42" t="s">
        <v>43</v>
      </c>
      <c r="F26" s="42" t="s">
        <v>44</v>
      </c>
      <c r="G26" s="43" t="s">
        <v>45</v>
      </c>
    </row>
    <row r="27" ht="30.0" customHeight="1">
      <c r="A27" s="44" t="s">
        <v>46</v>
      </c>
      <c r="B27" s="45" t="s">
        <v>47</v>
      </c>
      <c r="C27" s="46"/>
      <c r="D27" s="47"/>
      <c r="E27" s="47"/>
      <c r="F27" s="48"/>
      <c r="G27" s="49">
        <f>G28+G29</f>
        <v>3299950</v>
      </c>
    </row>
    <row r="28" ht="30.0" customHeight="1">
      <c r="A28" s="50"/>
      <c r="B28" s="51" t="s">
        <v>48</v>
      </c>
      <c r="C28" s="52"/>
      <c r="D28" s="53">
        <v>21.0</v>
      </c>
      <c r="E28" s="53" t="s">
        <v>49</v>
      </c>
      <c r="F28" s="54">
        <v>73450.0</v>
      </c>
      <c r="G28" s="55">
        <f t="shared" ref="G28:G29" si="1">F28*D28</f>
        <v>1542450</v>
      </c>
    </row>
    <row r="29" ht="30.0" customHeight="1">
      <c r="A29" s="50"/>
      <c r="B29" s="51" t="s">
        <v>50</v>
      </c>
      <c r="C29" s="52"/>
      <c r="D29" s="53">
        <v>20.0</v>
      </c>
      <c r="E29" s="53" t="s">
        <v>49</v>
      </c>
      <c r="F29" s="54">
        <v>87875.0</v>
      </c>
      <c r="G29" s="55">
        <f t="shared" si="1"/>
        <v>1757500</v>
      </c>
    </row>
    <row r="30" ht="30.0" customHeight="1">
      <c r="A30" s="50"/>
      <c r="B30" s="51"/>
      <c r="C30" s="52"/>
      <c r="D30" s="53"/>
      <c r="E30" s="53"/>
      <c r="F30" s="56"/>
      <c r="G30" s="43"/>
    </row>
    <row r="31" ht="30.0" customHeight="1">
      <c r="A31" s="44" t="s">
        <v>51</v>
      </c>
      <c r="B31" s="57" t="s">
        <v>52</v>
      </c>
      <c r="C31" s="46"/>
      <c r="D31" s="58"/>
      <c r="E31" s="58"/>
      <c r="F31" s="59"/>
      <c r="G31" s="60">
        <f>G33+G36</f>
        <v>65945200</v>
      </c>
    </row>
    <row r="32" ht="30.0" customHeight="1">
      <c r="A32" s="50"/>
      <c r="B32" s="51" t="s">
        <v>53</v>
      </c>
      <c r="C32" s="52"/>
      <c r="D32" s="53"/>
      <c r="E32" s="53"/>
      <c r="F32" s="53"/>
      <c r="G32" s="61"/>
    </row>
    <row r="33" ht="30.0" customHeight="1">
      <c r="A33" s="50"/>
      <c r="B33" s="51" t="s">
        <v>54</v>
      </c>
      <c r="C33" s="52"/>
      <c r="D33" s="53">
        <v>1406.0</v>
      </c>
      <c r="E33" s="53" t="s">
        <v>55</v>
      </c>
      <c r="F33" s="54">
        <v>41075.0</v>
      </c>
      <c r="G33" s="62">
        <f>F33*D33</f>
        <v>57751450</v>
      </c>
    </row>
    <row r="34" ht="30.0" customHeight="1">
      <c r="A34" s="50"/>
      <c r="B34" s="51"/>
      <c r="C34" s="52"/>
      <c r="D34" s="63"/>
      <c r="E34" s="63"/>
      <c r="F34" s="64"/>
      <c r="G34" s="43"/>
    </row>
    <row r="35" ht="30.0" customHeight="1">
      <c r="A35" s="50"/>
      <c r="B35" s="51" t="s">
        <v>56</v>
      </c>
      <c r="C35" s="52"/>
      <c r="D35" s="63"/>
      <c r="E35" s="63"/>
      <c r="F35" s="64"/>
      <c r="G35" s="43"/>
    </row>
    <row r="36" ht="30.0" customHeight="1">
      <c r="A36" s="50"/>
      <c r="B36" s="51" t="s">
        <v>57</v>
      </c>
      <c r="C36" s="52"/>
      <c r="D36" s="53">
        <v>57.0</v>
      </c>
      <c r="E36" s="53" t="s">
        <v>58</v>
      </c>
      <c r="F36" s="54">
        <v>143750.0</v>
      </c>
      <c r="G36" s="55">
        <f>F36*D36</f>
        <v>8193750</v>
      </c>
    </row>
    <row r="37" ht="30.0" customHeight="1">
      <c r="A37" s="50"/>
      <c r="B37" s="51"/>
      <c r="C37" s="52"/>
      <c r="D37" s="63"/>
      <c r="E37" s="63"/>
      <c r="F37" s="65"/>
      <c r="G37" s="43"/>
    </row>
    <row r="38" ht="30.0" customHeight="1">
      <c r="A38" s="66" t="s">
        <v>59</v>
      </c>
      <c r="B38" s="67" t="s">
        <v>60</v>
      </c>
      <c r="C38" s="68"/>
      <c r="D38" s="47"/>
      <c r="E38" s="47"/>
      <c r="F38" s="48"/>
      <c r="G38" s="49">
        <f>G45+G39</f>
        <v>20278500</v>
      </c>
    </row>
    <row r="39" ht="30.0" customHeight="1">
      <c r="A39" s="69"/>
      <c r="B39" s="70" t="s">
        <v>61</v>
      </c>
      <c r="C39" s="71"/>
      <c r="D39" s="71"/>
      <c r="E39" s="71"/>
      <c r="F39" s="72"/>
      <c r="G39" s="73">
        <f>G40+G42+G43</f>
        <v>14586000</v>
      </c>
      <c r="H39" s="13"/>
      <c r="I39" s="13"/>
      <c r="J39" s="13"/>
    </row>
    <row r="40" ht="30.0" customHeight="1">
      <c r="A40" s="74"/>
      <c r="B40" s="75" t="s">
        <v>62</v>
      </c>
      <c r="C40" s="61"/>
      <c r="D40" s="76">
        <v>295.0</v>
      </c>
      <c r="E40" s="77" t="s">
        <v>63</v>
      </c>
      <c r="F40" s="78">
        <v>33000.0</v>
      </c>
      <c r="G40" s="79">
        <f>F40*D40</f>
        <v>9735000</v>
      </c>
    </row>
    <row r="41" ht="30.0" customHeight="1">
      <c r="A41" s="69"/>
      <c r="B41" s="80"/>
      <c r="C41" s="6"/>
      <c r="D41" s="81"/>
      <c r="E41" s="82"/>
      <c r="F41" s="83"/>
      <c r="G41" s="84"/>
    </row>
    <row r="42" ht="30.0" customHeight="1">
      <c r="A42" s="74"/>
      <c r="B42" s="75" t="s">
        <v>64</v>
      </c>
      <c r="C42" s="61"/>
      <c r="D42" s="76">
        <v>294.0</v>
      </c>
      <c r="E42" s="77" t="s">
        <v>63</v>
      </c>
      <c r="F42" s="85">
        <v>16500.0</v>
      </c>
      <c r="G42" s="86">
        <f>F42*D42</f>
        <v>4851000</v>
      </c>
    </row>
    <row r="43" ht="30.0" customHeight="1">
      <c r="A43" s="69"/>
      <c r="B43" s="75"/>
      <c r="C43" s="52"/>
      <c r="D43" s="75"/>
      <c r="E43" s="77"/>
      <c r="F43" s="78"/>
      <c r="G43" s="86"/>
      <c r="I43" s="87"/>
      <c r="J43" s="6"/>
      <c r="K43" s="82"/>
      <c r="L43" s="82"/>
      <c r="M43" s="88"/>
      <c r="N43" s="89"/>
    </row>
    <row r="44" ht="30.0" customHeight="1">
      <c r="A44" s="69"/>
      <c r="B44" s="90"/>
      <c r="C44" s="91"/>
      <c r="D44" s="52"/>
      <c r="E44" s="52"/>
      <c r="F44" s="92"/>
      <c r="G44" s="93"/>
    </row>
    <row r="45" ht="30.0" customHeight="1">
      <c r="A45" s="69"/>
      <c r="B45" s="70" t="s">
        <v>65</v>
      </c>
      <c r="C45" s="94"/>
      <c r="D45" s="94"/>
      <c r="E45" s="94"/>
      <c r="F45" s="95"/>
      <c r="G45" s="73">
        <f>G48+G46</f>
        <v>5692500</v>
      </c>
    </row>
    <row r="46" ht="30.0" customHeight="1">
      <c r="A46" s="74"/>
      <c r="B46" s="75" t="s">
        <v>62</v>
      </c>
      <c r="C46" s="61"/>
      <c r="D46" s="96">
        <v>115.0</v>
      </c>
      <c r="E46" s="77" t="s">
        <v>63</v>
      </c>
      <c r="F46" s="78">
        <v>33000.0</v>
      </c>
      <c r="G46" s="79">
        <f>F46*D46</f>
        <v>3795000</v>
      </c>
    </row>
    <row r="47" ht="30.0" customHeight="1">
      <c r="A47" s="69"/>
      <c r="B47" s="97"/>
      <c r="C47" s="6"/>
      <c r="D47" s="98"/>
      <c r="E47" s="82"/>
      <c r="F47" s="83"/>
      <c r="G47" s="99"/>
    </row>
    <row r="48" ht="30.0" customHeight="1">
      <c r="A48" s="74"/>
      <c r="B48" s="75" t="s">
        <v>66</v>
      </c>
      <c r="C48" s="61"/>
      <c r="D48" s="96">
        <v>115.0</v>
      </c>
      <c r="E48" s="77" t="s">
        <v>63</v>
      </c>
      <c r="F48" s="78">
        <v>16500.0</v>
      </c>
      <c r="G48" s="79">
        <f>D48*F48</f>
        <v>1897500</v>
      </c>
    </row>
    <row r="49" ht="30.0" customHeight="1">
      <c r="A49" s="69"/>
      <c r="B49" s="100"/>
      <c r="C49" s="52"/>
      <c r="D49" s="52"/>
      <c r="E49" s="52"/>
      <c r="F49" s="101"/>
      <c r="G49" s="43"/>
    </row>
    <row r="50" ht="30.0" customHeight="1">
      <c r="A50" s="69"/>
      <c r="B50" s="90"/>
      <c r="C50" s="91"/>
      <c r="D50" s="91"/>
      <c r="E50" s="91"/>
      <c r="F50" s="102"/>
      <c r="G50" s="43"/>
    </row>
    <row r="51" ht="30.0" customHeight="1">
      <c r="A51" s="103" t="s">
        <v>67</v>
      </c>
      <c r="B51" s="104" t="s">
        <v>68</v>
      </c>
      <c r="C51" s="105"/>
      <c r="D51" s="105"/>
      <c r="E51" s="105"/>
      <c r="F51" s="106"/>
      <c r="G51" s="49">
        <v>1400000.0</v>
      </c>
    </row>
    <row r="52" ht="30.0" customHeight="1">
      <c r="A52" s="69"/>
      <c r="B52" s="70" t="s">
        <v>69</v>
      </c>
      <c r="C52" s="94"/>
      <c r="D52" s="94"/>
      <c r="E52" s="94"/>
      <c r="F52" s="107"/>
      <c r="G52" s="55"/>
    </row>
    <row r="53" ht="30.0" customHeight="1">
      <c r="A53" s="74"/>
      <c r="B53" s="108" t="s">
        <v>70</v>
      </c>
      <c r="C53" s="61"/>
      <c r="D53" s="76">
        <v>4.0</v>
      </c>
      <c r="E53" s="77" t="s">
        <v>71</v>
      </c>
      <c r="F53" s="78">
        <v>350000.0</v>
      </c>
      <c r="G53" s="109">
        <f>D53*F53</f>
        <v>1400000</v>
      </c>
    </row>
    <row r="54" ht="30.0" customHeight="1">
      <c r="A54" s="69"/>
      <c r="B54" s="100"/>
      <c r="C54" s="52"/>
      <c r="D54" s="52"/>
      <c r="E54" s="52"/>
      <c r="F54" s="101"/>
      <c r="G54" s="55"/>
    </row>
    <row r="55" ht="30.0" customHeight="1">
      <c r="A55" s="110" t="s">
        <v>72</v>
      </c>
      <c r="B55" s="104" t="s">
        <v>73</v>
      </c>
      <c r="C55" s="111"/>
      <c r="D55" s="111"/>
      <c r="E55" s="111"/>
      <c r="F55" s="112"/>
      <c r="G55" s="49">
        <f>G57+G59</f>
        <v>2460000</v>
      </c>
    </row>
    <row r="56" ht="30.0" customHeight="1">
      <c r="A56" s="69"/>
      <c r="B56" s="70" t="s">
        <v>74</v>
      </c>
      <c r="C56" s="94"/>
      <c r="D56" s="94"/>
      <c r="E56" s="94"/>
      <c r="F56" s="107"/>
      <c r="G56" s="73"/>
    </row>
    <row r="57" ht="30.0" customHeight="1">
      <c r="A57" s="74"/>
      <c r="B57" s="108" t="s">
        <v>75</v>
      </c>
      <c r="C57" s="61"/>
      <c r="D57" s="76">
        <v>4.0</v>
      </c>
      <c r="E57" s="76" t="s">
        <v>63</v>
      </c>
      <c r="F57" s="86">
        <v>185000.0</v>
      </c>
      <c r="G57" s="79">
        <f>D57*F57</f>
        <v>740000</v>
      </c>
    </row>
    <row r="58" ht="30.0" customHeight="1">
      <c r="A58" s="69"/>
      <c r="B58" s="80"/>
      <c r="C58" s="6"/>
      <c r="D58" s="81"/>
      <c r="E58" s="81"/>
      <c r="F58" s="113"/>
      <c r="G58" s="114"/>
    </row>
    <row r="59" ht="30.0" customHeight="1">
      <c r="A59" s="74"/>
      <c r="B59" s="108" t="s">
        <v>76</v>
      </c>
      <c r="C59" s="61"/>
      <c r="D59" s="76">
        <v>4.0</v>
      </c>
      <c r="E59" s="76" t="s">
        <v>77</v>
      </c>
      <c r="F59" s="86">
        <v>430000.0</v>
      </c>
      <c r="G59" s="79">
        <f>D59*F59</f>
        <v>1720000</v>
      </c>
    </row>
    <row r="60" ht="30.0" customHeight="1">
      <c r="A60" s="69"/>
      <c r="B60" s="100" t="s">
        <v>78</v>
      </c>
      <c r="C60" s="52"/>
      <c r="D60" s="52"/>
      <c r="E60" s="52"/>
      <c r="F60" s="101"/>
      <c r="G60" s="55"/>
    </row>
    <row r="61" ht="30.0" customHeight="1">
      <c r="A61" s="69"/>
      <c r="B61" s="90"/>
      <c r="C61" s="91"/>
      <c r="D61" s="91"/>
      <c r="E61" s="91"/>
      <c r="F61" s="102"/>
      <c r="G61" s="55"/>
    </row>
    <row r="62" ht="30.0" customHeight="1">
      <c r="A62" s="110" t="s">
        <v>79</v>
      </c>
      <c r="B62" s="104" t="s">
        <v>80</v>
      </c>
      <c r="C62" s="105"/>
      <c r="D62" s="105"/>
      <c r="E62" s="105"/>
      <c r="F62" s="106"/>
      <c r="G62" s="49">
        <f>G66+G67</f>
        <v>4625000</v>
      </c>
    </row>
    <row r="63" ht="30.0" customHeight="1">
      <c r="A63" s="69"/>
      <c r="B63" s="90" t="s">
        <v>81</v>
      </c>
      <c r="C63" s="91"/>
      <c r="D63" s="91"/>
      <c r="E63" s="91"/>
      <c r="F63" s="102"/>
      <c r="G63" s="73"/>
    </row>
    <row r="64" ht="30.0" customHeight="1">
      <c r="A64" s="69"/>
      <c r="B64" s="26" t="s">
        <v>82</v>
      </c>
      <c r="C64" s="91"/>
      <c r="D64" s="91"/>
      <c r="E64" s="91"/>
      <c r="F64" s="102"/>
      <c r="G64" s="43"/>
    </row>
    <row r="65" ht="30.0" customHeight="1">
      <c r="A65" s="69"/>
      <c r="B65" s="115" t="s">
        <v>83</v>
      </c>
      <c r="C65" s="94"/>
      <c r="D65" s="94"/>
      <c r="E65" s="94"/>
      <c r="F65" s="107"/>
      <c r="G65" s="43"/>
    </row>
    <row r="66" ht="30.0" customHeight="1">
      <c r="A66" s="74"/>
      <c r="B66" s="75" t="s">
        <v>84</v>
      </c>
      <c r="C66" s="61"/>
      <c r="D66" s="96">
        <v>21.0</v>
      </c>
      <c r="E66" s="61" t="s">
        <v>85</v>
      </c>
      <c r="F66" s="116">
        <v>170000.0</v>
      </c>
      <c r="G66" s="117">
        <f>D66*F66</f>
        <v>3570000</v>
      </c>
      <c r="H66" s="13"/>
    </row>
    <row r="67" ht="30.0" customHeight="1">
      <c r="A67" s="69"/>
      <c r="B67" s="97" t="s">
        <v>86</v>
      </c>
      <c r="C67" s="6"/>
      <c r="D67" s="6"/>
      <c r="E67" s="6"/>
      <c r="F67" s="118"/>
      <c r="G67" s="55">
        <f>G68+G69+G70+G71+G72+G73+G74</f>
        <v>1055000</v>
      </c>
    </row>
    <row r="68" ht="55.5" customHeight="1">
      <c r="A68" s="74"/>
      <c r="B68" s="119" t="s">
        <v>87</v>
      </c>
      <c r="C68" s="3"/>
      <c r="D68" s="76">
        <v>1.0</v>
      </c>
      <c r="E68" s="77" t="s">
        <v>88</v>
      </c>
      <c r="F68" s="78">
        <v>165000.0</v>
      </c>
      <c r="G68" s="79">
        <f t="shared" ref="G68:G74" si="2">F68*D68</f>
        <v>165000</v>
      </c>
    </row>
    <row r="69" ht="54.75" customHeight="1">
      <c r="A69" s="74"/>
      <c r="B69" s="119" t="s">
        <v>89</v>
      </c>
      <c r="C69" s="3"/>
      <c r="D69" s="76">
        <v>1.0</v>
      </c>
      <c r="E69" s="76" t="s">
        <v>88</v>
      </c>
      <c r="F69" s="78">
        <v>130000.0</v>
      </c>
      <c r="G69" s="79">
        <f t="shared" si="2"/>
        <v>130000</v>
      </c>
    </row>
    <row r="70" ht="48.0" customHeight="1">
      <c r="A70" s="74"/>
      <c r="B70" s="119" t="s">
        <v>90</v>
      </c>
      <c r="C70" s="3"/>
      <c r="D70" s="76">
        <v>1.0</v>
      </c>
      <c r="E70" s="76" t="s">
        <v>88</v>
      </c>
      <c r="F70" s="78">
        <v>120000.0</v>
      </c>
      <c r="G70" s="79">
        <f t="shared" si="2"/>
        <v>120000</v>
      </c>
    </row>
    <row r="71" ht="54.75" customHeight="1">
      <c r="A71" s="74"/>
      <c r="B71" s="119" t="s">
        <v>91</v>
      </c>
      <c r="C71" s="3"/>
      <c r="D71" s="76">
        <v>1.0</v>
      </c>
      <c r="E71" s="76" t="s">
        <v>88</v>
      </c>
      <c r="F71" s="78">
        <v>165000.0</v>
      </c>
      <c r="G71" s="79">
        <f t="shared" si="2"/>
        <v>165000</v>
      </c>
    </row>
    <row r="72" ht="42.0" customHeight="1">
      <c r="A72" s="74"/>
      <c r="B72" s="119" t="s">
        <v>92</v>
      </c>
      <c r="C72" s="3"/>
      <c r="D72" s="76">
        <v>1.0</v>
      </c>
      <c r="E72" s="76" t="s">
        <v>88</v>
      </c>
      <c r="F72" s="78">
        <v>180000.0</v>
      </c>
      <c r="G72" s="79">
        <f t="shared" si="2"/>
        <v>180000</v>
      </c>
    </row>
    <row r="73" ht="50.25" customHeight="1">
      <c r="A73" s="74"/>
      <c r="B73" s="119" t="s">
        <v>93</v>
      </c>
      <c r="C73" s="3"/>
      <c r="D73" s="76">
        <v>1.0</v>
      </c>
      <c r="E73" s="76" t="s">
        <v>88</v>
      </c>
      <c r="F73" s="78">
        <v>165000.0</v>
      </c>
      <c r="G73" s="79">
        <f t="shared" si="2"/>
        <v>165000</v>
      </c>
    </row>
    <row r="74" ht="57.75" customHeight="1">
      <c r="A74" s="74"/>
      <c r="B74" s="119" t="s">
        <v>94</v>
      </c>
      <c r="C74" s="3"/>
      <c r="D74" s="76">
        <v>1.0</v>
      </c>
      <c r="E74" s="76" t="s">
        <v>88</v>
      </c>
      <c r="F74" s="78">
        <v>130000.0</v>
      </c>
      <c r="G74" s="79">
        <f t="shared" si="2"/>
        <v>130000</v>
      </c>
    </row>
    <row r="75" ht="48.0" customHeight="1">
      <c r="A75" s="74"/>
      <c r="B75" s="119"/>
      <c r="C75" s="3"/>
      <c r="D75" s="76"/>
      <c r="E75" s="76"/>
      <c r="F75" s="78"/>
      <c r="G75" s="79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</row>
    <row r="76" ht="27.75" customHeight="1">
      <c r="A76" s="121"/>
      <c r="B76" s="122"/>
      <c r="C76" s="123"/>
      <c r="D76" s="124"/>
      <c r="E76" s="125"/>
      <c r="F76" s="125"/>
      <c r="G76" s="126"/>
      <c r="H76" s="13"/>
    </row>
    <row r="77" ht="36.0" customHeight="1">
      <c r="A77" s="127" t="s">
        <v>95</v>
      </c>
      <c r="B77" s="2"/>
      <c r="C77" s="2"/>
      <c r="D77" s="2"/>
      <c r="E77" s="2"/>
      <c r="F77" s="3"/>
      <c r="G77" s="128">
        <f>G62+G55+G51+G38+G31+G27</f>
        <v>98008650</v>
      </c>
      <c r="H77" s="129">
        <f>G78-G77</f>
        <v>-98008650</v>
      </c>
      <c r="I77" s="130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</row>
    <row r="78" ht="15.75" customHeight="1">
      <c r="A78" s="132"/>
      <c r="B78" s="133"/>
      <c r="D78" s="134"/>
      <c r="E78" s="132"/>
      <c r="F78" s="132"/>
      <c r="G78" s="135"/>
      <c r="H78" s="136"/>
      <c r="I78" s="137">
        <f>H77/16500</f>
        <v>-5939.918182</v>
      </c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9"/>
      <c r="B79" s="140"/>
      <c r="C79" s="140"/>
      <c r="D79" s="141"/>
      <c r="E79" s="142"/>
      <c r="F79" s="143"/>
      <c r="G79" s="143"/>
      <c r="H79" s="144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45"/>
      <c r="B80" s="146"/>
      <c r="C80" s="147"/>
      <c r="D80" s="148"/>
      <c r="E80" s="149"/>
      <c r="F80" s="149"/>
      <c r="G80" s="150" t="s">
        <v>96</v>
      </c>
      <c r="H80" s="151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52" t="s">
        <v>97</v>
      </c>
      <c r="B81" s="153"/>
      <c r="C81" s="154" t="s">
        <v>98</v>
      </c>
      <c r="D81" s="155"/>
      <c r="E81" s="155"/>
      <c r="F81" s="155"/>
      <c r="G81" s="156"/>
      <c r="H81" s="151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52" t="s">
        <v>99</v>
      </c>
      <c r="B82" s="153"/>
      <c r="C82" s="157" t="s">
        <v>100</v>
      </c>
      <c r="D82" s="158"/>
      <c r="E82" s="158"/>
      <c r="F82" s="158"/>
      <c r="G82" s="159"/>
      <c r="H82" s="151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52" t="s">
        <v>101</v>
      </c>
      <c r="B83" s="153"/>
      <c r="C83" s="151"/>
      <c r="D83" s="151"/>
      <c r="E83" s="151"/>
      <c r="F83" s="151"/>
      <c r="G83" s="160"/>
      <c r="H83" s="151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52" t="s">
        <v>102</v>
      </c>
      <c r="B84" s="153"/>
      <c r="C84" s="151"/>
      <c r="D84" s="151"/>
      <c r="E84" s="151"/>
      <c r="F84" s="151"/>
      <c r="G84" s="160"/>
      <c r="H84" s="151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52" t="s">
        <v>103</v>
      </c>
      <c r="B85" s="153"/>
      <c r="C85" s="151"/>
      <c r="D85" s="151"/>
      <c r="E85" s="151"/>
      <c r="F85" s="151"/>
      <c r="G85" s="160"/>
      <c r="H85" s="151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52" t="s">
        <v>104</v>
      </c>
      <c r="B86" s="153"/>
      <c r="C86" s="151"/>
      <c r="D86" s="151"/>
      <c r="E86" s="151"/>
      <c r="F86" s="151"/>
      <c r="G86" s="160"/>
      <c r="H86" s="151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52" t="s">
        <v>105</v>
      </c>
      <c r="B87" s="153"/>
      <c r="C87" s="161"/>
      <c r="D87" s="158"/>
      <c r="E87" s="158"/>
      <c r="F87" s="158"/>
      <c r="G87" s="159"/>
      <c r="H87" s="151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52" t="s">
        <v>106</v>
      </c>
      <c r="B88" s="153"/>
      <c r="C88" s="161"/>
      <c r="D88" s="158"/>
      <c r="E88" s="158"/>
      <c r="F88" s="158"/>
      <c r="G88" s="159"/>
      <c r="H88" s="151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52" t="s">
        <v>107</v>
      </c>
      <c r="B89" s="153"/>
      <c r="C89" s="151"/>
      <c r="D89" s="151"/>
      <c r="E89" s="151"/>
      <c r="F89" s="151"/>
      <c r="G89" s="160"/>
      <c r="H89" s="151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52" t="s">
        <v>108</v>
      </c>
      <c r="B90" s="153"/>
      <c r="C90" s="151"/>
      <c r="D90" s="151"/>
      <c r="E90" s="151"/>
      <c r="F90" s="151"/>
      <c r="G90" s="160"/>
      <c r="H90" s="151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52" t="s">
        <v>109</v>
      </c>
      <c r="B91" s="153"/>
      <c r="C91" s="151"/>
      <c r="D91" s="151"/>
      <c r="E91" s="151"/>
      <c r="F91" s="151"/>
      <c r="G91" s="160"/>
      <c r="H91" s="151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52" t="s">
        <v>110</v>
      </c>
      <c r="B92" s="153"/>
      <c r="C92" s="151"/>
      <c r="D92" s="151"/>
      <c r="E92" s="151"/>
      <c r="F92" s="151"/>
      <c r="G92" s="160"/>
      <c r="H92" s="151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62" t="s">
        <v>41</v>
      </c>
      <c r="B93" s="163" t="s">
        <v>96</v>
      </c>
      <c r="C93" s="164"/>
      <c r="D93" s="164"/>
      <c r="E93" s="164"/>
      <c r="F93" s="164"/>
      <c r="G93" s="153"/>
      <c r="H93" s="151"/>
    </row>
    <row r="94" ht="15.75" customHeight="1">
      <c r="A94" s="151"/>
      <c r="B94" s="151"/>
      <c r="C94" s="151"/>
      <c r="D94" s="151"/>
      <c r="E94" s="151"/>
      <c r="F94" s="151"/>
      <c r="G94" s="151"/>
      <c r="H94" s="151"/>
    </row>
    <row r="95" ht="15.75" customHeight="1">
      <c r="G95" s="165"/>
    </row>
    <row r="96" ht="15.75" customHeight="1">
      <c r="G96" s="165"/>
    </row>
    <row r="97" ht="15.75" customHeight="1">
      <c r="G97" s="165"/>
    </row>
    <row r="98" ht="15.75" customHeight="1">
      <c r="G98" s="165"/>
    </row>
    <row r="99" ht="15.75" customHeight="1">
      <c r="G99" s="165"/>
    </row>
    <row r="100" ht="15.75" customHeight="1">
      <c r="G100" s="165"/>
    </row>
    <row r="101" ht="15.75" customHeight="1">
      <c r="G101" s="165"/>
    </row>
    <row r="102" ht="15.75" customHeight="1">
      <c r="G102" s="165"/>
    </row>
    <row r="103" ht="15.75" customHeight="1">
      <c r="G103" s="165"/>
    </row>
    <row r="104" ht="15.75" customHeight="1">
      <c r="G104" s="165"/>
    </row>
    <row r="105" ht="15.75" customHeight="1">
      <c r="G105" s="165"/>
    </row>
    <row r="106" ht="15.75" customHeight="1">
      <c r="G106" s="165"/>
    </row>
    <row r="107" ht="15.75" customHeight="1">
      <c r="G107" s="165"/>
    </row>
    <row r="108" ht="15.75" customHeight="1">
      <c r="G108" s="165"/>
    </row>
    <row r="109" ht="15.75" customHeight="1">
      <c r="G109" s="165"/>
    </row>
    <row r="110" ht="15.75" customHeight="1">
      <c r="G110" s="165"/>
    </row>
    <row r="111" ht="15.75" customHeight="1">
      <c r="G111" s="165"/>
    </row>
    <row r="112" ht="15.75" customHeight="1">
      <c r="G112" s="165"/>
    </row>
    <row r="113" ht="15.75" customHeight="1">
      <c r="G113" s="165"/>
    </row>
    <row r="114" ht="15.75" customHeight="1">
      <c r="G114" s="165"/>
    </row>
    <row r="115" ht="15.75" customHeight="1">
      <c r="G115" s="165"/>
    </row>
    <row r="116" ht="15.75" customHeight="1">
      <c r="G116" s="165"/>
    </row>
    <row r="117" ht="15.75" customHeight="1">
      <c r="G117" s="165"/>
    </row>
    <row r="118" ht="15.75" customHeight="1">
      <c r="G118" s="165"/>
    </row>
    <row r="119" ht="15.75" customHeight="1">
      <c r="G119" s="165"/>
    </row>
    <row r="120" ht="15.75" customHeight="1">
      <c r="G120" s="165"/>
    </row>
    <row r="121" ht="15.75" customHeight="1">
      <c r="G121" s="165"/>
    </row>
    <row r="122" ht="15.75" customHeight="1">
      <c r="G122" s="165"/>
    </row>
    <row r="123" ht="15.75" customHeight="1">
      <c r="G123" s="165"/>
    </row>
    <row r="124" ht="15.75" customHeight="1">
      <c r="G124" s="165"/>
    </row>
    <row r="125" ht="15.75" customHeight="1">
      <c r="G125" s="165"/>
    </row>
    <row r="126" ht="15.75" customHeight="1">
      <c r="G126" s="165"/>
    </row>
    <row r="127" ht="15.75" customHeight="1">
      <c r="G127" s="165"/>
    </row>
    <row r="128" ht="15.75" customHeight="1">
      <c r="G128" s="165"/>
    </row>
    <row r="129" ht="15.75" customHeight="1">
      <c r="G129" s="165"/>
    </row>
    <row r="130" ht="15.75" customHeight="1">
      <c r="G130" s="165"/>
    </row>
    <row r="131" ht="15.75" customHeight="1">
      <c r="G131" s="165"/>
    </row>
    <row r="132" ht="15.75" customHeight="1">
      <c r="G132" s="165"/>
    </row>
    <row r="133" ht="15.75" customHeight="1">
      <c r="G133" s="165"/>
    </row>
    <row r="134" ht="15.75" customHeight="1">
      <c r="G134" s="165"/>
    </row>
    <row r="135" ht="15.75" customHeight="1">
      <c r="G135" s="165"/>
    </row>
    <row r="136" ht="15.75" customHeight="1">
      <c r="G136" s="165"/>
    </row>
    <row r="137" ht="15.75" customHeight="1">
      <c r="G137" s="165"/>
    </row>
    <row r="138" ht="15.75" customHeight="1">
      <c r="G138" s="165"/>
    </row>
    <row r="139" ht="15.75" customHeight="1">
      <c r="G139" s="165"/>
    </row>
    <row r="140" ht="15.75" customHeight="1">
      <c r="G140" s="165"/>
    </row>
    <row r="141" ht="15.75" customHeight="1">
      <c r="G141" s="165"/>
    </row>
    <row r="142" ht="15.75" customHeight="1">
      <c r="G142" s="165"/>
    </row>
    <row r="143" ht="15.75" customHeight="1">
      <c r="G143" s="165"/>
    </row>
    <row r="144" ht="15.75" customHeight="1">
      <c r="G144" s="165"/>
    </row>
    <row r="145" ht="15.75" customHeight="1">
      <c r="G145" s="165"/>
    </row>
    <row r="146" ht="15.75" customHeight="1">
      <c r="G146" s="165"/>
    </row>
    <row r="147" ht="15.75" customHeight="1">
      <c r="G147" s="165"/>
    </row>
    <row r="148" ht="15.75" customHeight="1">
      <c r="G148" s="165"/>
    </row>
    <row r="149" ht="15.75" customHeight="1">
      <c r="G149" s="165"/>
    </row>
    <row r="150" ht="15.75" customHeight="1">
      <c r="G150" s="165"/>
    </row>
    <row r="151" ht="15.75" customHeight="1">
      <c r="G151" s="165"/>
    </row>
    <row r="152" ht="15.75" customHeight="1">
      <c r="G152" s="165"/>
    </row>
    <row r="153" ht="15.75" customHeight="1">
      <c r="G153" s="165"/>
    </row>
    <row r="154" ht="15.75" customHeight="1">
      <c r="G154" s="165"/>
    </row>
    <row r="155" ht="15.75" customHeight="1">
      <c r="G155" s="165"/>
    </row>
    <row r="156" ht="15.75" customHeight="1">
      <c r="G156" s="165"/>
    </row>
    <row r="157" ht="15.75" customHeight="1">
      <c r="G157" s="165"/>
    </row>
    <row r="158" ht="15.75" customHeight="1">
      <c r="G158" s="165"/>
    </row>
    <row r="159" ht="15.75" customHeight="1">
      <c r="G159" s="165"/>
    </row>
    <row r="160" ht="15.75" customHeight="1">
      <c r="G160" s="165"/>
    </row>
    <row r="161" ht="15.75" customHeight="1">
      <c r="G161" s="165"/>
    </row>
    <row r="162" ht="15.75" customHeight="1">
      <c r="G162" s="165"/>
    </row>
    <row r="163" ht="15.75" customHeight="1">
      <c r="G163" s="165"/>
    </row>
    <row r="164" ht="15.75" customHeight="1">
      <c r="G164" s="165"/>
    </row>
    <row r="165" ht="15.75" customHeight="1">
      <c r="G165" s="165"/>
    </row>
    <row r="166" ht="15.75" customHeight="1">
      <c r="G166" s="165"/>
    </row>
    <row r="167" ht="15.75" customHeight="1">
      <c r="G167" s="165"/>
    </row>
    <row r="168" ht="15.75" customHeight="1">
      <c r="G168" s="165"/>
    </row>
    <row r="169" ht="15.75" customHeight="1">
      <c r="G169" s="165"/>
    </row>
    <row r="170" ht="15.75" customHeight="1">
      <c r="G170" s="165"/>
    </row>
    <row r="171" ht="15.75" customHeight="1">
      <c r="G171" s="165"/>
    </row>
    <row r="172" ht="15.75" customHeight="1">
      <c r="G172" s="165"/>
    </row>
    <row r="173" ht="15.75" customHeight="1">
      <c r="G173" s="165"/>
    </row>
    <row r="174" ht="15.75" customHeight="1">
      <c r="G174" s="165"/>
    </row>
    <row r="175" ht="15.75" customHeight="1">
      <c r="G175" s="165"/>
    </row>
    <row r="176" ht="15.75" customHeight="1">
      <c r="G176" s="165"/>
    </row>
    <row r="177" ht="15.75" customHeight="1">
      <c r="G177" s="165"/>
    </row>
    <row r="178" ht="15.75" customHeight="1">
      <c r="G178" s="165"/>
    </row>
    <row r="179" ht="15.75" customHeight="1">
      <c r="G179" s="165"/>
    </row>
    <row r="180" ht="15.75" customHeight="1">
      <c r="G180" s="165"/>
    </row>
    <row r="181" ht="15.75" customHeight="1">
      <c r="G181" s="165"/>
    </row>
    <row r="182" ht="15.75" customHeight="1">
      <c r="G182" s="165"/>
    </row>
    <row r="183" ht="15.75" customHeight="1">
      <c r="G183" s="165"/>
    </row>
    <row r="184" ht="15.75" customHeight="1">
      <c r="G184" s="165"/>
    </row>
    <row r="185" ht="15.75" customHeight="1">
      <c r="G185" s="165"/>
    </row>
    <row r="186" ht="15.75" customHeight="1">
      <c r="G186" s="165"/>
    </row>
    <row r="187" ht="15.75" customHeight="1">
      <c r="G187" s="165"/>
    </row>
    <row r="188" ht="15.75" customHeight="1">
      <c r="G188" s="165"/>
    </row>
    <row r="189" ht="15.75" customHeight="1">
      <c r="G189" s="165"/>
    </row>
    <row r="190" ht="15.75" customHeight="1">
      <c r="G190" s="165"/>
    </row>
    <row r="191" ht="15.75" customHeight="1">
      <c r="G191" s="165"/>
    </row>
    <row r="192" ht="15.75" customHeight="1">
      <c r="G192" s="165"/>
    </row>
    <row r="193" ht="15.75" customHeight="1">
      <c r="G193" s="165"/>
    </row>
    <row r="194" ht="15.75" customHeight="1">
      <c r="G194" s="165"/>
    </row>
    <row r="195" ht="15.75" customHeight="1">
      <c r="G195" s="165"/>
    </row>
    <row r="196" ht="15.75" customHeight="1">
      <c r="G196" s="165"/>
    </row>
    <row r="197" ht="15.75" customHeight="1">
      <c r="G197" s="165"/>
    </row>
    <row r="198" ht="15.75" customHeight="1">
      <c r="G198" s="165"/>
    </row>
    <row r="199" ht="15.75" customHeight="1">
      <c r="G199" s="165"/>
    </row>
    <row r="200" ht="15.75" customHeight="1">
      <c r="G200" s="165"/>
    </row>
    <row r="201" ht="15.75" customHeight="1">
      <c r="G201" s="165"/>
    </row>
    <row r="202" ht="15.75" customHeight="1">
      <c r="G202" s="165"/>
    </row>
    <row r="203" ht="15.75" customHeight="1">
      <c r="G203" s="165"/>
    </row>
    <row r="204" ht="15.75" customHeight="1">
      <c r="G204" s="165"/>
    </row>
    <row r="205" ht="15.75" customHeight="1">
      <c r="G205" s="165"/>
    </row>
    <row r="206" ht="15.75" customHeight="1">
      <c r="G206" s="165"/>
    </row>
    <row r="207" ht="15.75" customHeight="1">
      <c r="G207" s="165"/>
    </row>
    <row r="208" ht="15.75" customHeight="1">
      <c r="G208" s="165"/>
    </row>
    <row r="209" ht="15.75" customHeight="1">
      <c r="G209" s="165"/>
    </row>
    <row r="210" ht="15.75" customHeight="1">
      <c r="G210" s="165"/>
    </row>
    <row r="211" ht="15.75" customHeight="1">
      <c r="G211" s="165"/>
    </row>
    <row r="212" ht="15.75" customHeight="1">
      <c r="G212" s="165"/>
    </row>
    <row r="213" ht="15.75" customHeight="1">
      <c r="G213" s="165"/>
    </row>
    <row r="214" ht="15.75" customHeight="1">
      <c r="G214" s="165"/>
    </row>
    <row r="215" ht="15.75" customHeight="1">
      <c r="G215" s="165"/>
    </row>
    <row r="216" ht="15.75" customHeight="1">
      <c r="G216" s="165"/>
    </row>
    <row r="217" ht="15.75" customHeight="1">
      <c r="G217" s="165"/>
    </row>
    <row r="218" ht="15.75" customHeight="1">
      <c r="G218" s="165"/>
    </row>
    <row r="219" ht="15.75" customHeight="1">
      <c r="G219" s="165"/>
    </row>
    <row r="220" ht="15.75" customHeight="1">
      <c r="G220" s="165"/>
    </row>
    <row r="221" ht="15.75" customHeight="1">
      <c r="G221" s="165"/>
    </row>
    <row r="222" ht="15.75" customHeight="1">
      <c r="G222" s="165"/>
    </row>
    <row r="223" ht="15.75" customHeight="1">
      <c r="G223" s="165"/>
    </row>
    <row r="224" ht="15.75" customHeight="1">
      <c r="G224" s="165"/>
    </row>
    <row r="225" ht="15.75" customHeight="1">
      <c r="G225" s="165"/>
    </row>
    <row r="226" ht="15.75" customHeight="1">
      <c r="G226" s="165"/>
    </row>
    <row r="227" ht="15.75" customHeight="1">
      <c r="G227" s="165"/>
    </row>
    <row r="228" ht="15.75" customHeight="1">
      <c r="G228" s="165"/>
    </row>
    <row r="229" ht="15.75" customHeight="1">
      <c r="G229" s="165"/>
    </row>
    <row r="230" ht="15.75" customHeight="1">
      <c r="G230" s="165"/>
    </row>
    <row r="231" ht="15.75" customHeight="1">
      <c r="G231" s="165"/>
    </row>
    <row r="232" ht="15.75" customHeight="1">
      <c r="G232" s="165"/>
    </row>
    <row r="233" ht="15.75" customHeight="1">
      <c r="G233" s="165"/>
    </row>
    <row r="234" ht="15.75" customHeight="1">
      <c r="G234" s="165"/>
    </row>
    <row r="235" ht="15.75" customHeight="1">
      <c r="G235" s="165"/>
    </row>
    <row r="236" ht="15.75" customHeight="1">
      <c r="G236" s="165"/>
    </row>
    <row r="237" ht="15.75" customHeight="1">
      <c r="G237" s="165"/>
    </row>
    <row r="238" ht="15.75" customHeight="1">
      <c r="G238" s="165"/>
    </row>
    <row r="239" ht="15.75" customHeight="1">
      <c r="G239" s="165"/>
    </row>
    <row r="240" ht="15.75" customHeight="1">
      <c r="G240" s="165"/>
    </row>
    <row r="241" ht="15.75" customHeight="1">
      <c r="G241" s="165"/>
    </row>
    <row r="242" ht="15.75" customHeight="1">
      <c r="G242" s="165"/>
    </row>
    <row r="243" ht="15.75" customHeight="1">
      <c r="G243" s="165"/>
    </row>
    <row r="244" ht="15.75" customHeight="1">
      <c r="G244" s="165"/>
    </row>
    <row r="245" ht="15.75" customHeight="1">
      <c r="G245" s="165"/>
    </row>
    <row r="246" ht="15.75" customHeight="1">
      <c r="G246" s="165"/>
    </row>
    <row r="247" ht="15.75" customHeight="1">
      <c r="G247" s="165"/>
    </row>
    <row r="248" ht="15.75" customHeight="1">
      <c r="G248" s="165"/>
    </row>
    <row r="249" ht="15.75" customHeight="1">
      <c r="G249" s="165"/>
    </row>
    <row r="250" ht="15.75" customHeight="1">
      <c r="G250" s="165"/>
    </row>
    <row r="251" ht="15.75" customHeight="1">
      <c r="G251" s="165"/>
    </row>
    <row r="252" ht="15.75" customHeight="1">
      <c r="G252" s="165"/>
    </row>
    <row r="253" ht="15.75" customHeight="1">
      <c r="G253" s="165"/>
    </row>
    <row r="254" ht="15.75" customHeight="1">
      <c r="G254" s="165"/>
    </row>
    <row r="255" ht="15.75" customHeight="1">
      <c r="G255" s="165"/>
    </row>
    <row r="256" ht="15.75" customHeight="1">
      <c r="G256" s="165"/>
    </row>
    <row r="257" ht="15.75" customHeight="1">
      <c r="G257" s="165"/>
    </row>
    <row r="258" ht="15.75" customHeight="1">
      <c r="G258" s="165"/>
    </row>
    <row r="259" ht="15.75" customHeight="1">
      <c r="G259" s="165"/>
    </row>
    <row r="260" ht="15.75" customHeight="1">
      <c r="G260" s="165"/>
    </row>
    <row r="261" ht="15.75" customHeight="1">
      <c r="G261" s="165"/>
    </row>
    <row r="262" ht="15.75" customHeight="1">
      <c r="G262" s="165"/>
    </row>
    <row r="263" ht="15.75" customHeight="1">
      <c r="G263" s="165"/>
    </row>
    <row r="264" ht="15.75" customHeight="1">
      <c r="G264" s="165"/>
    </row>
    <row r="265" ht="15.75" customHeight="1">
      <c r="G265" s="165"/>
    </row>
    <row r="266" ht="15.75" customHeight="1">
      <c r="G266" s="165"/>
    </row>
    <row r="267" ht="15.75" customHeight="1">
      <c r="G267" s="165"/>
    </row>
    <row r="268" ht="15.75" customHeight="1">
      <c r="G268" s="165"/>
    </row>
    <row r="269" ht="15.75" customHeight="1">
      <c r="G269" s="165"/>
    </row>
    <row r="270" ht="15.75" customHeight="1">
      <c r="G270" s="165"/>
    </row>
    <row r="271" ht="15.75" customHeight="1">
      <c r="G271" s="165"/>
    </row>
    <row r="272" ht="15.75" customHeight="1">
      <c r="G272" s="165"/>
    </row>
    <row r="273" ht="15.75" customHeight="1">
      <c r="G273" s="165"/>
    </row>
    <row r="274" ht="15.75" customHeight="1">
      <c r="G274" s="165"/>
    </row>
    <row r="275" ht="15.75" customHeight="1">
      <c r="G275" s="165"/>
    </row>
    <row r="276" ht="15.75" customHeight="1">
      <c r="G276" s="165"/>
    </row>
    <row r="277" ht="15.75" customHeight="1">
      <c r="G277" s="165"/>
    </row>
    <row r="278" ht="15.75" customHeight="1">
      <c r="G278" s="165"/>
    </row>
    <row r="279" ht="15.75" customHeight="1">
      <c r="G279" s="165"/>
    </row>
    <row r="280" ht="15.75" customHeight="1">
      <c r="G280" s="165"/>
    </row>
    <row r="281" ht="15.75" customHeight="1">
      <c r="G281" s="165"/>
    </row>
    <row r="282" ht="15.75" customHeight="1">
      <c r="G282" s="165"/>
    </row>
    <row r="283" ht="15.75" customHeight="1">
      <c r="G283" s="165"/>
    </row>
    <row r="284" ht="15.75" customHeight="1">
      <c r="G284" s="165"/>
    </row>
    <row r="285" ht="15.75" customHeight="1">
      <c r="G285" s="165"/>
    </row>
    <row r="286" ht="15.75" customHeight="1">
      <c r="G286" s="165"/>
    </row>
    <row r="287" ht="15.75" customHeight="1">
      <c r="G287" s="165"/>
    </row>
    <row r="288" ht="15.75" customHeight="1">
      <c r="G288" s="165"/>
    </row>
    <row r="289" ht="15.75" customHeight="1">
      <c r="G289" s="165"/>
    </row>
    <row r="290" ht="15.75" customHeight="1">
      <c r="G290" s="165"/>
    </row>
    <row r="291" ht="15.75" customHeight="1">
      <c r="G291" s="165"/>
    </row>
    <row r="292" ht="15.75" customHeight="1">
      <c r="G292" s="165"/>
    </row>
    <row r="293" ht="15.75" customHeight="1">
      <c r="G293" s="165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1:E1"/>
    <mergeCell ref="F1:G1"/>
    <mergeCell ref="A2:E2"/>
    <mergeCell ref="F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A18:G18"/>
    <mergeCell ref="B19:E19"/>
    <mergeCell ref="F19:G19"/>
    <mergeCell ref="B20:E20"/>
    <mergeCell ref="F20:G20"/>
    <mergeCell ref="B21:E21"/>
    <mergeCell ref="F21:G21"/>
    <mergeCell ref="F22:G22"/>
    <mergeCell ref="B22:E22"/>
    <mergeCell ref="B23:E23"/>
    <mergeCell ref="F23:G23"/>
    <mergeCell ref="A25:A26"/>
    <mergeCell ref="B25:C26"/>
    <mergeCell ref="D25:F25"/>
    <mergeCell ref="B39:F39"/>
    <mergeCell ref="B38:C38"/>
    <mergeCell ref="B68:C68"/>
    <mergeCell ref="B69:C69"/>
    <mergeCell ref="B70:C70"/>
    <mergeCell ref="B71:C71"/>
    <mergeCell ref="B72:C72"/>
    <mergeCell ref="B73:C73"/>
    <mergeCell ref="C81:G81"/>
    <mergeCell ref="C82:G82"/>
    <mergeCell ref="C87:G87"/>
    <mergeCell ref="C88:G88"/>
    <mergeCell ref="B74:C74"/>
    <mergeCell ref="B75:C75"/>
    <mergeCell ref="B76:C76"/>
    <mergeCell ref="A77:F77"/>
    <mergeCell ref="B78:C78"/>
    <mergeCell ref="E79:H79"/>
    <mergeCell ref="B80:C8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2022-02-03T05:54:32Z</dcterms:created>
  <dc:creator>prola</dc:creator>
</cp:coreProperties>
</file>