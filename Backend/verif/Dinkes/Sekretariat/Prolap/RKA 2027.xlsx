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as\Downloads\"/>
    </mc:Choice>
  </mc:AlternateContent>
  <xr:revisionPtr revIDLastSave="0" documentId="13_ncr:1_{3A0D1784-6713-444C-A2B4-3771D775D803}" xr6:coauthVersionLast="47" xr6:coauthVersionMax="47" xr10:uidLastSave="{00000000-0000-0000-0000-000000000000}"/>
  <bookViews>
    <workbookView xWindow="-98" yWindow="-98" windowWidth="21795" windowHeight="12975" firstSheet="5" activeTab="8" xr2:uid="{00000000-000D-0000-FFFF-FFFF00000000}"/>
  </bookViews>
  <sheets>
    <sheet name="RENJA100226" sheetId="80" r:id="rId1"/>
    <sheet name="RKA100226" sheetId="81" r:id="rId2"/>
    <sheet name="RKA P 100226" sheetId="74" r:id="rId3"/>
    <sheet name="DPA100226" sheetId="83" r:id="rId4"/>
    <sheet name="DPA P 100226" sheetId="84" r:id="rId5"/>
    <sheet name="CAPAIAN 100226" sheetId="87" r:id="rId6"/>
    <sheet name="EVKIN100226 " sheetId="85" r:id="rId7"/>
    <sheet name="WALIDATA171225" sheetId="86" r:id="rId8"/>
    <sheet name="REKAPAN BELANJA " sheetId="21" r:id="rId9"/>
    <sheet name="Sheet1 " sheetId="20" r:id="rId10"/>
  </sheets>
  <definedNames>
    <definedName name="_xlnm.Print_Titles" localSheetId="8">'REKAPAN BELANJA 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6" i="80" l="1"/>
  <c r="H57" i="80"/>
  <c r="H79" i="86"/>
  <c r="H78" i="86" s="1"/>
  <c r="H77" i="86" s="1"/>
  <c r="H53" i="87"/>
  <c r="H52" i="87"/>
  <c r="H51" i="87"/>
  <c r="H50" i="87"/>
  <c r="H49" i="87"/>
  <c r="H48" i="87"/>
  <c r="H46" i="87"/>
  <c r="H45" i="87"/>
  <c r="H44" i="87" s="1"/>
  <c r="H43" i="87"/>
  <c r="H42" i="87"/>
  <c r="H41" i="87"/>
  <c r="H60" i="83"/>
  <c r="H76" i="86"/>
  <c r="H75" i="86"/>
  <c r="H73" i="86"/>
  <c r="H72" i="86"/>
  <c r="H71" i="86"/>
  <c r="H70" i="86"/>
  <c r="H69" i="86"/>
  <c r="H68" i="86"/>
  <c r="H67" i="86"/>
  <c r="H66" i="86" s="1"/>
  <c r="H63" i="86"/>
  <c r="H62" i="86"/>
  <c r="H59" i="86"/>
  <c r="H58" i="86"/>
  <c r="H57" i="86"/>
  <c r="H56" i="86"/>
  <c r="H55" i="86"/>
  <c r="H54" i="86"/>
  <c r="H52" i="86"/>
  <c r="H51" i="86"/>
  <c r="H50" i="86"/>
  <c r="H49" i="86"/>
  <c r="H47" i="86"/>
  <c r="H46" i="86"/>
  <c r="H45" i="86" s="1"/>
  <c r="H44" i="86"/>
  <c r="H43" i="86"/>
  <c r="H42" i="86"/>
  <c r="H83" i="85"/>
  <c r="H82" i="85"/>
  <c r="H81" i="85"/>
  <c r="H80" i="85"/>
  <c r="H79" i="85"/>
  <c r="H78" i="85"/>
  <c r="H76" i="85"/>
  <c r="H75" i="85"/>
  <c r="H72" i="85"/>
  <c r="H71" i="85"/>
  <c r="H70" i="85"/>
  <c r="H69" i="85" s="1"/>
  <c r="H68" i="85" s="1"/>
  <c r="H67" i="85" s="1"/>
  <c r="H66" i="85" s="1"/>
  <c r="H65" i="85"/>
  <c r="H64" i="85"/>
  <c r="H61" i="85"/>
  <c r="H60" i="85"/>
  <c r="H58" i="85"/>
  <c r="H57" i="85"/>
  <c r="H56" i="85"/>
  <c r="H54" i="85"/>
  <c r="H53" i="85"/>
  <c r="H51" i="85"/>
  <c r="H50" i="85"/>
  <c r="H49" i="85"/>
  <c r="H48" i="85"/>
  <c r="H47" i="85"/>
  <c r="H46" i="85"/>
  <c r="H45" i="85"/>
  <c r="H44" i="85"/>
  <c r="H43" i="85"/>
  <c r="H42" i="85"/>
  <c r="H73" i="80"/>
  <c r="H72" i="80"/>
  <c r="H71" i="80"/>
  <c r="H59" i="85" l="1"/>
  <c r="H55" i="85"/>
  <c r="H63" i="85"/>
  <c r="H62" i="85" s="1"/>
  <c r="H70" i="80"/>
  <c r="H41" i="86"/>
  <c r="H74" i="86"/>
  <c r="H64" i="86" s="1"/>
  <c r="H48" i="86"/>
  <c r="H53" i="86"/>
  <c r="H61" i="86"/>
  <c r="H77" i="85"/>
  <c r="H74" i="85"/>
  <c r="H47" i="87"/>
  <c r="H40" i="87" s="1"/>
  <c r="H39" i="87" s="1"/>
  <c r="H60" i="86"/>
  <c r="H65" i="86"/>
  <c r="H41" i="85"/>
  <c r="H52" i="85"/>
  <c r="H54" i="84"/>
  <c r="H53" i="84"/>
  <c r="H52" i="84"/>
  <c r="H51" i="84"/>
  <c r="H49" i="84"/>
  <c r="H48" i="84"/>
  <c r="H46" i="84"/>
  <c r="H45" i="84"/>
  <c r="H43" i="84"/>
  <c r="H42" i="84"/>
  <c r="H63" i="83"/>
  <c r="H62" i="83"/>
  <c r="H61" i="83"/>
  <c r="H59" i="83"/>
  <c r="H58" i="83"/>
  <c r="H54" i="83"/>
  <c r="H53" i="83"/>
  <c r="H52" i="83"/>
  <c r="H51" i="83"/>
  <c r="H49" i="83"/>
  <c r="H48" i="83"/>
  <c r="H46" i="83"/>
  <c r="H45" i="83"/>
  <c r="H43" i="83"/>
  <c r="H42" i="83"/>
  <c r="H53" i="81"/>
  <c r="H52" i="81"/>
  <c r="H51" i="81"/>
  <c r="H50" i="81"/>
  <c r="H57" i="81"/>
  <c r="H56" i="81"/>
  <c r="H54" i="81" s="1"/>
  <c r="H49" i="81"/>
  <c r="H48" i="81"/>
  <c r="H46" i="81"/>
  <c r="H45" i="81"/>
  <c r="H43" i="81"/>
  <c r="H42" i="81"/>
  <c r="H69" i="80"/>
  <c r="H68" i="80"/>
  <c r="H67" i="80"/>
  <c r="H65" i="80"/>
  <c r="H64" i="80"/>
  <c r="H61" i="80"/>
  <c r="H60" i="80"/>
  <c r="H55" i="80"/>
  <c r="H54" i="80"/>
  <c r="H53" i="80" s="1"/>
  <c r="H52" i="80"/>
  <c r="H51" i="80" s="1"/>
  <c r="H50" i="80"/>
  <c r="H49" i="80"/>
  <c r="H48" i="80"/>
  <c r="H46" i="80"/>
  <c r="H45" i="80"/>
  <c r="H43" i="80"/>
  <c r="H42" i="80"/>
  <c r="H53" i="74"/>
  <c r="H52" i="74"/>
  <c r="H50" i="74" s="1"/>
  <c r="H49" i="74"/>
  <c r="H48" i="74"/>
  <c r="H47" i="74"/>
  <c r="H46" i="74"/>
  <c r="H45" i="74"/>
  <c r="H43" i="74"/>
  <c r="H42" i="74"/>
  <c r="H40" i="85" l="1"/>
  <c r="H39" i="85" s="1"/>
  <c r="H47" i="84"/>
  <c r="H41" i="84"/>
  <c r="H50" i="83"/>
  <c r="H57" i="83"/>
  <c r="H56" i="83" s="1"/>
  <c r="H55" i="83" s="1"/>
  <c r="H47" i="83"/>
  <c r="H66" i="80"/>
  <c r="H63" i="80"/>
  <c r="H47" i="80"/>
  <c r="H59" i="80"/>
  <c r="H58" i="80" s="1"/>
  <c r="H73" i="85"/>
  <c r="H38" i="87"/>
  <c r="H36" i="87"/>
  <c r="H54" i="87" s="1"/>
  <c r="H57" i="87" s="1"/>
  <c r="H37" i="87"/>
  <c r="H47" i="81"/>
  <c r="H44" i="80"/>
  <c r="H41" i="80"/>
  <c r="H44" i="83"/>
  <c r="H41" i="83"/>
  <c r="H40" i="86"/>
  <c r="H39" i="86" s="1"/>
  <c r="H44" i="84"/>
  <c r="H50" i="84"/>
  <c r="H44" i="81"/>
  <c r="H41" i="81"/>
  <c r="H44" i="74"/>
  <c r="H40" i="74" s="1"/>
  <c r="H41" i="74"/>
  <c r="H62" i="80" l="1"/>
  <c r="H38" i="85"/>
  <c r="H37" i="85" s="1"/>
  <c r="H36" i="85" s="1"/>
  <c r="G23" i="85" s="1"/>
  <c r="H40" i="84"/>
  <c r="H39" i="84" s="1"/>
  <c r="H38" i="84" s="1"/>
  <c r="H40" i="83"/>
  <c r="H40" i="80"/>
  <c r="H39" i="80" s="1"/>
  <c r="H23" i="87"/>
  <c r="H40" i="81"/>
  <c r="H39" i="81" s="1"/>
  <c r="H38" i="81" s="1"/>
  <c r="H36" i="81" s="1"/>
  <c r="G23" i="81" s="1"/>
  <c r="H39" i="83"/>
  <c r="H38" i="83" s="1"/>
  <c r="H37" i="83" s="1"/>
  <c r="H36" i="83" s="1"/>
  <c r="H38" i="86"/>
  <c r="H37" i="86" s="1"/>
  <c r="H36" i="86" s="1"/>
  <c r="H80" i="86" s="1"/>
  <c r="H83" i="86" s="1"/>
  <c r="H38" i="74"/>
  <c r="H37" i="74"/>
  <c r="H36" i="74"/>
  <c r="H39" i="74"/>
  <c r="H38" i="80" l="1"/>
  <c r="H37" i="80" s="1"/>
  <c r="H36" i="80" s="1"/>
  <c r="H23" i="80" s="1"/>
  <c r="H84" i="85"/>
  <c r="H86" i="85" s="1"/>
  <c r="H58" i="81"/>
  <c r="H61" i="81" s="1"/>
  <c r="H37" i="81"/>
  <c r="H37" i="84"/>
  <c r="H36" i="84" s="1"/>
  <c r="H64" i="83"/>
  <c r="H66" i="83" s="1"/>
  <c r="G23" i="83"/>
  <c r="H54" i="74"/>
  <c r="H57" i="74" s="1"/>
  <c r="G23" i="74"/>
  <c r="H74" i="80" l="1"/>
  <c r="H77" i="80" s="1"/>
  <c r="H55" i="84"/>
  <c r="H57" i="84" s="1"/>
  <c r="H23" i="84"/>
  <c r="K4" i="21" l="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3" i="21"/>
</calcChain>
</file>

<file path=xl/sharedStrings.xml><?xml version="1.0" encoding="utf-8"?>
<sst xmlns="http://schemas.openxmlformats.org/spreadsheetml/2006/main" count="1095" uniqueCount="288">
  <si>
    <r>
      <rPr>
        <b/>
        <sz val="12"/>
        <rFont val="Arial"/>
        <family val="2"/>
      </rPr>
      <t>Rincian Anggaran Belanja Kegiatan Satuan Kerja Perangkat Daerah</t>
    </r>
  </si>
  <si>
    <t xml:space="preserve">Makanan dan minuman rapat
Spesifikasi : Belanja konsumsi kegiatan rapat atau sejenisnya </t>
  </si>
  <si>
    <t>Satuan</t>
  </si>
  <si>
    <t>Harga</t>
  </si>
  <si>
    <t>Uang harian perjalanan dinas dalam daerah                       Spesifikasi : Perjalanan Dinas Dalam Daerah Lebih dari 8 jam</t>
  </si>
  <si>
    <t>Jumlah :</t>
  </si>
  <si>
    <t>PPN</t>
  </si>
  <si>
    <t xml:space="preserve"> </t>
  </si>
  <si>
    <t>Toner Cartridge
Spesifikasi : HP Laserjet 79A, black</t>
  </si>
  <si>
    <t>Biaya transport perjalanan dinas antar kecamatan untuk Mobil &lt;2000cc
Spesifikasi : dari Cibinong ke Cisarua</t>
  </si>
  <si>
    <t>Indikator dan Tolak Ukur Kinerja Kegiatan</t>
  </si>
  <si>
    <t>Indikator</t>
  </si>
  <si>
    <t>Tolok Ukur Kinerja</t>
  </si>
  <si>
    <t>Target Kinerja</t>
  </si>
  <si>
    <t>Rincian Anggaran Belanja Menurut Program, Kegiatan dan Sub Kegiatan</t>
  </si>
  <si>
    <t>RENCANA KERJA DAN ANGGARAN SATUAN KERJA PERANGKAT DAERAH</t>
  </si>
  <si>
    <t>Urusan Pemerintahan</t>
  </si>
  <si>
    <t>: 1 URUSAN PEMERINTAHAN WAJIB YANG BERKAITAN DENGAN PELAYANAN DASAR</t>
  </si>
  <si>
    <t>Bidang Urusan</t>
  </si>
  <si>
    <t>: 1.02 URUSAN PEMERINTAHAN BIDANG KESEHATAN</t>
  </si>
  <si>
    <t>Unit Organisasi</t>
  </si>
  <si>
    <t>: 1.02.0.00.0.00.01.0000 DINAS KESEHATAN</t>
  </si>
  <si>
    <t>Sub Unit Organisasi</t>
  </si>
  <si>
    <t>: -</t>
  </si>
  <si>
    <t>Program</t>
  </si>
  <si>
    <t>: 1.02.01 PROGRAM PENUNJANG URUSAN PEMERINTAHAN DAERAH KABUPATEN/KOTA</t>
  </si>
  <si>
    <t>Kegiatan</t>
  </si>
  <si>
    <t>: 1.02.01.2.01 Perencanaan, Penganggaran, dan Evaluasi Kinerja Perangkat Daerah</t>
  </si>
  <si>
    <t>Sub Kegiatan</t>
  </si>
  <si>
    <t>: 1.02.01.2.01.0002 Koordinasi dan Penyusunan Dokumen RKA-SKPD</t>
  </si>
  <si>
    <t>SPM</t>
  </si>
  <si>
    <t>Jenis Layanan</t>
  </si>
  <si>
    <t>Sumber Pendanaan</t>
  </si>
  <si>
    <t>: PENDAPATAN ASLI DAERAH (PAD)</t>
  </si>
  <si>
    <t>Lokasi</t>
  </si>
  <si>
    <t>: Kab. Bogor, Cibinong, Pakansari</t>
  </si>
  <si>
    <t>Waktu Pelaksanaan</t>
  </si>
  <si>
    <t>: Januari s.d Desember</t>
  </si>
  <si>
    <t>Kelompok Sasaran</t>
  </si>
  <si>
    <t>: Dinas Kesehatan Kab. Bogor</t>
  </si>
  <si>
    <t>Alokasi 2023</t>
  </si>
  <si>
    <t>: Rp. 0,00</t>
  </si>
  <si>
    <t>Alokasi 2024</t>
  </si>
  <si>
    <t>: Rp. 13.416.275,00</t>
  </si>
  <si>
    <t>Alokasi 2025</t>
  </si>
  <si>
    <t>Capaian Program</t>
  </si>
  <si>
    <t>Terfasilitasinya pelaksanaan tugas dan fungsi perangkat daerah</t>
  </si>
  <si>
    <t>Masukan</t>
  </si>
  <si>
    <t>Dana yang dibutuhkan</t>
  </si>
  <si>
    <t>Keluaran</t>
  </si>
  <si>
    <t>Jumlah Dokumen RKA-SKPD dan Laporan Hasil Koordinasi Penyusunan Dokumen RKA-SKPD</t>
  </si>
  <si>
    <t>2 Dokumen</t>
  </si>
  <si>
    <t>Hasil</t>
  </si>
  <si>
    <t>Jumlah dokumen perencanaan, penganggaran dan evaluasi kinerja perangkat daerah</t>
  </si>
  <si>
    <t>16 dokumen</t>
  </si>
  <si>
    <t>Rincian Anggaran Belanja Kegiatan Satuan Kerja Perangkat Daerah</t>
  </si>
  <si>
    <t>: Kab. Bogor, Kecamatan Cibinong, Kelurahan Pakansari</t>
  </si>
  <si>
    <t>Keluaran Sub Kegiatan</t>
  </si>
  <si>
    <t>: Jumlah Dokumen RKA-SKPD dan Laporan Hasil Koordinasi Penyusunan Dokumen RKA-SKPD</t>
  </si>
  <si>
    <t>Keterangan</t>
  </si>
  <si>
    <t>:</t>
  </si>
  <si>
    <t>Kode Rekening</t>
  </si>
  <si>
    <t>Uraian</t>
  </si>
  <si>
    <t>Rinci Perhitungan</t>
  </si>
  <si>
    <t>Jumlah</t>
  </si>
  <si>
    <t>Koefisien</t>
  </si>
  <si>
    <t>BELANJA DAERAH</t>
  </si>
  <si>
    <t>5.1</t>
  </si>
  <si>
    <t>BELANJA OPERASI</t>
  </si>
  <si>
    <t>Belanja Barang dan Jasa</t>
  </si>
  <si>
    <t>5.1.02.01</t>
  </si>
  <si>
    <t>Belanja Barang</t>
  </si>
  <si>
    <t>5.1.02.01.01</t>
  </si>
  <si>
    <t>Belanja Barang Pakai Habis</t>
  </si>
  <si>
    <t>5.1.02.01.01.0025</t>
  </si>
  <si>
    <t>Belanja Alat/Bahan untuk Kegiatan Kantor- Kertas dan Cover</t>
  </si>
  <si>
    <t>Rim</t>
  </si>
  <si>
    <t>5.1.02.01.01.0029</t>
  </si>
  <si>
    <t>Belanja Alat/Bahan untuk Kegiatan Kantor-Bahan Komputer</t>
  </si>
  <si>
    <t>Buah</t>
  </si>
  <si>
    <t>5.1.02.01.01.0052</t>
  </si>
  <si>
    <t>Belanja Makanan dan Minuman Rapat</t>
  </si>
  <si>
    <t>Orang / Kali</t>
  </si>
  <si>
    <r>
      <rPr>
        <b/>
        <sz val="12"/>
        <rFont val="Times New Roman"/>
        <family val="1"/>
      </rPr>
      <t>Formulir RKA-BELANJA
SKPD</t>
    </r>
  </si>
  <si>
    <t>: 1.02.01.2.01.0004 Koordinasi dan Penyusunan DPA-SKPD</t>
  </si>
  <si>
    <t>: Rp. 13.071.900,00</t>
  </si>
  <si>
    <t>Jumlah Dokumen DPA-SKPD dan Laporan Hasil Koordinasi Penyusunan Dokumen DPA-SKPD</t>
  </si>
  <si>
    <t>: Jumlah Dokumen DPA-SKPD dan Laporan Hasil Koordinasi Penyusunan Dokumen DPA-SKPD</t>
  </si>
  <si>
    <t>5.1.02.01.01.0024</t>
  </si>
  <si>
    <t>Belanja Alat/Bahan untuk Kegiatan Kantor-Alat Tulis Kantor</t>
  </si>
  <si>
    <t>5.1.02.01.01.0026</t>
  </si>
  <si>
    <t>Belanja Alat/Bahan untuk Kegiatan Kantor- Bahan Cetak</t>
  </si>
  <si>
    <t>Lembar</t>
  </si>
  <si>
    <t>5.1.02.04</t>
  </si>
  <si>
    <t>Belanja Perjalanan Dinas</t>
  </si>
  <si>
    <t>5.1.02.04.01</t>
  </si>
  <si>
    <t>Belanja Perjalanan Dinas Dalam Negeri</t>
  </si>
  <si>
    <t>5.1.02.04.01.0003</t>
  </si>
  <si>
    <t>Belanja Perjalanan Dinas Dalam Kota</t>
  </si>
  <si>
    <t>Orang / Hari</t>
  </si>
  <si>
    <r>
      <rPr>
        <sz val="12"/>
        <rFont val="Times New Roman"/>
        <family val="1"/>
      </rPr>
      <t>Odner
Spesifikasi : Bahan Plastik, Ukuran Folio, Warna Hijau</t>
    </r>
  </si>
  <si>
    <r>
      <rPr>
        <sz val="12"/>
        <rFont val="Times New Roman"/>
        <family val="1"/>
      </rPr>
      <t>Map
Spesifikasi : Snelhekter, ukuran A4</t>
    </r>
  </si>
  <si>
    <r>
      <rPr>
        <sz val="12"/>
        <rFont val="Times New Roman"/>
        <family val="1"/>
      </rPr>
      <t>Foto Copy BW
Spesifikasi : Volume 1 lembar, ukuran F4</t>
    </r>
  </si>
  <si>
    <r>
      <rPr>
        <sz val="12"/>
        <rFont val="Times New Roman"/>
        <family val="1"/>
      </rPr>
      <t>Tinta Printer
Spesifikasi : Epson 664, isi 70 ml, Black</t>
    </r>
  </si>
  <si>
    <r>
      <rPr>
        <sz val="12"/>
        <rFont val="Times New Roman"/>
        <family val="1"/>
      </rPr>
      <t>Biaya transport perjalanan dinas antar kecamatan untuk Mobil &lt;2000cc
Spesifikasi : dari Cibinong ke Babakan Madang</t>
    </r>
  </si>
  <si>
    <t>: 1.02.01.2.01.0005 Koordinasi dan Penyusunan Perubahan DPA- SKPD</t>
  </si>
  <si>
    <t>: Rp. 11.208.225,00</t>
  </si>
  <si>
    <t>: Rp. 117.699.000,00</t>
  </si>
  <si>
    <t>Jumlah Dokumen Perubahan DPA-SKPD dan Laporan Hasil Koordinasi Penyusunan Dokumen Perubahan DPA-SKPD</t>
  </si>
  <si>
    <t>5.1.02.02</t>
  </si>
  <si>
    <t>Belanja Jasa</t>
  </si>
  <si>
    <r>
      <rPr>
        <sz val="12"/>
        <rFont val="Times New Roman"/>
        <family val="1"/>
      </rPr>
      <t>Biaya transport perjalanan dinas antar kecamatan untuk Mobil &lt;2000cc
Spesifikasi : dari Cibinong ke Cisarua</t>
    </r>
  </si>
  <si>
    <r>
      <rPr>
        <b/>
        <sz val="15"/>
        <rFont val="Times New Roman"/>
        <family val="1"/>
      </rPr>
      <t>Formulir RKA-BELANJA
SKPD</t>
    </r>
  </si>
  <si>
    <t>: 1.02.01.2.01.0006 Koordinasi dan Penyusunan Laporan Capaian Kinerja dan Ikhtisar Realisasi Kinerja SKPD</t>
  </si>
  <si>
    <t>: Rp. 7.608.900,00</t>
  </si>
  <si>
    <t>Jumlah Laporan Capaian Kinerja dan Ikhtisar Realisasi Kinerja SKPD dan Laporan Hasil Koordinasi Penyusunan Laporan Capaian Kinerja dan Ikhtisar Realisasi Kinerja SKPD</t>
  </si>
  <si>
    <t>6 Laporan</t>
  </si>
  <si>
    <t>: Jumlah Laporan Capaian Kinerja dan Ikhtisar Realisasi Kinerja SKPD dan Laporan Hasil Koordinasi Penyusunan Laporan Capaian Kinerja dan Ikhtisar Realisasi Kinerja SKPD</t>
  </si>
  <si>
    <r>
      <rPr>
        <sz val="12"/>
        <rFont val="Times New Roman"/>
        <family val="1"/>
      </rPr>
      <t>Foto Copy BW
Spesifikasi : Volume 1 lembar, ukuran A4</t>
    </r>
  </si>
  <si>
    <t>: Rp. 28.000.000,00</t>
  </si>
  <si>
    <t>: 1.02.01.2.01.0007 Evaluasi Kinerja Perangkat Daerah</t>
  </si>
  <si>
    <t>Jumlah Laporan Evaluasi Kinerja Perangkat Daerah</t>
  </si>
  <si>
    <t>20 Laporan</t>
  </si>
  <si>
    <t>: Jumlah Laporan Evaluasi Kinerja Perangkat Daerah</t>
  </si>
  <si>
    <t>Lusin</t>
  </si>
  <si>
    <t>Buku</t>
  </si>
  <si>
    <t>5.1.02.02.01</t>
  </si>
  <si>
    <t>Belanja Jasa Kantor</t>
  </si>
  <si>
    <t>5.1.02.02.01.0055</t>
  </si>
  <si>
    <t>Belanja Jasa Iklan/Reklame, Film, dan Pemotretan</t>
  </si>
  <si>
    <t>Kali</t>
  </si>
  <si>
    <r>
      <rPr>
        <sz val="12"/>
        <rFont val="Times New Roman"/>
        <family val="1"/>
      </rPr>
      <t>Staples
Spesifikasi : No. 10</t>
    </r>
  </si>
  <si>
    <r>
      <rPr>
        <sz val="12"/>
        <rFont val="Times New Roman"/>
        <family val="1"/>
      </rPr>
      <t>Biaya transport perjalanan dinas antar kecamatan untuk Mobil &lt;2000cc
Spesifikasi : dari Cibinong ke Parung</t>
    </r>
  </si>
  <si>
    <r>
      <rPr>
        <sz val="12"/>
        <rFont val="Times New Roman"/>
        <family val="1"/>
      </rPr>
      <t>Biaya transport perjalanan dinas antar kecamatan untuk Mobil &lt;2000cc
Spesifikasi : dari Cibinong ke Jasinga</t>
    </r>
  </si>
  <si>
    <r>
      <rPr>
        <sz val="12"/>
        <rFont val="Times New Roman"/>
        <family val="1"/>
      </rPr>
      <t>Biaya transport perjalanan dinas antar kecamatan untuk Mobil &lt;2000cc
Spesifikasi : dari Cibinong ke Nanggung</t>
    </r>
  </si>
  <si>
    <r>
      <rPr>
        <sz val="12"/>
        <rFont val="Times New Roman"/>
        <family val="1"/>
      </rPr>
      <t>Biaya transport perjalanan dinas antar kecamatan untuk Mobil &lt;2000cc
Spesifikasi : dari Cibinong ke Cibungbulang</t>
    </r>
  </si>
  <si>
    <r>
      <rPr>
        <sz val="12"/>
        <rFont val="Times New Roman"/>
        <family val="1"/>
      </rPr>
      <t>Biaya transport perjalanan dinas antar kecamatan untuk Mobil &lt;2000cc
Spesifikasi : dari Cibinong ke Megamendung</t>
    </r>
  </si>
  <si>
    <t xml:space="preserve">: </t>
  </si>
  <si>
    <t>: 357.434.000,-</t>
  </si>
  <si>
    <t>: 136.982.991,-</t>
  </si>
  <si>
    <t>Media Online</t>
  </si>
  <si>
    <t>Media Harian</t>
  </si>
  <si>
    <t>Soft Cover Warna
Spesifikasi : Ukuran Dengan Ketebalan kurang dari 1 (satu) Rim</t>
  </si>
  <si>
    <t xml:space="preserve">: 1.02.01.2.01.0008 Penyelenggaraan Walidata Pendukung Statistik Sektoral Daerah </t>
  </si>
  <si>
    <r>
      <rPr>
        <sz val="12"/>
        <rFont val="Times New Roman"/>
        <family val="1"/>
      </rPr>
      <t>Soft Cover Warna
Spesifikasi : Ukuran Dengan Ketebalan kurang dari 1 (satu) Rim</t>
    </r>
  </si>
  <si>
    <t>: 1.02.01.2.01.0001 Penyusunan Dokumen Perencanaan Perangkat Daerah</t>
  </si>
  <si>
    <t>Jumlah Dokumen Perencanaan Perangkat Daerah</t>
  </si>
  <si>
    <t>4 Dokumen</t>
  </si>
  <si>
    <t>: Jumlah Dokumen Perencanaan Perangkat Daerah</t>
  </si>
  <si>
    <t>Kofisien</t>
  </si>
  <si>
    <t>buah</t>
  </si>
  <si>
    <t xml:space="preserve">Pertemuan Perencanaan </t>
  </si>
  <si>
    <t>: Rp. 216.319.750,-</t>
  </si>
  <si>
    <t>: Rp. 18.001,750,00</t>
  </si>
  <si>
    <t>: Rp. 26.381.950,00</t>
  </si>
  <si>
    <t>: Rp. 82.550.046,-</t>
  </si>
  <si>
    <t>NO</t>
  </si>
  <si>
    <t>PERENCANAAN</t>
  </si>
  <si>
    <t>RKA</t>
  </si>
  <si>
    <t>RKA P</t>
  </si>
  <si>
    <t>DPA</t>
  </si>
  <si>
    <t>DPA P</t>
  </si>
  <si>
    <t>CAPAIAN</t>
  </si>
  <si>
    <t>EVKIN</t>
  </si>
  <si>
    <t>WALIDATA</t>
  </si>
  <si>
    <t>BELANJA</t>
  </si>
  <si>
    <t>SUB KEGIATAN</t>
  </si>
  <si>
    <t>Odner</t>
  </si>
  <si>
    <t>Map Snelhekter Plastik</t>
  </si>
  <si>
    <t>Stop Map</t>
  </si>
  <si>
    <t>Steples</t>
  </si>
  <si>
    <t>Isi Staples</t>
  </si>
  <si>
    <t>Ballpoint</t>
  </si>
  <si>
    <t>Amplop Polos No. 90</t>
  </si>
  <si>
    <t>Amplop Polos No. 110</t>
  </si>
  <si>
    <t>Clip Paper No. 1</t>
  </si>
  <si>
    <t>Kertas HVS F4 75 gr</t>
  </si>
  <si>
    <t>Kertas HVS A4 75 gr</t>
  </si>
  <si>
    <t>Toner Cartridge 79 A</t>
  </si>
  <si>
    <t>Toner Cartridge 80 A</t>
  </si>
  <si>
    <t>Toner Cartridge 85 A</t>
  </si>
  <si>
    <t xml:space="preserve">Tinta Printer Epson 664 Black </t>
  </si>
  <si>
    <t>Tinta Printer Epson 664 Yellow</t>
  </si>
  <si>
    <t>Tinta Printer Epson 664 Cyan</t>
  </si>
  <si>
    <t>Tinta Printer Epson 664 Magenta</t>
  </si>
  <si>
    <t>Cetak Buku Statistik</t>
  </si>
  <si>
    <t>Flashdisk</t>
  </si>
  <si>
    <t>Souvenir/Tas</t>
  </si>
  <si>
    <t>Snack Pertemuan</t>
  </si>
  <si>
    <t>Makan Pertemuan</t>
  </si>
  <si>
    <t>Sewa Gedung Fullboard</t>
  </si>
  <si>
    <t>Sewa Gedung Fullday</t>
  </si>
  <si>
    <t>Printer</t>
  </si>
  <si>
    <t>Transport Babakan Madang</t>
  </si>
  <si>
    <t>Transport Jasinga</t>
  </si>
  <si>
    <t>Transport Cisarua</t>
  </si>
  <si>
    <t>Transport Nanggung</t>
  </si>
  <si>
    <t>Transport Parung</t>
  </si>
  <si>
    <t>Transport Megamendung</t>
  </si>
  <si>
    <t>Transport Sukamakmur</t>
  </si>
  <si>
    <t>Transport Cibungbulang</t>
  </si>
  <si>
    <t>Uang Harian Luar Daerah</t>
  </si>
  <si>
    <t>Uang Harian Dalam Kota</t>
  </si>
  <si>
    <t>JUMLAH</t>
  </si>
  <si>
    <t>Foto Copy (lembar)</t>
  </si>
  <si>
    <t>Jilid Soft Cover (buku)</t>
  </si>
  <si>
    <t>Spanduk (meter)</t>
  </si>
  <si>
    <t>Publikasi Online</t>
  </si>
  <si>
    <t>Publikasi Harian</t>
  </si>
  <si>
    <t>Transpor Luar Dearah</t>
  </si>
  <si>
    <t>: Rp. 67.732.450,-</t>
  </si>
  <si>
    <t>: 1.02.01.2.01.0003 Koordinasi dan Penyusunan Dokumen RKA-SKPD</t>
  </si>
  <si>
    <t>: 1.02.01.2.01.0003 Koordinasi dan Penyusunan Dokumen Perubahan RKA-SKPD</t>
  </si>
  <si>
    <t>Makanan dan minuman rapat
Spesifikasi : Belanja konsumsi kegiatan rapat atau sejenisnya (makan)</t>
  </si>
  <si>
    <t>Makanan dan minuman rapat
Spesifikasi : Belanja konsumsi kegiatan rapat atau sejenisnya (snack)</t>
  </si>
  <si>
    <t>5.1.02.04.01.0001</t>
  </si>
  <si>
    <t>Belanja Perjalanan Dinas Biasa</t>
  </si>
  <si>
    <t>Map
Spesifikasi : Snelhekter, ukuran F4</t>
  </si>
  <si>
    <t>Kertas HVS
Spesifikasi : Ukuran A4 80 gram</t>
  </si>
  <si>
    <t>Kertas HVS
Spesifikasi : Ukuran F4 80 gram</t>
  </si>
  <si>
    <t>dus</t>
  </si>
  <si>
    <t>Post it Spesifikasi : Sign here, bahan plastik, isi 10 lembar 5 warna</t>
  </si>
  <si>
    <t xml:space="preserve">Box File                                   Spesifikasi : Bahan karton dilapisi plastik, ukuran folio, lebar punggung 10 cm	</t>
  </si>
  <si>
    <t>Cetakan Warna
Spesifikasi : Volume 1 rim, ukuran A4</t>
  </si>
  <si>
    <t>Foto Copy BW
Spesifikasi : Volume 1 lembar, ukuran F4</t>
  </si>
  <si>
    <t xml:space="preserve">Buah </t>
  </si>
  <si>
    <t>Pack</t>
  </si>
  <si>
    <t>Uang Harian Perjalanan Dinas Dalam Negeri ke Jawa Barat (luar kota)</t>
  </si>
  <si>
    <t>orang/hari</t>
  </si>
  <si>
    <t>Biaya Transportasi Perjalanan Dinas Dalam Negeri
Spesifikasi : dari Kabupaten Bogor ke Kota Bandung (one way)</t>
  </si>
  <si>
    <t>Orang /Hari</t>
  </si>
  <si>
    <t>Belanja publikasi koran lokal harian                        Spesifikasi : Publikasi koran Lokal (1/4 halaman) hitam putih</t>
  </si>
  <si>
    <t>Biaya Transportasi Perjalanan Dinas Dalam Negeri Spesifikasi : ke Kota Bandung (one way)</t>
  </si>
  <si>
    <t>Orang/kali</t>
  </si>
  <si>
    <t>Hard Cover Warna
Spesifikasi : Ukuran Dengan Ketebalan kurang dari 1 (satu) Rim</t>
  </si>
  <si>
    <t>: Jumlah Dokumen Perubahan DPA-SKPD dan Laporan Hasil Koordinasi Penyusunan Dokumen      Perubahan DPA-SKPD</t>
  </si>
  <si>
    <t>PROLAP</t>
  </si>
  <si>
    <t xml:space="preserve">Pertemuan E-Puskesmas </t>
  </si>
  <si>
    <t>DPA AWAL TAHUN 2025</t>
  </si>
  <si>
    <t>Foto Copy BW
Spesifikasi : Volume 1 lembar, ukuran A4</t>
  </si>
  <si>
    <t>Isi staples
Spesifikasi : No. 10, isi 20 dus</t>
  </si>
  <si>
    <t>Odner
Spesifikasi : Bahan Plastik, Ukuran Folio, Warna Hitam</t>
  </si>
  <si>
    <t>Ballpoint
Spesifikasi : Balliner, ukuran 0.8 mm, warna
biru</t>
  </si>
  <si>
    <t>Amplop
Spesifikasi : Putih Polos No. 90</t>
  </si>
  <si>
    <t>Clip Paper
Spesifikasi : Trigonal, No. 1 Dus</t>
  </si>
  <si>
    <t>Pemerintahan Kab. Bogor Tahun Anggaran 2026</t>
  </si>
  <si>
    <t>Tinta Printer
Spesifikasi : Epson 664, isi 70 ml, Black</t>
  </si>
  <si>
    <t>Tinta Printer
Spesifikasi : Epson 003, isi 70 ml, Black</t>
  </si>
  <si>
    <t>Transport Perjalanan Dinas Dalam Negeri ke Jawa Barat (luar kota)</t>
  </si>
  <si>
    <t>Toner Catridge
Spesifikasi : Toner Compatible 85A</t>
  </si>
  <si>
    <t>Toner Cartridge
Spesifikasi : Toner Compatible 79A</t>
  </si>
  <si>
    <t>Tinta Printer
Spesifikasi : Epson 664, Warna (Yellow,Cyan, Magenta)</t>
  </si>
  <si>
    <t>Toner Cartridge
Spesifikasi : HP Laserjet 79A, Black</t>
  </si>
  <si>
    <t>orang/kali</t>
  </si>
  <si>
    <t>Tinta Printer
Spesifikasi : Epson 003, Warna (Yellow,Cyan, Magenta)</t>
  </si>
  <si>
    <t>Map
Spesifikasi : Map biasa isi 50 pcs</t>
  </si>
  <si>
    <t>Belanja Publikasi Online
Spesifikasi : Publikasi Media Online ukuran 100x700 px, tayang 1 bulan</t>
  </si>
  <si>
    <t>Uang Harian Perjalanan Dinas Dalam Daerah Spesifikasi : Perjalanan Dinas Dalam Daerah
Lebih dari 8 jam</t>
  </si>
  <si>
    <t>Biaya transport perjalanan dinas antar kecamatan untuk Mobil &lt;2000cc
Spesifikasi : dari Cibinong ke Gunung Putri</t>
  </si>
  <si>
    <t>Biaya transport perjalanan dinas antar kecamatan untuk Mobil &lt;2000cc
Spesifikasi : dari Cibinong ke Babakan Madang</t>
  </si>
  <si>
    <t>5.1.02.01.01.0027</t>
  </si>
  <si>
    <t>Belanja Alat/Bahan untuk Kegiatan Kantor-Benda Pos</t>
  </si>
  <si>
    <t>Materai</t>
  </si>
  <si>
    <t>Pertemuan Penyusunan RKA 2027</t>
  </si>
  <si>
    <t>Pertemuan Penyusunan RKA Perubahan 2026</t>
  </si>
  <si>
    <t>0,35714</t>
  </si>
  <si>
    <t>5.2.02.10.002</t>
  </si>
  <si>
    <t>5.2.02.10.002.0003 Belanja Modal Peralatan Personal Computer</t>
  </si>
  <si>
    <t xml:space="preserve">Belanja Modal </t>
  </si>
  <si>
    <t>unit</t>
  </si>
  <si>
    <t>5.1.02.04.01.0004</t>
  </si>
  <si>
    <t>Belanja Perjalanan Dinas Paket Meeting Dalam Kota</t>
  </si>
  <si>
    <t xml:space="preserve">Orang / Hari </t>
  </si>
  <si>
    <t>Uang Harian Kegiatan Rapat atau Pertemuan di Luar Kantor (Residence)</t>
  </si>
  <si>
    <t>Setingkat Pejabat Eselon II ke bawah di Hotel Non Bintang (paket fullboard)</t>
  </si>
  <si>
    <t>Transport Kegiatan Rapat atau Pertemuan di Luar Kantor (Fullboard)</t>
  </si>
  <si>
    <t>Pertemuan Evaluasi Kinerja</t>
  </si>
  <si>
    <t>Hardisk Portable                         Spesifikasi : Kapasitas 4 TB</t>
  </si>
  <si>
    <t>Pemerintahan Kab. Bogor Tahun Anggaran 2027</t>
  </si>
  <si>
    <t>Odner
Spesifikasi : Bahan Plastik, Ukuran Folio, Warna Hijau</t>
  </si>
  <si>
    <t>0,428571</t>
  </si>
  <si>
    <t>0,642857</t>
  </si>
  <si>
    <t>0,714285</t>
  </si>
  <si>
    <t>0,5</t>
  </si>
  <si>
    <t>Alokasi 2027</t>
  </si>
  <si>
    <t>Alokasi 2026</t>
  </si>
  <si>
    <t xml:space="preserve">: Rp. </t>
  </si>
  <si>
    <t>: Rp. 24.226.000,-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</si>
</sst>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164" formatCode="0\ %"/>
    <numFmt numFmtId="165" formatCode="m\.d\.yy;@"/>
    <numFmt numFmtId="166" formatCode="_-&quot;Rp&quot;* #,##0_-;\-&quot;Rp&quot;* #,##0_-;_-&quot;Rp&quot;* &quot;-&quot;??_-;_-@_-"/>
  </numFmts>
  <fonts count="19" x14ac:knownFonts="1">
    <font>
      <sz val="10"/>
      <color rgb="FF000000"/>
      <name val="Times New Roman"/>
      <charset val="204"/>
    </font>
    <font>
      <b/>
      <sz val="12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72"/>
      <color rgb="FF000000"/>
      <name val="Algerian"/>
      <family val="5"/>
    </font>
    <font>
      <b/>
      <sz val="15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5"/>
      <color rgb="FF000000"/>
      <name val="Times New Roman"/>
      <family val="1"/>
    </font>
    <font>
      <sz val="14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4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403">
    <xf numFmtId="0" fontId="0" fillId="0" borderId="0" xfId="0" applyAlignment="1">
      <alignment horizontal="left" vertical="top"/>
    </xf>
    <xf numFmtId="41" fontId="3" fillId="0" borderId="0" xfId="1" applyFont="1" applyAlignment="1">
      <alignment horizontal="left" vertical="top"/>
    </xf>
    <xf numFmtId="0" fontId="6" fillId="0" borderId="17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10" fillId="0" borderId="31" xfId="0" applyNumberFormat="1" applyFont="1" applyBorder="1" applyAlignment="1">
      <alignment horizontal="left" vertical="top" shrinkToFit="1"/>
    </xf>
    <xf numFmtId="44" fontId="6" fillId="0" borderId="16" xfId="0" applyNumberFormat="1" applyFont="1" applyBorder="1" applyAlignment="1">
      <alignment horizontal="center" vertical="top" wrapText="1"/>
    </xf>
    <xf numFmtId="0" fontId="6" fillId="0" borderId="31" xfId="0" applyFont="1" applyBorder="1" applyAlignment="1">
      <alignment horizontal="left" vertical="top" wrapText="1"/>
    </xf>
    <xf numFmtId="165" fontId="10" fillId="0" borderId="31" xfId="0" applyNumberFormat="1" applyFont="1" applyBorder="1" applyAlignment="1">
      <alignment horizontal="left" vertical="top" shrinkToFit="1"/>
    </xf>
    <xf numFmtId="0" fontId="9" fillId="0" borderId="17" xfId="0" applyFont="1" applyBorder="1" applyAlignment="1">
      <alignment vertical="top" wrapText="1"/>
    </xf>
    <xf numFmtId="1" fontId="9" fillId="0" borderId="2" xfId="0" applyNumberFormat="1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left" vertical="center" shrinkToFit="1"/>
    </xf>
    <xf numFmtId="44" fontId="9" fillId="0" borderId="16" xfId="0" applyNumberFormat="1" applyFont="1" applyBorder="1" applyAlignment="1">
      <alignment vertical="center" shrinkToFit="1"/>
    </xf>
    <xf numFmtId="0" fontId="7" fillId="0" borderId="2" xfId="0" applyFont="1" applyBorder="1" applyAlignment="1">
      <alignment horizontal="center" vertical="center" wrapText="1"/>
    </xf>
    <xf numFmtId="0" fontId="6" fillId="0" borderId="17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44" fontId="6" fillId="0" borderId="16" xfId="0" applyNumberFormat="1" applyFont="1" applyBorder="1" applyAlignment="1">
      <alignment horizontal="right" vertical="top" wrapText="1"/>
    </xf>
    <xf numFmtId="0" fontId="6" fillId="0" borderId="33" xfId="0" applyFont="1" applyBorder="1" applyAlignment="1">
      <alignment vertical="top" wrapText="1"/>
    </xf>
    <xf numFmtId="0" fontId="6" fillId="0" borderId="34" xfId="0" applyFont="1" applyBorder="1" applyAlignment="1">
      <alignment vertical="top" wrapText="1"/>
    </xf>
    <xf numFmtId="0" fontId="6" fillId="0" borderId="3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 indent="2"/>
    </xf>
    <xf numFmtId="42" fontId="6" fillId="0" borderId="16" xfId="0" applyNumberFormat="1" applyFont="1" applyBorder="1" applyAlignment="1">
      <alignment horizontal="right" vertical="top" wrapText="1"/>
    </xf>
    <xf numFmtId="0" fontId="9" fillId="0" borderId="17" xfId="0" applyFont="1" applyBorder="1" applyAlignment="1">
      <alignment horizontal="left" vertical="top" wrapText="1"/>
    </xf>
    <xf numFmtId="1" fontId="9" fillId="0" borderId="4" xfId="0" applyNumberFormat="1" applyFont="1" applyBorder="1" applyAlignment="1">
      <alignment horizontal="center" vertical="center" shrinkToFit="1"/>
    </xf>
    <xf numFmtId="164" fontId="9" fillId="0" borderId="13" xfId="0" applyNumberFormat="1" applyFont="1" applyBorder="1" applyAlignment="1">
      <alignment horizontal="center" vertical="center" shrinkToFit="1"/>
    </xf>
    <xf numFmtId="42" fontId="7" fillId="0" borderId="26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top"/>
    </xf>
    <xf numFmtId="42" fontId="6" fillId="0" borderId="26" xfId="0" applyNumberFormat="1" applyFont="1" applyBorder="1" applyAlignment="1">
      <alignment horizontal="right" vertical="top" wrapText="1"/>
    </xf>
    <xf numFmtId="0" fontId="9" fillId="0" borderId="31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left" vertical="center" wrapText="1"/>
    </xf>
    <xf numFmtId="0" fontId="9" fillId="0" borderId="33" xfId="0" applyFont="1" applyBorder="1" applyAlignment="1">
      <alignment horizontal="left" vertical="top" wrapText="1"/>
    </xf>
    <xf numFmtId="1" fontId="9" fillId="0" borderId="36" xfId="0" applyNumberFormat="1" applyFont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left" vertical="top"/>
    </xf>
    <xf numFmtId="0" fontId="9" fillId="0" borderId="19" xfId="0" applyFont="1" applyBorder="1" applyAlignment="1">
      <alignment horizontal="left" vertical="top"/>
    </xf>
    <xf numFmtId="0" fontId="10" fillId="0" borderId="19" xfId="0" applyFont="1" applyBorder="1" applyAlignment="1">
      <alignment horizontal="left" vertical="top"/>
    </xf>
    <xf numFmtId="0" fontId="7" fillId="0" borderId="13" xfId="0" applyFont="1" applyBorder="1" applyAlignment="1">
      <alignment vertical="top" wrapText="1"/>
    </xf>
    <xf numFmtId="164" fontId="9" fillId="0" borderId="13" xfId="0" applyNumberFormat="1" applyFont="1" applyBorder="1" applyAlignment="1">
      <alignment horizontal="left" vertical="top" shrinkToFit="1"/>
    </xf>
    <xf numFmtId="42" fontId="7" fillId="0" borderId="16" xfId="0" applyNumberFormat="1" applyFont="1" applyBorder="1" applyAlignment="1">
      <alignment horizontal="right" vertical="center" wrapText="1"/>
    </xf>
    <xf numFmtId="0" fontId="6" fillId="0" borderId="17" xfId="0" applyFont="1" applyBorder="1" applyAlignment="1">
      <alignment horizontal="left" vertical="top" wrapText="1"/>
    </xf>
    <xf numFmtId="0" fontId="6" fillId="0" borderId="35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12" fillId="0" borderId="0" xfId="0" applyFont="1" applyAlignment="1">
      <alignment horizontal="left" vertical="top"/>
    </xf>
    <xf numFmtId="0" fontId="7" fillId="0" borderId="16" xfId="0" applyFont="1" applyBorder="1" applyAlignment="1">
      <alignment vertical="top" wrapText="1"/>
    </xf>
    <xf numFmtId="164" fontId="9" fillId="0" borderId="16" xfId="0" applyNumberFormat="1" applyFont="1" applyBorder="1" applyAlignment="1">
      <alignment vertical="top" shrinkToFit="1"/>
    </xf>
    <xf numFmtId="4" fontId="7" fillId="0" borderId="16" xfId="0" applyNumberFormat="1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36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166" fontId="7" fillId="0" borderId="16" xfId="0" applyNumberFormat="1" applyFont="1" applyBorder="1" applyAlignment="1">
      <alignment horizontal="right" vertical="center" wrapText="1"/>
    </xf>
    <xf numFmtId="166" fontId="6" fillId="0" borderId="16" xfId="0" applyNumberFormat="1" applyFont="1" applyBorder="1" applyAlignment="1">
      <alignment horizontal="right" vertical="center" wrapText="1"/>
    </xf>
    <xf numFmtId="41" fontId="9" fillId="0" borderId="0" xfId="1" applyFont="1" applyAlignment="1">
      <alignment horizontal="left" vertical="top"/>
    </xf>
    <xf numFmtId="42" fontId="7" fillId="0" borderId="13" xfId="0" applyNumberFormat="1" applyFont="1" applyBorder="1" applyAlignment="1">
      <alignment vertical="top" wrapText="1"/>
    </xf>
    <xf numFmtId="0" fontId="6" fillId="0" borderId="4" xfId="0" applyFont="1" applyBorder="1" applyAlignment="1">
      <alignment horizontal="left" vertical="top" wrapText="1" indent="2"/>
    </xf>
    <xf numFmtId="0" fontId="6" fillId="0" borderId="31" xfId="0" applyFont="1" applyBorder="1" applyAlignment="1">
      <alignment horizontal="center" vertical="top" wrapText="1"/>
    </xf>
    <xf numFmtId="3" fontId="6" fillId="0" borderId="37" xfId="0" applyNumberFormat="1" applyFont="1" applyBorder="1" applyAlignment="1">
      <alignment horizontal="right" vertical="top" wrapText="1" indent="2"/>
    </xf>
    <xf numFmtId="0" fontId="10" fillId="0" borderId="0" xfId="0" applyFont="1" applyAlignment="1">
      <alignment horizontal="left" vertical="top"/>
    </xf>
    <xf numFmtId="42" fontId="6" fillId="0" borderId="16" xfId="0" applyNumberFormat="1" applyFont="1" applyBorder="1" applyAlignment="1">
      <alignment horizontal="right" vertical="center" wrapText="1"/>
    </xf>
    <xf numFmtId="1" fontId="9" fillId="0" borderId="13" xfId="0" applyNumberFormat="1" applyFont="1" applyBorder="1" applyAlignment="1">
      <alignment horizontal="center" vertical="center" shrinkToFit="1"/>
    </xf>
    <xf numFmtId="164" fontId="9" fillId="0" borderId="4" xfId="0" applyNumberFormat="1" applyFont="1" applyBorder="1" applyAlignment="1">
      <alignment horizontal="left" vertical="center" shrinkToFi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41" fontId="9" fillId="0" borderId="1" xfId="1" applyFont="1" applyBorder="1" applyAlignment="1">
      <alignment horizontal="right" vertical="center" shrinkToFit="1"/>
    </xf>
    <xf numFmtId="41" fontId="6" fillId="0" borderId="3" xfId="1" applyFont="1" applyBorder="1" applyAlignment="1">
      <alignment horizontal="right" vertical="top" wrapText="1"/>
    </xf>
    <xf numFmtId="41" fontId="9" fillId="0" borderId="4" xfId="1" applyFont="1" applyBorder="1" applyAlignment="1">
      <alignment horizontal="right" vertical="center" shrinkToFit="1"/>
    </xf>
    <xf numFmtId="41" fontId="9" fillId="0" borderId="2" xfId="1" applyFont="1" applyBorder="1" applyAlignment="1">
      <alignment horizontal="right" vertical="center" shrinkToFit="1"/>
    </xf>
    <xf numFmtId="41" fontId="9" fillId="0" borderId="13" xfId="1" applyFont="1" applyBorder="1" applyAlignment="1">
      <alignment horizontal="right" vertical="center" shrinkToFit="1"/>
    </xf>
    <xf numFmtId="41" fontId="9" fillId="0" borderId="13" xfId="1" applyFont="1" applyBorder="1" applyAlignment="1">
      <alignment horizontal="right" vertical="top"/>
    </xf>
    <xf numFmtId="41" fontId="9" fillId="0" borderId="2" xfId="1" applyFont="1" applyBorder="1" applyAlignment="1">
      <alignment vertical="center" shrinkToFit="1"/>
    </xf>
    <xf numFmtId="41" fontId="6" fillId="0" borderId="3" xfId="1" applyFont="1" applyBorder="1" applyAlignment="1">
      <alignment vertical="top" wrapText="1"/>
    </xf>
    <xf numFmtId="0" fontId="6" fillId="0" borderId="26" xfId="0" applyFont="1" applyBorder="1" applyAlignment="1">
      <alignment horizontal="left" vertical="top" wrapText="1" indent="2"/>
    </xf>
    <xf numFmtId="42" fontId="7" fillId="0" borderId="16" xfId="0" applyNumberFormat="1" applyFont="1" applyBorder="1" applyAlignment="1">
      <alignment vertical="top" wrapText="1"/>
    </xf>
    <xf numFmtId="4" fontId="9" fillId="0" borderId="50" xfId="0" applyNumberFormat="1" applyFont="1" applyBorder="1" applyAlignment="1">
      <alignment horizontal="right" vertical="center" shrinkToFit="1"/>
    </xf>
    <xf numFmtId="4" fontId="9" fillId="0" borderId="3" xfId="0" applyNumberFormat="1" applyFont="1" applyBorder="1" applyAlignment="1">
      <alignment horizontal="right" vertical="center" shrinkToFit="1"/>
    </xf>
    <xf numFmtId="0" fontId="9" fillId="0" borderId="13" xfId="0" applyFont="1" applyBorder="1" applyAlignment="1">
      <alignment horizontal="left" vertical="top"/>
    </xf>
    <xf numFmtId="0" fontId="10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top" wrapText="1"/>
    </xf>
    <xf numFmtId="0" fontId="7" fillId="0" borderId="33" xfId="0" applyFont="1" applyBorder="1" applyAlignment="1">
      <alignment horizontal="center" vertical="center" wrapText="1"/>
    </xf>
    <xf numFmtId="42" fontId="7" fillId="0" borderId="16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4" fontId="9" fillId="0" borderId="31" xfId="0" applyNumberFormat="1" applyFont="1" applyBorder="1" applyAlignment="1">
      <alignment horizontal="right" vertical="center" shrinkToFit="1"/>
    </xf>
    <xf numFmtId="0" fontId="6" fillId="0" borderId="29" xfId="0" applyFont="1" applyBorder="1" applyAlignment="1">
      <alignment horizontal="center" vertical="top" wrapText="1"/>
    </xf>
    <xf numFmtId="166" fontId="10" fillId="0" borderId="16" xfId="0" applyNumberFormat="1" applyFont="1" applyBorder="1" applyAlignment="1">
      <alignment vertical="center" shrinkToFit="1"/>
    </xf>
    <xf numFmtId="1" fontId="9" fillId="2" borderId="4" xfId="0" applyNumberFormat="1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" fontId="9" fillId="2" borderId="13" xfId="0" applyNumberFormat="1" applyFont="1" applyFill="1" applyBorder="1" applyAlignment="1">
      <alignment horizontal="center" vertical="center" shrinkToFit="1"/>
    </xf>
    <xf numFmtId="0" fontId="7" fillId="2" borderId="13" xfId="0" applyFont="1" applyFill="1" applyBorder="1" applyAlignment="1">
      <alignment horizontal="center" vertical="center" wrapText="1"/>
    </xf>
    <xf numFmtId="1" fontId="9" fillId="2" borderId="58" xfId="0" applyNumberFormat="1" applyFont="1" applyFill="1" applyBorder="1" applyAlignment="1">
      <alignment horizontal="center" vertical="center" shrinkToFit="1"/>
    </xf>
    <xf numFmtId="0" fontId="7" fillId="2" borderId="58" xfId="0" applyFont="1" applyFill="1" applyBorder="1" applyAlignment="1">
      <alignment horizontal="center" vertical="center" wrapText="1"/>
    </xf>
    <xf numFmtId="1" fontId="9" fillId="2" borderId="8" xfId="0" applyNumberFormat="1" applyFont="1" applyFill="1" applyBorder="1" applyAlignment="1">
      <alignment horizontal="center" vertical="center" shrinkToFit="1"/>
    </xf>
    <xf numFmtId="0" fontId="7" fillId="2" borderId="5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shrinkToFit="1"/>
    </xf>
    <xf numFmtId="0" fontId="7" fillId="2" borderId="6" xfId="0" applyFont="1" applyFill="1" applyBorder="1" applyAlignment="1">
      <alignment horizontal="center" vertical="center" wrapText="1"/>
    </xf>
    <xf numFmtId="1" fontId="9" fillId="0" borderId="18" xfId="0" applyNumberFormat="1" applyFont="1" applyBorder="1" applyAlignment="1">
      <alignment horizontal="center" vertical="center" shrinkToFit="1"/>
    </xf>
    <xf numFmtId="0" fontId="9" fillId="0" borderId="32" xfId="0" applyFont="1" applyBorder="1" applyAlignment="1">
      <alignment vertical="top" wrapText="1"/>
    </xf>
    <xf numFmtId="1" fontId="9" fillId="2" borderId="59" xfId="0" applyNumberFormat="1" applyFont="1" applyFill="1" applyBorder="1" applyAlignment="1">
      <alignment horizontal="center" vertical="center" shrinkToFit="1"/>
    </xf>
    <xf numFmtId="0" fontId="7" fillId="2" borderId="53" xfId="0" applyFont="1" applyFill="1" applyBorder="1" applyAlignment="1">
      <alignment horizontal="center" vertical="center" wrapText="1"/>
    </xf>
    <xf numFmtId="41" fontId="9" fillId="2" borderId="1" xfId="1" applyFont="1" applyFill="1" applyBorder="1" applyAlignment="1">
      <alignment horizontal="right" vertical="center" shrinkToFit="1"/>
    </xf>
    <xf numFmtId="164" fontId="9" fillId="2" borderId="1" xfId="0" applyNumberFormat="1" applyFont="1" applyFill="1" applyBorder="1" applyAlignment="1">
      <alignment horizontal="left" vertical="center" shrinkToFit="1"/>
    </xf>
    <xf numFmtId="41" fontId="6" fillId="2" borderId="3" xfId="1" applyFont="1" applyFill="1" applyBorder="1" applyAlignment="1">
      <alignment horizontal="right" vertical="top" wrapText="1"/>
    </xf>
    <xf numFmtId="0" fontId="6" fillId="2" borderId="4" xfId="0" applyFont="1" applyFill="1" applyBorder="1" applyAlignment="1">
      <alignment vertical="top" wrapText="1"/>
    </xf>
    <xf numFmtId="1" fontId="9" fillId="2" borderId="2" xfId="0" applyNumberFormat="1" applyFont="1" applyFill="1" applyBorder="1" applyAlignment="1">
      <alignment horizontal="center" vertical="center" shrinkToFit="1"/>
    </xf>
    <xf numFmtId="41" fontId="9" fillId="2" borderId="4" xfId="1" applyFont="1" applyFill="1" applyBorder="1" applyAlignment="1">
      <alignment horizontal="right" vertical="center" shrinkToFit="1"/>
    </xf>
    <xf numFmtId="0" fontId="7" fillId="2" borderId="33" xfId="0" applyFont="1" applyFill="1" applyBorder="1" applyAlignment="1">
      <alignment horizontal="center" vertical="center" wrapText="1"/>
    </xf>
    <xf numFmtId="4" fontId="9" fillId="2" borderId="3" xfId="0" applyNumberFormat="1" applyFont="1" applyFill="1" applyBorder="1" applyAlignment="1">
      <alignment horizontal="right" vertical="center" shrinkToFit="1"/>
    </xf>
    <xf numFmtId="164" fontId="9" fillId="2" borderId="4" xfId="0" applyNumberFormat="1" applyFont="1" applyFill="1" applyBorder="1" applyAlignment="1">
      <alignment horizontal="left" vertical="center" shrinkToFit="1"/>
    </xf>
    <xf numFmtId="3" fontId="9" fillId="2" borderId="13" xfId="0" applyNumberFormat="1" applyFont="1" applyFill="1" applyBorder="1" applyAlignment="1">
      <alignment horizontal="center" vertical="center" shrinkToFit="1"/>
    </xf>
    <xf numFmtId="3" fontId="7" fillId="2" borderId="13" xfId="0" applyNumberFormat="1" applyFont="1" applyFill="1" applyBorder="1" applyAlignment="1">
      <alignment horizontal="center" vertical="center" wrapText="1"/>
    </xf>
    <xf numFmtId="3" fontId="9" fillId="2" borderId="4" xfId="0" applyNumberFormat="1" applyFont="1" applyFill="1" applyBorder="1" applyAlignment="1">
      <alignment horizontal="right" vertical="center" shrinkToFit="1"/>
    </xf>
    <xf numFmtId="3" fontId="9" fillId="2" borderId="1" xfId="0" applyNumberFormat="1" applyFont="1" applyFill="1" applyBorder="1" applyAlignment="1">
      <alignment horizontal="left" vertical="center" shrinkToFit="1"/>
    </xf>
    <xf numFmtId="3" fontId="7" fillId="2" borderId="13" xfId="0" applyNumberFormat="1" applyFont="1" applyFill="1" applyBorder="1" applyAlignment="1">
      <alignment horizontal="left" vertical="top" wrapText="1"/>
    </xf>
    <xf numFmtId="3" fontId="6" fillId="2" borderId="4" xfId="0" applyNumberFormat="1" applyFont="1" applyFill="1" applyBorder="1" applyAlignment="1">
      <alignment vertical="top" wrapText="1"/>
    </xf>
    <xf numFmtId="3" fontId="6" fillId="2" borderId="3" xfId="0" applyNumberFormat="1" applyFont="1" applyFill="1" applyBorder="1" applyAlignment="1">
      <alignment vertical="top" wrapText="1"/>
    </xf>
    <xf numFmtId="3" fontId="9" fillId="2" borderId="47" xfId="0" applyNumberFormat="1" applyFont="1" applyFill="1" applyBorder="1" applyAlignment="1">
      <alignment horizontal="center" vertical="center" shrinkToFit="1"/>
    </xf>
    <xf numFmtId="3" fontId="7" fillId="2" borderId="47" xfId="0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right" vertical="center" shrinkToFit="1"/>
    </xf>
    <xf numFmtId="3" fontId="6" fillId="2" borderId="50" xfId="0" applyNumberFormat="1" applyFont="1" applyFill="1" applyBorder="1" applyAlignment="1">
      <alignment vertical="top" wrapText="1"/>
    </xf>
    <xf numFmtId="3" fontId="9" fillId="2" borderId="15" xfId="0" applyNumberFormat="1" applyFont="1" applyFill="1" applyBorder="1" applyAlignment="1">
      <alignment horizontal="center" vertical="center" shrinkToFit="1"/>
    </xf>
    <xf numFmtId="3" fontId="7" fillId="2" borderId="10" xfId="0" applyNumberFormat="1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horizontal="center" vertical="center" wrapText="1"/>
    </xf>
    <xf numFmtId="3" fontId="9" fillId="2" borderId="3" xfId="0" applyNumberFormat="1" applyFont="1" applyFill="1" applyBorder="1" applyAlignment="1">
      <alignment horizontal="right" vertical="center" shrinkToFit="1"/>
    </xf>
    <xf numFmtId="3" fontId="9" fillId="2" borderId="4" xfId="0" applyNumberFormat="1" applyFont="1" applyFill="1" applyBorder="1" applyAlignment="1">
      <alignment horizontal="left" vertical="center" shrinkToFit="1"/>
    </xf>
    <xf numFmtId="3" fontId="7" fillId="2" borderId="33" xfId="0" applyNumberFormat="1" applyFont="1" applyFill="1" applyBorder="1" applyAlignment="1">
      <alignment horizontal="center" vertical="center" wrapText="1"/>
    </xf>
    <xf numFmtId="3" fontId="9" fillId="2" borderId="4" xfId="0" applyNumberFormat="1" applyFont="1" applyFill="1" applyBorder="1" applyAlignment="1">
      <alignment horizontal="center" vertical="center" shrinkToFit="1"/>
    </xf>
    <xf numFmtId="3" fontId="7" fillId="2" borderId="5" xfId="0" applyNumberFormat="1" applyFont="1" applyFill="1" applyBorder="1" applyAlignment="1">
      <alignment horizontal="center" vertical="center"/>
    </xf>
    <xf numFmtId="3" fontId="9" fillId="2" borderId="18" xfId="0" applyNumberFormat="1" applyFont="1" applyFill="1" applyBorder="1" applyAlignment="1">
      <alignment horizontal="center" vertical="center" shrinkToFit="1"/>
    </xf>
    <xf numFmtId="3" fontId="9" fillId="2" borderId="26" xfId="0" applyNumberFormat="1" applyFont="1" applyFill="1" applyBorder="1" applyAlignment="1">
      <alignment horizontal="right" vertical="center" shrinkToFit="1"/>
    </xf>
    <xf numFmtId="0" fontId="6" fillId="2" borderId="3" xfId="0" applyFont="1" applyFill="1" applyBorder="1" applyAlignment="1">
      <alignment vertical="top" wrapText="1"/>
    </xf>
    <xf numFmtId="1" fontId="9" fillId="2" borderId="36" xfId="0" applyNumberFormat="1" applyFont="1" applyFill="1" applyBorder="1" applyAlignment="1">
      <alignment horizontal="center" vertical="center" shrinkToFit="1"/>
    </xf>
    <xf numFmtId="41" fontId="9" fillId="2" borderId="55" xfId="1" applyFont="1" applyFill="1" applyBorder="1" applyAlignment="1">
      <alignment horizontal="right" vertical="center" shrinkToFit="1"/>
    </xf>
    <xf numFmtId="164" fontId="9" fillId="2" borderId="36" xfId="0" applyNumberFormat="1" applyFont="1" applyFill="1" applyBorder="1" applyAlignment="1">
      <alignment horizontal="left" vertical="center" shrinkToFit="1"/>
    </xf>
    <xf numFmtId="0" fontId="3" fillId="0" borderId="0" xfId="0" applyFont="1" applyAlignment="1">
      <alignment horizontal="left" vertical="top"/>
    </xf>
    <xf numFmtId="0" fontId="6" fillId="2" borderId="13" xfId="0" applyFont="1" applyFill="1" applyBorder="1" applyAlignment="1">
      <alignment horizontal="left" vertical="top" wrapText="1"/>
    </xf>
    <xf numFmtId="41" fontId="13" fillId="0" borderId="0" xfId="1" applyFont="1" applyAlignment="1">
      <alignment horizontal="left" vertical="top"/>
    </xf>
    <xf numFmtId="41" fontId="9" fillId="2" borderId="13" xfId="1" applyFont="1" applyFill="1" applyBorder="1" applyAlignment="1">
      <alignment horizontal="right" vertical="center" shrinkToFit="1"/>
    </xf>
    <xf numFmtId="164" fontId="9" fillId="2" borderId="13" xfId="0" applyNumberFormat="1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1" fontId="9" fillId="2" borderId="18" xfId="0" applyNumberFormat="1" applyFont="1" applyFill="1" applyBorder="1" applyAlignment="1">
      <alignment horizontal="center" vertical="center" shrinkToFit="1"/>
    </xf>
    <xf numFmtId="4" fontId="9" fillId="2" borderId="50" xfId="0" applyNumberFormat="1" applyFont="1" applyFill="1" applyBorder="1" applyAlignment="1">
      <alignment horizontal="right" vertical="center" shrinkToFit="1"/>
    </xf>
    <xf numFmtId="3" fontId="9" fillId="2" borderId="16" xfId="0" applyNumberFormat="1" applyFont="1" applyFill="1" applyBorder="1" applyAlignment="1">
      <alignment horizontal="center" vertical="center" shrinkToFit="1"/>
    </xf>
    <xf numFmtId="0" fontId="6" fillId="2" borderId="34" xfId="0" applyFont="1" applyFill="1" applyBorder="1" applyAlignment="1">
      <alignment vertical="top" wrapText="1"/>
    </xf>
    <xf numFmtId="0" fontId="9" fillId="2" borderId="34" xfId="0" applyFont="1" applyFill="1" applyBorder="1" applyAlignment="1">
      <alignment horizontal="left" vertical="top"/>
    </xf>
    <xf numFmtId="0" fontId="6" fillId="2" borderId="35" xfId="0" applyFont="1" applyFill="1" applyBorder="1" applyAlignment="1">
      <alignment vertical="top" wrapText="1"/>
    </xf>
    <xf numFmtId="3" fontId="7" fillId="2" borderId="55" xfId="0" applyNumberFormat="1" applyFont="1" applyFill="1" applyBorder="1" applyAlignment="1">
      <alignment vertical="top" wrapText="1"/>
    </xf>
    <xf numFmtId="3" fontId="9" fillId="2" borderId="56" xfId="0" applyNumberFormat="1" applyFont="1" applyFill="1" applyBorder="1" applyAlignment="1">
      <alignment vertical="top" wrapText="1"/>
    </xf>
    <xf numFmtId="0" fontId="7" fillId="2" borderId="9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shrinkToFit="1"/>
    </xf>
    <xf numFmtId="41" fontId="15" fillId="0" borderId="0" xfId="1" applyFont="1" applyAlignment="1">
      <alignment horizontal="left" vertical="center"/>
    </xf>
    <xf numFmtId="41" fontId="0" fillId="0" borderId="0" xfId="1" applyFont="1" applyAlignment="1">
      <alignment horizontal="left" vertical="top"/>
    </xf>
    <xf numFmtId="41" fontId="14" fillId="0" borderId="0" xfId="0" applyNumberFormat="1" applyFont="1" applyAlignment="1">
      <alignment horizontal="left" vertical="top"/>
    </xf>
    <xf numFmtId="3" fontId="9" fillId="2" borderId="6" xfId="0" applyNumberFormat="1" applyFont="1" applyFill="1" applyBorder="1" applyAlignment="1">
      <alignment horizontal="right" vertical="center" shrinkToFit="1"/>
    </xf>
    <xf numFmtId="3" fontId="9" fillId="2" borderId="6" xfId="0" applyNumberFormat="1" applyFont="1" applyFill="1" applyBorder="1" applyAlignment="1">
      <alignment horizontal="left" vertical="center" shrinkToFit="1"/>
    </xf>
    <xf numFmtId="41" fontId="16" fillId="0" borderId="0" xfId="1" applyFont="1" applyAlignment="1">
      <alignment horizontal="left" vertical="top"/>
    </xf>
    <xf numFmtId="166" fontId="6" fillId="0" borderId="16" xfId="0" applyNumberFormat="1" applyFont="1" applyBorder="1" applyAlignment="1">
      <alignment horizontal="center" vertical="top" wrapText="1"/>
    </xf>
    <xf numFmtId="166" fontId="9" fillId="0" borderId="16" xfId="0" applyNumberFormat="1" applyFont="1" applyBorder="1" applyAlignment="1">
      <alignment vertical="center" shrinkToFit="1"/>
    </xf>
    <xf numFmtId="166" fontId="6" fillId="0" borderId="16" xfId="0" applyNumberFormat="1" applyFont="1" applyBorder="1" applyAlignment="1">
      <alignment horizontal="right" vertical="top" wrapText="1"/>
    </xf>
    <xf numFmtId="41" fontId="13" fillId="0" borderId="0" xfId="1" applyFont="1" applyAlignment="1">
      <alignment horizontal="left" vertical="center"/>
    </xf>
    <xf numFmtId="41" fontId="9" fillId="0" borderId="0" xfId="0" applyNumberFormat="1" applyFont="1" applyAlignment="1">
      <alignment horizontal="left" vertical="top"/>
    </xf>
    <xf numFmtId="3" fontId="7" fillId="2" borderId="35" xfId="0" applyNumberFormat="1" applyFont="1" applyFill="1" applyBorder="1" applyAlignment="1">
      <alignment horizontal="center" vertical="center" wrapText="1"/>
    </xf>
    <xf numFmtId="3" fontId="9" fillId="2" borderId="33" xfId="0" applyNumberFormat="1" applyFont="1" applyFill="1" applyBorder="1" applyAlignment="1">
      <alignment horizontal="center" vertical="center" shrinkToFit="1"/>
    </xf>
    <xf numFmtId="3" fontId="9" fillId="2" borderId="37" xfId="0" applyNumberFormat="1" applyFont="1" applyFill="1" applyBorder="1" applyAlignment="1">
      <alignment horizontal="center" vertical="center" shrinkToFit="1"/>
    </xf>
    <xf numFmtId="41" fontId="0" fillId="0" borderId="0" xfId="0" applyNumberFormat="1" applyAlignment="1">
      <alignment horizontal="left" vertical="top"/>
    </xf>
    <xf numFmtId="3" fontId="9" fillId="2" borderId="47" xfId="0" quotePrefix="1" applyNumberFormat="1" applyFont="1" applyFill="1" applyBorder="1" applyAlignment="1">
      <alignment horizontal="center" vertical="center" shrinkToFit="1"/>
    </xf>
    <xf numFmtId="0" fontId="13" fillId="0" borderId="33" xfId="0" applyFont="1" applyBorder="1" applyAlignment="1">
      <alignment vertical="top" wrapText="1"/>
    </xf>
    <xf numFmtId="0" fontId="13" fillId="0" borderId="18" xfId="0" applyFont="1" applyBorder="1" applyAlignment="1">
      <alignment vertical="top" wrapText="1"/>
    </xf>
    <xf numFmtId="0" fontId="17" fillId="0" borderId="20" xfId="0" applyFont="1" applyBorder="1" applyAlignment="1">
      <alignment horizontal="left" vertical="top"/>
    </xf>
    <xf numFmtId="0" fontId="13" fillId="0" borderId="35" xfId="0" applyFont="1" applyBorder="1" applyAlignment="1">
      <alignment vertical="top" wrapText="1"/>
    </xf>
    <xf numFmtId="1" fontId="9" fillId="2" borderId="1" xfId="0" quotePrefix="1" applyNumberFormat="1" applyFont="1" applyFill="1" applyBorder="1" applyAlignment="1">
      <alignment horizontal="center" vertical="center" shrinkToFit="1"/>
    </xf>
    <xf numFmtId="0" fontId="7" fillId="0" borderId="16" xfId="0" applyFont="1" applyBorder="1" applyAlignment="1">
      <alignment horizontal="center" vertical="center" wrapText="1"/>
    </xf>
    <xf numFmtId="1" fontId="9" fillId="0" borderId="1" xfId="0" quotePrefix="1" applyNumberFormat="1" applyFont="1" applyBorder="1" applyAlignment="1">
      <alignment horizontal="center" vertical="center" shrinkToFit="1"/>
    </xf>
    <xf numFmtId="0" fontId="13" fillId="0" borderId="34" xfId="0" applyFont="1" applyBorder="1" applyAlignment="1">
      <alignment vertical="top" wrapText="1"/>
    </xf>
    <xf numFmtId="0" fontId="17" fillId="0" borderId="34" xfId="0" applyFont="1" applyBorder="1" applyAlignment="1">
      <alignment horizontal="left" vertical="top"/>
    </xf>
    <xf numFmtId="0" fontId="7" fillId="0" borderId="63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1" fontId="9" fillId="0" borderId="2" xfId="0" quotePrefix="1" applyNumberFormat="1" applyFont="1" applyBorder="1" applyAlignment="1">
      <alignment horizontal="center" vertical="center" shrinkToFit="1"/>
    </xf>
    <xf numFmtId="1" fontId="9" fillId="2" borderId="10" xfId="0" quotePrefix="1" applyNumberFormat="1" applyFont="1" applyFill="1" applyBorder="1" applyAlignment="1">
      <alignment horizontal="center" vertical="center" shrinkToFit="1"/>
    </xf>
    <xf numFmtId="3" fontId="15" fillId="0" borderId="37" xfId="0" applyNumberFormat="1" applyFont="1" applyBorder="1" applyAlignment="1">
      <alignment horizontal="right" vertical="top" wrapText="1" indent="2"/>
    </xf>
    <xf numFmtId="42" fontId="15" fillId="0" borderId="37" xfId="0" applyNumberFormat="1" applyFont="1" applyBorder="1" applyAlignment="1">
      <alignment horizontal="right" vertical="center" wrapText="1"/>
    </xf>
    <xf numFmtId="0" fontId="17" fillId="0" borderId="0" xfId="0" applyFont="1" applyAlignment="1">
      <alignment horizontal="left" vertical="top"/>
    </xf>
    <xf numFmtId="42" fontId="17" fillId="0" borderId="26" xfId="0" applyNumberFormat="1" applyFont="1" applyBorder="1" applyAlignment="1">
      <alignment horizontal="right" vertical="center" wrapText="1"/>
    </xf>
    <xf numFmtId="41" fontId="17" fillId="2" borderId="52" xfId="1" applyFont="1" applyFill="1" applyBorder="1" applyAlignment="1">
      <alignment horizontal="right" vertical="center" shrinkToFit="1"/>
    </xf>
    <xf numFmtId="0" fontId="6" fillId="0" borderId="0" xfId="0" applyFont="1" applyAlignment="1">
      <alignment horizontal="left" vertical="top" wrapText="1"/>
    </xf>
    <xf numFmtId="164" fontId="17" fillId="2" borderId="1" xfId="0" applyNumberFormat="1" applyFont="1" applyFill="1" applyBorder="1" applyAlignment="1">
      <alignment horizontal="left" vertical="center" shrinkToFit="1"/>
    </xf>
    <xf numFmtId="3" fontId="9" fillId="2" borderId="56" xfId="0" applyNumberFormat="1" applyFont="1" applyFill="1" applyBorder="1" applyAlignment="1">
      <alignment horizontal="center" vertical="center" shrinkToFit="1"/>
    </xf>
    <xf numFmtId="1" fontId="9" fillId="0" borderId="35" xfId="0" applyNumberFormat="1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 wrapText="1"/>
    </xf>
    <xf numFmtId="41" fontId="9" fillId="0" borderId="34" xfId="1" applyFont="1" applyBorder="1" applyAlignment="1">
      <alignment horizontal="right" vertical="center" shrinkToFit="1"/>
    </xf>
    <xf numFmtId="164" fontId="9" fillId="0" borderId="34" xfId="0" applyNumberFormat="1" applyFont="1" applyBorder="1" applyAlignment="1">
      <alignment horizontal="center" vertical="center" shrinkToFit="1"/>
    </xf>
    <xf numFmtId="0" fontId="6" fillId="0" borderId="34" xfId="0" applyFont="1" applyBorder="1" applyAlignment="1">
      <alignment horizontal="left" vertical="top" wrapText="1"/>
    </xf>
    <xf numFmtId="0" fontId="10" fillId="0" borderId="34" xfId="0" applyFont="1" applyBorder="1" applyAlignment="1">
      <alignment horizontal="left" vertical="top" wrapText="1"/>
    </xf>
    <xf numFmtId="0" fontId="10" fillId="0" borderId="20" xfId="0" applyFont="1" applyBorder="1" applyAlignment="1">
      <alignment vertical="top" wrapText="1"/>
    </xf>
    <xf numFmtId="1" fontId="9" fillId="0" borderId="60" xfId="0" applyNumberFormat="1" applyFont="1" applyBorder="1" applyAlignment="1">
      <alignment horizontal="center" vertical="center" shrinkToFit="1"/>
    </xf>
    <xf numFmtId="0" fontId="7" fillId="0" borderId="60" xfId="0" applyFont="1" applyBorder="1" applyAlignment="1">
      <alignment horizontal="center" vertical="center" wrapText="1"/>
    </xf>
    <xf numFmtId="41" fontId="9" fillId="0" borderId="0" xfId="1" applyFont="1" applyBorder="1" applyAlignment="1">
      <alignment horizontal="right" vertical="center" shrinkToFit="1"/>
    </xf>
    <xf numFmtId="164" fontId="9" fillId="0" borderId="0" xfId="0" applyNumberFormat="1" applyFont="1" applyAlignment="1">
      <alignment horizontal="center" vertical="center" shrinkToFit="1"/>
    </xf>
    <xf numFmtId="42" fontId="6" fillId="0" borderId="64" xfId="0" applyNumberFormat="1" applyFont="1" applyBorder="1" applyAlignment="1">
      <alignment horizontal="right" vertical="top" wrapText="1"/>
    </xf>
    <xf numFmtId="42" fontId="7" fillId="0" borderId="13" xfId="0" applyNumberFormat="1" applyFont="1" applyBorder="1" applyAlignment="1">
      <alignment horizontal="right" vertical="center" wrapText="1"/>
    </xf>
    <xf numFmtId="42" fontId="6" fillId="0" borderId="39" xfId="0" applyNumberFormat="1" applyFont="1" applyBorder="1" applyAlignment="1">
      <alignment horizontal="right" vertical="center" wrapText="1"/>
    </xf>
    <xf numFmtId="164" fontId="9" fillId="0" borderId="4" xfId="0" applyNumberFormat="1" applyFont="1" applyBorder="1" applyAlignment="1">
      <alignment horizontal="center" vertical="center" shrinkToFit="1"/>
    </xf>
    <xf numFmtId="3" fontId="18" fillId="2" borderId="1" xfId="0" applyNumberFormat="1" applyFont="1" applyFill="1" applyBorder="1" applyAlignment="1">
      <alignment horizontal="right" vertical="center" shrinkToFit="1"/>
    </xf>
    <xf numFmtId="3" fontId="18" fillId="2" borderId="1" xfId="0" applyNumberFormat="1" applyFont="1" applyFill="1" applyBorder="1" applyAlignment="1">
      <alignment horizontal="left" vertical="center" shrinkToFit="1"/>
    </xf>
    <xf numFmtId="42" fontId="18" fillId="0" borderId="16" xfId="0" applyNumberFormat="1" applyFont="1" applyBorder="1" applyAlignment="1">
      <alignment horizontal="right" vertical="center" wrapText="1"/>
    </xf>
    <xf numFmtId="3" fontId="18" fillId="2" borderId="47" xfId="0" applyNumberFormat="1" applyFont="1" applyFill="1" applyBorder="1" applyAlignment="1">
      <alignment horizontal="center" vertical="center" shrinkToFit="1"/>
    </xf>
    <xf numFmtId="3" fontId="18" fillId="2" borderId="47" xfId="0" applyNumberFormat="1" applyFont="1" applyFill="1" applyBorder="1" applyAlignment="1">
      <alignment horizontal="center" vertical="center" wrapText="1"/>
    </xf>
    <xf numFmtId="3" fontId="18" fillId="2" borderId="15" xfId="0" applyNumberFormat="1" applyFont="1" applyFill="1" applyBorder="1" applyAlignment="1">
      <alignment horizontal="center" vertical="center" shrinkToFit="1"/>
    </xf>
    <xf numFmtId="3" fontId="18" fillId="2" borderId="10" xfId="0" applyNumberFormat="1" applyFont="1" applyFill="1" applyBorder="1" applyAlignment="1">
      <alignment horizontal="center" vertical="center" wrapText="1"/>
    </xf>
    <xf numFmtId="3" fontId="18" fillId="2" borderId="13" xfId="0" applyNumberFormat="1" applyFont="1" applyFill="1" applyBorder="1" applyAlignment="1">
      <alignment horizontal="left" vertical="top" wrapText="1"/>
    </xf>
    <xf numFmtId="3" fontId="18" fillId="2" borderId="13" xfId="0" applyNumberFormat="1" applyFont="1" applyFill="1" applyBorder="1" applyAlignment="1">
      <alignment horizontal="center" vertical="center" shrinkToFit="1"/>
    </xf>
    <xf numFmtId="3" fontId="18" fillId="2" borderId="4" xfId="0" applyNumberFormat="1" applyFont="1" applyFill="1" applyBorder="1" applyAlignment="1">
      <alignment horizontal="center" vertical="center" wrapText="1"/>
    </xf>
    <xf numFmtId="3" fontId="18" fillId="2" borderId="15" xfId="0" applyNumberFormat="1" applyFont="1" applyFill="1" applyBorder="1" applyAlignment="1">
      <alignment vertical="top" wrapText="1"/>
    </xf>
    <xf numFmtId="3" fontId="18" fillId="2" borderId="13" xfId="0" applyNumberFormat="1" applyFont="1" applyFill="1" applyBorder="1" applyAlignment="1">
      <alignment vertical="top" wrapText="1"/>
    </xf>
    <xf numFmtId="1" fontId="18" fillId="0" borderId="4" xfId="0" applyNumberFormat="1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wrapText="1"/>
    </xf>
    <xf numFmtId="41" fontId="18" fillId="0" borderId="13" xfId="1" applyFont="1" applyBorder="1" applyAlignment="1">
      <alignment horizontal="right" vertical="center" shrinkToFit="1"/>
    </xf>
    <xf numFmtId="164" fontId="18" fillId="0" borderId="13" xfId="0" applyNumberFormat="1" applyFont="1" applyBorder="1" applyAlignment="1">
      <alignment horizontal="center" vertical="center" shrinkToFit="1"/>
    </xf>
    <xf numFmtId="42" fontId="18" fillId="0" borderId="26" xfId="0" applyNumberFormat="1" applyFont="1" applyBorder="1" applyAlignment="1">
      <alignment horizontal="right" vertical="center" wrapText="1"/>
    </xf>
    <xf numFmtId="41" fontId="18" fillId="0" borderId="2" xfId="1" applyFont="1" applyBorder="1" applyAlignment="1">
      <alignment horizontal="right" vertical="center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8" fillId="2" borderId="4" xfId="0" applyNumberFormat="1" applyFont="1" applyFill="1" applyBorder="1" applyAlignment="1">
      <alignment horizontal="center" vertical="center" shrinkToFit="1"/>
    </xf>
    <xf numFmtId="1" fontId="18" fillId="2" borderId="8" xfId="0" applyNumberFormat="1" applyFont="1" applyFill="1" applyBorder="1" applyAlignment="1">
      <alignment horizontal="center" vertical="center" shrinkToFit="1"/>
    </xf>
    <xf numFmtId="0" fontId="18" fillId="2" borderId="5" xfId="0" applyFont="1" applyFill="1" applyBorder="1" applyAlignment="1">
      <alignment horizontal="center" vertical="center" wrapText="1"/>
    </xf>
    <xf numFmtId="41" fontId="18" fillId="2" borderId="1" xfId="1" applyFont="1" applyFill="1" applyBorder="1" applyAlignment="1">
      <alignment horizontal="right" vertical="center" shrinkToFit="1"/>
    </xf>
    <xf numFmtId="0" fontId="7" fillId="2" borderId="65" xfId="0" applyFont="1" applyFill="1" applyBorder="1" applyAlignment="1">
      <alignment horizontal="center" vertical="center" wrapText="1"/>
    </xf>
    <xf numFmtId="1" fontId="9" fillId="2" borderId="60" xfId="0" applyNumberFormat="1" applyFont="1" applyFill="1" applyBorder="1" applyAlignment="1">
      <alignment horizontal="center" vertical="center" shrinkToFit="1"/>
    </xf>
    <xf numFmtId="1" fontId="18" fillId="0" borderId="2" xfId="0" applyNumberFormat="1" applyFont="1" applyBorder="1" applyAlignment="1">
      <alignment horizontal="center" vertical="center" shrinkToFit="1"/>
    </xf>
    <xf numFmtId="41" fontId="9" fillId="2" borderId="2" xfId="1" applyFont="1" applyFill="1" applyBorder="1" applyAlignment="1">
      <alignment horizontal="right" vertical="center" shrinkToFit="1"/>
    </xf>
    <xf numFmtId="1" fontId="18" fillId="2" borderId="10" xfId="0" applyNumberFormat="1" applyFont="1" applyFill="1" applyBorder="1" applyAlignment="1">
      <alignment horizontal="center" vertical="center" shrinkToFit="1"/>
    </xf>
    <xf numFmtId="1" fontId="18" fillId="0" borderId="8" xfId="0" applyNumberFormat="1" applyFont="1" applyBorder="1" applyAlignment="1">
      <alignment horizontal="center" vertical="center" shrinkToFit="1"/>
    </xf>
    <xf numFmtId="0" fontId="18" fillId="0" borderId="5" xfId="0" applyFont="1" applyBorder="1" applyAlignment="1">
      <alignment horizontal="center" vertical="center" wrapText="1"/>
    </xf>
    <xf numFmtId="1" fontId="18" fillId="0" borderId="13" xfId="0" applyNumberFormat="1" applyFont="1" applyBorder="1" applyAlignment="1">
      <alignment horizontal="center" vertical="center" shrinkToFit="1"/>
    </xf>
    <xf numFmtId="0" fontId="18" fillId="0" borderId="13" xfId="0" applyFont="1" applyBorder="1" applyAlignment="1">
      <alignment horizontal="center" vertical="center" wrapText="1"/>
    </xf>
    <xf numFmtId="3" fontId="7" fillId="2" borderId="15" xfId="0" applyNumberFormat="1" applyFont="1" applyFill="1" applyBorder="1" applyAlignment="1">
      <alignment horizontal="left" vertical="top" wrapText="1"/>
    </xf>
    <xf numFmtId="3" fontId="9" fillId="2" borderId="52" xfId="0" applyNumberFormat="1" applyFont="1" applyFill="1" applyBorder="1" applyAlignment="1">
      <alignment horizontal="right" vertical="center" shrinkToFit="1"/>
    </xf>
    <xf numFmtId="42" fontId="17" fillId="0" borderId="52" xfId="0" applyNumberFormat="1" applyFont="1" applyBorder="1" applyAlignment="1">
      <alignment horizontal="right" vertical="center" wrapText="1"/>
    </xf>
    <xf numFmtId="1" fontId="9" fillId="0" borderId="9" xfId="0" applyNumberFormat="1" applyFont="1" applyBorder="1" applyAlignment="1">
      <alignment horizontal="center" vertical="center" shrinkToFit="1"/>
    </xf>
    <xf numFmtId="41" fontId="9" fillId="0" borderId="15" xfId="1" applyFont="1" applyBorder="1" applyAlignment="1">
      <alignment horizontal="right" vertical="center" shrinkToFit="1"/>
    </xf>
    <xf numFmtId="3" fontId="17" fillId="2" borderId="52" xfId="0" applyNumberFormat="1" applyFont="1" applyFill="1" applyBorder="1" applyAlignment="1">
      <alignment horizontal="right" vertical="center" shrinkToFit="1"/>
    </xf>
    <xf numFmtId="41" fontId="17" fillId="0" borderId="52" xfId="1" applyFont="1" applyBorder="1" applyAlignment="1">
      <alignment horizontal="right" vertical="center" shrinkToFit="1"/>
    </xf>
    <xf numFmtId="0" fontId="7" fillId="2" borderId="13" xfId="0" applyFont="1" applyFill="1" applyBorder="1" applyAlignment="1">
      <alignment vertical="top" wrapText="1"/>
    </xf>
    <xf numFmtId="42" fontId="7" fillId="0" borderId="52" xfId="0" applyNumberFormat="1" applyFont="1" applyBorder="1" applyAlignment="1">
      <alignment horizontal="right" vertical="center" wrapText="1"/>
    </xf>
    <xf numFmtId="0" fontId="5" fillId="0" borderId="22" xfId="0" applyFont="1" applyBorder="1" applyAlignment="1">
      <alignment horizontal="center" vertical="top" wrapText="1"/>
    </xf>
    <xf numFmtId="0" fontId="5" fillId="0" borderId="23" xfId="0" applyFont="1" applyBorder="1" applyAlignment="1">
      <alignment horizontal="center" vertical="top" wrapText="1"/>
    </xf>
    <xf numFmtId="0" fontId="5" fillId="0" borderId="51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2" fillId="0" borderId="25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26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26" xfId="0" applyFont="1" applyBorder="1" applyAlignment="1">
      <alignment horizontal="left" vertical="top" wrapText="1" indent="1"/>
    </xf>
    <xf numFmtId="0" fontId="6" fillId="0" borderId="17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26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6" fillId="0" borderId="27" xfId="0" applyFont="1" applyBorder="1" applyAlignment="1">
      <alignment horizontal="left" vertical="top" wrapText="1" indent="1"/>
    </xf>
    <xf numFmtId="0" fontId="6" fillId="0" borderId="29" xfId="0" applyFont="1" applyBorder="1" applyAlignment="1">
      <alignment horizontal="left" vertical="top" wrapText="1" inden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28" xfId="0" applyFont="1" applyBorder="1" applyAlignment="1">
      <alignment horizontal="left" vertical="top" wrapText="1" indent="3"/>
    </xf>
    <xf numFmtId="0" fontId="6" fillId="0" borderId="30" xfId="0" applyFont="1" applyBorder="1" applyAlignment="1">
      <alignment horizontal="left" vertical="top" wrapText="1" indent="3"/>
    </xf>
    <xf numFmtId="3" fontId="9" fillId="2" borderId="48" xfId="0" applyNumberFormat="1" applyFont="1" applyFill="1" applyBorder="1" applyAlignment="1">
      <alignment horizontal="left" vertical="top" wrapText="1"/>
    </xf>
    <xf numFmtId="3" fontId="9" fillId="2" borderId="49" xfId="0" applyNumberFormat="1" applyFont="1" applyFill="1" applyBorder="1" applyAlignment="1">
      <alignment horizontal="left" vertical="top" wrapText="1"/>
    </xf>
    <xf numFmtId="3" fontId="18" fillId="2" borderId="48" xfId="0" applyNumberFormat="1" applyFont="1" applyFill="1" applyBorder="1" applyAlignment="1">
      <alignment horizontal="left" vertical="top" wrapText="1"/>
    </xf>
    <xf numFmtId="3" fontId="18" fillId="2" borderId="49" xfId="0" applyNumberFormat="1" applyFont="1" applyFill="1" applyBorder="1" applyAlignment="1">
      <alignment horizontal="left" vertical="top" wrapText="1"/>
    </xf>
    <xf numFmtId="3" fontId="7" fillId="2" borderId="48" xfId="0" applyNumberFormat="1" applyFont="1" applyFill="1" applyBorder="1" applyAlignment="1">
      <alignment horizontal="left" vertical="top" wrapText="1"/>
    </xf>
    <xf numFmtId="3" fontId="6" fillId="2" borderId="52" xfId="0" applyNumberFormat="1" applyFont="1" applyFill="1" applyBorder="1" applyAlignment="1">
      <alignment horizontal="left" vertical="top" wrapText="1"/>
    </xf>
    <xf numFmtId="3" fontId="6" fillId="2" borderId="0" xfId="0" applyNumberFormat="1" applyFont="1" applyFill="1" applyAlignment="1">
      <alignment horizontal="left" vertical="top" wrapText="1"/>
    </xf>
    <xf numFmtId="3" fontId="7" fillId="2" borderId="13" xfId="0" applyNumberFormat="1" applyFont="1" applyFill="1" applyBorder="1" applyAlignment="1">
      <alignment horizontal="left" vertical="top" wrapText="1"/>
    </xf>
    <xf numFmtId="3" fontId="9" fillId="2" borderId="13" xfId="0" applyNumberFormat="1" applyFont="1" applyFill="1" applyBorder="1" applyAlignment="1">
      <alignment horizontal="left" vertical="top" wrapText="1"/>
    </xf>
    <xf numFmtId="3" fontId="6" fillId="2" borderId="13" xfId="0" applyNumberFormat="1" applyFont="1" applyFill="1" applyBorder="1" applyAlignment="1">
      <alignment horizontal="left" vertical="top" wrapText="1"/>
    </xf>
    <xf numFmtId="3" fontId="15" fillId="2" borderId="18" xfId="0" applyNumberFormat="1" applyFont="1" applyFill="1" applyBorder="1" applyAlignment="1">
      <alignment horizontal="left" vertical="top" wrapText="1"/>
    </xf>
    <xf numFmtId="3" fontId="15" fillId="2" borderId="19" xfId="0" applyNumberFormat="1" applyFont="1" applyFill="1" applyBorder="1" applyAlignment="1">
      <alignment horizontal="left" vertical="top" wrapText="1"/>
    </xf>
    <xf numFmtId="3" fontId="6" fillId="2" borderId="2" xfId="0" applyNumberFormat="1" applyFont="1" applyFill="1" applyBorder="1" applyAlignment="1">
      <alignment horizontal="left" vertical="top" wrapText="1"/>
    </xf>
    <xf numFmtId="3" fontId="6" fillId="2" borderId="3" xfId="0" applyNumberFormat="1" applyFont="1" applyFill="1" applyBorder="1" applyAlignment="1">
      <alignment horizontal="left" vertical="top" wrapText="1"/>
    </xf>
    <xf numFmtId="0" fontId="6" fillId="2" borderId="13" xfId="0" applyFont="1" applyFill="1" applyBorder="1" applyAlignment="1">
      <alignment horizontal="left" vertical="top" wrapText="1"/>
    </xf>
    <xf numFmtId="3" fontId="7" fillId="2" borderId="15" xfId="0" applyNumberFormat="1" applyFont="1" applyFill="1" applyBorder="1" applyAlignment="1">
      <alignment horizontal="left" vertical="top" wrapText="1"/>
    </xf>
    <xf numFmtId="3" fontId="9" fillId="2" borderId="15" xfId="0" applyNumberFormat="1" applyFont="1" applyFill="1" applyBorder="1" applyAlignment="1">
      <alignment horizontal="left" vertical="top" wrapText="1"/>
    </xf>
    <xf numFmtId="0" fontId="18" fillId="2" borderId="13" xfId="0" applyFont="1" applyFill="1" applyBorder="1" applyAlignment="1">
      <alignment horizontal="left" vertical="top" wrapText="1"/>
    </xf>
    <xf numFmtId="0" fontId="18" fillId="0" borderId="35" xfId="0" applyFont="1" applyBorder="1" applyAlignment="1">
      <alignment horizontal="right" vertical="center" wrapText="1"/>
    </xf>
    <xf numFmtId="0" fontId="18" fillId="0" borderId="36" xfId="0" applyFont="1" applyBorder="1" applyAlignment="1">
      <alignment horizontal="right" vertical="center" wrapText="1"/>
    </xf>
    <xf numFmtId="0" fontId="6" fillId="2" borderId="7" xfId="0" applyFont="1" applyFill="1" applyBorder="1" applyAlignment="1">
      <alignment horizontal="left" vertical="top" wrapText="1"/>
    </xf>
    <xf numFmtId="0" fontId="6" fillId="2" borderId="60" xfId="0" applyFont="1" applyFill="1" applyBorder="1" applyAlignment="1">
      <alignment horizontal="left" vertical="top" wrapText="1"/>
    </xf>
    <xf numFmtId="0" fontId="7" fillId="2" borderId="17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13" xfId="0" applyFont="1" applyFill="1" applyBorder="1" applyAlignment="1">
      <alignment horizontal="left" vertical="top" wrapText="1"/>
    </xf>
    <xf numFmtId="0" fontId="9" fillId="2" borderId="13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26" xfId="0" applyFont="1" applyBorder="1" applyAlignment="1">
      <alignment horizontal="left" vertical="top" wrapText="1" indent="2"/>
    </xf>
    <xf numFmtId="164" fontId="9" fillId="0" borderId="2" xfId="0" applyNumberFormat="1" applyFont="1" applyBorder="1" applyAlignment="1">
      <alignment horizontal="left" vertical="top" shrinkToFit="1"/>
    </xf>
    <xf numFmtId="164" fontId="9" fillId="0" borderId="26" xfId="0" applyNumberFormat="1" applyFont="1" applyBorder="1" applyAlignment="1">
      <alignment horizontal="left" vertical="top" shrinkToFit="1"/>
    </xf>
    <xf numFmtId="44" fontId="7" fillId="0" borderId="2" xfId="0" applyNumberFormat="1" applyFont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2" borderId="18" xfId="0" applyNumberFormat="1" applyFont="1" applyFill="1" applyBorder="1" applyAlignment="1">
      <alignment horizontal="left" vertical="top" wrapText="1"/>
    </xf>
    <xf numFmtId="3" fontId="6" fillId="2" borderId="19" xfId="0" applyNumberFormat="1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left" vertical="top" wrapText="1"/>
    </xf>
    <xf numFmtId="0" fontId="9" fillId="2" borderId="15" xfId="0" applyFont="1" applyFill="1" applyBorder="1" applyAlignment="1">
      <alignment horizontal="left" vertical="top" wrapText="1"/>
    </xf>
    <xf numFmtId="0" fontId="6" fillId="0" borderId="35" xfId="0" applyFont="1" applyBorder="1" applyAlignment="1">
      <alignment horizontal="right" vertical="center" wrapText="1"/>
    </xf>
    <xf numFmtId="0" fontId="6" fillId="0" borderId="36" xfId="0" applyFont="1" applyBorder="1" applyAlignment="1">
      <alignment horizontal="right" vertical="center" wrapText="1"/>
    </xf>
    <xf numFmtId="0" fontId="9" fillId="2" borderId="2" xfId="0" applyFont="1" applyFill="1" applyBorder="1" applyAlignment="1">
      <alignment horizontal="left" vertical="top" wrapText="1"/>
    </xf>
    <xf numFmtId="0" fontId="9" fillId="2" borderId="4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4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2" fillId="0" borderId="24" xfId="0" applyFont="1" applyBorder="1" applyAlignment="1">
      <alignment horizontal="left" vertical="top" wrapText="1" indent="7"/>
    </xf>
    <xf numFmtId="0" fontId="2" fillId="0" borderId="23" xfId="0" applyFont="1" applyBorder="1" applyAlignment="1">
      <alignment horizontal="left" vertical="top" wrapText="1" indent="7"/>
    </xf>
    <xf numFmtId="0" fontId="2" fillId="0" borderId="25" xfId="0" applyFont="1" applyBorder="1" applyAlignment="1">
      <alignment horizontal="left" vertical="top" wrapText="1" indent="7"/>
    </xf>
    <xf numFmtId="42" fontId="7" fillId="0" borderId="2" xfId="0" applyNumberFormat="1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54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18" fillId="2" borderId="2" xfId="0" applyFont="1" applyFill="1" applyBorder="1" applyAlignment="1">
      <alignment horizontal="left" vertical="top" wrapText="1"/>
    </xf>
    <xf numFmtId="0" fontId="18" fillId="2" borderId="4" xfId="0" applyFont="1" applyFill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9" fillId="2" borderId="24" xfId="0" applyNumberFormat="1" applyFont="1" applyFill="1" applyBorder="1" applyAlignment="1">
      <alignment horizontal="left" vertical="top" wrapText="1"/>
    </xf>
    <xf numFmtId="3" fontId="9" fillId="2" borderId="25" xfId="0" applyNumberFormat="1" applyFont="1" applyFill="1" applyBorder="1" applyAlignment="1">
      <alignment horizontal="left" vertical="top" wrapText="1"/>
    </xf>
    <xf numFmtId="3" fontId="7" fillId="2" borderId="2" xfId="0" applyNumberFormat="1" applyFont="1" applyFill="1" applyBorder="1" applyAlignment="1">
      <alignment horizontal="left" vertical="top" wrapText="1"/>
    </xf>
    <xf numFmtId="3" fontId="7" fillId="2" borderId="26" xfId="0" applyNumberFormat="1" applyFont="1" applyFill="1" applyBorder="1" applyAlignment="1">
      <alignment horizontal="left" vertical="top" wrapText="1"/>
    </xf>
    <xf numFmtId="0" fontId="6" fillId="0" borderId="39" xfId="0" applyFont="1" applyBorder="1" applyAlignment="1">
      <alignment horizontal="center" vertical="top" wrapText="1"/>
    </xf>
    <xf numFmtId="0" fontId="6" fillId="0" borderId="40" xfId="0" applyFont="1" applyBorder="1" applyAlignment="1">
      <alignment horizontal="center" vertical="top" wrapText="1"/>
    </xf>
    <xf numFmtId="0" fontId="6" fillId="0" borderId="66" xfId="0" applyFont="1" applyBorder="1" applyAlignment="1">
      <alignment horizontal="left" vertical="top" wrapText="1"/>
    </xf>
    <xf numFmtId="0" fontId="6" fillId="0" borderId="34" xfId="0" applyFont="1" applyBorder="1" applyAlignment="1">
      <alignment horizontal="left" vertical="top" wrapText="1"/>
    </xf>
    <xf numFmtId="0" fontId="6" fillId="0" borderId="67" xfId="0" applyFont="1" applyBorder="1" applyAlignment="1">
      <alignment horizontal="left" vertical="top" wrapText="1"/>
    </xf>
    <xf numFmtId="0" fontId="6" fillId="0" borderId="34" xfId="0" applyFont="1" applyBorder="1" applyAlignment="1">
      <alignment horizontal="right" vertical="top" wrapText="1"/>
    </xf>
    <xf numFmtId="0" fontId="6" fillId="0" borderId="62" xfId="0" applyFont="1" applyBorder="1" applyAlignment="1">
      <alignment horizontal="right" vertical="top" wrapText="1"/>
    </xf>
    <xf numFmtId="0" fontId="5" fillId="0" borderId="22" xfId="0" applyFont="1" applyBorder="1" applyAlignment="1">
      <alignment horizontal="left" vertical="top" wrapText="1" indent="18"/>
    </xf>
    <xf numFmtId="0" fontId="5" fillId="0" borderId="23" xfId="0" applyFont="1" applyBorder="1" applyAlignment="1">
      <alignment horizontal="left" vertical="top" wrapText="1" indent="18"/>
    </xf>
    <xf numFmtId="0" fontId="11" fillId="0" borderId="24" xfId="0" applyFont="1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25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42" fontId="6" fillId="0" borderId="2" xfId="0" applyNumberFormat="1" applyFont="1" applyBorder="1" applyAlignment="1">
      <alignment horizontal="center" vertical="center" wrapText="1"/>
    </xf>
    <xf numFmtId="42" fontId="6" fillId="0" borderId="26" xfId="0" applyNumberFormat="1" applyFont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left" vertical="top" wrapText="1"/>
    </xf>
    <xf numFmtId="0" fontId="9" fillId="2" borderId="21" xfId="0" applyFont="1" applyFill="1" applyBorder="1" applyAlignment="1">
      <alignment horizontal="left" vertical="top" wrapText="1"/>
    </xf>
    <xf numFmtId="0" fontId="7" fillId="2" borderId="18" xfId="0" applyFont="1" applyFill="1" applyBorder="1" applyAlignment="1">
      <alignment horizontal="left" vertical="top" wrapText="1"/>
    </xf>
    <xf numFmtId="0" fontId="9" fillId="2" borderId="20" xfId="0" applyFont="1" applyFill="1" applyBorder="1" applyAlignment="1">
      <alignment horizontal="left" vertical="top" wrapText="1"/>
    </xf>
    <xf numFmtId="0" fontId="6" fillId="2" borderId="52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6" fillId="2" borderId="12" xfId="0" applyFont="1" applyFill="1" applyBorder="1" applyAlignment="1">
      <alignment horizontal="left" vertical="top" wrapText="1"/>
    </xf>
    <xf numFmtId="0" fontId="7" fillId="2" borderId="49" xfId="0" applyFont="1" applyFill="1" applyBorder="1" applyAlignment="1">
      <alignment horizontal="left" vertical="top" wrapText="1"/>
    </xf>
    <xf numFmtId="0" fontId="7" fillId="2" borderId="2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left" vertical="top" wrapText="1"/>
    </xf>
    <xf numFmtId="0" fontId="6" fillId="2" borderId="20" xfId="0" applyFont="1" applyFill="1" applyBorder="1" applyAlignment="1">
      <alignment horizontal="left" vertical="top" wrapText="1"/>
    </xf>
    <xf numFmtId="3" fontId="6" fillId="2" borderId="61" xfId="0" applyNumberFormat="1" applyFont="1" applyFill="1" applyBorder="1" applyAlignment="1">
      <alignment horizontal="left" vertical="top" wrapText="1"/>
    </xf>
    <xf numFmtId="3" fontId="6" fillId="2" borderId="34" xfId="0" applyNumberFormat="1" applyFont="1" applyFill="1" applyBorder="1" applyAlignment="1">
      <alignment horizontal="left" vertical="top" wrapText="1"/>
    </xf>
    <xf numFmtId="3" fontId="6" fillId="2" borderId="62" xfId="0" applyNumberFormat="1" applyFont="1" applyFill="1" applyBorder="1" applyAlignment="1">
      <alignment horizontal="left" vertical="top" wrapText="1"/>
    </xf>
    <xf numFmtId="0" fontId="6" fillId="2" borderId="35" xfId="0" applyFont="1" applyFill="1" applyBorder="1" applyAlignment="1">
      <alignment horizontal="right" vertical="top" wrapText="1"/>
    </xf>
    <xf numFmtId="0" fontId="6" fillId="2" borderId="36" xfId="0" applyFont="1" applyFill="1" applyBorder="1" applyAlignment="1">
      <alignment horizontal="right" vertical="top" wrapText="1"/>
    </xf>
    <xf numFmtId="3" fontId="7" fillId="0" borderId="2" xfId="0" applyNumberFormat="1" applyFont="1" applyBorder="1" applyAlignment="1">
      <alignment horizontal="left" vertical="top" wrapText="1"/>
    </xf>
    <xf numFmtId="0" fontId="18" fillId="2" borderId="15" xfId="0" applyFont="1" applyFill="1" applyBorder="1" applyAlignment="1">
      <alignment horizontal="left" vertical="top" wrapText="1"/>
    </xf>
    <xf numFmtId="0" fontId="6" fillId="0" borderId="52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18" fillId="2" borderId="15" xfId="0" applyNumberFormat="1" applyFont="1" applyFill="1" applyBorder="1" applyAlignment="1">
      <alignment horizontal="left" vertical="top" wrapText="1"/>
    </xf>
    <xf numFmtId="3" fontId="18" fillId="2" borderId="13" xfId="0" applyNumberFormat="1" applyFont="1" applyFill="1" applyBorder="1" applyAlignment="1">
      <alignment horizontal="left" vertical="top" wrapText="1"/>
    </xf>
    <xf numFmtId="0" fontId="9" fillId="2" borderId="57" xfId="0" applyFont="1" applyFill="1" applyBorder="1" applyAlignment="1">
      <alignment horizontal="left" vertical="top" wrapText="1"/>
    </xf>
    <xf numFmtId="0" fontId="15" fillId="0" borderId="35" xfId="0" applyFont="1" applyBorder="1" applyAlignment="1">
      <alignment horizontal="right" vertical="top" wrapText="1"/>
    </xf>
    <xf numFmtId="0" fontId="15" fillId="0" borderId="36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18" fillId="0" borderId="18" xfId="0" applyFont="1" applyBorder="1" applyAlignment="1">
      <alignment horizontal="left" vertical="top" wrapText="1"/>
    </xf>
    <xf numFmtId="0" fontId="18" fillId="0" borderId="20" xfId="0" applyFont="1" applyBorder="1" applyAlignment="1">
      <alignment horizontal="left" vertical="top" wrapText="1"/>
    </xf>
    <xf numFmtId="0" fontId="9" fillId="2" borderId="18" xfId="0" applyFont="1" applyFill="1" applyBorder="1" applyAlignment="1">
      <alignment horizontal="left" vertical="top" wrapText="1"/>
    </xf>
    <xf numFmtId="0" fontId="10" fillId="0" borderId="2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top" wrapText="1"/>
    </xf>
    <xf numFmtId="0" fontId="4" fillId="0" borderId="42" xfId="0" applyFont="1" applyBorder="1" applyAlignment="1">
      <alignment horizontal="center" vertical="top" wrapText="1"/>
    </xf>
    <xf numFmtId="0" fontId="4" fillId="0" borderId="43" xfId="0" applyFont="1" applyBorder="1" applyAlignment="1">
      <alignment horizontal="center" vertical="top" wrapText="1"/>
    </xf>
    <xf numFmtId="0" fontId="4" fillId="0" borderId="44" xfId="0" applyFont="1" applyBorder="1" applyAlignment="1">
      <alignment horizontal="center" vertical="top"/>
    </xf>
    <xf numFmtId="0" fontId="4" fillId="0" borderId="45" xfId="0" applyFont="1" applyBorder="1" applyAlignment="1">
      <alignment horizontal="center" vertical="top"/>
    </xf>
    <xf numFmtId="0" fontId="4" fillId="0" borderId="46" xfId="0" applyFont="1" applyBorder="1" applyAlignment="1">
      <alignment horizontal="center" vertical="top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61C0-39C7-4D56-BE21-2999D1F49BAC}">
  <dimension ref="A1:L78"/>
  <sheetViews>
    <sheetView topLeftCell="A59" workbookViewId="0">
      <selection activeCell="G81" sqref="G81"/>
    </sheetView>
  </sheetViews>
  <sheetFormatPr defaultRowHeight="13.15" x14ac:dyDescent="0.4"/>
  <cols>
    <col min="1" max="1" width="21.85546875" customWidth="1"/>
    <col min="2" max="2" width="0.140625" customWidth="1"/>
    <col min="3" max="3" width="48.85546875" customWidth="1"/>
    <col min="4" max="4" width="12.640625" customWidth="1"/>
    <col min="5" max="5" width="11.85546875" customWidth="1"/>
    <col min="6" max="6" width="14" customWidth="1"/>
    <col min="7" max="7" width="5.85546875" customWidth="1"/>
    <col min="8" max="8" width="20.640625" customWidth="1"/>
    <col min="9" max="9" width="18.5" customWidth="1"/>
    <col min="14" max="14" width="11.5" bestFit="1" customWidth="1"/>
  </cols>
  <sheetData>
    <row r="1" spans="1:8" ht="51" customHeight="1" x14ac:dyDescent="0.4">
      <c r="A1" s="249" t="s">
        <v>15</v>
      </c>
      <c r="B1" s="250"/>
      <c r="C1" s="250"/>
      <c r="D1" s="250"/>
      <c r="E1" s="251"/>
      <c r="F1" s="252" t="s">
        <v>83</v>
      </c>
      <c r="G1" s="253"/>
      <c r="H1" s="254"/>
    </row>
    <row r="2" spans="1:8" ht="24" customHeight="1" x14ac:dyDescent="0.4">
      <c r="A2" s="255" t="s">
        <v>278</v>
      </c>
      <c r="B2" s="256"/>
      <c r="C2" s="256"/>
      <c r="D2" s="256"/>
      <c r="E2" s="256"/>
      <c r="F2" s="256"/>
      <c r="G2" s="256"/>
      <c r="H2" s="257"/>
    </row>
    <row r="3" spans="1:8" ht="24" customHeight="1" x14ac:dyDescent="0.4">
      <c r="A3" s="255" t="s">
        <v>14</v>
      </c>
      <c r="B3" s="256"/>
      <c r="C3" s="256"/>
      <c r="D3" s="256"/>
      <c r="E3" s="256"/>
      <c r="F3" s="256"/>
      <c r="G3" s="256"/>
      <c r="H3" s="257"/>
    </row>
    <row r="4" spans="1:8" ht="21" customHeight="1" x14ac:dyDescent="0.4">
      <c r="A4" s="258" t="s">
        <v>16</v>
      </c>
      <c r="B4" s="259"/>
      <c r="C4" s="260" t="s">
        <v>17</v>
      </c>
      <c r="D4" s="261"/>
      <c r="E4" s="261"/>
      <c r="F4" s="261"/>
      <c r="G4" s="261"/>
      <c r="H4" s="262"/>
    </row>
    <row r="5" spans="1:8" ht="21" customHeight="1" x14ac:dyDescent="0.4">
      <c r="A5" s="258" t="s">
        <v>18</v>
      </c>
      <c r="B5" s="259"/>
      <c r="C5" s="260" t="s">
        <v>19</v>
      </c>
      <c r="D5" s="261"/>
      <c r="E5" s="261"/>
      <c r="F5" s="261"/>
      <c r="G5" s="261"/>
      <c r="H5" s="262"/>
    </row>
    <row r="6" spans="1:8" ht="21" customHeight="1" x14ac:dyDescent="0.4">
      <c r="A6" s="258" t="s">
        <v>20</v>
      </c>
      <c r="B6" s="259"/>
      <c r="C6" s="260" t="s">
        <v>21</v>
      </c>
      <c r="D6" s="261"/>
      <c r="E6" s="261"/>
      <c r="F6" s="261"/>
      <c r="G6" s="261"/>
      <c r="H6" s="262"/>
    </row>
    <row r="7" spans="1:8" ht="21" customHeight="1" x14ac:dyDescent="0.4">
      <c r="A7" s="258" t="s">
        <v>22</v>
      </c>
      <c r="B7" s="259"/>
      <c r="C7" s="260" t="s">
        <v>23</v>
      </c>
      <c r="D7" s="261"/>
      <c r="E7" s="261"/>
      <c r="F7" s="261"/>
      <c r="G7" s="261"/>
      <c r="H7" s="262"/>
    </row>
    <row r="8" spans="1:8" ht="31.5" customHeight="1" x14ac:dyDescent="0.4">
      <c r="A8" s="258" t="s">
        <v>24</v>
      </c>
      <c r="B8" s="259"/>
      <c r="C8" s="260" t="s">
        <v>25</v>
      </c>
      <c r="D8" s="261"/>
      <c r="E8" s="261"/>
      <c r="F8" s="261"/>
      <c r="G8" s="261"/>
      <c r="H8" s="262"/>
    </row>
    <row r="9" spans="1:8" ht="21" customHeight="1" x14ac:dyDescent="0.4">
      <c r="A9" s="258" t="s">
        <v>26</v>
      </c>
      <c r="B9" s="259"/>
      <c r="C9" s="260" t="s">
        <v>27</v>
      </c>
      <c r="D9" s="261"/>
      <c r="E9" s="261"/>
      <c r="F9" s="261"/>
      <c r="G9" s="261"/>
      <c r="H9" s="262"/>
    </row>
    <row r="10" spans="1:8" ht="21" customHeight="1" x14ac:dyDescent="0.4">
      <c r="A10" s="258" t="s">
        <v>28</v>
      </c>
      <c r="B10" s="259"/>
      <c r="C10" s="260" t="s">
        <v>145</v>
      </c>
      <c r="D10" s="261"/>
      <c r="E10" s="261"/>
      <c r="F10" s="261"/>
      <c r="G10" s="261"/>
      <c r="H10" s="262"/>
    </row>
    <row r="11" spans="1:8" ht="21" customHeight="1" x14ac:dyDescent="0.4">
      <c r="A11" s="258" t="s">
        <v>30</v>
      </c>
      <c r="B11" s="259"/>
      <c r="C11" s="260" t="s">
        <v>23</v>
      </c>
      <c r="D11" s="261"/>
      <c r="E11" s="261"/>
      <c r="F11" s="261"/>
      <c r="G11" s="261"/>
      <c r="H11" s="262"/>
    </row>
    <row r="12" spans="1:8" ht="21" customHeight="1" x14ac:dyDescent="0.4">
      <c r="A12" s="258" t="s">
        <v>31</v>
      </c>
      <c r="B12" s="259"/>
      <c r="C12" s="260" t="s">
        <v>23</v>
      </c>
      <c r="D12" s="261"/>
      <c r="E12" s="261"/>
      <c r="F12" s="261"/>
      <c r="G12" s="261"/>
      <c r="H12" s="262"/>
    </row>
    <row r="13" spans="1:8" ht="21" customHeight="1" x14ac:dyDescent="0.4">
      <c r="A13" s="258" t="s">
        <v>32</v>
      </c>
      <c r="B13" s="259"/>
      <c r="C13" s="260" t="s">
        <v>33</v>
      </c>
      <c r="D13" s="261"/>
      <c r="E13" s="261"/>
      <c r="F13" s="261"/>
      <c r="G13" s="261"/>
      <c r="H13" s="262"/>
    </row>
    <row r="14" spans="1:8" ht="21" customHeight="1" x14ac:dyDescent="0.4">
      <c r="A14" s="258" t="s">
        <v>34</v>
      </c>
      <c r="B14" s="259"/>
      <c r="C14" s="260" t="s">
        <v>35</v>
      </c>
      <c r="D14" s="261"/>
      <c r="E14" s="261"/>
      <c r="F14" s="261"/>
      <c r="G14" s="261"/>
      <c r="H14" s="262"/>
    </row>
    <row r="15" spans="1:8" ht="21" customHeight="1" x14ac:dyDescent="0.4">
      <c r="A15" s="258" t="s">
        <v>36</v>
      </c>
      <c r="B15" s="259"/>
      <c r="C15" s="260" t="s">
        <v>37</v>
      </c>
      <c r="D15" s="261"/>
      <c r="E15" s="261"/>
      <c r="F15" s="261"/>
      <c r="G15" s="261"/>
      <c r="H15" s="262"/>
    </row>
    <row r="16" spans="1:8" ht="21" customHeight="1" x14ac:dyDescent="0.4">
      <c r="A16" s="258" t="s">
        <v>38</v>
      </c>
      <c r="B16" s="259"/>
      <c r="C16" s="260" t="s">
        <v>39</v>
      </c>
      <c r="D16" s="261"/>
      <c r="E16" s="261"/>
      <c r="F16" s="261"/>
      <c r="G16" s="261"/>
      <c r="H16" s="262"/>
    </row>
    <row r="17" spans="1:8" ht="21" customHeight="1" x14ac:dyDescent="0.4">
      <c r="A17" s="258" t="s">
        <v>40</v>
      </c>
      <c r="B17" s="259"/>
      <c r="C17" s="260" t="s">
        <v>41</v>
      </c>
      <c r="D17" s="261"/>
      <c r="E17" s="261"/>
      <c r="F17" s="261"/>
      <c r="G17" s="261"/>
      <c r="H17" s="262"/>
    </row>
    <row r="18" spans="1:8" ht="21" customHeight="1" x14ac:dyDescent="0.4">
      <c r="A18" s="258" t="s">
        <v>42</v>
      </c>
      <c r="B18" s="259"/>
      <c r="C18" s="260" t="s">
        <v>210</v>
      </c>
      <c r="D18" s="261"/>
      <c r="E18" s="261"/>
      <c r="F18" s="261"/>
      <c r="G18" s="261"/>
      <c r="H18" s="262"/>
    </row>
    <row r="19" spans="1:8" ht="21" customHeight="1" x14ac:dyDescent="0.4">
      <c r="A19" s="258" t="s">
        <v>44</v>
      </c>
      <c r="B19" s="259"/>
      <c r="C19" s="260" t="s">
        <v>152</v>
      </c>
      <c r="D19" s="261"/>
      <c r="E19" s="261"/>
      <c r="F19" s="261"/>
      <c r="G19" s="261"/>
      <c r="H19" s="262"/>
    </row>
    <row r="20" spans="1:8" ht="23.85" customHeight="1" x14ac:dyDescent="0.4">
      <c r="A20" s="263" t="s">
        <v>10</v>
      </c>
      <c r="B20" s="264"/>
      <c r="C20" s="264"/>
      <c r="D20" s="264"/>
      <c r="E20" s="264"/>
      <c r="F20" s="264"/>
      <c r="G20" s="264"/>
      <c r="H20" s="265"/>
    </row>
    <row r="21" spans="1:8" ht="23.85" customHeight="1" x14ac:dyDescent="0.4">
      <c r="A21" s="263" t="s">
        <v>11</v>
      </c>
      <c r="B21" s="266"/>
      <c r="C21" s="267" t="s">
        <v>12</v>
      </c>
      <c r="D21" s="264"/>
      <c r="E21" s="264"/>
      <c r="F21" s="264"/>
      <c r="G21" s="266"/>
      <c r="H21" s="77"/>
    </row>
    <row r="22" spans="1:8" ht="21" customHeight="1" x14ac:dyDescent="0.4">
      <c r="A22" s="258" t="s">
        <v>45</v>
      </c>
      <c r="B22" s="259"/>
      <c r="C22" s="268" t="s">
        <v>46</v>
      </c>
      <c r="D22" s="269"/>
      <c r="E22" s="269"/>
      <c r="F22" s="269"/>
      <c r="G22" s="259"/>
      <c r="H22" s="49">
        <v>1</v>
      </c>
    </row>
    <row r="23" spans="1:8" ht="21" customHeight="1" x14ac:dyDescent="0.4">
      <c r="A23" s="258" t="s">
        <v>47</v>
      </c>
      <c r="B23" s="259"/>
      <c r="C23" s="268" t="s">
        <v>48</v>
      </c>
      <c r="D23" s="269"/>
      <c r="E23" s="269"/>
      <c r="F23" s="269"/>
      <c r="G23" s="259"/>
      <c r="H23" s="78">
        <f>H36</f>
        <v>64600000</v>
      </c>
    </row>
    <row r="24" spans="1:8" ht="21" customHeight="1" x14ac:dyDescent="0.4">
      <c r="A24" s="258" t="s">
        <v>49</v>
      </c>
      <c r="B24" s="259"/>
      <c r="C24" s="268" t="s">
        <v>146</v>
      </c>
      <c r="D24" s="269"/>
      <c r="E24" s="269"/>
      <c r="F24" s="269"/>
      <c r="G24" s="259"/>
      <c r="H24" s="48" t="s">
        <v>147</v>
      </c>
    </row>
    <row r="25" spans="1:8" ht="21" customHeight="1" x14ac:dyDescent="0.4">
      <c r="A25" s="258" t="s">
        <v>52</v>
      </c>
      <c r="B25" s="259"/>
      <c r="C25" s="268" t="s">
        <v>53</v>
      </c>
      <c r="D25" s="269"/>
      <c r="E25" s="269"/>
      <c r="F25" s="269"/>
      <c r="G25" s="259"/>
      <c r="H25" s="48" t="s">
        <v>54</v>
      </c>
    </row>
    <row r="26" spans="1:8" ht="24" customHeight="1" x14ac:dyDescent="0.4">
      <c r="A26" s="263" t="s">
        <v>55</v>
      </c>
      <c r="B26" s="264"/>
      <c r="C26" s="264"/>
      <c r="D26" s="264"/>
      <c r="E26" s="264"/>
      <c r="F26" s="264"/>
      <c r="G26" s="264"/>
      <c r="H26" s="265"/>
    </row>
    <row r="27" spans="1:8" ht="21" customHeight="1" x14ac:dyDescent="0.4">
      <c r="A27" s="258" t="s">
        <v>28</v>
      </c>
      <c r="B27" s="259"/>
      <c r="C27" s="260" t="s">
        <v>145</v>
      </c>
      <c r="D27" s="261"/>
      <c r="E27" s="261"/>
      <c r="F27" s="261"/>
      <c r="G27" s="261"/>
      <c r="H27" s="262"/>
    </row>
    <row r="28" spans="1:8" ht="21" customHeight="1" x14ac:dyDescent="0.4">
      <c r="A28" s="258" t="s">
        <v>32</v>
      </c>
      <c r="B28" s="259"/>
      <c r="C28" s="260" t="s">
        <v>33</v>
      </c>
      <c r="D28" s="261"/>
      <c r="E28" s="261"/>
      <c r="F28" s="261"/>
      <c r="G28" s="261"/>
      <c r="H28" s="262"/>
    </row>
    <row r="29" spans="1:8" ht="21" customHeight="1" x14ac:dyDescent="0.4">
      <c r="A29" s="258" t="s">
        <v>34</v>
      </c>
      <c r="B29" s="259"/>
      <c r="C29" s="260" t="s">
        <v>56</v>
      </c>
      <c r="D29" s="261"/>
      <c r="E29" s="261"/>
      <c r="F29" s="261"/>
      <c r="G29" s="261"/>
      <c r="H29" s="262"/>
    </row>
    <row r="30" spans="1:8" ht="21" customHeight="1" x14ac:dyDescent="0.4">
      <c r="A30" s="258" t="s">
        <v>57</v>
      </c>
      <c r="B30" s="259"/>
      <c r="C30" s="260" t="s">
        <v>148</v>
      </c>
      <c r="D30" s="261"/>
      <c r="E30" s="261"/>
      <c r="F30" s="261"/>
      <c r="G30" s="261"/>
      <c r="H30" s="262"/>
    </row>
    <row r="31" spans="1:8" ht="21" customHeight="1" x14ac:dyDescent="0.4">
      <c r="A31" s="258" t="s">
        <v>36</v>
      </c>
      <c r="B31" s="259"/>
      <c r="C31" s="260" t="s">
        <v>37</v>
      </c>
      <c r="D31" s="261"/>
      <c r="E31" s="261"/>
      <c r="F31" s="261"/>
      <c r="G31" s="261"/>
      <c r="H31" s="262"/>
    </row>
    <row r="32" spans="1:8" ht="21" customHeight="1" x14ac:dyDescent="0.4">
      <c r="A32" s="258" t="s">
        <v>59</v>
      </c>
      <c r="B32" s="259"/>
      <c r="C32" s="260" t="s">
        <v>60</v>
      </c>
      <c r="D32" s="261"/>
      <c r="E32" s="261"/>
      <c r="F32" s="261"/>
      <c r="G32" s="261"/>
      <c r="H32" s="262"/>
    </row>
    <row r="33" spans="1:11" ht="21" customHeight="1" x14ac:dyDescent="0.4">
      <c r="A33" s="272" t="s">
        <v>0</v>
      </c>
      <c r="B33" s="273"/>
      <c r="C33" s="273"/>
      <c r="D33" s="273"/>
      <c r="E33" s="273"/>
      <c r="F33" s="273"/>
      <c r="G33" s="273"/>
      <c r="H33" s="274"/>
    </row>
    <row r="34" spans="1:11" ht="20.25" customHeight="1" x14ac:dyDescent="0.4">
      <c r="A34" s="275" t="s">
        <v>61</v>
      </c>
      <c r="B34" s="277" t="s">
        <v>62</v>
      </c>
      <c r="C34" s="278"/>
      <c r="D34" s="267" t="s">
        <v>63</v>
      </c>
      <c r="E34" s="264"/>
      <c r="F34" s="264"/>
      <c r="G34" s="266"/>
      <c r="H34" s="281" t="s">
        <v>64</v>
      </c>
    </row>
    <row r="35" spans="1:11" ht="20.25" customHeight="1" x14ac:dyDescent="0.4">
      <c r="A35" s="276"/>
      <c r="B35" s="279"/>
      <c r="C35" s="280"/>
      <c r="D35" s="6" t="s">
        <v>149</v>
      </c>
      <c r="E35" s="6" t="s">
        <v>2</v>
      </c>
      <c r="F35" s="4" t="s">
        <v>3</v>
      </c>
      <c r="G35" s="6" t="s">
        <v>6</v>
      </c>
      <c r="H35" s="282"/>
    </row>
    <row r="36" spans="1:11" ht="21" customHeight="1" x14ac:dyDescent="0.4">
      <c r="A36" s="7">
        <v>5</v>
      </c>
      <c r="B36" s="270" t="s">
        <v>66</v>
      </c>
      <c r="C36" s="271"/>
      <c r="D36" s="271"/>
      <c r="E36" s="271"/>
      <c r="F36" s="271"/>
      <c r="G36" s="271"/>
      <c r="H36" s="63">
        <f>H37</f>
        <v>64600000</v>
      </c>
    </row>
    <row r="37" spans="1:11" ht="21" customHeight="1" x14ac:dyDescent="0.4">
      <c r="A37" s="9" t="s">
        <v>67</v>
      </c>
      <c r="B37" s="270" t="s">
        <v>68</v>
      </c>
      <c r="C37" s="271"/>
      <c r="D37" s="271"/>
      <c r="E37" s="271"/>
      <c r="F37" s="271"/>
      <c r="G37" s="271"/>
      <c r="H37" s="63">
        <f>H38</f>
        <v>64600000</v>
      </c>
    </row>
    <row r="38" spans="1:11" ht="21" customHeight="1" x14ac:dyDescent="0.4">
      <c r="A38" s="10">
        <v>37377</v>
      </c>
      <c r="B38" s="270" t="s">
        <v>69</v>
      </c>
      <c r="C38" s="271"/>
      <c r="D38" s="271"/>
      <c r="E38" s="271"/>
      <c r="F38" s="271"/>
      <c r="G38" s="271"/>
      <c r="H38" s="63">
        <f>H39+H62</f>
        <v>64600000</v>
      </c>
    </row>
    <row r="39" spans="1:11" ht="21" customHeight="1" x14ac:dyDescent="0.4">
      <c r="A39" s="9" t="s">
        <v>70</v>
      </c>
      <c r="B39" s="270" t="s">
        <v>71</v>
      </c>
      <c r="C39" s="271"/>
      <c r="D39" s="271"/>
      <c r="E39" s="271"/>
      <c r="F39" s="271"/>
      <c r="G39" s="271"/>
      <c r="H39" s="63">
        <f>H40</f>
        <v>48246000</v>
      </c>
    </row>
    <row r="40" spans="1:11" ht="21" customHeight="1" x14ac:dyDescent="0.4">
      <c r="A40" s="9" t="s">
        <v>72</v>
      </c>
      <c r="B40" s="270" t="s">
        <v>73</v>
      </c>
      <c r="C40" s="271"/>
      <c r="D40" s="271"/>
      <c r="E40" s="271"/>
      <c r="F40" s="271"/>
      <c r="G40" s="271"/>
      <c r="H40" s="63">
        <f>H41+H44+H47+H51+H53+H58</f>
        <v>48246000</v>
      </c>
    </row>
    <row r="41" spans="1:11" ht="21" customHeight="1" x14ac:dyDescent="0.4">
      <c r="A41" s="9" t="s">
        <v>88</v>
      </c>
      <c r="B41" s="270" t="s">
        <v>89</v>
      </c>
      <c r="C41" s="271"/>
      <c r="D41" s="271"/>
      <c r="E41" s="271"/>
      <c r="F41" s="271"/>
      <c r="G41" s="271"/>
      <c r="H41" s="63">
        <f>SUM(H42:H43)</f>
        <v>958200</v>
      </c>
    </row>
    <row r="42" spans="1:11" ht="33" customHeight="1" x14ac:dyDescent="0.4">
      <c r="A42" s="26"/>
      <c r="B42" s="290" t="s">
        <v>279</v>
      </c>
      <c r="C42" s="291"/>
      <c r="D42" s="114">
        <v>12</v>
      </c>
      <c r="E42" s="115" t="s">
        <v>79</v>
      </c>
      <c r="F42" s="116">
        <v>72075</v>
      </c>
      <c r="G42" s="117"/>
      <c r="H42" s="43">
        <f>D42*F42</f>
        <v>864900</v>
      </c>
    </row>
    <row r="43" spans="1:11" ht="33" customHeight="1" x14ac:dyDescent="0.4">
      <c r="A43" s="26"/>
      <c r="B43" s="290" t="s">
        <v>217</v>
      </c>
      <c r="C43" s="291"/>
      <c r="D43" s="114">
        <v>12</v>
      </c>
      <c r="E43" s="115" t="s">
        <v>79</v>
      </c>
      <c r="F43" s="116">
        <v>7775</v>
      </c>
      <c r="G43" s="117"/>
      <c r="H43" s="43">
        <f>D43*F43</f>
        <v>93300</v>
      </c>
    </row>
    <row r="44" spans="1:11" ht="21" customHeight="1" x14ac:dyDescent="0.4">
      <c r="A44" s="2" t="s">
        <v>74</v>
      </c>
      <c r="B44" s="288" t="s">
        <v>75</v>
      </c>
      <c r="C44" s="289"/>
      <c r="D44" s="289"/>
      <c r="E44" s="289"/>
      <c r="F44" s="289"/>
      <c r="G44" s="119"/>
      <c r="H44" s="63">
        <f>SUM(H45:H46)</f>
        <v>2419875</v>
      </c>
    </row>
    <row r="45" spans="1:11" ht="33" customHeight="1" x14ac:dyDescent="0.4">
      <c r="A45" s="26"/>
      <c r="B45" s="290" t="s">
        <v>218</v>
      </c>
      <c r="C45" s="291"/>
      <c r="D45" s="114">
        <v>15</v>
      </c>
      <c r="E45" s="115" t="s">
        <v>76</v>
      </c>
      <c r="F45" s="116">
        <v>73450</v>
      </c>
      <c r="G45" s="117"/>
      <c r="H45" s="43">
        <f>D45*F45</f>
        <v>1101750</v>
      </c>
      <c r="K45" s="86"/>
    </row>
    <row r="46" spans="1:11" ht="33" customHeight="1" x14ac:dyDescent="0.4">
      <c r="A46" s="26"/>
      <c r="B46" s="290" t="s">
        <v>219</v>
      </c>
      <c r="C46" s="291"/>
      <c r="D46" s="114">
        <v>15</v>
      </c>
      <c r="E46" s="115" t="s">
        <v>76</v>
      </c>
      <c r="F46" s="116">
        <v>87875</v>
      </c>
      <c r="G46" s="117"/>
      <c r="H46" s="43">
        <f>D46*F46</f>
        <v>1318125</v>
      </c>
      <c r="K46" s="86"/>
    </row>
    <row r="47" spans="1:11" ht="21" customHeight="1" x14ac:dyDescent="0.4">
      <c r="A47" s="2" t="s">
        <v>90</v>
      </c>
      <c r="B47" s="292" t="s">
        <v>91</v>
      </c>
      <c r="C47" s="292"/>
      <c r="D47" s="292"/>
      <c r="E47" s="292"/>
      <c r="F47" s="120"/>
      <c r="G47" s="119"/>
      <c r="H47" s="63">
        <f>SUM(H48:H50)</f>
        <v>1307075</v>
      </c>
    </row>
    <row r="48" spans="1:11" ht="51" customHeight="1" x14ac:dyDescent="0.4">
      <c r="A48" s="32"/>
      <c r="B48" s="283" t="s">
        <v>144</v>
      </c>
      <c r="C48" s="284"/>
      <c r="D48" s="121">
        <v>14</v>
      </c>
      <c r="E48" s="122" t="s">
        <v>125</v>
      </c>
      <c r="F48" s="123">
        <v>33500</v>
      </c>
      <c r="G48" s="117"/>
      <c r="H48" s="43">
        <f>D48*F48</f>
        <v>469000</v>
      </c>
    </row>
    <row r="49" spans="1:12" ht="33" customHeight="1" x14ac:dyDescent="0.4">
      <c r="A49" s="32"/>
      <c r="B49" s="285" t="s">
        <v>224</v>
      </c>
      <c r="C49" s="286"/>
      <c r="D49" s="211">
        <v>2394</v>
      </c>
      <c r="E49" s="212" t="s">
        <v>92</v>
      </c>
      <c r="F49" s="208">
        <v>350</v>
      </c>
      <c r="G49" s="209"/>
      <c r="H49" s="210">
        <f t="shared" ref="H49:H50" si="0">D49*F49</f>
        <v>837900</v>
      </c>
      <c r="I49" s="241"/>
      <c r="L49" s="86"/>
    </row>
    <row r="50" spans="1:12" ht="33" customHeight="1" x14ac:dyDescent="0.4">
      <c r="A50" s="32"/>
      <c r="B50" s="287" t="s">
        <v>149</v>
      </c>
      <c r="C50" s="284"/>
      <c r="D50" s="171" t="s">
        <v>283</v>
      </c>
      <c r="E50" s="122" t="s">
        <v>92</v>
      </c>
      <c r="F50" s="123">
        <v>350</v>
      </c>
      <c r="G50" s="117"/>
      <c r="H50" s="43">
        <f t="shared" si="0"/>
        <v>175</v>
      </c>
      <c r="I50" s="242"/>
      <c r="L50" s="86"/>
    </row>
    <row r="51" spans="1:12" ht="33" customHeight="1" x14ac:dyDescent="0.4">
      <c r="A51" s="2" t="s">
        <v>260</v>
      </c>
      <c r="B51" s="288" t="s">
        <v>261</v>
      </c>
      <c r="C51" s="289"/>
      <c r="D51" s="289"/>
      <c r="E51" s="289"/>
      <c r="F51" s="289"/>
      <c r="G51" s="119"/>
      <c r="H51" s="63">
        <f>SUM(H52)</f>
        <v>750000</v>
      </c>
      <c r="I51" s="86"/>
      <c r="L51" s="86"/>
    </row>
    <row r="52" spans="1:12" ht="33" customHeight="1" x14ac:dyDescent="0.4">
      <c r="A52" s="26"/>
      <c r="B52" s="290" t="s">
        <v>262</v>
      </c>
      <c r="C52" s="291"/>
      <c r="D52" s="114">
        <v>75</v>
      </c>
      <c r="E52" s="115" t="s">
        <v>79</v>
      </c>
      <c r="F52" s="116">
        <v>10000</v>
      </c>
      <c r="G52" s="117"/>
      <c r="H52" s="43">
        <f t="shared" ref="H52" si="1">D52*F52</f>
        <v>750000</v>
      </c>
      <c r="I52" s="86"/>
      <c r="L52" s="86"/>
    </row>
    <row r="53" spans="1:12" ht="21" customHeight="1" x14ac:dyDescent="0.4">
      <c r="A53" s="2" t="s">
        <v>77</v>
      </c>
      <c r="B53" s="288" t="s">
        <v>78</v>
      </c>
      <c r="C53" s="289"/>
      <c r="D53" s="289"/>
      <c r="E53" s="289"/>
      <c r="F53" s="289"/>
      <c r="G53" s="119"/>
      <c r="H53" s="63">
        <f>SUM(H54:H57)</f>
        <v>21030850</v>
      </c>
    </row>
    <row r="54" spans="1:12" ht="33" customHeight="1" x14ac:dyDescent="0.4">
      <c r="A54" s="26"/>
      <c r="B54" s="290" t="s">
        <v>249</v>
      </c>
      <c r="C54" s="291"/>
      <c r="D54" s="114">
        <v>6</v>
      </c>
      <c r="E54" s="115" t="s">
        <v>79</v>
      </c>
      <c r="F54" s="116">
        <v>1092025</v>
      </c>
      <c r="G54" s="117"/>
      <c r="H54" s="43">
        <f t="shared" ref="H54:H57" si="2">D54*F54</f>
        <v>6552150</v>
      </c>
      <c r="I54" s="86"/>
    </row>
    <row r="55" spans="1:12" ht="33" customHeight="1" x14ac:dyDescent="0.4">
      <c r="A55" s="26"/>
      <c r="B55" s="298" t="s">
        <v>252</v>
      </c>
      <c r="C55" s="299"/>
      <c r="D55" s="114">
        <v>7</v>
      </c>
      <c r="E55" s="115" t="s">
        <v>79</v>
      </c>
      <c r="F55" s="116">
        <v>1699200</v>
      </c>
      <c r="G55" s="117"/>
      <c r="H55" s="43">
        <f t="shared" si="2"/>
        <v>11894400</v>
      </c>
      <c r="I55" s="86"/>
    </row>
    <row r="56" spans="1:12" ht="36.75" customHeight="1" x14ac:dyDescent="0.4">
      <c r="A56" s="26"/>
      <c r="B56" s="240"/>
      <c r="C56" s="247" t="s">
        <v>247</v>
      </c>
      <c r="D56" s="27">
        <v>11</v>
      </c>
      <c r="E56" s="16" t="s">
        <v>79</v>
      </c>
      <c r="F56" s="73">
        <v>108800</v>
      </c>
      <c r="G56" s="73"/>
      <c r="H56" s="43">
        <f t="shared" si="2"/>
        <v>1196800</v>
      </c>
      <c r="I56" s="248"/>
    </row>
    <row r="57" spans="1:12" ht="48.75" customHeight="1" x14ac:dyDescent="0.4">
      <c r="A57" s="26"/>
      <c r="B57" s="240"/>
      <c r="C57" s="247" t="s">
        <v>254</v>
      </c>
      <c r="D57" s="27">
        <v>15</v>
      </c>
      <c r="E57" s="16" t="s">
        <v>79</v>
      </c>
      <c r="F57" s="73">
        <v>92500</v>
      </c>
      <c r="G57" s="73"/>
      <c r="H57" s="43">
        <f t="shared" si="2"/>
        <v>1387500</v>
      </c>
      <c r="I57" s="248"/>
    </row>
    <row r="58" spans="1:12" ht="21" customHeight="1" x14ac:dyDescent="0.4">
      <c r="A58" s="2" t="s">
        <v>80</v>
      </c>
      <c r="B58" s="292" t="s">
        <v>81</v>
      </c>
      <c r="C58" s="292"/>
      <c r="D58" s="292"/>
      <c r="E58" s="292"/>
      <c r="F58" s="124"/>
      <c r="G58" s="119"/>
      <c r="H58" s="63">
        <f>H59</f>
        <v>21780000</v>
      </c>
    </row>
    <row r="59" spans="1:12" ht="21" customHeight="1" x14ac:dyDescent="0.4">
      <c r="A59" s="26"/>
      <c r="B59" s="215"/>
      <c r="C59" s="293" t="s">
        <v>151</v>
      </c>
      <c r="D59" s="294"/>
      <c r="E59" s="294"/>
      <c r="F59" s="128"/>
      <c r="G59" s="129" t="s">
        <v>7</v>
      </c>
      <c r="H59" s="63">
        <f>SUM(H60:H61)</f>
        <v>21780000</v>
      </c>
    </row>
    <row r="60" spans="1:12" ht="48.75" customHeight="1" x14ac:dyDescent="0.4">
      <c r="A60" s="26"/>
      <c r="B60" s="215"/>
      <c r="C60" s="218" t="s">
        <v>213</v>
      </c>
      <c r="D60" s="213">
        <v>440</v>
      </c>
      <c r="E60" s="214" t="s">
        <v>82</v>
      </c>
      <c r="F60" s="123">
        <v>33000</v>
      </c>
      <c r="G60" s="117"/>
      <c r="H60" s="43">
        <f>D60*F60</f>
        <v>14520000</v>
      </c>
    </row>
    <row r="61" spans="1:12" ht="48.75" customHeight="1" x14ac:dyDescent="0.4">
      <c r="A61" s="26"/>
      <c r="B61" s="215"/>
      <c r="C61" s="219" t="s">
        <v>214</v>
      </c>
      <c r="D61" s="216">
        <v>440</v>
      </c>
      <c r="E61" s="217" t="s">
        <v>82</v>
      </c>
      <c r="F61" s="208">
        <v>16500</v>
      </c>
      <c r="G61" s="209"/>
      <c r="H61" s="210">
        <f t="shared" ref="H61" si="3">D61*F61</f>
        <v>7260000</v>
      </c>
    </row>
    <row r="62" spans="1:12" ht="21" customHeight="1" x14ac:dyDescent="0.4">
      <c r="A62" s="9" t="s">
        <v>93</v>
      </c>
      <c r="B62" s="295" t="s">
        <v>94</v>
      </c>
      <c r="C62" s="296"/>
      <c r="D62" s="296"/>
      <c r="E62" s="296"/>
      <c r="F62" s="296"/>
      <c r="G62" s="296"/>
      <c r="H62" s="63">
        <f>H63+H66+H70</f>
        <v>16354000</v>
      </c>
    </row>
    <row r="63" spans="1:12" ht="21" customHeight="1" x14ac:dyDescent="0.4">
      <c r="A63" s="2" t="s">
        <v>215</v>
      </c>
      <c r="B63" s="292" t="s">
        <v>216</v>
      </c>
      <c r="C63" s="292"/>
      <c r="D63" s="114"/>
      <c r="E63" s="130"/>
      <c r="F63" s="128"/>
      <c r="G63" s="129"/>
      <c r="H63" s="63">
        <f>SUM(H64:H65)</f>
        <v>1600000</v>
      </c>
    </row>
    <row r="64" spans="1:12" ht="34.5" customHeight="1" x14ac:dyDescent="0.4">
      <c r="A64" s="26"/>
      <c r="B64" s="118"/>
      <c r="C64" s="152" t="s">
        <v>232</v>
      </c>
      <c r="D64" s="114">
        <v>4</v>
      </c>
      <c r="E64" s="127" t="s">
        <v>233</v>
      </c>
      <c r="F64" s="148">
        <v>185000</v>
      </c>
      <c r="G64" s="131"/>
      <c r="H64" s="85">
        <f>D64*F64</f>
        <v>740000</v>
      </c>
      <c r="I64" s="86"/>
    </row>
    <row r="65" spans="1:10" ht="35.25" customHeight="1" x14ac:dyDescent="0.4">
      <c r="A65" s="26"/>
      <c r="B65" s="118"/>
      <c r="C65" s="153" t="s">
        <v>227</v>
      </c>
      <c r="D65" s="133">
        <v>2</v>
      </c>
      <c r="E65" s="132" t="s">
        <v>228</v>
      </c>
      <c r="F65" s="148">
        <v>430000</v>
      </c>
      <c r="G65" s="134"/>
      <c r="H65" s="85">
        <f>D65*F65</f>
        <v>860000</v>
      </c>
      <c r="I65" s="86"/>
    </row>
    <row r="66" spans="1:10" ht="21.75" customHeight="1" x14ac:dyDescent="0.4">
      <c r="A66" s="44" t="s">
        <v>97</v>
      </c>
      <c r="B66" s="297" t="s">
        <v>98</v>
      </c>
      <c r="C66" s="297"/>
      <c r="D66" s="297"/>
      <c r="E66" s="297"/>
      <c r="F66" s="107"/>
      <c r="G66" s="108"/>
      <c r="H66" s="25">
        <f>SUM(H67:H69)</f>
        <v>2820000</v>
      </c>
      <c r="I66" s="86"/>
      <c r="J66" s="86"/>
    </row>
    <row r="67" spans="1:10" ht="48" customHeight="1" x14ac:dyDescent="0.4">
      <c r="A67" s="26"/>
      <c r="B67" s="307" t="s">
        <v>259</v>
      </c>
      <c r="C67" s="308"/>
      <c r="D67" s="93">
        <v>1</v>
      </c>
      <c r="E67" s="94" t="s">
        <v>99</v>
      </c>
      <c r="F67" s="110">
        <v>135000</v>
      </c>
      <c r="G67" s="106"/>
      <c r="H67" s="43">
        <f>D67*F67</f>
        <v>135000</v>
      </c>
      <c r="I67" s="86"/>
      <c r="J67" s="86"/>
    </row>
    <row r="68" spans="1:10" ht="48.75" customHeight="1" x14ac:dyDescent="0.4">
      <c r="A68" s="26"/>
      <c r="B68" s="307" t="s">
        <v>258</v>
      </c>
      <c r="C68" s="308"/>
      <c r="D68" s="93">
        <v>1</v>
      </c>
      <c r="E68" s="94" t="s">
        <v>99</v>
      </c>
      <c r="F68" s="110">
        <v>135000</v>
      </c>
      <c r="G68" s="106"/>
      <c r="H68" s="43">
        <f>D68*F68</f>
        <v>135000</v>
      </c>
      <c r="I68" s="86"/>
      <c r="J68" s="86"/>
    </row>
    <row r="69" spans="1:10" ht="48.75" customHeight="1" x14ac:dyDescent="0.4">
      <c r="A69" s="26"/>
      <c r="B69" s="300" t="s">
        <v>257</v>
      </c>
      <c r="C69" s="300"/>
      <c r="D69" s="228">
        <v>15</v>
      </c>
      <c r="E69" s="229" t="s">
        <v>82</v>
      </c>
      <c r="F69" s="230">
        <v>170000</v>
      </c>
      <c r="G69" s="191"/>
      <c r="H69" s="43">
        <f t="shared" ref="H69" si="4">D69*F69</f>
        <v>2550000</v>
      </c>
      <c r="I69" s="86"/>
      <c r="J69" s="86"/>
    </row>
    <row r="70" spans="1:10" ht="24" customHeight="1" x14ac:dyDescent="0.4">
      <c r="A70" s="17" t="s">
        <v>270</v>
      </c>
      <c r="B70" s="303" t="s">
        <v>271</v>
      </c>
      <c r="C70" s="304"/>
      <c r="D70" s="304"/>
      <c r="E70" s="304"/>
      <c r="F70" s="107"/>
      <c r="G70" s="18"/>
      <c r="H70" s="25">
        <f>SUM(H71:H73)</f>
        <v>11934000</v>
      </c>
      <c r="I70" s="86"/>
      <c r="J70" s="86"/>
    </row>
    <row r="71" spans="1:10" ht="33.75" customHeight="1" x14ac:dyDescent="0.4">
      <c r="A71" s="11"/>
      <c r="B71" s="305" t="s">
        <v>274</v>
      </c>
      <c r="C71" s="306"/>
      <c r="D71" s="109">
        <v>12</v>
      </c>
      <c r="E71" s="231" t="s">
        <v>272</v>
      </c>
      <c r="F71" s="148">
        <v>822000</v>
      </c>
      <c r="G71" s="207"/>
      <c r="H71" s="85">
        <f>D71*F71</f>
        <v>9864000</v>
      </c>
      <c r="I71" s="86"/>
      <c r="J71" s="86"/>
    </row>
    <row r="72" spans="1:10" ht="33.75" customHeight="1" x14ac:dyDescent="0.4">
      <c r="A72" s="102"/>
      <c r="B72" s="305" t="s">
        <v>273</v>
      </c>
      <c r="C72" s="306"/>
      <c r="D72" s="232">
        <v>12</v>
      </c>
      <c r="E72" s="231" t="s">
        <v>99</v>
      </c>
      <c r="F72" s="148">
        <v>150000</v>
      </c>
      <c r="G72" s="207"/>
      <c r="H72" s="85">
        <f>D72*F72</f>
        <v>1800000</v>
      </c>
      <c r="I72" s="86"/>
      <c r="J72" s="86"/>
    </row>
    <row r="73" spans="1:10" ht="34.5" customHeight="1" x14ac:dyDescent="0.4">
      <c r="A73" s="102"/>
      <c r="B73" s="305" t="s">
        <v>275</v>
      </c>
      <c r="C73" s="306"/>
      <c r="D73" s="232">
        <v>2</v>
      </c>
      <c r="E73" s="231" t="s">
        <v>99</v>
      </c>
      <c r="F73" s="148">
        <v>135000</v>
      </c>
      <c r="G73" s="207"/>
      <c r="H73" s="85">
        <f>D73*F73</f>
        <v>270000</v>
      </c>
      <c r="I73" s="86"/>
      <c r="J73" s="86"/>
    </row>
    <row r="74" spans="1:10" ht="24" customHeight="1" x14ac:dyDescent="0.4">
      <c r="A74" s="172"/>
      <c r="B74" s="173"/>
      <c r="C74" s="174"/>
      <c r="D74" s="175"/>
      <c r="E74" s="175"/>
      <c r="F74" s="301" t="s">
        <v>5</v>
      </c>
      <c r="G74" s="302"/>
      <c r="H74" s="186">
        <f>H36</f>
        <v>64600000</v>
      </c>
      <c r="I74" s="165">
        <v>64600000</v>
      </c>
    </row>
    <row r="77" spans="1:10" ht="15.4" x14ac:dyDescent="0.4">
      <c r="H77" s="166">
        <f>I74-H74</f>
        <v>0</v>
      </c>
    </row>
    <row r="78" spans="1:10" x14ac:dyDescent="0.4">
      <c r="F78" s="139"/>
      <c r="G78" s="139"/>
      <c r="H78" s="1"/>
    </row>
  </sheetData>
  <mergeCells count="98">
    <mergeCell ref="B67:C67"/>
    <mergeCell ref="B68:C68"/>
    <mergeCell ref="B69:C69"/>
    <mergeCell ref="F74:G74"/>
    <mergeCell ref="B70:E70"/>
    <mergeCell ref="B71:C71"/>
    <mergeCell ref="B72:C72"/>
    <mergeCell ref="B73:C73"/>
    <mergeCell ref="C59:E59"/>
    <mergeCell ref="B62:G62"/>
    <mergeCell ref="B63:C63"/>
    <mergeCell ref="B66:E66"/>
    <mergeCell ref="B54:C54"/>
    <mergeCell ref="B55:C55"/>
    <mergeCell ref="B58:E58"/>
    <mergeCell ref="B53:F53"/>
    <mergeCell ref="B42:C42"/>
    <mergeCell ref="B43:C43"/>
    <mergeCell ref="B44:F44"/>
    <mergeCell ref="B45:C45"/>
    <mergeCell ref="B46:C46"/>
    <mergeCell ref="B47:E47"/>
    <mergeCell ref="B48:C48"/>
    <mergeCell ref="B49:C49"/>
    <mergeCell ref="B50:C50"/>
    <mergeCell ref="B51:F51"/>
    <mergeCell ref="B52:C52"/>
    <mergeCell ref="B39:G39"/>
    <mergeCell ref="B40:G40"/>
    <mergeCell ref="B41:G41"/>
    <mergeCell ref="A31:B31"/>
    <mergeCell ref="C31:H31"/>
    <mergeCell ref="A32:B32"/>
    <mergeCell ref="C32:H32"/>
    <mergeCell ref="A33:H33"/>
    <mergeCell ref="A34:A35"/>
    <mergeCell ref="B34:C35"/>
    <mergeCell ref="D34:G34"/>
    <mergeCell ref="H34:H35"/>
    <mergeCell ref="A27:B27"/>
    <mergeCell ref="C27:H27"/>
    <mergeCell ref="B36:G36"/>
    <mergeCell ref="B37:G37"/>
    <mergeCell ref="B38:G38"/>
    <mergeCell ref="A24:B24"/>
    <mergeCell ref="C24:G24"/>
    <mergeCell ref="A25:B25"/>
    <mergeCell ref="C25:G25"/>
    <mergeCell ref="A26:H26"/>
    <mergeCell ref="A28:B28"/>
    <mergeCell ref="C28:H28"/>
    <mergeCell ref="A29:B29"/>
    <mergeCell ref="C29:H29"/>
    <mergeCell ref="A30:B30"/>
    <mergeCell ref="C30:H30"/>
    <mergeCell ref="A23:B23"/>
    <mergeCell ref="C23:G23"/>
    <mergeCell ref="A17:B17"/>
    <mergeCell ref="C17:H17"/>
    <mergeCell ref="A18:B18"/>
    <mergeCell ref="C18:H18"/>
    <mergeCell ref="A19:B19"/>
    <mergeCell ref="C19:H19"/>
    <mergeCell ref="A20:H20"/>
    <mergeCell ref="A21:B21"/>
    <mergeCell ref="C21:G21"/>
    <mergeCell ref="A22:B22"/>
    <mergeCell ref="C22:G22"/>
    <mergeCell ref="A11:B11"/>
    <mergeCell ref="C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H16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:E1"/>
    <mergeCell ref="F1:H1"/>
    <mergeCell ref="A2:H2"/>
    <mergeCell ref="A3:H3"/>
    <mergeCell ref="A4:B4"/>
    <mergeCell ref="C4:H4"/>
  </mergeCells>
  <pageMargins left="0.70866141732283472" right="0.11811023622047245" top="0.35433070866141736" bottom="0.35433070866141736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E081-FFF0-4AAB-AC7E-97CB0F5B47E7}">
  <dimension ref="A1:N61"/>
  <sheetViews>
    <sheetView topLeftCell="A42" workbookViewId="0">
      <selection activeCell="A20" sqref="A20:H20"/>
    </sheetView>
  </sheetViews>
  <sheetFormatPr defaultColWidth="8.85546875" defaultRowHeight="13.15" x14ac:dyDescent="0.4"/>
  <cols>
    <col min="1" max="1" width="21" customWidth="1"/>
    <col min="2" max="2" width="3.140625" customWidth="1"/>
    <col min="3" max="3" width="38.640625" customWidth="1"/>
    <col min="4" max="4" width="12.5" customWidth="1"/>
    <col min="5" max="5" width="13" customWidth="1"/>
    <col min="6" max="6" width="14" customWidth="1"/>
    <col min="7" max="7" width="6.35546875" customWidth="1"/>
    <col min="8" max="8" width="22" customWidth="1"/>
    <col min="9" max="9" width="16.35546875" customWidth="1"/>
    <col min="10" max="10" width="9.640625" customWidth="1"/>
    <col min="12" max="12" width="10.5" bestFit="1" customWidth="1"/>
    <col min="14" max="14" width="11.85546875" bestFit="1" customWidth="1"/>
  </cols>
  <sheetData>
    <row r="1" spans="1:8" ht="51" customHeight="1" x14ac:dyDescent="0.4">
      <c r="A1" s="249" t="s">
        <v>15</v>
      </c>
      <c r="B1" s="250"/>
      <c r="C1" s="250"/>
      <c r="D1" s="250"/>
      <c r="E1" s="251"/>
      <c r="F1" s="252" t="s">
        <v>83</v>
      </c>
      <c r="G1" s="253"/>
      <c r="H1" s="254"/>
    </row>
    <row r="2" spans="1:8" ht="24" customHeight="1" x14ac:dyDescent="0.4">
      <c r="A2" s="255" t="s">
        <v>245</v>
      </c>
      <c r="B2" s="256"/>
      <c r="C2" s="256"/>
      <c r="D2" s="256"/>
      <c r="E2" s="256"/>
      <c r="F2" s="256"/>
      <c r="G2" s="256"/>
      <c r="H2" s="257"/>
    </row>
    <row r="3" spans="1:8" ht="24" customHeight="1" x14ac:dyDescent="0.4">
      <c r="A3" s="255" t="s">
        <v>14</v>
      </c>
      <c r="B3" s="256"/>
      <c r="C3" s="256"/>
      <c r="D3" s="256"/>
      <c r="E3" s="256"/>
      <c r="F3" s="256"/>
      <c r="G3" s="256"/>
      <c r="H3" s="257"/>
    </row>
    <row r="4" spans="1:8" s="3" customFormat="1" ht="30.75" customHeight="1" x14ac:dyDescent="0.4">
      <c r="A4" s="258" t="s">
        <v>16</v>
      </c>
      <c r="B4" s="259"/>
      <c r="C4" s="260" t="s">
        <v>17</v>
      </c>
      <c r="D4" s="261"/>
      <c r="E4" s="261"/>
      <c r="F4" s="261"/>
      <c r="G4" s="261"/>
      <c r="H4" s="262"/>
    </row>
    <row r="5" spans="1:8" s="3" customFormat="1" ht="21" customHeight="1" x14ac:dyDescent="0.4">
      <c r="A5" s="258" t="s">
        <v>18</v>
      </c>
      <c r="B5" s="259"/>
      <c r="C5" s="260" t="s">
        <v>19</v>
      </c>
      <c r="D5" s="261"/>
      <c r="E5" s="261"/>
      <c r="F5" s="261"/>
      <c r="G5" s="261"/>
      <c r="H5" s="262"/>
    </row>
    <row r="6" spans="1:8" s="3" customFormat="1" ht="21" customHeight="1" x14ac:dyDescent="0.4">
      <c r="A6" s="258" t="s">
        <v>20</v>
      </c>
      <c r="B6" s="259"/>
      <c r="C6" s="260" t="s">
        <v>21</v>
      </c>
      <c r="D6" s="261"/>
      <c r="E6" s="261"/>
      <c r="F6" s="261"/>
      <c r="G6" s="261"/>
      <c r="H6" s="262"/>
    </row>
    <row r="7" spans="1:8" s="3" customFormat="1" ht="21" customHeight="1" x14ac:dyDescent="0.4">
      <c r="A7" s="258" t="s">
        <v>22</v>
      </c>
      <c r="B7" s="259"/>
      <c r="C7" s="260" t="s">
        <v>23</v>
      </c>
      <c r="D7" s="261"/>
      <c r="E7" s="261"/>
      <c r="F7" s="261"/>
      <c r="G7" s="261"/>
      <c r="H7" s="262"/>
    </row>
    <row r="8" spans="1:8" s="3" customFormat="1" ht="32.25" customHeight="1" x14ac:dyDescent="0.4">
      <c r="A8" s="258" t="s">
        <v>24</v>
      </c>
      <c r="B8" s="259"/>
      <c r="C8" s="260" t="s">
        <v>25</v>
      </c>
      <c r="D8" s="261"/>
      <c r="E8" s="261"/>
      <c r="F8" s="261"/>
      <c r="G8" s="261"/>
      <c r="H8" s="262"/>
    </row>
    <row r="9" spans="1:8" s="3" customFormat="1" ht="21" customHeight="1" x14ac:dyDescent="0.4">
      <c r="A9" s="258" t="s">
        <v>26</v>
      </c>
      <c r="B9" s="259"/>
      <c r="C9" s="260" t="s">
        <v>27</v>
      </c>
      <c r="D9" s="261"/>
      <c r="E9" s="261"/>
      <c r="F9" s="261"/>
      <c r="G9" s="261"/>
      <c r="H9" s="262"/>
    </row>
    <row r="10" spans="1:8" s="3" customFormat="1" ht="21" customHeight="1" x14ac:dyDescent="0.4">
      <c r="A10" s="258" t="s">
        <v>28</v>
      </c>
      <c r="B10" s="259"/>
      <c r="C10" s="260" t="s">
        <v>29</v>
      </c>
      <c r="D10" s="261"/>
      <c r="E10" s="261"/>
      <c r="F10" s="261"/>
      <c r="G10" s="261"/>
      <c r="H10" s="262"/>
    </row>
    <row r="11" spans="1:8" s="3" customFormat="1" ht="21" customHeight="1" x14ac:dyDescent="0.4">
      <c r="A11" s="258" t="s">
        <v>30</v>
      </c>
      <c r="B11" s="259"/>
      <c r="C11" s="260" t="s">
        <v>23</v>
      </c>
      <c r="D11" s="261"/>
      <c r="E11" s="261"/>
      <c r="F11" s="261"/>
      <c r="G11" s="261"/>
      <c r="H11" s="262"/>
    </row>
    <row r="12" spans="1:8" s="3" customFormat="1" ht="21" customHeight="1" x14ac:dyDescent="0.4">
      <c r="A12" s="258" t="s">
        <v>31</v>
      </c>
      <c r="B12" s="259"/>
      <c r="C12" s="260" t="s">
        <v>23</v>
      </c>
      <c r="D12" s="261"/>
      <c r="E12" s="261"/>
      <c r="F12" s="261"/>
      <c r="G12" s="261"/>
      <c r="H12" s="262"/>
    </row>
    <row r="13" spans="1:8" s="3" customFormat="1" ht="21" customHeight="1" x14ac:dyDescent="0.4">
      <c r="A13" s="258" t="s">
        <v>32</v>
      </c>
      <c r="B13" s="259"/>
      <c r="C13" s="260" t="s">
        <v>33</v>
      </c>
      <c r="D13" s="261"/>
      <c r="E13" s="261"/>
      <c r="F13" s="261"/>
      <c r="G13" s="261"/>
      <c r="H13" s="262"/>
    </row>
    <row r="14" spans="1:8" s="3" customFormat="1" ht="21" customHeight="1" x14ac:dyDescent="0.4">
      <c r="A14" s="258" t="s">
        <v>34</v>
      </c>
      <c r="B14" s="259"/>
      <c r="C14" s="260" t="s">
        <v>35</v>
      </c>
      <c r="D14" s="261"/>
      <c r="E14" s="261"/>
      <c r="F14" s="261"/>
      <c r="G14" s="261"/>
      <c r="H14" s="262"/>
    </row>
    <row r="15" spans="1:8" s="3" customFormat="1" ht="21" customHeight="1" x14ac:dyDescent="0.4">
      <c r="A15" s="258" t="s">
        <v>36</v>
      </c>
      <c r="B15" s="259"/>
      <c r="C15" s="260" t="s">
        <v>37</v>
      </c>
      <c r="D15" s="261"/>
      <c r="E15" s="261"/>
      <c r="F15" s="261"/>
      <c r="G15" s="261"/>
      <c r="H15" s="262"/>
    </row>
    <row r="16" spans="1:8" s="3" customFormat="1" ht="21" customHeight="1" x14ac:dyDescent="0.4">
      <c r="A16" s="258" t="s">
        <v>38</v>
      </c>
      <c r="B16" s="259"/>
      <c r="C16" s="260" t="s">
        <v>39</v>
      </c>
      <c r="D16" s="261"/>
      <c r="E16" s="261"/>
      <c r="F16" s="261"/>
      <c r="G16" s="261"/>
      <c r="H16" s="262"/>
    </row>
    <row r="17" spans="1:8" s="3" customFormat="1" ht="21" customHeight="1" x14ac:dyDescent="0.4">
      <c r="A17" s="258" t="s">
        <v>44</v>
      </c>
      <c r="B17" s="259"/>
      <c r="C17" s="260" t="s">
        <v>286</v>
      </c>
      <c r="D17" s="261"/>
      <c r="E17" s="261"/>
      <c r="F17" s="261"/>
      <c r="G17" s="261"/>
      <c r="H17" s="262"/>
    </row>
    <row r="18" spans="1:8" s="3" customFormat="1" ht="21" customHeight="1" x14ac:dyDescent="0.4">
      <c r="A18" s="258" t="s">
        <v>285</v>
      </c>
      <c r="B18" s="259"/>
      <c r="C18" s="260" t="s">
        <v>286</v>
      </c>
      <c r="D18" s="261"/>
      <c r="E18" s="261"/>
      <c r="F18" s="261"/>
      <c r="G18" s="261"/>
      <c r="H18" s="262"/>
    </row>
    <row r="19" spans="1:8" s="3" customFormat="1" ht="21" customHeight="1" x14ac:dyDescent="0.4">
      <c r="A19" s="258" t="s">
        <v>284</v>
      </c>
      <c r="B19" s="259"/>
      <c r="C19" s="260" t="s">
        <v>287</v>
      </c>
      <c r="D19" s="261"/>
      <c r="E19" s="261"/>
      <c r="F19" s="261"/>
      <c r="G19" s="261"/>
      <c r="H19" s="262"/>
    </row>
    <row r="20" spans="1:8" s="3" customFormat="1" ht="21" customHeight="1" x14ac:dyDescent="0.4">
      <c r="A20" s="263" t="s">
        <v>10</v>
      </c>
      <c r="B20" s="264"/>
      <c r="C20" s="264"/>
      <c r="D20" s="264"/>
      <c r="E20" s="264"/>
      <c r="F20" s="264"/>
      <c r="G20" s="264"/>
      <c r="H20" s="265"/>
    </row>
    <row r="21" spans="1:8" s="3" customFormat="1" ht="21" customHeight="1" x14ac:dyDescent="0.4">
      <c r="A21" s="263" t="s">
        <v>11</v>
      </c>
      <c r="B21" s="266"/>
      <c r="C21" s="267" t="s">
        <v>12</v>
      </c>
      <c r="D21" s="264"/>
      <c r="E21" s="264"/>
      <c r="F21" s="264"/>
      <c r="G21" s="309" t="s">
        <v>13</v>
      </c>
      <c r="H21" s="310"/>
    </row>
    <row r="22" spans="1:8" s="3" customFormat="1" ht="21" customHeight="1" x14ac:dyDescent="0.4">
      <c r="A22" s="258" t="s">
        <v>45</v>
      </c>
      <c r="B22" s="259"/>
      <c r="C22" s="268" t="s">
        <v>46</v>
      </c>
      <c r="D22" s="269"/>
      <c r="E22" s="269"/>
      <c r="F22" s="269"/>
      <c r="G22" s="311">
        <v>1</v>
      </c>
      <c r="H22" s="312"/>
    </row>
    <row r="23" spans="1:8" s="3" customFormat="1" ht="21" customHeight="1" x14ac:dyDescent="0.4">
      <c r="A23" s="258" t="s">
        <v>47</v>
      </c>
      <c r="B23" s="259"/>
      <c r="C23" s="268" t="s">
        <v>48</v>
      </c>
      <c r="D23" s="269"/>
      <c r="E23" s="269"/>
      <c r="F23" s="269"/>
      <c r="G23" s="313">
        <f>H36</f>
        <v>24225999.999850001</v>
      </c>
      <c r="H23" s="314"/>
    </row>
    <row r="24" spans="1:8" s="3" customFormat="1" ht="30" customHeight="1" x14ac:dyDescent="0.4">
      <c r="A24" s="258" t="s">
        <v>49</v>
      </c>
      <c r="B24" s="259"/>
      <c r="C24" s="268" t="s">
        <v>50</v>
      </c>
      <c r="D24" s="269"/>
      <c r="E24" s="269"/>
      <c r="F24" s="269"/>
      <c r="G24" s="268" t="s">
        <v>51</v>
      </c>
      <c r="H24" s="314"/>
    </row>
    <row r="25" spans="1:8" s="3" customFormat="1" ht="33.75" customHeight="1" x14ac:dyDescent="0.4">
      <c r="A25" s="258" t="s">
        <v>52</v>
      </c>
      <c r="B25" s="259"/>
      <c r="C25" s="268" t="s">
        <v>53</v>
      </c>
      <c r="D25" s="269"/>
      <c r="E25" s="269"/>
      <c r="F25" s="269"/>
      <c r="G25" s="268" t="s">
        <v>54</v>
      </c>
      <c r="H25" s="314"/>
    </row>
    <row r="26" spans="1:8" s="3" customFormat="1" ht="24" customHeight="1" x14ac:dyDescent="0.4">
      <c r="A26" s="263" t="s">
        <v>55</v>
      </c>
      <c r="B26" s="264"/>
      <c r="C26" s="264"/>
      <c r="D26" s="264"/>
      <c r="E26" s="264"/>
      <c r="F26" s="264"/>
      <c r="G26" s="264"/>
      <c r="H26" s="265"/>
    </row>
    <row r="27" spans="1:8" s="3" customFormat="1" ht="21" customHeight="1" x14ac:dyDescent="0.4">
      <c r="A27" s="258" t="s">
        <v>28</v>
      </c>
      <c r="B27" s="259"/>
      <c r="C27" s="260" t="s">
        <v>29</v>
      </c>
      <c r="D27" s="261"/>
      <c r="E27" s="261"/>
      <c r="F27" s="261"/>
      <c r="G27" s="261"/>
      <c r="H27" s="262"/>
    </row>
    <row r="28" spans="1:8" s="3" customFormat="1" ht="21" customHeight="1" x14ac:dyDescent="0.4">
      <c r="A28" s="258" t="s">
        <v>32</v>
      </c>
      <c r="B28" s="259"/>
      <c r="C28" s="260" t="s">
        <v>33</v>
      </c>
      <c r="D28" s="261"/>
      <c r="E28" s="261"/>
      <c r="F28" s="261"/>
      <c r="G28" s="261"/>
      <c r="H28" s="262"/>
    </row>
    <row r="29" spans="1:8" s="3" customFormat="1" ht="21" customHeight="1" x14ac:dyDescent="0.4">
      <c r="A29" s="258" t="s">
        <v>34</v>
      </c>
      <c r="B29" s="259"/>
      <c r="C29" s="260" t="s">
        <v>56</v>
      </c>
      <c r="D29" s="261"/>
      <c r="E29" s="261"/>
      <c r="F29" s="261"/>
      <c r="G29" s="261"/>
      <c r="H29" s="262"/>
    </row>
    <row r="30" spans="1:8" s="3" customFormat="1" ht="21" customHeight="1" x14ac:dyDescent="0.4">
      <c r="A30" s="258" t="s">
        <v>57</v>
      </c>
      <c r="B30" s="259"/>
      <c r="C30" s="260" t="s">
        <v>58</v>
      </c>
      <c r="D30" s="261"/>
      <c r="E30" s="261"/>
      <c r="F30" s="261"/>
      <c r="G30" s="261"/>
      <c r="H30" s="262"/>
    </row>
    <row r="31" spans="1:8" s="3" customFormat="1" ht="21" customHeight="1" x14ac:dyDescent="0.4">
      <c r="A31" s="258" t="s">
        <v>36</v>
      </c>
      <c r="B31" s="259"/>
      <c r="C31" s="260" t="s">
        <v>37</v>
      </c>
      <c r="D31" s="261"/>
      <c r="E31" s="261"/>
      <c r="F31" s="261"/>
      <c r="G31" s="261"/>
      <c r="H31" s="262"/>
    </row>
    <row r="32" spans="1:8" s="3" customFormat="1" ht="21" customHeight="1" x14ac:dyDescent="0.4">
      <c r="A32" s="258" t="s">
        <v>59</v>
      </c>
      <c r="B32" s="259"/>
      <c r="C32" s="260" t="s">
        <v>60</v>
      </c>
      <c r="D32" s="261"/>
      <c r="E32" s="261"/>
      <c r="F32" s="261"/>
      <c r="G32" s="261"/>
      <c r="H32" s="262"/>
    </row>
    <row r="33" spans="1:14" s="3" customFormat="1" ht="24" customHeight="1" x14ac:dyDescent="0.4">
      <c r="A33" s="263" t="s">
        <v>55</v>
      </c>
      <c r="B33" s="264"/>
      <c r="C33" s="264"/>
      <c r="D33" s="264"/>
      <c r="E33" s="264"/>
      <c r="F33" s="264"/>
      <c r="G33" s="264"/>
      <c r="H33" s="265"/>
    </row>
    <row r="34" spans="1:14" s="3" customFormat="1" ht="18.75" customHeight="1" x14ac:dyDescent="0.4">
      <c r="A34" s="275" t="s">
        <v>61</v>
      </c>
      <c r="B34" s="277" t="s">
        <v>62</v>
      </c>
      <c r="C34" s="278"/>
      <c r="D34" s="267" t="s">
        <v>63</v>
      </c>
      <c r="E34" s="264"/>
      <c r="F34" s="264"/>
      <c r="G34" s="266"/>
      <c r="H34" s="281" t="s">
        <v>64</v>
      </c>
    </row>
    <row r="35" spans="1:14" s="3" customFormat="1" ht="18.75" customHeight="1" x14ac:dyDescent="0.4">
      <c r="A35" s="276"/>
      <c r="B35" s="279"/>
      <c r="C35" s="280"/>
      <c r="D35" s="6" t="s">
        <v>65</v>
      </c>
      <c r="E35" s="6" t="s">
        <v>2</v>
      </c>
      <c r="F35" s="4" t="s">
        <v>3</v>
      </c>
      <c r="G35" s="6" t="s">
        <v>6</v>
      </c>
      <c r="H35" s="282"/>
    </row>
    <row r="36" spans="1:14" s="3" customFormat="1" ht="21" customHeight="1" x14ac:dyDescent="0.4">
      <c r="A36" s="7">
        <v>5</v>
      </c>
      <c r="B36" s="270" t="s">
        <v>66</v>
      </c>
      <c r="C36" s="271"/>
      <c r="D36" s="271"/>
      <c r="E36" s="271"/>
      <c r="F36" s="271"/>
      <c r="G36" s="316"/>
      <c r="H36" s="162">
        <f>H38</f>
        <v>24225999.999850001</v>
      </c>
    </row>
    <row r="37" spans="1:14" s="3" customFormat="1" ht="21" customHeight="1" x14ac:dyDescent="0.4">
      <c r="A37" s="9" t="s">
        <v>67</v>
      </c>
      <c r="B37" s="270" t="s">
        <v>68</v>
      </c>
      <c r="C37" s="271"/>
      <c r="D37" s="271"/>
      <c r="E37" s="271"/>
      <c r="F37" s="271"/>
      <c r="G37" s="316"/>
      <c r="H37" s="162">
        <f>H38</f>
        <v>24225999.999850001</v>
      </c>
    </row>
    <row r="38" spans="1:14" s="3" customFormat="1" ht="21" customHeight="1" x14ac:dyDescent="0.4">
      <c r="A38" s="10">
        <v>37377</v>
      </c>
      <c r="B38" s="270" t="s">
        <v>69</v>
      </c>
      <c r="C38" s="271"/>
      <c r="D38" s="271"/>
      <c r="E38" s="271"/>
      <c r="F38" s="271"/>
      <c r="G38" s="316"/>
      <c r="H38" s="162">
        <f>H39</f>
        <v>24225999.999850001</v>
      </c>
    </row>
    <row r="39" spans="1:14" s="3" customFormat="1" ht="21" customHeight="1" x14ac:dyDescent="0.4">
      <c r="A39" s="9" t="s">
        <v>70</v>
      </c>
      <c r="B39" s="270" t="s">
        <v>71</v>
      </c>
      <c r="C39" s="271"/>
      <c r="D39" s="271"/>
      <c r="E39" s="271"/>
      <c r="F39" s="271"/>
      <c r="G39" s="316"/>
      <c r="H39" s="162">
        <f>H40</f>
        <v>24225999.999850001</v>
      </c>
    </row>
    <row r="40" spans="1:14" s="3" customFormat="1" ht="21" customHeight="1" x14ac:dyDescent="0.4">
      <c r="A40" s="9" t="s">
        <v>72</v>
      </c>
      <c r="B40" s="270" t="s">
        <v>73</v>
      </c>
      <c r="C40" s="271"/>
      <c r="D40" s="271"/>
      <c r="E40" s="271"/>
      <c r="F40" s="271"/>
      <c r="G40" s="316"/>
      <c r="H40" s="162">
        <f>H41+H44+H47+H54</f>
        <v>24225999.999850001</v>
      </c>
    </row>
    <row r="41" spans="1:14" s="3" customFormat="1" ht="21" customHeight="1" x14ac:dyDescent="0.4">
      <c r="A41" s="9" t="s">
        <v>74</v>
      </c>
      <c r="B41" s="270" t="s">
        <v>75</v>
      </c>
      <c r="C41" s="271"/>
      <c r="D41" s="271"/>
      <c r="E41" s="271"/>
      <c r="F41" s="271"/>
      <c r="G41" s="316"/>
      <c r="H41" s="162">
        <f>SUM(H42:H43)</f>
        <v>1613250</v>
      </c>
    </row>
    <row r="42" spans="1:14" s="3" customFormat="1" ht="33" customHeight="1" x14ac:dyDescent="0.4">
      <c r="A42" s="11"/>
      <c r="B42" s="307" t="s">
        <v>219</v>
      </c>
      <c r="C42" s="308"/>
      <c r="D42" s="12">
        <v>10</v>
      </c>
      <c r="E42" s="13" t="s">
        <v>76</v>
      </c>
      <c r="F42" s="72">
        <v>87875</v>
      </c>
      <c r="G42" s="14"/>
      <c r="H42" s="163">
        <f>D42*F42</f>
        <v>878750</v>
      </c>
      <c r="L42" s="57"/>
      <c r="N42" s="57"/>
    </row>
    <row r="43" spans="1:14" s="3" customFormat="1" ht="33" customHeight="1" x14ac:dyDescent="0.4">
      <c r="A43" s="11"/>
      <c r="B43" s="307" t="s">
        <v>218</v>
      </c>
      <c r="C43" s="308"/>
      <c r="D43" s="12">
        <v>10</v>
      </c>
      <c r="E43" s="16" t="s">
        <v>76</v>
      </c>
      <c r="F43" s="72">
        <v>73450</v>
      </c>
      <c r="G43" s="14"/>
      <c r="H43" s="163">
        <f>D43*F43</f>
        <v>734500</v>
      </c>
      <c r="L43" s="57"/>
      <c r="N43" s="57"/>
    </row>
    <row r="44" spans="1:14" s="3" customFormat="1" ht="19.5" customHeight="1" x14ac:dyDescent="0.4">
      <c r="A44" s="2" t="s">
        <v>90</v>
      </c>
      <c r="B44" s="292" t="s">
        <v>91</v>
      </c>
      <c r="C44" s="292"/>
      <c r="D44" s="292"/>
      <c r="E44" s="292"/>
      <c r="F44" s="120"/>
      <c r="G44" s="119"/>
      <c r="H44" s="63">
        <f>SUM(H45:H46)</f>
        <v>842599.99985000002</v>
      </c>
      <c r="L44" s="57"/>
      <c r="N44" s="57"/>
    </row>
    <row r="45" spans="1:14" s="3" customFormat="1" ht="35.65" customHeight="1" x14ac:dyDescent="0.4">
      <c r="A45" s="2"/>
      <c r="B45" s="287" t="s">
        <v>239</v>
      </c>
      <c r="C45" s="284"/>
      <c r="D45" s="121">
        <v>2407</v>
      </c>
      <c r="E45" s="122" t="s">
        <v>92</v>
      </c>
      <c r="F45" s="123">
        <v>350</v>
      </c>
      <c r="G45" s="117"/>
      <c r="H45" s="43">
        <f t="shared" ref="H45:H46" si="0">D45*F45</f>
        <v>842450</v>
      </c>
      <c r="L45" s="57"/>
      <c r="N45" s="57"/>
    </row>
    <row r="46" spans="1:14" s="3" customFormat="1" ht="25.5" customHeight="1" x14ac:dyDescent="0.4">
      <c r="A46" s="2"/>
      <c r="B46" s="287" t="s">
        <v>149</v>
      </c>
      <c r="C46" s="284"/>
      <c r="D46" s="171" t="s">
        <v>280</v>
      </c>
      <c r="E46" s="122" t="s">
        <v>92</v>
      </c>
      <c r="F46" s="123">
        <v>350</v>
      </c>
      <c r="G46" s="117"/>
      <c r="H46" s="43">
        <f t="shared" si="0"/>
        <v>149.99984999999998</v>
      </c>
      <c r="I46" s="187"/>
      <c r="L46" s="57"/>
      <c r="N46" s="57"/>
    </row>
    <row r="47" spans="1:14" s="3" customFormat="1" ht="21" customHeight="1" x14ac:dyDescent="0.4">
      <c r="A47" s="17" t="s">
        <v>77</v>
      </c>
      <c r="B47" s="315" t="s">
        <v>78</v>
      </c>
      <c r="C47" s="315"/>
      <c r="D47" s="315"/>
      <c r="E47" s="315"/>
      <c r="F47" s="70"/>
      <c r="G47" s="18"/>
      <c r="H47" s="164">
        <f>SUM(H48:H53)</f>
        <v>16325150</v>
      </c>
    </row>
    <row r="48" spans="1:14" s="3" customFormat="1" ht="33" customHeight="1" x14ac:dyDescent="0.4">
      <c r="A48" s="11"/>
      <c r="B48" s="290" t="s">
        <v>249</v>
      </c>
      <c r="C48" s="291"/>
      <c r="D48" s="233">
        <v>4</v>
      </c>
      <c r="E48" s="181" t="s">
        <v>79</v>
      </c>
      <c r="F48" s="116">
        <v>1092025</v>
      </c>
      <c r="G48" s="14"/>
      <c r="H48" s="163">
        <f>D48*F48</f>
        <v>4368100</v>
      </c>
    </row>
    <row r="49" spans="1:9" s="3" customFormat="1" ht="36.75" customHeight="1" x14ac:dyDescent="0.4">
      <c r="A49" s="11"/>
      <c r="B49" s="298" t="s">
        <v>252</v>
      </c>
      <c r="C49" s="299"/>
      <c r="D49" s="233">
        <v>3</v>
      </c>
      <c r="E49" s="182" t="s">
        <v>79</v>
      </c>
      <c r="F49" s="116">
        <v>1699200</v>
      </c>
      <c r="G49" s="14"/>
      <c r="H49" s="163">
        <f>D49*F49</f>
        <v>5097600</v>
      </c>
    </row>
    <row r="50" spans="1:9" s="3" customFormat="1" ht="48.75" customHeight="1" x14ac:dyDescent="0.4">
      <c r="A50" s="11"/>
      <c r="B50" s="307" t="s">
        <v>251</v>
      </c>
      <c r="C50" s="308"/>
      <c r="D50" s="12">
        <v>12</v>
      </c>
      <c r="E50" s="16" t="s">
        <v>79</v>
      </c>
      <c r="F50" s="72">
        <v>163175</v>
      </c>
      <c r="G50" s="14"/>
      <c r="H50" s="55">
        <f t="shared" ref="H50" si="1">D50*F50</f>
        <v>1958100</v>
      </c>
    </row>
    <row r="51" spans="1:9" s="3" customFormat="1" ht="37.5" customHeight="1" x14ac:dyDescent="0.4">
      <c r="A51" s="11"/>
      <c r="B51" s="323" t="s">
        <v>103</v>
      </c>
      <c r="C51" s="324"/>
      <c r="D51" s="12">
        <v>14</v>
      </c>
      <c r="E51" s="16" t="s">
        <v>79</v>
      </c>
      <c r="F51" s="72">
        <v>163175</v>
      </c>
      <c r="G51" s="14"/>
      <c r="H51" s="55">
        <f>D51*F51</f>
        <v>2284450</v>
      </c>
    </row>
    <row r="52" spans="1:9" s="3" customFormat="1" ht="37.5" customHeight="1" x14ac:dyDescent="0.4">
      <c r="A52" s="11"/>
      <c r="B52" s="307" t="s">
        <v>247</v>
      </c>
      <c r="C52" s="308"/>
      <c r="D52" s="27">
        <v>13</v>
      </c>
      <c r="E52" s="16" t="s">
        <v>79</v>
      </c>
      <c r="F52" s="73">
        <v>108800</v>
      </c>
      <c r="G52" s="28"/>
      <c r="H52" s="29">
        <f>D52*F52</f>
        <v>1414400</v>
      </c>
    </row>
    <row r="53" spans="1:9" s="3" customFormat="1" ht="54" customHeight="1" x14ac:dyDescent="0.4">
      <c r="A53" s="11"/>
      <c r="B53" s="307" t="s">
        <v>254</v>
      </c>
      <c r="C53" s="308"/>
      <c r="D53" s="27">
        <v>13</v>
      </c>
      <c r="E53" s="16" t="s">
        <v>79</v>
      </c>
      <c r="F53" s="73">
        <v>92500</v>
      </c>
      <c r="G53" s="28"/>
      <c r="H53" s="29">
        <f t="shared" ref="H53" si="2">D53*F53</f>
        <v>1202500</v>
      </c>
    </row>
    <row r="54" spans="1:9" s="3" customFormat="1" ht="21" customHeight="1" x14ac:dyDescent="0.4">
      <c r="A54" s="17" t="s">
        <v>80</v>
      </c>
      <c r="B54" s="315" t="s">
        <v>81</v>
      </c>
      <c r="C54" s="315"/>
      <c r="D54" s="315"/>
      <c r="E54" s="315"/>
      <c r="F54" s="70"/>
      <c r="G54" s="18"/>
      <c r="H54" s="164">
        <f>SUM(H56:H57)</f>
        <v>5445000</v>
      </c>
    </row>
    <row r="55" spans="1:9" s="3" customFormat="1" ht="21" customHeight="1" x14ac:dyDescent="0.4">
      <c r="A55" s="17"/>
      <c r="B55" s="317" t="s">
        <v>263</v>
      </c>
      <c r="C55" s="318"/>
      <c r="D55" s="318"/>
      <c r="E55" s="190"/>
      <c r="F55" s="70"/>
      <c r="G55" s="18"/>
      <c r="H55" s="164"/>
    </row>
    <row r="56" spans="1:9" s="3" customFormat="1" ht="51" customHeight="1" x14ac:dyDescent="0.4">
      <c r="A56" s="11"/>
      <c r="B56" s="319" t="s">
        <v>1</v>
      </c>
      <c r="C56" s="320"/>
      <c r="D56" s="12">
        <v>110</v>
      </c>
      <c r="E56" s="16" t="s">
        <v>82</v>
      </c>
      <c r="F56" s="72">
        <v>33000</v>
      </c>
      <c r="G56" s="14"/>
      <c r="H56" s="163">
        <f>D56*F56</f>
        <v>3630000</v>
      </c>
    </row>
    <row r="57" spans="1:9" s="3" customFormat="1" ht="51" customHeight="1" x14ac:dyDescent="0.4">
      <c r="A57" s="11"/>
      <c r="B57" s="307" t="s">
        <v>1</v>
      </c>
      <c r="C57" s="308"/>
      <c r="D57" s="12">
        <v>110</v>
      </c>
      <c r="E57" s="16" t="s">
        <v>82</v>
      </c>
      <c r="F57" s="72">
        <v>16500</v>
      </c>
      <c r="G57" s="14"/>
      <c r="H57" s="163">
        <f>D57*F57</f>
        <v>1815000</v>
      </c>
    </row>
    <row r="58" spans="1:9" s="3" customFormat="1" ht="21" customHeight="1" x14ac:dyDescent="0.4">
      <c r="A58" s="20" t="s">
        <v>5</v>
      </c>
      <c r="B58" s="21"/>
      <c r="C58" s="21"/>
      <c r="D58" s="22"/>
      <c r="E58" s="22"/>
      <c r="F58" s="321" t="s">
        <v>5</v>
      </c>
      <c r="G58" s="322"/>
      <c r="H58" s="89">
        <f>H36</f>
        <v>24225999.999850001</v>
      </c>
      <c r="I58" s="156">
        <v>24226000</v>
      </c>
    </row>
    <row r="61" spans="1:9" ht="17.25" x14ac:dyDescent="0.4">
      <c r="H61" s="161">
        <f>I58-H58</f>
        <v>1.4999881386756897E-4</v>
      </c>
    </row>
  </sheetData>
  <mergeCells count="93">
    <mergeCell ref="F58:G58"/>
    <mergeCell ref="B50:C50"/>
    <mergeCell ref="B51:C51"/>
    <mergeCell ref="B52:C52"/>
    <mergeCell ref="B53:C53"/>
    <mergeCell ref="B57:C57"/>
    <mergeCell ref="B48:C48"/>
    <mergeCell ref="B49:C49"/>
    <mergeCell ref="B54:E54"/>
    <mergeCell ref="B55:D55"/>
    <mergeCell ref="B56:C56"/>
    <mergeCell ref="B47:E47"/>
    <mergeCell ref="B36:G36"/>
    <mergeCell ref="B37:G37"/>
    <mergeCell ref="B38:G38"/>
    <mergeCell ref="B39:G39"/>
    <mergeCell ref="B40:G40"/>
    <mergeCell ref="B41:G41"/>
    <mergeCell ref="B42:C42"/>
    <mergeCell ref="B43:C43"/>
    <mergeCell ref="B44:E44"/>
    <mergeCell ref="B45:C45"/>
    <mergeCell ref="B46:C46"/>
    <mergeCell ref="A34:A35"/>
    <mergeCell ref="B34:C35"/>
    <mergeCell ref="D34:G34"/>
    <mergeCell ref="H34:H35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H33"/>
    <mergeCell ref="A25:B25"/>
    <mergeCell ref="C25:F25"/>
    <mergeCell ref="G25:H25"/>
    <mergeCell ref="A26:H26"/>
    <mergeCell ref="A27:B27"/>
    <mergeCell ref="C27:H27"/>
    <mergeCell ref="A23:B23"/>
    <mergeCell ref="C23:F23"/>
    <mergeCell ref="G23:H23"/>
    <mergeCell ref="A24:B24"/>
    <mergeCell ref="C24:F24"/>
    <mergeCell ref="G24:H24"/>
    <mergeCell ref="A20:H20"/>
    <mergeCell ref="A21:B21"/>
    <mergeCell ref="C21:F21"/>
    <mergeCell ref="G21:H21"/>
    <mergeCell ref="A22:B22"/>
    <mergeCell ref="C22:F22"/>
    <mergeCell ref="G22:H22"/>
    <mergeCell ref="A17:B17"/>
    <mergeCell ref="C17:H17"/>
    <mergeCell ref="A18:B18"/>
    <mergeCell ref="C18:H18"/>
    <mergeCell ref="A19:B19"/>
    <mergeCell ref="C19:H19"/>
    <mergeCell ref="A14:B14"/>
    <mergeCell ref="C14:H14"/>
    <mergeCell ref="A15:B15"/>
    <mergeCell ref="C15:H15"/>
    <mergeCell ref="A16:B16"/>
    <mergeCell ref="C16:H16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1:E1"/>
    <mergeCell ref="F1:H1"/>
    <mergeCell ref="A2:H2"/>
    <mergeCell ref="A3:H3"/>
    <mergeCell ref="A4:B4"/>
    <mergeCell ref="C4:H4"/>
  </mergeCells>
  <pageMargins left="0.70866141732283472" right="0.11811023622047245" top="0.35433070866141736" bottom="0.55118110236220474" header="0.31496062992125984" footer="0.31496062992125984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DF8A-941F-421E-987D-4C9D78FCF983}">
  <dimension ref="A1:I57"/>
  <sheetViews>
    <sheetView topLeftCell="A28" workbookViewId="0">
      <selection activeCell="H51" sqref="H51"/>
    </sheetView>
  </sheetViews>
  <sheetFormatPr defaultColWidth="8.85546875" defaultRowHeight="13.15" x14ac:dyDescent="0.4"/>
  <cols>
    <col min="1" max="1" width="21.140625" customWidth="1"/>
    <col min="2" max="2" width="4.140625" customWidth="1"/>
    <col min="3" max="3" width="34.85546875" customWidth="1"/>
    <col min="4" max="4" width="11.640625" customWidth="1"/>
    <col min="5" max="5" width="10.140625" customWidth="1"/>
    <col min="6" max="6" width="14" customWidth="1"/>
    <col min="7" max="7" width="6.35546875" customWidth="1"/>
    <col min="8" max="8" width="22" customWidth="1"/>
    <col min="9" max="9" width="15.140625" customWidth="1"/>
  </cols>
  <sheetData>
    <row r="1" spans="1:8" ht="51" customHeight="1" x14ac:dyDescent="0.4">
      <c r="A1" s="249" t="s">
        <v>15</v>
      </c>
      <c r="B1" s="250"/>
      <c r="C1" s="250"/>
      <c r="D1" s="250"/>
      <c r="E1" s="251"/>
      <c r="F1" s="252" t="s">
        <v>83</v>
      </c>
      <c r="G1" s="253"/>
      <c r="H1" s="254"/>
    </row>
    <row r="2" spans="1:8" ht="24" customHeight="1" x14ac:dyDescent="0.4">
      <c r="A2" s="255" t="s">
        <v>245</v>
      </c>
      <c r="B2" s="256"/>
      <c r="C2" s="256"/>
      <c r="D2" s="256"/>
      <c r="E2" s="256"/>
      <c r="F2" s="256"/>
      <c r="G2" s="256"/>
      <c r="H2" s="257"/>
    </row>
    <row r="3" spans="1:8" ht="24" customHeight="1" x14ac:dyDescent="0.4">
      <c r="A3" s="255" t="s">
        <v>14</v>
      </c>
      <c r="B3" s="256"/>
      <c r="C3" s="256"/>
      <c r="D3" s="256"/>
      <c r="E3" s="256"/>
      <c r="F3" s="256"/>
      <c r="G3" s="256"/>
      <c r="H3" s="257"/>
    </row>
    <row r="4" spans="1:8" ht="30" customHeight="1" x14ac:dyDescent="0.4">
      <c r="A4" s="258" t="s">
        <v>16</v>
      </c>
      <c r="B4" s="259"/>
      <c r="C4" s="260" t="s">
        <v>17</v>
      </c>
      <c r="D4" s="261"/>
      <c r="E4" s="261"/>
      <c r="F4" s="261"/>
      <c r="G4" s="261"/>
      <c r="H4" s="262"/>
    </row>
    <row r="5" spans="1:8" ht="21" customHeight="1" x14ac:dyDescent="0.4">
      <c r="A5" s="258" t="s">
        <v>18</v>
      </c>
      <c r="B5" s="259"/>
      <c r="C5" s="260" t="s">
        <v>19</v>
      </c>
      <c r="D5" s="261"/>
      <c r="E5" s="261"/>
      <c r="F5" s="261"/>
      <c r="G5" s="261"/>
      <c r="H5" s="262"/>
    </row>
    <row r="6" spans="1:8" ht="21" customHeight="1" x14ac:dyDescent="0.4">
      <c r="A6" s="258" t="s">
        <v>20</v>
      </c>
      <c r="B6" s="259"/>
      <c r="C6" s="260" t="s">
        <v>21</v>
      </c>
      <c r="D6" s="261"/>
      <c r="E6" s="261"/>
      <c r="F6" s="261"/>
      <c r="G6" s="261"/>
      <c r="H6" s="262"/>
    </row>
    <row r="7" spans="1:8" ht="21" customHeight="1" x14ac:dyDescent="0.4">
      <c r="A7" s="258" t="s">
        <v>22</v>
      </c>
      <c r="B7" s="259"/>
      <c r="C7" s="260" t="s">
        <v>23</v>
      </c>
      <c r="D7" s="261"/>
      <c r="E7" s="261"/>
      <c r="F7" s="261"/>
      <c r="G7" s="261"/>
      <c r="H7" s="262"/>
    </row>
    <row r="8" spans="1:8" ht="31.5" customHeight="1" x14ac:dyDescent="0.4">
      <c r="A8" s="258" t="s">
        <v>24</v>
      </c>
      <c r="B8" s="259"/>
      <c r="C8" s="260" t="s">
        <v>25</v>
      </c>
      <c r="D8" s="261"/>
      <c r="E8" s="261"/>
      <c r="F8" s="261"/>
      <c r="G8" s="261"/>
      <c r="H8" s="262"/>
    </row>
    <row r="9" spans="1:8" ht="21" customHeight="1" x14ac:dyDescent="0.4">
      <c r="A9" s="258" t="s">
        <v>26</v>
      </c>
      <c r="B9" s="259"/>
      <c r="C9" s="260" t="s">
        <v>27</v>
      </c>
      <c r="D9" s="261"/>
      <c r="E9" s="261"/>
      <c r="F9" s="261"/>
      <c r="G9" s="261"/>
      <c r="H9" s="262"/>
    </row>
    <row r="10" spans="1:8" ht="21" customHeight="1" x14ac:dyDescent="0.4">
      <c r="A10" s="258" t="s">
        <v>28</v>
      </c>
      <c r="B10" s="259"/>
      <c r="C10" s="260" t="s">
        <v>211</v>
      </c>
      <c r="D10" s="261"/>
      <c r="E10" s="261"/>
      <c r="F10" s="261"/>
      <c r="G10" s="261"/>
      <c r="H10" s="262"/>
    </row>
    <row r="11" spans="1:8" ht="21" customHeight="1" x14ac:dyDescent="0.4">
      <c r="A11" s="258" t="s">
        <v>30</v>
      </c>
      <c r="B11" s="259"/>
      <c r="C11" s="260" t="s">
        <v>23</v>
      </c>
      <c r="D11" s="261"/>
      <c r="E11" s="261"/>
      <c r="F11" s="261"/>
      <c r="G11" s="261"/>
      <c r="H11" s="262"/>
    </row>
    <row r="12" spans="1:8" ht="21" customHeight="1" x14ac:dyDescent="0.4">
      <c r="A12" s="258" t="s">
        <v>31</v>
      </c>
      <c r="B12" s="259"/>
      <c r="C12" s="260" t="s">
        <v>23</v>
      </c>
      <c r="D12" s="261"/>
      <c r="E12" s="261"/>
      <c r="F12" s="261"/>
      <c r="G12" s="261"/>
      <c r="H12" s="262"/>
    </row>
    <row r="13" spans="1:8" ht="21" customHeight="1" x14ac:dyDescent="0.4">
      <c r="A13" s="258" t="s">
        <v>32</v>
      </c>
      <c r="B13" s="259"/>
      <c r="C13" s="260" t="s">
        <v>33</v>
      </c>
      <c r="D13" s="261"/>
      <c r="E13" s="261"/>
      <c r="F13" s="261"/>
      <c r="G13" s="261"/>
      <c r="H13" s="262"/>
    </row>
    <row r="14" spans="1:8" ht="21" customHeight="1" x14ac:dyDescent="0.4">
      <c r="A14" s="258" t="s">
        <v>34</v>
      </c>
      <c r="B14" s="259"/>
      <c r="C14" s="260" t="s">
        <v>35</v>
      </c>
      <c r="D14" s="261"/>
      <c r="E14" s="261"/>
      <c r="F14" s="261"/>
      <c r="G14" s="261"/>
      <c r="H14" s="262"/>
    </row>
    <row r="15" spans="1:8" ht="21" customHeight="1" x14ac:dyDescent="0.4">
      <c r="A15" s="258" t="s">
        <v>36</v>
      </c>
      <c r="B15" s="259"/>
      <c r="C15" s="260" t="s">
        <v>37</v>
      </c>
      <c r="D15" s="261"/>
      <c r="E15" s="261"/>
      <c r="F15" s="261"/>
      <c r="G15" s="261"/>
      <c r="H15" s="262"/>
    </row>
    <row r="16" spans="1:8" ht="21" customHeight="1" x14ac:dyDescent="0.4">
      <c r="A16" s="258" t="s">
        <v>38</v>
      </c>
      <c r="B16" s="259"/>
      <c r="C16" s="260" t="s">
        <v>39</v>
      </c>
      <c r="D16" s="261"/>
      <c r="E16" s="261"/>
      <c r="F16" s="261"/>
      <c r="G16" s="261"/>
      <c r="H16" s="262"/>
    </row>
    <row r="17" spans="1:8" ht="21" customHeight="1" x14ac:dyDescent="0.4">
      <c r="A17" s="258" t="s">
        <v>40</v>
      </c>
      <c r="B17" s="259"/>
      <c r="C17" s="260" t="s">
        <v>41</v>
      </c>
      <c r="D17" s="261"/>
      <c r="E17" s="261"/>
      <c r="F17" s="261"/>
      <c r="G17" s="261"/>
      <c r="H17" s="262"/>
    </row>
    <row r="18" spans="1:8" ht="21" customHeight="1" x14ac:dyDescent="0.4">
      <c r="A18" s="258" t="s">
        <v>42</v>
      </c>
      <c r="B18" s="259"/>
      <c r="C18" s="260" t="s">
        <v>43</v>
      </c>
      <c r="D18" s="261"/>
      <c r="E18" s="261"/>
      <c r="F18" s="261"/>
      <c r="G18" s="261"/>
      <c r="H18" s="262"/>
    </row>
    <row r="19" spans="1:8" ht="21" customHeight="1" x14ac:dyDescent="0.4">
      <c r="A19" s="258" t="s">
        <v>44</v>
      </c>
      <c r="B19" s="259"/>
      <c r="C19" s="260" t="s">
        <v>153</v>
      </c>
      <c r="D19" s="261"/>
      <c r="E19" s="261"/>
      <c r="F19" s="261"/>
      <c r="G19" s="261"/>
      <c r="H19" s="262"/>
    </row>
    <row r="20" spans="1:8" ht="21" customHeight="1" x14ac:dyDescent="0.4">
      <c r="A20" s="263" t="s">
        <v>10</v>
      </c>
      <c r="B20" s="264"/>
      <c r="C20" s="264"/>
      <c r="D20" s="264"/>
      <c r="E20" s="264"/>
      <c r="F20" s="264"/>
      <c r="G20" s="264"/>
      <c r="H20" s="265"/>
    </row>
    <row r="21" spans="1:8" ht="21" customHeight="1" x14ac:dyDescent="0.4">
      <c r="A21" s="263" t="s">
        <v>11</v>
      </c>
      <c r="B21" s="266"/>
      <c r="C21" s="267" t="s">
        <v>12</v>
      </c>
      <c r="D21" s="264"/>
      <c r="E21" s="264"/>
      <c r="F21" s="264"/>
      <c r="G21" s="309" t="s">
        <v>13</v>
      </c>
      <c r="H21" s="310"/>
    </row>
    <row r="22" spans="1:8" s="3" customFormat="1" ht="21" customHeight="1" x14ac:dyDescent="0.4">
      <c r="A22" s="258" t="s">
        <v>45</v>
      </c>
      <c r="B22" s="259"/>
      <c r="C22" s="268" t="s">
        <v>46</v>
      </c>
      <c r="D22" s="269"/>
      <c r="E22" s="269"/>
      <c r="F22" s="269"/>
      <c r="G22" s="311">
        <v>1</v>
      </c>
      <c r="H22" s="312"/>
    </row>
    <row r="23" spans="1:8" s="3" customFormat="1" ht="21" customHeight="1" x14ac:dyDescent="0.4">
      <c r="A23" s="258" t="s">
        <v>47</v>
      </c>
      <c r="B23" s="259"/>
      <c r="C23" s="268" t="s">
        <v>48</v>
      </c>
      <c r="D23" s="269"/>
      <c r="E23" s="269"/>
      <c r="F23" s="269"/>
      <c r="G23" s="313">
        <f>H36</f>
        <v>4037999.9998500003</v>
      </c>
      <c r="H23" s="314"/>
    </row>
    <row r="24" spans="1:8" s="3" customFormat="1" ht="30" customHeight="1" x14ac:dyDescent="0.4">
      <c r="A24" s="258" t="s">
        <v>49</v>
      </c>
      <c r="B24" s="259"/>
      <c r="C24" s="268" t="s">
        <v>50</v>
      </c>
      <c r="D24" s="269"/>
      <c r="E24" s="269"/>
      <c r="F24" s="269"/>
      <c r="G24" s="268" t="s">
        <v>51</v>
      </c>
      <c r="H24" s="314"/>
    </row>
    <row r="25" spans="1:8" s="3" customFormat="1" ht="21" customHeight="1" x14ac:dyDescent="0.4">
      <c r="A25" s="258" t="s">
        <v>52</v>
      </c>
      <c r="B25" s="259"/>
      <c r="C25" s="268" t="s">
        <v>53</v>
      </c>
      <c r="D25" s="269"/>
      <c r="E25" s="269"/>
      <c r="F25" s="269"/>
      <c r="G25" s="268" t="s">
        <v>54</v>
      </c>
      <c r="H25" s="314"/>
    </row>
    <row r="26" spans="1:8" s="3" customFormat="1" ht="21" customHeight="1" x14ac:dyDescent="0.4">
      <c r="A26" s="263" t="s">
        <v>55</v>
      </c>
      <c r="B26" s="264"/>
      <c r="C26" s="264"/>
      <c r="D26" s="264"/>
      <c r="E26" s="264"/>
      <c r="F26" s="264"/>
      <c r="G26" s="264"/>
      <c r="H26" s="265"/>
    </row>
    <row r="27" spans="1:8" s="3" customFormat="1" ht="21" customHeight="1" x14ac:dyDescent="0.4">
      <c r="A27" s="258" t="s">
        <v>28</v>
      </c>
      <c r="B27" s="259"/>
      <c r="C27" s="260" t="s">
        <v>212</v>
      </c>
      <c r="D27" s="261"/>
      <c r="E27" s="261"/>
      <c r="F27" s="261"/>
      <c r="G27" s="261"/>
      <c r="H27" s="262"/>
    </row>
    <row r="28" spans="1:8" s="3" customFormat="1" ht="21" customHeight="1" x14ac:dyDescent="0.4">
      <c r="A28" s="258" t="s">
        <v>32</v>
      </c>
      <c r="B28" s="259"/>
      <c r="C28" s="260" t="s">
        <v>33</v>
      </c>
      <c r="D28" s="261"/>
      <c r="E28" s="261"/>
      <c r="F28" s="261"/>
      <c r="G28" s="261"/>
      <c r="H28" s="262"/>
    </row>
    <row r="29" spans="1:8" s="3" customFormat="1" ht="21" customHeight="1" x14ac:dyDescent="0.4">
      <c r="A29" s="258" t="s">
        <v>34</v>
      </c>
      <c r="B29" s="259"/>
      <c r="C29" s="260" t="s">
        <v>56</v>
      </c>
      <c r="D29" s="261"/>
      <c r="E29" s="261"/>
      <c r="F29" s="261"/>
      <c r="G29" s="261"/>
      <c r="H29" s="262"/>
    </row>
    <row r="30" spans="1:8" s="3" customFormat="1" ht="30.75" customHeight="1" x14ac:dyDescent="0.4">
      <c r="A30" s="258" t="s">
        <v>57</v>
      </c>
      <c r="B30" s="259"/>
      <c r="C30" s="260" t="s">
        <v>58</v>
      </c>
      <c r="D30" s="261"/>
      <c r="E30" s="261"/>
      <c r="F30" s="261"/>
      <c r="G30" s="261"/>
      <c r="H30" s="262"/>
    </row>
    <row r="31" spans="1:8" s="3" customFormat="1" ht="21" customHeight="1" x14ac:dyDescent="0.4">
      <c r="A31" s="258" t="s">
        <v>36</v>
      </c>
      <c r="B31" s="259"/>
      <c r="C31" s="260" t="s">
        <v>37</v>
      </c>
      <c r="D31" s="261"/>
      <c r="E31" s="261"/>
      <c r="F31" s="261"/>
      <c r="G31" s="261"/>
      <c r="H31" s="262"/>
    </row>
    <row r="32" spans="1:8" s="3" customFormat="1" ht="21" customHeight="1" x14ac:dyDescent="0.4">
      <c r="A32" s="258" t="s">
        <v>59</v>
      </c>
      <c r="B32" s="259"/>
      <c r="C32" s="260" t="s">
        <v>60</v>
      </c>
      <c r="D32" s="261"/>
      <c r="E32" s="261"/>
      <c r="F32" s="261"/>
      <c r="G32" s="261"/>
      <c r="H32" s="262"/>
    </row>
    <row r="33" spans="1:9" s="3" customFormat="1" ht="24" customHeight="1" x14ac:dyDescent="0.4">
      <c r="A33" s="263" t="s">
        <v>55</v>
      </c>
      <c r="B33" s="264"/>
      <c r="C33" s="264"/>
      <c r="D33" s="264"/>
      <c r="E33" s="264"/>
      <c r="F33" s="264"/>
      <c r="G33" s="264"/>
      <c r="H33" s="265"/>
    </row>
    <row r="34" spans="1:9" s="3" customFormat="1" ht="21" customHeight="1" x14ac:dyDescent="0.4">
      <c r="A34" s="275" t="s">
        <v>61</v>
      </c>
      <c r="B34" s="277" t="s">
        <v>62</v>
      </c>
      <c r="C34" s="278"/>
      <c r="D34" s="267" t="s">
        <v>63</v>
      </c>
      <c r="E34" s="264"/>
      <c r="F34" s="264"/>
      <c r="G34" s="266"/>
      <c r="H34" s="281" t="s">
        <v>64</v>
      </c>
    </row>
    <row r="35" spans="1:9" s="3" customFormat="1" ht="21" customHeight="1" x14ac:dyDescent="0.4">
      <c r="A35" s="276"/>
      <c r="B35" s="279"/>
      <c r="C35" s="280"/>
      <c r="D35" s="6" t="s">
        <v>65</v>
      </c>
      <c r="E35" s="6" t="s">
        <v>2</v>
      </c>
      <c r="F35" s="4" t="s">
        <v>3</v>
      </c>
      <c r="G35" s="6" t="s">
        <v>6</v>
      </c>
      <c r="H35" s="282"/>
    </row>
    <row r="36" spans="1:9" s="3" customFormat="1" ht="21.75" customHeight="1" x14ac:dyDescent="0.4">
      <c r="A36" s="7">
        <v>5</v>
      </c>
      <c r="B36" s="270" t="s">
        <v>66</v>
      </c>
      <c r="C36" s="271"/>
      <c r="D36" s="271"/>
      <c r="E36" s="271"/>
      <c r="F36" s="271"/>
      <c r="G36" s="316"/>
      <c r="H36" s="8">
        <f>H40</f>
        <v>4037999.9998500003</v>
      </c>
    </row>
    <row r="37" spans="1:9" s="3" customFormat="1" ht="21.75" customHeight="1" x14ac:dyDescent="0.4">
      <c r="A37" s="9" t="s">
        <v>67</v>
      </c>
      <c r="B37" s="270" t="s">
        <v>68</v>
      </c>
      <c r="C37" s="271"/>
      <c r="D37" s="271"/>
      <c r="E37" s="271"/>
      <c r="F37" s="271"/>
      <c r="G37" s="316"/>
      <c r="H37" s="8">
        <f>H40</f>
        <v>4037999.9998500003</v>
      </c>
    </row>
    <row r="38" spans="1:9" s="3" customFormat="1" ht="21.75" customHeight="1" x14ac:dyDescent="0.4">
      <c r="A38" s="10">
        <v>37377</v>
      </c>
      <c r="B38" s="270" t="s">
        <v>69</v>
      </c>
      <c r="C38" s="271"/>
      <c r="D38" s="271"/>
      <c r="E38" s="271"/>
      <c r="F38" s="271"/>
      <c r="G38" s="316"/>
      <c r="H38" s="8">
        <f>H40</f>
        <v>4037999.9998500003</v>
      </c>
    </row>
    <row r="39" spans="1:9" s="3" customFormat="1" ht="21.75" customHeight="1" x14ac:dyDescent="0.4">
      <c r="A39" s="9" t="s">
        <v>70</v>
      </c>
      <c r="B39" s="270" t="s">
        <v>71</v>
      </c>
      <c r="C39" s="271"/>
      <c r="D39" s="271"/>
      <c r="E39" s="271"/>
      <c r="F39" s="271"/>
      <c r="G39" s="316"/>
      <c r="H39" s="8">
        <f>H40</f>
        <v>4037999.9998500003</v>
      </c>
    </row>
    <row r="40" spans="1:9" s="3" customFormat="1" ht="21.75" customHeight="1" x14ac:dyDescent="0.4">
      <c r="A40" s="9" t="s">
        <v>72</v>
      </c>
      <c r="B40" s="270" t="s">
        <v>73</v>
      </c>
      <c r="C40" s="271"/>
      <c r="D40" s="271"/>
      <c r="E40" s="271"/>
      <c r="F40" s="271"/>
      <c r="G40" s="316"/>
      <c r="H40" s="8">
        <f>H41+H44+H47+H50</f>
        <v>4037999.9998500003</v>
      </c>
    </row>
    <row r="41" spans="1:9" s="3" customFormat="1" ht="21" customHeight="1" x14ac:dyDescent="0.4">
      <c r="A41" s="9" t="s">
        <v>74</v>
      </c>
      <c r="B41" s="270" t="s">
        <v>75</v>
      </c>
      <c r="C41" s="271"/>
      <c r="D41" s="271"/>
      <c r="E41" s="271"/>
      <c r="F41" s="271"/>
      <c r="G41" s="316"/>
      <c r="H41" s="8">
        <f>SUM(H42:H43)</f>
        <v>1290600</v>
      </c>
    </row>
    <row r="42" spans="1:9" s="3" customFormat="1" ht="33" customHeight="1" x14ac:dyDescent="0.4">
      <c r="A42" s="11"/>
      <c r="B42" s="307" t="s">
        <v>219</v>
      </c>
      <c r="C42" s="308"/>
      <c r="D42" s="109">
        <v>8</v>
      </c>
      <c r="E42" s="154" t="s">
        <v>76</v>
      </c>
      <c r="F42" s="72">
        <v>87875</v>
      </c>
      <c r="G42" s="14"/>
      <c r="H42" s="15">
        <f>D42*F42</f>
        <v>703000</v>
      </c>
    </row>
    <row r="43" spans="1:9" s="3" customFormat="1" ht="33" customHeight="1" x14ac:dyDescent="0.4">
      <c r="A43" s="11"/>
      <c r="B43" s="307" t="s">
        <v>218</v>
      </c>
      <c r="C43" s="308"/>
      <c r="D43" s="109">
        <v>8</v>
      </c>
      <c r="E43" s="92" t="s">
        <v>76</v>
      </c>
      <c r="F43" s="72">
        <v>73450</v>
      </c>
      <c r="G43" s="14"/>
      <c r="H43" s="15">
        <f>D43*F43</f>
        <v>587600</v>
      </c>
    </row>
    <row r="44" spans="1:9" s="3" customFormat="1" ht="33" customHeight="1" x14ac:dyDescent="0.4">
      <c r="A44" s="9" t="s">
        <v>90</v>
      </c>
      <c r="B44" s="325" t="s">
        <v>91</v>
      </c>
      <c r="C44" s="326"/>
      <c r="D44" s="327"/>
      <c r="E44" s="327"/>
      <c r="F44" s="74"/>
      <c r="G44" s="30"/>
      <c r="H44" s="31">
        <f>SUM(H45:H46)</f>
        <v>910149.99985000002</v>
      </c>
    </row>
    <row r="45" spans="1:9" s="3" customFormat="1" ht="33" customHeight="1" x14ac:dyDescent="0.4">
      <c r="A45" s="32"/>
      <c r="B45" s="323" t="s">
        <v>102</v>
      </c>
      <c r="C45" s="324"/>
      <c r="D45" s="155">
        <v>2600</v>
      </c>
      <c r="E45" s="92" t="s">
        <v>92</v>
      </c>
      <c r="F45" s="73">
        <v>350</v>
      </c>
      <c r="G45" s="28"/>
      <c r="H45" s="29">
        <f>D45*F45</f>
        <v>910000</v>
      </c>
    </row>
    <row r="46" spans="1:9" s="3" customFormat="1" ht="33" customHeight="1" x14ac:dyDescent="0.4">
      <c r="A46" s="26"/>
      <c r="B46" s="323" t="s">
        <v>102</v>
      </c>
      <c r="C46" s="324"/>
      <c r="D46" s="176" t="s">
        <v>280</v>
      </c>
      <c r="E46" s="92" t="s">
        <v>92</v>
      </c>
      <c r="F46" s="73">
        <v>350</v>
      </c>
      <c r="G46" s="28"/>
      <c r="H46" s="29">
        <f>D46*F46</f>
        <v>149.99984999999998</v>
      </c>
      <c r="I46" s="187"/>
    </row>
    <row r="47" spans="1:9" s="3" customFormat="1" ht="33" customHeight="1" x14ac:dyDescent="0.4">
      <c r="A47" s="17" t="s">
        <v>77</v>
      </c>
      <c r="B47" s="297" t="s">
        <v>78</v>
      </c>
      <c r="C47" s="297"/>
      <c r="D47" s="297"/>
      <c r="E47" s="297"/>
      <c r="F47" s="76"/>
      <c r="G47" s="18"/>
      <c r="H47" s="19">
        <f>SUM(H48:H49)</f>
        <v>1837250</v>
      </c>
    </row>
    <row r="48" spans="1:9" s="3" customFormat="1" ht="33" customHeight="1" x14ac:dyDescent="0.4">
      <c r="A48" s="11"/>
      <c r="B48" s="319" t="s">
        <v>250</v>
      </c>
      <c r="C48" s="320"/>
      <c r="D48" s="109">
        <v>1</v>
      </c>
      <c r="E48" s="92" t="s">
        <v>79</v>
      </c>
      <c r="F48" s="87">
        <v>745225</v>
      </c>
      <c r="G48" s="14"/>
      <c r="H48" s="15">
        <f>D48*F48</f>
        <v>745225</v>
      </c>
    </row>
    <row r="49" spans="1:9" s="3" customFormat="1" ht="33" customHeight="1" x14ac:dyDescent="0.4">
      <c r="A49" s="11"/>
      <c r="B49" s="307" t="s">
        <v>249</v>
      </c>
      <c r="C49" s="308"/>
      <c r="D49" s="109">
        <v>1</v>
      </c>
      <c r="E49" s="92" t="s">
        <v>79</v>
      </c>
      <c r="F49" s="87">
        <v>1092025</v>
      </c>
      <c r="G49" s="14"/>
      <c r="H49" s="15">
        <f>D49*F49</f>
        <v>1092025</v>
      </c>
    </row>
    <row r="50" spans="1:9" s="3" customFormat="1" ht="21" customHeight="1" x14ac:dyDescent="0.4">
      <c r="A50" s="17" t="s">
        <v>80</v>
      </c>
      <c r="B50" s="315" t="s">
        <v>81</v>
      </c>
      <c r="C50" s="315"/>
      <c r="D50" s="315"/>
      <c r="E50" s="315"/>
      <c r="F50" s="76"/>
      <c r="G50" s="18"/>
      <c r="H50" s="19">
        <f>SUM(H52:H53)</f>
        <v>0</v>
      </c>
    </row>
    <row r="51" spans="1:9" s="3" customFormat="1" ht="21" customHeight="1" x14ac:dyDescent="0.4">
      <c r="A51" s="17"/>
      <c r="B51" s="317" t="s">
        <v>264</v>
      </c>
      <c r="C51" s="318"/>
      <c r="D51" s="318"/>
      <c r="E51" s="190"/>
      <c r="F51" s="76"/>
      <c r="G51" s="18"/>
      <c r="H51" s="19"/>
    </row>
    <row r="52" spans="1:9" s="3" customFormat="1" ht="67.5" customHeight="1" x14ac:dyDescent="0.4">
      <c r="A52" s="11"/>
      <c r="B52" s="319" t="s">
        <v>213</v>
      </c>
      <c r="C52" s="320"/>
      <c r="D52" s="12">
        <v>0</v>
      </c>
      <c r="E52" s="16" t="s">
        <v>82</v>
      </c>
      <c r="F52" s="75">
        <v>33000</v>
      </c>
      <c r="G52" s="14"/>
      <c r="H52" s="15">
        <f>D52*F52</f>
        <v>0</v>
      </c>
    </row>
    <row r="53" spans="1:9" s="3" customFormat="1" ht="50.25" customHeight="1" x14ac:dyDescent="0.4">
      <c r="A53" s="11"/>
      <c r="B53" s="307" t="s">
        <v>214</v>
      </c>
      <c r="C53" s="308"/>
      <c r="D53" s="12">
        <v>0</v>
      </c>
      <c r="E53" s="16" t="s">
        <v>82</v>
      </c>
      <c r="F53" s="75">
        <v>16500</v>
      </c>
      <c r="G53" s="14"/>
      <c r="H53" s="15">
        <f>D53*F53</f>
        <v>0</v>
      </c>
    </row>
    <row r="54" spans="1:9" s="3" customFormat="1" ht="19.5" customHeight="1" x14ac:dyDescent="0.4">
      <c r="A54" s="20" t="s">
        <v>5</v>
      </c>
      <c r="B54" s="21"/>
      <c r="C54" s="21"/>
      <c r="D54" s="22"/>
      <c r="E54" s="22"/>
      <c r="F54" s="321" t="s">
        <v>5</v>
      </c>
      <c r="G54" s="321"/>
      <c r="H54" s="89">
        <f>H36</f>
        <v>4037999.9998500003</v>
      </c>
      <c r="I54" s="141">
        <v>4038000</v>
      </c>
    </row>
    <row r="57" spans="1:9" ht="15.4" x14ac:dyDescent="0.4">
      <c r="H57" s="166">
        <f>I54-H54</f>
        <v>1.4999974519014359E-4</v>
      </c>
    </row>
  </sheetData>
  <mergeCells count="89">
    <mergeCell ref="A1:E1"/>
    <mergeCell ref="F1:H1"/>
    <mergeCell ref="A2:H2"/>
    <mergeCell ref="A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H16"/>
    <mergeCell ref="A17:B17"/>
    <mergeCell ref="C17:H17"/>
    <mergeCell ref="A18:B18"/>
    <mergeCell ref="C18:H18"/>
    <mergeCell ref="A19:B19"/>
    <mergeCell ref="C19:H19"/>
    <mergeCell ref="A20:H20"/>
    <mergeCell ref="A21:B21"/>
    <mergeCell ref="C21:F21"/>
    <mergeCell ref="G21:H21"/>
    <mergeCell ref="A22:B22"/>
    <mergeCell ref="C22:F22"/>
    <mergeCell ref="G22:H22"/>
    <mergeCell ref="A23:B23"/>
    <mergeCell ref="C23:F23"/>
    <mergeCell ref="G23:H23"/>
    <mergeCell ref="A24:B24"/>
    <mergeCell ref="C24:F24"/>
    <mergeCell ref="G24:H24"/>
    <mergeCell ref="A25:B25"/>
    <mergeCell ref="C25:F25"/>
    <mergeCell ref="G25:H25"/>
    <mergeCell ref="A26:H26"/>
    <mergeCell ref="A27:B27"/>
    <mergeCell ref="C27:H27"/>
    <mergeCell ref="A34:A35"/>
    <mergeCell ref="B34:C35"/>
    <mergeCell ref="D34:G34"/>
    <mergeCell ref="H34:H35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H33"/>
    <mergeCell ref="B47:E47"/>
    <mergeCell ref="B36:G36"/>
    <mergeCell ref="B37:G37"/>
    <mergeCell ref="B38:G38"/>
    <mergeCell ref="B39:G39"/>
    <mergeCell ref="B40:G40"/>
    <mergeCell ref="B41:G41"/>
    <mergeCell ref="B42:C42"/>
    <mergeCell ref="B43:C43"/>
    <mergeCell ref="B44:E44"/>
    <mergeCell ref="B45:C45"/>
    <mergeCell ref="B46:C46"/>
    <mergeCell ref="F54:G54"/>
    <mergeCell ref="B48:C48"/>
    <mergeCell ref="B49:C49"/>
    <mergeCell ref="B50:E50"/>
    <mergeCell ref="B51:D51"/>
    <mergeCell ref="B52:C52"/>
    <mergeCell ref="B53:C53"/>
  </mergeCells>
  <pageMargins left="0.70866141732283472" right="0.11811023622047245" top="0.35433070866141736" bottom="0.55118110236220474" header="0.31496062992125984" footer="0.31496062992125984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8AAED-21BC-4607-88A3-2D9CC68931EA}">
  <dimension ref="A1:I66"/>
  <sheetViews>
    <sheetView topLeftCell="B52" workbookViewId="0">
      <selection activeCell="E69" sqref="E69"/>
    </sheetView>
  </sheetViews>
  <sheetFormatPr defaultColWidth="8.85546875" defaultRowHeight="13.15" x14ac:dyDescent="0.4"/>
  <cols>
    <col min="1" max="1" width="21.5" customWidth="1"/>
    <col min="2" max="2" width="4.35546875" customWidth="1"/>
    <col min="3" max="3" width="39.640625" customWidth="1"/>
    <col min="4" max="4" width="11.85546875" customWidth="1"/>
    <col min="5" max="5" width="12.5" customWidth="1"/>
    <col min="6" max="6" width="11.35546875" customWidth="1"/>
    <col min="7" max="7" width="10.35546875" customWidth="1"/>
    <col min="8" max="8" width="18.5" customWidth="1"/>
    <col min="9" max="9" width="15.85546875" customWidth="1"/>
  </cols>
  <sheetData>
    <row r="1" spans="1:8" ht="51" customHeight="1" x14ac:dyDescent="0.4">
      <c r="A1" s="249" t="s">
        <v>15</v>
      </c>
      <c r="B1" s="250"/>
      <c r="C1" s="250"/>
      <c r="D1" s="250"/>
      <c r="E1" s="251"/>
      <c r="F1" s="328" t="s">
        <v>83</v>
      </c>
      <c r="G1" s="329"/>
      <c r="H1" s="330"/>
    </row>
    <row r="2" spans="1:8" ht="24" customHeight="1" x14ac:dyDescent="0.4">
      <c r="A2" s="255" t="s">
        <v>245</v>
      </c>
      <c r="B2" s="256"/>
      <c r="C2" s="256"/>
      <c r="D2" s="256"/>
      <c r="E2" s="256"/>
      <c r="F2" s="256"/>
      <c r="G2" s="256"/>
      <c r="H2" s="257"/>
    </row>
    <row r="3" spans="1:8" ht="24" customHeight="1" x14ac:dyDescent="0.4">
      <c r="A3" s="255" t="s">
        <v>14</v>
      </c>
      <c r="B3" s="256"/>
      <c r="C3" s="256"/>
      <c r="D3" s="256"/>
      <c r="E3" s="256"/>
      <c r="F3" s="256"/>
      <c r="G3" s="256"/>
      <c r="H3" s="257"/>
    </row>
    <row r="4" spans="1:8" ht="35.25" customHeight="1" x14ac:dyDescent="0.4">
      <c r="A4" s="258" t="s">
        <v>16</v>
      </c>
      <c r="B4" s="259"/>
      <c r="C4" s="260" t="s">
        <v>17</v>
      </c>
      <c r="D4" s="261"/>
      <c r="E4" s="261"/>
      <c r="F4" s="261"/>
      <c r="G4" s="261"/>
      <c r="H4" s="262"/>
    </row>
    <row r="5" spans="1:8" ht="21" customHeight="1" x14ac:dyDescent="0.4">
      <c r="A5" s="258" t="s">
        <v>18</v>
      </c>
      <c r="B5" s="259"/>
      <c r="C5" s="260" t="s">
        <v>19</v>
      </c>
      <c r="D5" s="261"/>
      <c r="E5" s="261"/>
      <c r="F5" s="261"/>
      <c r="G5" s="261"/>
      <c r="H5" s="262"/>
    </row>
    <row r="6" spans="1:8" ht="21" customHeight="1" x14ac:dyDescent="0.4">
      <c r="A6" s="258" t="s">
        <v>20</v>
      </c>
      <c r="B6" s="259"/>
      <c r="C6" s="260" t="s">
        <v>21</v>
      </c>
      <c r="D6" s="261"/>
      <c r="E6" s="261"/>
      <c r="F6" s="261"/>
      <c r="G6" s="261"/>
      <c r="H6" s="262"/>
    </row>
    <row r="7" spans="1:8" ht="21" customHeight="1" x14ac:dyDescent="0.4">
      <c r="A7" s="258" t="s">
        <v>22</v>
      </c>
      <c r="B7" s="259"/>
      <c r="C7" s="260" t="s">
        <v>23</v>
      </c>
      <c r="D7" s="261"/>
      <c r="E7" s="261"/>
      <c r="F7" s="261"/>
      <c r="G7" s="261"/>
      <c r="H7" s="262"/>
    </row>
    <row r="8" spans="1:8" ht="32.25" customHeight="1" x14ac:dyDescent="0.4">
      <c r="A8" s="258" t="s">
        <v>24</v>
      </c>
      <c r="B8" s="259"/>
      <c r="C8" s="260" t="s">
        <v>25</v>
      </c>
      <c r="D8" s="261"/>
      <c r="E8" s="261"/>
      <c r="F8" s="261"/>
      <c r="G8" s="261"/>
      <c r="H8" s="262"/>
    </row>
    <row r="9" spans="1:8" ht="21" customHeight="1" x14ac:dyDescent="0.4">
      <c r="A9" s="258" t="s">
        <v>26</v>
      </c>
      <c r="B9" s="259"/>
      <c r="C9" s="260" t="s">
        <v>27</v>
      </c>
      <c r="D9" s="261"/>
      <c r="E9" s="261"/>
      <c r="F9" s="261"/>
      <c r="G9" s="261"/>
      <c r="H9" s="262"/>
    </row>
    <row r="10" spans="1:8" ht="21" customHeight="1" x14ac:dyDescent="0.4">
      <c r="A10" s="258" t="s">
        <v>28</v>
      </c>
      <c r="B10" s="259"/>
      <c r="C10" s="260" t="s">
        <v>84</v>
      </c>
      <c r="D10" s="261"/>
      <c r="E10" s="261"/>
      <c r="F10" s="261"/>
      <c r="G10" s="261"/>
      <c r="H10" s="262"/>
    </row>
    <row r="11" spans="1:8" ht="21" customHeight="1" x14ac:dyDescent="0.4">
      <c r="A11" s="258" t="s">
        <v>30</v>
      </c>
      <c r="B11" s="259"/>
      <c r="C11" s="260" t="s">
        <v>23</v>
      </c>
      <c r="D11" s="261"/>
      <c r="E11" s="261"/>
      <c r="F11" s="261"/>
      <c r="G11" s="261"/>
      <c r="H11" s="262"/>
    </row>
    <row r="12" spans="1:8" ht="21" customHeight="1" x14ac:dyDescent="0.4">
      <c r="A12" s="258" t="s">
        <v>31</v>
      </c>
      <c r="B12" s="259"/>
      <c r="C12" s="260" t="s">
        <v>23</v>
      </c>
      <c r="D12" s="261"/>
      <c r="E12" s="261"/>
      <c r="F12" s="261"/>
      <c r="G12" s="261"/>
      <c r="H12" s="262"/>
    </row>
    <row r="13" spans="1:8" ht="21" customHeight="1" x14ac:dyDescent="0.4">
      <c r="A13" s="258" t="s">
        <v>32</v>
      </c>
      <c r="B13" s="259"/>
      <c r="C13" s="260" t="s">
        <v>33</v>
      </c>
      <c r="D13" s="261"/>
      <c r="E13" s="261"/>
      <c r="F13" s="261"/>
      <c r="G13" s="261"/>
      <c r="H13" s="262"/>
    </row>
    <row r="14" spans="1:8" ht="21" customHeight="1" x14ac:dyDescent="0.4">
      <c r="A14" s="258" t="s">
        <v>34</v>
      </c>
      <c r="B14" s="259"/>
      <c r="C14" s="260" t="s">
        <v>35</v>
      </c>
      <c r="D14" s="261"/>
      <c r="E14" s="261"/>
      <c r="F14" s="261"/>
      <c r="G14" s="261"/>
      <c r="H14" s="262"/>
    </row>
    <row r="15" spans="1:8" ht="21" customHeight="1" x14ac:dyDescent="0.4">
      <c r="A15" s="258" t="s">
        <v>36</v>
      </c>
      <c r="B15" s="259"/>
      <c r="C15" s="260" t="s">
        <v>37</v>
      </c>
      <c r="D15" s="261"/>
      <c r="E15" s="261"/>
      <c r="F15" s="261"/>
      <c r="G15" s="261"/>
      <c r="H15" s="262"/>
    </row>
    <row r="16" spans="1:8" ht="21" customHeight="1" x14ac:dyDescent="0.4">
      <c r="A16" s="258" t="s">
        <v>38</v>
      </c>
      <c r="B16" s="259"/>
      <c r="C16" s="260" t="s">
        <v>39</v>
      </c>
      <c r="D16" s="261"/>
      <c r="E16" s="261"/>
      <c r="F16" s="261"/>
      <c r="G16" s="261"/>
      <c r="H16" s="262"/>
    </row>
    <row r="17" spans="1:8" ht="21" customHeight="1" x14ac:dyDescent="0.4">
      <c r="A17" s="258" t="s">
        <v>40</v>
      </c>
      <c r="B17" s="259"/>
      <c r="C17" s="260" t="s">
        <v>41</v>
      </c>
      <c r="D17" s="261"/>
      <c r="E17" s="261"/>
      <c r="F17" s="261"/>
      <c r="G17" s="261"/>
      <c r="H17" s="262"/>
    </row>
    <row r="18" spans="1:8" ht="21" customHeight="1" x14ac:dyDescent="0.4">
      <c r="A18" s="258" t="s">
        <v>42</v>
      </c>
      <c r="B18" s="259"/>
      <c r="C18" s="260" t="s">
        <v>85</v>
      </c>
      <c r="D18" s="261"/>
      <c r="E18" s="261"/>
      <c r="F18" s="261"/>
      <c r="G18" s="261"/>
      <c r="H18" s="262"/>
    </row>
    <row r="19" spans="1:8" ht="21" customHeight="1" x14ac:dyDescent="0.4">
      <c r="A19" s="258" t="s">
        <v>44</v>
      </c>
      <c r="B19" s="259"/>
      <c r="C19" s="260" t="s">
        <v>154</v>
      </c>
      <c r="D19" s="261"/>
      <c r="E19" s="261"/>
      <c r="F19" s="261"/>
      <c r="G19" s="261"/>
      <c r="H19" s="262"/>
    </row>
    <row r="20" spans="1:8" ht="24" customHeight="1" x14ac:dyDescent="0.4">
      <c r="A20" s="263" t="s">
        <v>10</v>
      </c>
      <c r="B20" s="264"/>
      <c r="C20" s="264"/>
      <c r="D20" s="264"/>
      <c r="E20" s="264"/>
      <c r="F20" s="264"/>
      <c r="G20" s="264"/>
      <c r="H20" s="265"/>
    </row>
    <row r="21" spans="1:8" ht="24" customHeight="1" x14ac:dyDescent="0.4">
      <c r="A21" s="263" t="s">
        <v>11</v>
      </c>
      <c r="B21" s="266"/>
      <c r="C21" s="267" t="s">
        <v>12</v>
      </c>
      <c r="D21" s="264"/>
      <c r="E21" s="264"/>
      <c r="F21" s="264"/>
      <c r="G21" s="309" t="s">
        <v>13</v>
      </c>
      <c r="H21" s="310"/>
    </row>
    <row r="22" spans="1:8" ht="21" customHeight="1" x14ac:dyDescent="0.4">
      <c r="A22" s="258" t="s">
        <v>45</v>
      </c>
      <c r="B22" s="259"/>
      <c r="C22" s="268" t="s">
        <v>46</v>
      </c>
      <c r="D22" s="269"/>
      <c r="E22" s="269"/>
      <c r="F22" s="269"/>
      <c r="G22" s="311">
        <v>1</v>
      </c>
      <c r="H22" s="312"/>
    </row>
    <row r="23" spans="1:8" ht="21" customHeight="1" x14ac:dyDescent="0.4">
      <c r="A23" s="258" t="s">
        <v>47</v>
      </c>
      <c r="B23" s="259"/>
      <c r="C23" s="268" t="s">
        <v>48</v>
      </c>
      <c r="D23" s="269"/>
      <c r="E23" s="269"/>
      <c r="F23" s="269"/>
      <c r="G23" s="331">
        <f>H36</f>
        <v>24224999.999949999</v>
      </c>
      <c r="H23" s="314"/>
    </row>
    <row r="24" spans="1:8" ht="31.5" customHeight="1" x14ac:dyDescent="0.4">
      <c r="A24" s="258" t="s">
        <v>49</v>
      </c>
      <c r="B24" s="259"/>
      <c r="C24" s="268" t="s">
        <v>86</v>
      </c>
      <c r="D24" s="269"/>
      <c r="E24" s="269"/>
      <c r="F24" s="269"/>
      <c r="G24" s="268" t="s">
        <v>51</v>
      </c>
      <c r="H24" s="314"/>
    </row>
    <row r="25" spans="1:8" ht="33.75" customHeight="1" x14ac:dyDescent="0.4">
      <c r="A25" s="258" t="s">
        <v>52</v>
      </c>
      <c r="B25" s="259"/>
      <c r="C25" s="268" t="s">
        <v>53</v>
      </c>
      <c r="D25" s="269"/>
      <c r="E25" s="269"/>
      <c r="F25" s="269"/>
      <c r="G25" s="268" t="s">
        <v>54</v>
      </c>
      <c r="H25" s="314"/>
    </row>
    <row r="26" spans="1:8" ht="24" customHeight="1" x14ac:dyDescent="0.4">
      <c r="A26" s="263" t="s">
        <v>55</v>
      </c>
      <c r="B26" s="264"/>
      <c r="C26" s="264"/>
      <c r="D26" s="264"/>
      <c r="E26" s="264"/>
      <c r="F26" s="264"/>
      <c r="G26" s="264"/>
      <c r="H26" s="265"/>
    </row>
    <row r="27" spans="1:8" ht="21" customHeight="1" x14ac:dyDescent="0.4">
      <c r="A27" s="258" t="s">
        <v>28</v>
      </c>
      <c r="B27" s="259"/>
      <c r="C27" s="260" t="s">
        <v>84</v>
      </c>
      <c r="D27" s="261"/>
      <c r="E27" s="261"/>
      <c r="F27" s="261"/>
      <c r="G27" s="261"/>
      <c r="H27" s="262"/>
    </row>
    <row r="28" spans="1:8" ht="21" customHeight="1" x14ac:dyDescent="0.4">
      <c r="A28" s="258" t="s">
        <v>32</v>
      </c>
      <c r="B28" s="259"/>
      <c r="C28" s="260" t="s">
        <v>33</v>
      </c>
      <c r="D28" s="261"/>
      <c r="E28" s="261"/>
      <c r="F28" s="261"/>
      <c r="G28" s="261"/>
      <c r="H28" s="262"/>
    </row>
    <row r="29" spans="1:8" ht="21" customHeight="1" x14ac:dyDescent="0.4">
      <c r="A29" s="258" t="s">
        <v>34</v>
      </c>
      <c r="B29" s="259"/>
      <c r="C29" s="260" t="s">
        <v>56</v>
      </c>
      <c r="D29" s="261"/>
      <c r="E29" s="261"/>
      <c r="F29" s="261"/>
      <c r="G29" s="261"/>
      <c r="H29" s="262"/>
    </row>
    <row r="30" spans="1:8" ht="21" customHeight="1" x14ac:dyDescent="0.4">
      <c r="A30" s="258" t="s">
        <v>57</v>
      </c>
      <c r="B30" s="259"/>
      <c r="C30" s="260" t="s">
        <v>87</v>
      </c>
      <c r="D30" s="261"/>
      <c r="E30" s="261"/>
      <c r="F30" s="261"/>
      <c r="G30" s="261"/>
      <c r="H30" s="262"/>
    </row>
    <row r="31" spans="1:8" ht="21" customHeight="1" x14ac:dyDescent="0.4">
      <c r="A31" s="258" t="s">
        <v>36</v>
      </c>
      <c r="B31" s="259"/>
      <c r="C31" s="260" t="s">
        <v>37</v>
      </c>
      <c r="D31" s="261"/>
      <c r="E31" s="261"/>
      <c r="F31" s="261"/>
      <c r="G31" s="261"/>
      <c r="H31" s="262"/>
    </row>
    <row r="32" spans="1:8" ht="21" customHeight="1" x14ac:dyDescent="0.4">
      <c r="A32" s="258" t="s">
        <v>59</v>
      </c>
      <c r="B32" s="259"/>
      <c r="C32" s="260" t="s">
        <v>60</v>
      </c>
      <c r="D32" s="261"/>
      <c r="E32" s="261"/>
      <c r="F32" s="261"/>
      <c r="G32" s="261"/>
      <c r="H32" s="262"/>
    </row>
    <row r="33" spans="1:9" ht="24" customHeight="1" x14ac:dyDescent="0.4">
      <c r="A33" s="263" t="s">
        <v>55</v>
      </c>
      <c r="B33" s="264"/>
      <c r="C33" s="264"/>
      <c r="D33" s="264"/>
      <c r="E33" s="264"/>
      <c r="F33" s="264"/>
      <c r="G33" s="264"/>
      <c r="H33" s="265"/>
    </row>
    <row r="34" spans="1:9" ht="20.25" customHeight="1" x14ac:dyDescent="0.4">
      <c r="A34" s="275" t="s">
        <v>61</v>
      </c>
      <c r="B34" s="277" t="s">
        <v>62</v>
      </c>
      <c r="C34" s="278"/>
      <c r="D34" s="267" t="s">
        <v>63</v>
      </c>
      <c r="E34" s="264"/>
      <c r="F34" s="264"/>
      <c r="G34" s="266"/>
      <c r="H34" s="281" t="s">
        <v>64</v>
      </c>
    </row>
    <row r="35" spans="1:9" ht="20.25" customHeight="1" x14ac:dyDescent="0.4">
      <c r="A35" s="276"/>
      <c r="B35" s="279"/>
      <c r="C35" s="280"/>
      <c r="D35" s="6" t="s">
        <v>65</v>
      </c>
      <c r="E35" s="6" t="s">
        <v>2</v>
      </c>
      <c r="F35" s="5" t="s">
        <v>3</v>
      </c>
      <c r="G35" s="24" t="s">
        <v>6</v>
      </c>
      <c r="H35" s="282"/>
    </row>
    <row r="36" spans="1:9" ht="21" customHeight="1" x14ac:dyDescent="0.4">
      <c r="A36" s="7">
        <v>5</v>
      </c>
      <c r="B36" s="270" t="s">
        <v>66</v>
      </c>
      <c r="C36" s="271"/>
      <c r="D36" s="271"/>
      <c r="E36" s="271"/>
      <c r="F36" s="271"/>
      <c r="G36" s="316"/>
      <c r="H36" s="25">
        <f>H37</f>
        <v>24224999.999949999</v>
      </c>
    </row>
    <row r="37" spans="1:9" ht="21" customHeight="1" x14ac:dyDescent="0.4">
      <c r="A37" s="9" t="s">
        <v>67</v>
      </c>
      <c r="B37" s="270" t="s">
        <v>68</v>
      </c>
      <c r="C37" s="271"/>
      <c r="D37" s="271"/>
      <c r="E37" s="271"/>
      <c r="F37" s="271"/>
      <c r="G37" s="316"/>
      <c r="H37" s="25">
        <f>H38</f>
        <v>24224999.999949999</v>
      </c>
    </row>
    <row r="38" spans="1:9" ht="21" customHeight="1" x14ac:dyDescent="0.4">
      <c r="A38" s="10">
        <v>37377</v>
      </c>
      <c r="B38" s="270" t="s">
        <v>69</v>
      </c>
      <c r="C38" s="271"/>
      <c r="D38" s="271"/>
      <c r="E38" s="271"/>
      <c r="F38" s="271"/>
      <c r="G38" s="316"/>
      <c r="H38" s="25">
        <f>H39+H55</f>
        <v>24224999.999949999</v>
      </c>
    </row>
    <row r="39" spans="1:9" ht="21" customHeight="1" x14ac:dyDescent="0.4">
      <c r="A39" s="9" t="s">
        <v>70</v>
      </c>
      <c r="B39" s="270" t="s">
        <v>71</v>
      </c>
      <c r="C39" s="271"/>
      <c r="D39" s="271"/>
      <c r="E39" s="271"/>
      <c r="F39" s="271"/>
      <c r="G39" s="316"/>
      <c r="H39" s="25">
        <f>H41+H44+H47+H50</f>
        <v>20744999.999949999</v>
      </c>
    </row>
    <row r="40" spans="1:9" ht="21" customHeight="1" x14ac:dyDescent="0.4">
      <c r="A40" s="9" t="s">
        <v>72</v>
      </c>
      <c r="B40" s="270" t="s">
        <v>73</v>
      </c>
      <c r="C40" s="271"/>
      <c r="D40" s="271"/>
      <c r="E40" s="271"/>
      <c r="F40" s="271"/>
      <c r="G40" s="316"/>
      <c r="H40" s="25">
        <f>H41+H44+H47+H50</f>
        <v>20744999.999949999</v>
      </c>
    </row>
    <row r="41" spans="1:9" ht="21" customHeight="1" x14ac:dyDescent="0.4">
      <c r="A41" s="9" t="s">
        <v>88</v>
      </c>
      <c r="B41" s="270" t="s">
        <v>89</v>
      </c>
      <c r="C41" s="271"/>
      <c r="D41" s="271"/>
      <c r="E41" s="271"/>
      <c r="F41" s="271"/>
      <c r="G41" s="316"/>
      <c r="H41" s="25">
        <f>SUM(H42:H43)</f>
        <v>958200</v>
      </c>
    </row>
    <row r="42" spans="1:9" ht="33" customHeight="1" x14ac:dyDescent="0.4">
      <c r="A42" s="26"/>
      <c r="B42" s="308" t="s">
        <v>100</v>
      </c>
      <c r="C42" s="308"/>
      <c r="D42" s="27">
        <v>12</v>
      </c>
      <c r="E42" s="177" t="s">
        <v>225</v>
      </c>
      <c r="F42" s="116">
        <v>72075</v>
      </c>
      <c r="G42" s="28"/>
      <c r="H42" s="29">
        <f>D42*F42</f>
        <v>864900</v>
      </c>
    </row>
    <row r="43" spans="1:9" ht="33" customHeight="1" x14ac:dyDescent="0.4">
      <c r="A43" s="26"/>
      <c r="B43" s="308" t="s">
        <v>101</v>
      </c>
      <c r="C43" s="308"/>
      <c r="D43" s="27">
        <v>12</v>
      </c>
      <c r="E43" s="177" t="s">
        <v>79</v>
      </c>
      <c r="F43" s="116">
        <v>7775</v>
      </c>
      <c r="G43" s="28"/>
      <c r="H43" s="29">
        <f>D43*F43</f>
        <v>93300</v>
      </c>
      <c r="I43" s="86"/>
    </row>
    <row r="44" spans="1:9" ht="21" customHeight="1" x14ac:dyDescent="0.4">
      <c r="A44" s="9" t="s">
        <v>74</v>
      </c>
      <c r="B44" s="332" t="s">
        <v>75</v>
      </c>
      <c r="C44" s="333"/>
      <c r="D44" s="333"/>
      <c r="E44" s="333"/>
      <c r="F44" s="333"/>
      <c r="G44" s="334"/>
      <c r="H44" s="31">
        <f>SUM(H45:H46)</f>
        <v>2581200</v>
      </c>
    </row>
    <row r="45" spans="1:9" ht="33" customHeight="1" x14ac:dyDescent="0.4">
      <c r="A45" s="26"/>
      <c r="B45" s="300" t="s">
        <v>219</v>
      </c>
      <c r="C45" s="300"/>
      <c r="D45" s="220">
        <v>16</v>
      </c>
      <c r="E45" s="221" t="s">
        <v>76</v>
      </c>
      <c r="F45" s="225">
        <v>87875</v>
      </c>
      <c r="G45" s="223"/>
      <c r="H45" s="224">
        <f>D45*F45</f>
        <v>1406000</v>
      </c>
      <c r="I45" s="86"/>
    </row>
    <row r="46" spans="1:9" ht="33" customHeight="1" x14ac:dyDescent="0.4">
      <c r="A46" s="26"/>
      <c r="B46" s="300" t="s">
        <v>218</v>
      </c>
      <c r="C46" s="300"/>
      <c r="D46" s="220">
        <v>16</v>
      </c>
      <c r="E46" s="221" t="s">
        <v>76</v>
      </c>
      <c r="F46" s="225">
        <v>73450</v>
      </c>
      <c r="G46" s="223"/>
      <c r="H46" s="224">
        <f>D46*F46</f>
        <v>1175200</v>
      </c>
      <c r="I46" s="86"/>
    </row>
    <row r="47" spans="1:9" ht="21" customHeight="1" x14ac:dyDescent="0.4">
      <c r="A47" s="9" t="s">
        <v>90</v>
      </c>
      <c r="B47" s="335" t="s">
        <v>91</v>
      </c>
      <c r="C47" s="336"/>
      <c r="D47" s="271"/>
      <c r="E47" s="271"/>
      <c r="F47" s="74"/>
      <c r="G47" s="30"/>
      <c r="H47" s="31">
        <f>SUM(H48:H49)</f>
        <v>4212824.9999500001</v>
      </c>
    </row>
    <row r="48" spans="1:9" ht="33" customHeight="1" x14ac:dyDescent="0.4">
      <c r="A48" s="32"/>
      <c r="B48" s="337" t="s">
        <v>224</v>
      </c>
      <c r="C48" s="338"/>
      <c r="D48" s="226">
        <v>12036</v>
      </c>
      <c r="E48" s="221" t="s">
        <v>92</v>
      </c>
      <c r="F48" s="222">
        <v>350</v>
      </c>
      <c r="G48" s="223"/>
      <c r="H48" s="224">
        <f>D48*F48</f>
        <v>4212600</v>
      </c>
      <c r="I48" s="86"/>
    </row>
    <row r="49" spans="1:9" ht="33" customHeight="1" x14ac:dyDescent="0.4">
      <c r="A49" s="32"/>
      <c r="B49" s="323" t="s">
        <v>102</v>
      </c>
      <c r="C49" s="324"/>
      <c r="D49" s="178" t="s">
        <v>281</v>
      </c>
      <c r="E49" s="16" t="s">
        <v>92</v>
      </c>
      <c r="F49" s="73">
        <v>350</v>
      </c>
      <c r="G49" s="28"/>
      <c r="H49" s="29">
        <f>D49*F49</f>
        <v>224.99995000000001</v>
      </c>
      <c r="I49" s="188"/>
    </row>
    <row r="50" spans="1:9" ht="21" customHeight="1" x14ac:dyDescent="0.4">
      <c r="A50" s="9" t="s">
        <v>77</v>
      </c>
      <c r="B50" s="332" t="s">
        <v>78</v>
      </c>
      <c r="C50" s="333"/>
      <c r="D50" s="333"/>
      <c r="E50" s="333"/>
      <c r="F50" s="334"/>
      <c r="G50" s="30"/>
      <c r="H50" s="31">
        <f>SUM(H51:H54)</f>
        <v>12992775</v>
      </c>
      <c r="I50" s="29"/>
    </row>
    <row r="51" spans="1:9" ht="33" customHeight="1" x14ac:dyDescent="0.4">
      <c r="A51" s="26"/>
      <c r="B51" s="300" t="s">
        <v>246</v>
      </c>
      <c r="C51" s="300"/>
      <c r="D51" s="227">
        <v>17</v>
      </c>
      <c r="E51" s="221" t="s">
        <v>79</v>
      </c>
      <c r="F51" s="222">
        <v>163175</v>
      </c>
      <c r="G51" s="223"/>
      <c r="H51" s="224">
        <f>D51*F51</f>
        <v>2773975</v>
      </c>
      <c r="I51" s="86"/>
    </row>
    <row r="52" spans="1:9" ht="51.75" customHeight="1" x14ac:dyDescent="0.4">
      <c r="A52" s="26"/>
      <c r="B52" s="300" t="s">
        <v>251</v>
      </c>
      <c r="C52" s="300"/>
      <c r="D52" s="227">
        <v>18</v>
      </c>
      <c r="E52" s="221" t="s">
        <v>79</v>
      </c>
      <c r="F52" s="222">
        <v>163175</v>
      </c>
      <c r="G52" s="223"/>
      <c r="H52" s="224">
        <f t="shared" ref="H52:H53" si="0">D52*F52</f>
        <v>2937150</v>
      </c>
      <c r="I52" s="86"/>
    </row>
    <row r="53" spans="1:9" ht="33" customHeight="1" x14ac:dyDescent="0.4">
      <c r="A53" s="26"/>
      <c r="B53" s="319" t="s">
        <v>252</v>
      </c>
      <c r="C53" s="320"/>
      <c r="D53" s="109">
        <v>3</v>
      </c>
      <c r="E53" s="16" t="s">
        <v>79</v>
      </c>
      <c r="F53" s="73">
        <v>1699200</v>
      </c>
      <c r="G53" s="28"/>
      <c r="H53" s="29">
        <f t="shared" si="0"/>
        <v>5097600</v>
      </c>
    </row>
    <row r="54" spans="1:9" ht="33" customHeight="1" x14ac:dyDescent="0.4">
      <c r="A54" s="26"/>
      <c r="B54" s="307" t="s">
        <v>249</v>
      </c>
      <c r="C54" s="308"/>
      <c r="D54" s="109">
        <v>2</v>
      </c>
      <c r="E54" s="16" t="s">
        <v>79</v>
      </c>
      <c r="F54" s="73">
        <v>1092025</v>
      </c>
      <c r="G54" s="14"/>
      <c r="H54" s="15">
        <f>D54*F54</f>
        <v>2184050</v>
      </c>
    </row>
    <row r="55" spans="1:9" ht="21" customHeight="1" x14ac:dyDescent="0.4">
      <c r="A55" s="9" t="s">
        <v>93</v>
      </c>
      <c r="B55" s="335" t="s">
        <v>94</v>
      </c>
      <c r="C55" s="336"/>
      <c r="D55" s="271"/>
      <c r="E55" s="271"/>
      <c r="F55" s="74"/>
      <c r="G55" s="30"/>
      <c r="H55" s="31">
        <f>H56</f>
        <v>3480000</v>
      </c>
    </row>
    <row r="56" spans="1:9" ht="21" customHeight="1" x14ac:dyDescent="0.4">
      <c r="A56" s="9" t="s">
        <v>95</v>
      </c>
      <c r="B56" s="270" t="s">
        <v>96</v>
      </c>
      <c r="C56" s="271"/>
      <c r="D56" s="271"/>
      <c r="E56" s="271"/>
      <c r="F56" s="74" t="s">
        <v>7</v>
      </c>
      <c r="G56" s="30"/>
      <c r="H56" s="31">
        <f>H57+H60</f>
        <v>3480000</v>
      </c>
    </row>
    <row r="57" spans="1:9" ht="21" customHeight="1" x14ac:dyDescent="0.4">
      <c r="A57" s="2" t="s">
        <v>215</v>
      </c>
      <c r="B57" s="292" t="s">
        <v>216</v>
      </c>
      <c r="C57" s="292"/>
      <c r="D57" s="168"/>
      <c r="E57" s="167"/>
      <c r="F57" s="128"/>
      <c r="G57" s="129"/>
      <c r="H57" s="63">
        <f>SUM(H58:H59)</f>
        <v>800000</v>
      </c>
    </row>
    <row r="58" spans="1:9" ht="36.75" customHeight="1" x14ac:dyDescent="0.4">
      <c r="A58" s="9"/>
      <c r="B58" s="341" t="s">
        <v>227</v>
      </c>
      <c r="C58" s="342"/>
      <c r="D58" s="133">
        <v>1</v>
      </c>
      <c r="E58" s="132" t="s">
        <v>253</v>
      </c>
      <c r="F58" s="148">
        <v>430000</v>
      </c>
      <c r="G58" s="134"/>
      <c r="H58" s="85">
        <f>D58*F58</f>
        <v>430000</v>
      </c>
    </row>
    <row r="59" spans="1:9" ht="50.25" customHeight="1" x14ac:dyDescent="0.4">
      <c r="A59" s="9"/>
      <c r="B59" s="343" t="s">
        <v>232</v>
      </c>
      <c r="C59" s="344"/>
      <c r="D59" s="192">
        <v>2</v>
      </c>
      <c r="E59" s="127" t="s">
        <v>233</v>
      </c>
      <c r="F59" s="169">
        <v>185000</v>
      </c>
      <c r="G59" s="131"/>
      <c r="H59" s="85">
        <f>D59*F59</f>
        <v>370000</v>
      </c>
    </row>
    <row r="60" spans="1:9" ht="21" customHeight="1" x14ac:dyDescent="0.4">
      <c r="A60" s="9" t="s">
        <v>97</v>
      </c>
      <c r="B60" s="270" t="s">
        <v>98</v>
      </c>
      <c r="C60" s="271"/>
      <c r="D60" s="271"/>
      <c r="E60" s="271"/>
      <c r="F60" s="74"/>
      <c r="G60" s="30"/>
      <c r="H60" s="31">
        <f>SUM(H61:H63)</f>
        <v>2680000</v>
      </c>
    </row>
    <row r="61" spans="1:9" ht="63.75" customHeight="1" x14ac:dyDescent="0.4">
      <c r="A61" s="33"/>
      <c r="B61" s="339" t="s">
        <v>104</v>
      </c>
      <c r="C61" s="339"/>
      <c r="D61" s="27">
        <v>2</v>
      </c>
      <c r="E61" s="16" t="s">
        <v>99</v>
      </c>
      <c r="F61" s="73">
        <v>135000</v>
      </c>
      <c r="G61" s="28"/>
      <c r="H61" s="29">
        <f>D61*F61</f>
        <v>270000</v>
      </c>
    </row>
    <row r="62" spans="1:9" ht="51" customHeight="1" x14ac:dyDescent="0.4">
      <c r="A62" s="34"/>
      <c r="B62" s="340" t="s">
        <v>9</v>
      </c>
      <c r="C62" s="339"/>
      <c r="D62" s="27">
        <v>2</v>
      </c>
      <c r="E62" s="16" t="s">
        <v>99</v>
      </c>
      <c r="F62" s="73">
        <v>185000</v>
      </c>
      <c r="G62" s="28"/>
      <c r="H62" s="29">
        <f>D62*F62</f>
        <v>370000</v>
      </c>
    </row>
    <row r="63" spans="1:9" ht="51" customHeight="1" x14ac:dyDescent="0.4">
      <c r="A63" s="35"/>
      <c r="B63" s="340" t="s">
        <v>4</v>
      </c>
      <c r="C63" s="339"/>
      <c r="D63" s="36">
        <v>12</v>
      </c>
      <c r="E63" s="37" t="s">
        <v>99</v>
      </c>
      <c r="F63" s="73">
        <v>170000</v>
      </c>
      <c r="G63" s="28"/>
      <c r="H63" s="29">
        <f>D63*F63</f>
        <v>2040000</v>
      </c>
      <c r="I63" s="86"/>
    </row>
    <row r="64" spans="1:9" ht="20.25" customHeight="1" x14ac:dyDescent="0.4">
      <c r="A64" s="38"/>
      <c r="B64" s="39"/>
      <c r="C64" s="39"/>
      <c r="D64" s="39"/>
      <c r="E64" s="39"/>
      <c r="F64" s="39"/>
      <c r="G64" s="40" t="s">
        <v>5</v>
      </c>
      <c r="H64" s="25">
        <f>H36</f>
        <v>24224999.999949999</v>
      </c>
      <c r="I64" s="141">
        <v>24225000</v>
      </c>
    </row>
    <row r="66" spans="8:8" ht="15.4" x14ac:dyDescent="0.4">
      <c r="H66" s="166">
        <f>I64-H64</f>
        <v>5.0000846385955811E-5</v>
      </c>
    </row>
  </sheetData>
  <mergeCells count="98">
    <mergeCell ref="B60:E60"/>
    <mergeCell ref="B61:C61"/>
    <mergeCell ref="B62:C62"/>
    <mergeCell ref="B63:C63"/>
    <mergeCell ref="B54:C54"/>
    <mergeCell ref="B55:E55"/>
    <mergeCell ref="B56:E56"/>
    <mergeCell ref="B57:C57"/>
    <mergeCell ref="B58:C58"/>
    <mergeCell ref="B59:C59"/>
    <mergeCell ref="B53:C53"/>
    <mergeCell ref="B42:C42"/>
    <mergeCell ref="B43:C43"/>
    <mergeCell ref="B44:G44"/>
    <mergeCell ref="B45:C45"/>
    <mergeCell ref="B46:C46"/>
    <mergeCell ref="B47:E47"/>
    <mergeCell ref="B48:C48"/>
    <mergeCell ref="B49:C49"/>
    <mergeCell ref="B50:F50"/>
    <mergeCell ref="B51:C51"/>
    <mergeCell ref="B52:C52"/>
    <mergeCell ref="B41:G41"/>
    <mergeCell ref="A31:B31"/>
    <mergeCell ref="C31:H31"/>
    <mergeCell ref="A32:B32"/>
    <mergeCell ref="C32:H32"/>
    <mergeCell ref="A33:H33"/>
    <mergeCell ref="A34:A35"/>
    <mergeCell ref="B34:C35"/>
    <mergeCell ref="D34:G34"/>
    <mergeCell ref="H34:H35"/>
    <mergeCell ref="B36:G36"/>
    <mergeCell ref="B37:G37"/>
    <mergeCell ref="B38:G38"/>
    <mergeCell ref="B39:G39"/>
    <mergeCell ref="B40:G40"/>
    <mergeCell ref="A28:B28"/>
    <mergeCell ref="C28:H28"/>
    <mergeCell ref="A29:B29"/>
    <mergeCell ref="C29:H29"/>
    <mergeCell ref="A30:B30"/>
    <mergeCell ref="C30:H30"/>
    <mergeCell ref="A25:B25"/>
    <mergeCell ref="C25:F25"/>
    <mergeCell ref="G25:H25"/>
    <mergeCell ref="A26:H26"/>
    <mergeCell ref="A27:B27"/>
    <mergeCell ref="C27:H27"/>
    <mergeCell ref="A23:B23"/>
    <mergeCell ref="C23:F23"/>
    <mergeCell ref="G23:H23"/>
    <mergeCell ref="A24:B24"/>
    <mergeCell ref="C24:F24"/>
    <mergeCell ref="G24:H24"/>
    <mergeCell ref="A20:H20"/>
    <mergeCell ref="A21:B21"/>
    <mergeCell ref="C21:F21"/>
    <mergeCell ref="G21:H21"/>
    <mergeCell ref="A22:B22"/>
    <mergeCell ref="C22:F22"/>
    <mergeCell ref="G22:H22"/>
    <mergeCell ref="A17:B17"/>
    <mergeCell ref="C17:H17"/>
    <mergeCell ref="A18:B18"/>
    <mergeCell ref="C18:H18"/>
    <mergeCell ref="A19:B19"/>
    <mergeCell ref="C19:H19"/>
    <mergeCell ref="A14:B14"/>
    <mergeCell ref="C14:H14"/>
    <mergeCell ref="A15:B15"/>
    <mergeCell ref="C15:H15"/>
    <mergeCell ref="A16:B16"/>
    <mergeCell ref="C16:H16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1:E1"/>
    <mergeCell ref="F1:H1"/>
    <mergeCell ref="A2:H2"/>
    <mergeCell ref="A3:H3"/>
    <mergeCell ref="A4:B4"/>
    <mergeCell ref="C4:H4"/>
  </mergeCells>
  <pageMargins left="0.70866141732283472" right="0.11811023622047245" top="0.35433070866141736" bottom="0.55118110236220474" header="0.31496062992125984" footer="0.31496062992125984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1F0A-7ED1-4597-A0BA-C3395815D1A5}">
  <dimension ref="A1:I57"/>
  <sheetViews>
    <sheetView topLeftCell="B38" workbookViewId="0">
      <selection activeCell="I54" sqref="I54"/>
    </sheetView>
  </sheetViews>
  <sheetFormatPr defaultColWidth="8.85546875" defaultRowHeight="13.15" x14ac:dyDescent="0.4"/>
  <cols>
    <col min="1" max="1" width="21.35546875" customWidth="1"/>
    <col min="2" max="2" width="4.640625" customWidth="1"/>
    <col min="3" max="3" width="38.85546875" customWidth="1"/>
    <col min="4" max="4" width="12.35546875" customWidth="1"/>
    <col min="5" max="5" width="11" customWidth="1"/>
    <col min="6" max="6" width="12.140625" customWidth="1"/>
    <col min="7" max="7" width="8.140625" customWidth="1"/>
    <col min="8" max="8" width="23.140625" customWidth="1"/>
    <col min="9" max="9" width="15" bestFit="1" customWidth="1"/>
  </cols>
  <sheetData>
    <row r="1" spans="1:8" ht="51" customHeight="1" x14ac:dyDescent="0.4">
      <c r="A1" s="249" t="s">
        <v>15</v>
      </c>
      <c r="B1" s="250"/>
      <c r="C1" s="250"/>
      <c r="D1" s="250"/>
      <c r="E1" s="251"/>
      <c r="F1" s="328" t="s">
        <v>83</v>
      </c>
      <c r="G1" s="329"/>
      <c r="H1" s="330"/>
    </row>
    <row r="2" spans="1:8" ht="24" customHeight="1" x14ac:dyDescent="0.4">
      <c r="A2" s="255" t="s">
        <v>245</v>
      </c>
      <c r="B2" s="256"/>
      <c r="C2" s="256"/>
      <c r="D2" s="256"/>
      <c r="E2" s="256"/>
      <c r="F2" s="256"/>
      <c r="G2" s="256"/>
      <c r="H2" s="257"/>
    </row>
    <row r="3" spans="1:8" ht="24" customHeight="1" x14ac:dyDescent="0.4">
      <c r="A3" s="255" t="s">
        <v>14</v>
      </c>
      <c r="B3" s="256"/>
      <c r="C3" s="256"/>
      <c r="D3" s="256"/>
      <c r="E3" s="256"/>
      <c r="F3" s="256"/>
      <c r="G3" s="256"/>
      <c r="H3" s="257"/>
    </row>
    <row r="4" spans="1:8" ht="24" customHeight="1" x14ac:dyDescent="0.4">
      <c r="A4" s="258" t="s">
        <v>16</v>
      </c>
      <c r="B4" s="259"/>
      <c r="C4" s="260" t="s">
        <v>17</v>
      </c>
      <c r="D4" s="261"/>
      <c r="E4" s="261"/>
      <c r="F4" s="261"/>
      <c r="G4" s="261"/>
      <c r="H4" s="262"/>
    </row>
    <row r="5" spans="1:8" ht="24" customHeight="1" x14ac:dyDescent="0.4">
      <c r="A5" s="258" t="s">
        <v>18</v>
      </c>
      <c r="B5" s="259"/>
      <c r="C5" s="260" t="s">
        <v>19</v>
      </c>
      <c r="D5" s="261"/>
      <c r="E5" s="261"/>
      <c r="F5" s="261"/>
      <c r="G5" s="261"/>
      <c r="H5" s="262"/>
    </row>
    <row r="6" spans="1:8" ht="24" customHeight="1" x14ac:dyDescent="0.4">
      <c r="A6" s="258" t="s">
        <v>20</v>
      </c>
      <c r="B6" s="259"/>
      <c r="C6" s="260" t="s">
        <v>21</v>
      </c>
      <c r="D6" s="261"/>
      <c r="E6" s="261"/>
      <c r="F6" s="261"/>
      <c r="G6" s="261"/>
      <c r="H6" s="262"/>
    </row>
    <row r="7" spans="1:8" ht="24" customHeight="1" x14ac:dyDescent="0.4">
      <c r="A7" s="258" t="s">
        <v>22</v>
      </c>
      <c r="B7" s="259"/>
      <c r="C7" s="260" t="s">
        <v>23</v>
      </c>
      <c r="D7" s="261"/>
      <c r="E7" s="261"/>
      <c r="F7" s="261"/>
      <c r="G7" s="261"/>
      <c r="H7" s="262"/>
    </row>
    <row r="8" spans="1:8" ht="36" customHeight="1" x14ac:dyDescent="0.4">
      <c r="A8" s="258" t="s">
        <v>24</v>
      </c>
      <c r="B8" s="259"/>
      <c r="C8" s="260" t="s">
        <v>25</v>
      </c>
      <c r="D8" s="261"/>
      <c r="E8" s="261"/>
      <c r="F8" s="261"/>
      <c r="G8" s="261"/>
      <c r="H8" s="262"/>
    </row>
    <row r="9" spans="1:8" ht="24" customHeight="1" x14ac:dyDescent="0.4">
      <c r="A9" s="258" t="s">
        <v>26</v>
      </c>
      <c r="B9" s="259"/>
      <c r="C9" s="260" t="s">
        <v>27</v>
      </c>
      <c r="D9" s="261"/>
      <c r="E9" s="261"/>
      <c r="F9" s="261"/>
      <c r="G9" s="261"/>
      <c r="H9" s="262"/>
    </row>
    <row r="10" spans="1:8" ht="24" customHeight="1" x14ac:dyDescent="0.4">
      <c r="A10" s="258" t="s">
        <v>28</v>
      </c>
      <c r="B10" s="259"/>
      <c r="C10" s="260" t="s">
        <v>105</v>
      </c>
      <c r="D10" s="261"/>
      <c r="E10" s="261"/>
      <c r="F10" s="261"/>
      <c r="G10" s="261"/>
      <c r="H10" s="262"/>
    </row>
    <row r="11" spans="1:8" ht="24" customHeight="1" x14ac:dyDescent="0.4">
      <c r="A11" s="258" t="s">
        <v>30</v>
      </c>
      <c r="B11" s="259"/>
      <c r="C11" s="260" t="s">
        <v>23</v>
      </c>
      <c r="D11" s="261"/>
      <c r="E11" s="261"/>
      <c r="F11" s="261"/>
      <c r="G11" s="261"/>
      <c r="H11" s="262"/>
    </row>
    <row r="12" spans="1:8" ht="24" customHeight="1" x14ac:dyDescent="0.4">
      <c r="A12" s="258" t="s">
        <v>31</v>
      </c>
      <c r="B12" s="259"/>
      <c r="C12" s="260" t="s">
        <v>23</v>
      </c>
      <c r="D12" s="261"/>
      <c r="E12" s="261"/>
      <c r="F12" s="261"/>
      <c r="G12" s="261"/>
      <c r="H12" s="262"/>
    </row>
    <row r="13" spans="1:8" ht="24" customHeight="1" x14ac:dyDescent="0.4">
      <c r="A13" s="258" t="s">
        <v>32</v>
      </c>
      <c r="B13" s="259"/>
      <c r="C13" s="260" t="s">
        <v>33</v>
      </c>
      <c r="D13" s="261"/>
      <c r="E13" s="261"/>
      <c r="F13" s="261"/>
      <c r="G13" s="261"/>
      <c r="H13" s="262"/>
    </row>
    <row r="14" spans="1:8" ht="24" customHeight="1" x14ac:dyDescent="0.4">
      <c r="A14" s="258" t="s">
        <v>34</v>
      </c>
      <c r="B14" s="259"/>
      <c r="C14" s="260" t="s">
        <v>35</v>
      </c>
      <c r="D14" s="261"/>
      <c r="E14" s="261"/>
      <c r="F14" s="261"/>
      <c r="G14" s="261"/>
      <c r="H14" s="262"/>
    </row>
    <row r="15" spans="1:8" ht="24" customHeight="1" x14ac:dyDescent="0.4">
      <c r="A15" s="258" t="s">
        <v>36</v>
      </c>
      <c r="B15" s="259"/>
      <c r="C15" s="260" t="s">
        <v>37</v>
      </c>
      <c r="D15" s="261"/>
      <c r="E15" s="261"/>
      <c r="F15" s="261"/>
      <c r="G15" s="261"/>
      <c r="H15" s="262"/>
    </row>
    <row r="16" spans="1:8" ht="24" customHeight="1" x14ac:dyDescent="0.4">
      <c r="A16" s="258" t="s">
        <v>38</v>
      </c>
      <c r="B16" s="259"/>
      <c r="C16" s="260" t="s">
        <v>39</v>
      </c>
      <c r="D16" s="261"/>
      <c r="E16" s="261"/>
      <c r="F16" s="261"/>
      <c r="G16" s="261"/>
      <c r="H16" s="262"/>
    </row>
    <row r="17" spans="1:8" ht="24" customHeight="1" x14ac:dyDescent="0.4">
      <c r="A17" s="258" t="s">
        <v>40</v>
      </c>
      <c r="B17" s="259"/>
      <c r="C17" s="260" t="s">
        <v>41</v>
      </c>
      <c r="D17" s="261"/>
      <c r="E17" s="261"/>
      <c r="F17" s="261"/>
      <c r="G17" s="261"/>
      <c r="H17" s="262"/>
    </row>
    <row r="18" spans="1:8" ht="24" customHeight="1" x14ac:dyDescent="0.4">
      <c r="A18" s="258" t="s">
        <v>42</v>
      </c>
      <c r="B18" s="259"/>
      <c r="C18" s="260" t="s">
        <v>106</v>
      </c>
      <c r="D18" s="261"/>
      <c r="E18" s="261"/>
      <c r="F18" s="261"/>
      <c r="G18" s="261"/>
      <c r="H18" s="262"/>
    </row>
    <row r="19" spans="1:8" ht="24" customHeight="1" x14ac:dyDescent="0.4">
      <c r="A19" s="258" t="s">
        <v>44</v>
      </c>
      <c r="B19" s="259"/>
      <c r="C19" s="260" t="s">
        <v>107</v>
      </c>
      <c r="D19" s="261"/>
      <c r="E19" s="261"/>
      <c r="F19" s="261"/>
      <c r="G19" s="261"/>
      <c r="H19" s="262"/>
    </row>
    <row r="20" spans="1:8" ht="23.85" customHeight="1" x14ac:dyDescent="0.4">
      <c r="A20" s="263" t="s">
        <v>10</v>
      </c>
      <c r="B20" s="264"/>
      <c r="C20" s="264"/>
      <c r="D20" s="264"/>
      <c r="E20" s="264"/>
      <c r="F20" s="264"/>
      <c r="G20" s="264"/>
      <c r="H20" s="345"/>
    </row>
    <row r="21" spans="1:8" ht="24" customHeight="1" x14ac:dyDescent="0.4">
      <c r="A21" s="263" t="s">
        <v>11</v>
      </c>
      <c r="B21" s="266"/>
      <c r="C21" s="267" t="s">
        <v>12</v>
      </c>
      <c r="D21" s="264"/>
      <c r="E21" s="264"/>
      <c r="F21" s="264"/>
      <c r="G21" s="264"/>
      <c r="H21" s="46" t="s">
        <v>13</v>
      </c>
    </row>
    <row r="22" spans="1:8" ht="21" customHeight="1" x14ac:dyDescent="0.4">
      <c r="A22" s="258" t="s">
        <v>45</v>
      </c>
      <c r="B22" s="259"/>
      <c r="C22" s="268" t="s">
        <v>46</v>
      </c>
      <c r="D22" s="269"/>
      <c r="E22" s="269"/>
      <c r="F22" s="269"/>
      <c r="G22" s="269"/>
      <c r="H22" s="42">
        <v>1</v>
      </c>
    </row>
    <row r="23" spans="1:8" ht="21" customHeight="1" x14ac:dyDescent="0.4">
      <c r="A23" s="258" t="s">
        <v>47</v>
      </c>
      <c r="B23" s="259"/>
      <c r="C23" s="268" t="s">
        <v>48</v>
      </c>
      <c r="D23" s="269"/>
      <c r="E23" s="269"/>
      <c r="F23" s="269"/>
      <c r="G23" s="269"/>
      <c r="H23" s="58">
        <f>H36</f>
        <v>12043999.999</v>
      </c>
    </row>
    <row r="24" spans="1:8" ht="37.5" customHeight="1" x14ac:dyDescent="0.4">
      <c r="A24" s="258" t="s">
        <v>49</v>
      </c>
      <c r="B24" s="259"/>
      <c r="C24" s="268" t="s">
        <v>108</v>
      </c>
      <c r="D24" s="269"/>
      <c r="E24" s="269"/>
      <c r="F24" s="269"/>
      <c r="G24" s="269"/>
      <c r="H24" s="41" t="s">
        <v>51</v>
      </c>
    </row>
    <row r="25" spans="1:8" ht="21" customHeight="1" x14ac:dyDescent="0.4">
      <c r="A25" s="258" t="s">
        <v>52</v>
      </c>
      <c r="B25" s="259"/>
      <c r="C25" s="268" t="s">
        <v>53</v>
      </c>
      <c r="D25" s="269"/>
      <c r="E25" s="269"/>
      <c r="F25" s="269"/>
      <c r="G25" s="269"/>
      <c r="H25" s="41" t="s">
        <v>54</v>
      </c>
    </row>
    <row r="26" spans="1:8" ht="24" customHeight="1" x14ac:dyDescent="0.4">
      <c r="A26" s="263" t="s">
        <v>55</v>
      </c>
      <c r="B26" s="264"/>
      <c r="C26" s="264"/>
      <c r="D26" s="264"/>
      <c r="E26" s="264"/>
      <c r="F26" s="264"/>
      <c r="G26" s="264"/>
      <c r="H26" s="346"/>
    </row>
    <row r="27" spans="1:8" ht="21" customHeight="1" x14ac:dyDescent="0.4">
      <c r="A27" s="258" t="s">
        <v>28</v>
      </c>
      <c r="B27" s="259"/>
      <c r="C27" s="260" t="s">
        <v>105</v>
      </c>
      <c r="D27" s="261"/>
      <c r="E27" s="261"/>
      <c r="F27" s="261"/>
      <c r="G27" s="261"/>
      <c r="H27" s="262"/>
    </row>
    <row r="28" spans="1:8" ht="21" customHeight="1" x14ac:dyDescent="0.4">
      <c r="A28" s="258" t="s">
        <v>32</v>
      </c>
      <c r="B28" s="259"/>
      <c r="C28" s="260" t="s">
        <v>33</v>
      </c>
      <c r="D28" s="261"/>
      <c r="E28" s="261"/>
      <c r="F28" s="261"/>
      <c r="G28" s="261"/>
      <c r="H28" s="262"/>
    </row>
    <row r="29" spans="1:8" ht="21" customHeight="1" x14ac:dyDescent="0.4">
      <c r="A29" s="258" t="s">
        <v>34</v>
      </c>
      <c r="B29" s="259"/>
      <c r="C29" s="260" t="s">
        <v>56</v>
      </c>
      <c r="D29" s="261"/>
      <c r="E29" s="261"/>
      <c r="F29" s="261"/>
      <c r="G29" s="261"/>
      <c r="H29" s="262"/>
    </row>
    <row r="30" spans="1:8" ht="31.5" customHeight="1" x14ac:dyDescent="0.4">
      <c r="A30" s="258" t="s">
        <v>57</v>
      </c>
      <c r="B30" s="259"/>
      <c r="C30" s="260" t="s">
        <v>235</v>
      </c>
      <c r="D30" s="261"/>
      <c r="E30" s="261"/>
      <c r="F30" s="261"/>
      <c r="G30" s="261"/>
      <c r="H30" s="262"/>
    </row>
    <row r="31" spans="1:8" ht="21" customHeight="1" x14ac:dyDescent="0.4">
      <c r="A31" s="258" t="s">
        <v>36</v>
      </c>
      <c r="B31" s="259"/>
      <c r="C31" s="260" t="s">
        <v>37</v>
      </c>
      <c r="D31" s="261"/>
      <c r="E31" s="261"/>
      <c r="F31" s="261"/>
      <c r="G31" s="261"/>
      <c r="H31" s="262"/>
    </row>
    <row r="32" spans="1:8" ht="21" customHeight="1" x14ac:dyDescent="0.4">
      <c r="A32" s="258" t="s">
        <v>59</v>
      </c>
      <c r="B32" s="259"/>
      <c r="C32" s="260" t="s">
        <v>60</v>
      </c>
      <c r="D32" s="261"/>
      <c r="E32" s="261"/>
      <c r="F32" s="261"/>
      <c r="G32" s="261"/>
      <c r="H32" s="262"/>
    </row>
    <row r="33" spans="1:9" ht="24" customHeight="1" x14ac:dyDescent="0.4">
      <c r="A33" s="263" t="s">
        <v>55</v>
      </c>
      <c r="B33" s="264"/>
      <c r="C33" s="264"/>
      <c r="D33" s="264"/>
      <c r="E33" s="264"/>
      <c r="F33" s="264"/>
      <c r="G33" s="264"/>
      <c r="H33" s="265"/>
    </row>
    <row r="34" spans="1:9" ht="20.25" customHeight="1" x14ac:dyDescent="0.4">
      <c r="A34" s="275" t="s">
        <v>61</v>
      </c>
      <c r="B34" s="277" t="s">
        <v>62</v>
      </c>
      <c r="C34" s="278"/>
      <c r="D34" s="267" t="s">
        <v>63</v>
      </c>
      <c r="E34" s="264"/>
      <c r="F34" s="264"/>
      <c r="G34" s="264"/>
      <c r="H34" s="281" t="s">
        <v>64</v>
      </c>
    </row>
    <row r="35" spans="1:9" ht="20.25" customHeight="1" x14ac:dyDescent="0.4">
      <c r="A35" s="276"/>
      <c r="B35" s="279"/>
      <c r="C35" s="280"/>
      <c r="D35" s="6" t="s">
        <v>65</v>
      </c>
      <c r="E35" s="6" t="s">
        <v>2</v>
      </c>
      <c r="F35" s="4" t="s">
        <v>3</v>
      </c>
      <c r="G35" s="23" t="s">
        <v>6</v>
      </c>
      <c r="H35" s="282"/>
    </row>
    <row r="36" spans="1:9" ht="21" customHeight="1" x14ac:dyDescent="0.4">
      <c r="A36" s="7">
        <v>5</v>
      </c>
      <c r="B36" s="270" t="s">
        <v>66</v>
      </c>
      <c r="C36" s="271"/>
      <c r="D36" s="271"/>
      <c r="E36" s="271"/>
      <c r="F36" s="271"/>
      <c r="G36" s="271"/>
      <c r="H36" s="25">
        <f>H37</f>
        <v>12043999.999</v>
      </c>
    </row>
    <row r="37" spans="1:9" ht="21" customHeight="1" x14ac:dyDescent="0.4">
      <c r="A37" s="9" t="s">
        <v>67</v>
      </c>
      <c r="B37" s="270" t="s">
        <v>68</v>
      </c>
      <c r="C37" s="271"/>
      <c r="D37" s="271"/>
      <c r="E37" s="271"/>
      <c r="F37" s="271"/>
      <c r="G37" s="271"/>
      <c r="H37" s="25">
        <f>H38</f>
        <v>12043999.999</v>
      </c>
    </row>
    <row r="38" spans="1:9" ht="21" customHeight="1" x14ac:dyDescent="0.4">
      <c r="A38" s="10">
        <v>37377</v>
      </c>
      <c r="B38" s="270" t="s">
        <v>69</v>
      </c>
      <c r="C38" s="271"/>
      <c r="D38" s="271"/>
      <c r="E38" s="271"/>
      <c r="F38" s="271"/>
      <c r="G38" s="271"/>
      <c r="H38" s="25">
        <f>H39</f>
        <v>12043999.999</v>
      </c>
    </row>
    <row r="39" spans="1:9" ht="21" customHeight="1" x14ac:dyDescent="0.4">
      <c r="A39" s="9" t="s">
        <v>70</v>
      </c>
      <c r="B39" s="270" t="s">
        <v>71</v>
      </c>
      <c r="C39" s="271"/>
      <c r="D39" s="271"/>
      <c r="E39" s="271"/>
      <c r="F39" s="271"/>
      <c r="G39" s="271"/>
      <c r="H39" s="25">
        <f>H40</f>
        <v>12043999.999</v>
      </c>
    </row>
    <row r="40" spans="1:9" ht="21" customHeight="1" x14ac:dyDescent="0.4">
      <c r="A40" s="9" t="s">
        <v>72</v>
      </c>
      <c r="B40" s="270" t="s">
        <v>73</v>
      </c>
      <c r="C40" s="271"/>
      <c r="D40" s="271"/>
      <c r="E40" s="271"/>
      <c r="F40" s="271"/>
      <c r="G40" s="271"/>
      <c r="H40" s="25">
        <f>H41+H44+H47+H50</f>
        <v>12043999.999</v>
      </c>
    </row>
    <row r="41" spans="1:9" ht="21" customHeight="1" x14ac:dyDescent="0.4">
      <c r="A41" s="9" t="s">
        <v>88</v>
      </c>
      <c r="B41" s="270" t="s">
        <v>89</v>
      </c>
      <c r="C41" s="271"/>
      <c r="D41" s="271"/>
      <c r="E41" s="271"/>
      <c r="F41" s="271"/>
      <c r="G41" s="316"/>
      <c r="H41" s="25">
        <f>SUM(H42:H43)</f>
        <v>958200</v>
      </c>
    </row>
    <row r="42" spans="1:9" ht="49.5" customHeight="1" x14ac:dyDescent="0.4">
      <c r="A42" s="26"/>
      <c r="B42" s="339" t="s">
        <v>100</v>
      </c>
      <c r="C42" s="339"/>
      <c r="D42" s="27">
        <v>12</v>
      </c>
      <c r="E42" s="16" t="s">
        <v>225</v>
      </c>
      <c r="F42" s="73">
        <v>72075</v>
      </c>
      <c r="G42" s="28"/>
      <c r="H42" s="29">
        <f>D42*F42</f>
        <v>864900</v>
      </c>
    </row>
    <row r="43" spans="1:9" ht="34.5" customHeight="1" x14ac:dyDescent="0.4">
      <c r="A43" s="26"/>
      <c r="B43" s="339" t="s">
        <v>101</v>
      </c>
      <c r="C43" s="339"/>
      <c r="D43" s="27">
        <v>12</v>
      </c>
      <c r="E43" s="16" t="s">
        <v>79</v>
      </c>
      <c r="F43" s="73">
        <v>7775</v>
      </c>
      <c r="G43" s="28"/>
      <c r="H43" s="29">
        <f>D43*F43</f>
        <v>93300</v>
      </c>
    </row>
    <row r="44" spans="1:9" ht="21.6" customHeight="1" x14ac:dyDescent="0.4">
      <c r="A44" s="17" t="s">
        <v>74</v>
      </c>
      <c r="B44" s="270" t="s">
        <v>75</v>
      </c>
      <c r="C44" s="271"/>
      <c r="D44" s="271"/>
      <c r="E44" s="271"/>
      <c r="F44" s="271"/>
      <c r="G44" s="316"/>
      <c r="H44" s="25">
        <f>SUM(H45:H46)</f>
        <v>2419875</v>
      </c>
    </row>
    <row r="45" spans="1:9" ht="33" customHeight="1" x14ac:dyDescent="0.4">
      <c r="A45" s="11"/>
      <c r="B45" s="340" t="s">
        <v>219</v>
      </c>
      <c r="C45" s="339"/>
      <c r="D45" s="12">
        <v>15</v>
      </c>
      <c r="E45" s="16" t="s">
        <v>76</v>
      </c>
      <c r="F45" s="72">
        <v>87875</v>
      </c>
      <c r="G45" s="14"/>
      <c r="H45" s="43">
        <f>D45*F45</f>
        <v>1318125</v>
      </c>
    </row>
    <row r="46" spans="1:9" ht="33" customHeight="1" x14ac:dyDescent="0.4">
      <c r="A46" s="11"/>
      <c r="B46" s="340" t="s">
        <v>218</v>
      </c>
      <c r="C46" s="339"/>
      <c r="D46" s="12">
        <v>15</v>
      </c>
      <c r="E46" s="16" t="s">
        <v>76</v>
      </c>
      <c r="F46" s="72">
        <v>73450</v>
      </c>
      <c r="G46" s="14"/>
      <c r="H46" s="43">
        <f>D46*F46</f>
        <v>1101750</v>
      </c>
      <c r="I46" s="86"/>
    </row>
    <row r="47" spans="1:9" ht="33" customHeight="1" x14ac:dyDescent="0.4">
      <c r="A47" s="17" t="s">
        <v>90</v>
      </c>
      <c r="B47" s="270" t="s">
        <v>91</v>
      </c>
      <c r="C47" s="271"/>
      <c r="D47" s="271"/>
      <c r="E47" s="271"/>
      <c r="F47" s="271"/>
      <c r="G47" s="316"/>
      <c r="H47" s="25">
        <f>SUM(H48:H49)</f>
        <v>559074.99899999995</v>
      </c>
    </row>
    <row r="48" spans="1:9" ht="36" customHeight="1" x14ac:dyDescent="0.4">
      <c r="A48" s="11"/>
      <c r="B48" s="287" t="s">
        <v>224</v>
      </c>
      <c r="C48" s="284"/>
      <c r="D48" s="121">
        <v>1597</v>
      </c>
      <c r="E48" s="122" t="s">
        <v>92</v>
      </c>
      <c r="F48" s="123">
        <v>350</v>
      </c>
      <c r="G48" s="117"/>
      <c r="H48" s="43">
        <f t="shared" ref="H48:H49" si="0">D48*F48</f>
        <v>558950</v>
      </c>
      <c r="I48" s="86"/>
    </row>
    <row r="49" spans="1:9" ht="36" customHeight="1" x14ac:dyDescent="0.4">
      <c r="A49" s="11"/>
      <c r="B49" s="287" t="s">
        <v>224</v>
      </c>
      <c r="C49" s="284"/>
      <c r="D49" s="171" t="s">
        <v>265</v>
      </c>
      <c r="E49" s="122" t="s">
        <v>92</v>
      </c>
      <c r="F49" s="123">
        <v>350</v>
      </c>
      <c r="G49" s="117"/>
      <c r="H49" s="43">
        <f t="shared" si="0"/>
        <v>124.99900000000001</v>
      </c>
      <c r="I49" s="245"/>
    </row>
    <row r="50" spans="1:9" ht="36" customHeight="1" x14ac:dyDescent="0.4">
      <c r="A50" s="9" t="s">
        <v>77</v>
      </c>
      <c r="B50" s="347" t="s">
        <v>78</v>
      </c>
      <c r="C50" s="348"/>
      <c r="D50" s="348"/>
      <c r="E50" s="348"/>
      <c r="F50" s="349"/>
      <c r="G50" s="30"/>
      <c r="H50" s="31">
        <f>SUM(H51:H54)</f>
        <v>8106850</v>
      </c>
      <c r="I50" s="86"/>
    </row>
    <row r="51" spans="1:9" ht="36" customHeight="1" x14ac:dyDescent="0.4">
      <c r="A51" s="26"/>
      <c r="B51" s="319" t="s">
        <v>252</v>
      </c>
      <c r="C51" s="320"/>
      <c r="D51" s="243">
        <v>2</v>
      </c>
      <c r="E51" s="13" t="s">
        <v>79</v>
      </c>
      <c r="F51" s="244">
        <v>1699200</v>
      </c>
      <c r="G51" s="28"/>
      <c r="H51" s="29">
        <f t="shared" ref="H51" si="1">D51*F51</f>
        <v>3398400</v>
      </c>
      <c r="I51" s="86"/>
    </row>
    <row r="52" spans="1:9" ht="36" customHeight="1" x14ac:dyDescent="0.4">
      <c r="A52" s="26"/>
      <c r="B52" s="307" t="s">
        <v>249</v>
      </c>
      <c r="C52" s="308"/>
      <c r="D52" s="12">
        <v>2</v>
      </c>
      <c r="E52" s="16" t="s">
        <v>79</v>
      </c>
      <c r="F52" s="73">
        <v>1092025</v>
      </c>
      <c r="G52" s="14"/>
      <c r="H52" s="163">
        <f>D52*F52</f>
        <v>2184050</v>
      </c>
      <c r="I52" s="86"/>
    </row>
    <row r="53" spans="1:9" ht="36" customHeight="1" x14ac:dyDescent="0.4">
      <c r="A53" s="26"/>
      <c r="B53" s="340" t="s">
        <v>247</v>
      </c>
      <c r="C53" s="339"/>
      <c r="D53" s="27">
        <v>13</v>
      </c>
      <c r="E53" s="16" t="s">
        <v>79</v>
      </c>
      <c r="F53" s="73">
        <v>108800</v>
      </c>
      <c r="G53" s="28"/>
      <c r="H53" s="29">
        <f>D53*F53</f>
        <v>1414400</v>
      </c>
      <c r="I53" s="86"/>
    </row>
    <row r="54" spans="1:9" ht="54" customHeight="1" x14ac:dyDescent="0.4">
      <c r="A54" s="26"/>
      <c r="B54" s="340" t="s">
        <v>254</v>
      </c>
      <c r="C54" s="339"/>
      <c r="D54" s="27">
        <v>12</v>
      </c>
      <c r="E54" s="16" t="s">
        <v>79</v>
      </c>
      <c r="F54" s="73">
        <v>92500</v>
      </c>
      <c r="G54" s="28"/>
      <c r="H54" s="29">
        <f t="shared" ref="H54" si="2">D54*F54</f>
        <v>1110000</v>
      </c>
      <c r="I54" s="86"/>
    </row>
    <row r="55" spans="1:9" ht="21" customHeight="1" x14ac:dyDescent="0.4">
      <c r="A55" s="20" t="s">
        <v>5</v>
      </c>
      <c r="B55" s="45"/>
      <c r="C55" s="45"/>
      <c r="D55" s="21"/>
      <c r="E55" s="21"/>
      <c r="F55" s="350" t="s">
        <v>5</v>
      </c>
      <c r="G55" s="351"/>
      <c r="H55" s="204">
        <f>H36</f>
        <v>12043999.999</v>
      </c>
      <c r="I55" s="141">
        <v>12044000</v>
      </c>
    </row>
    <row r="57" spans="1:9" x14ac:dyDescent="0.4">
      <c r="H57" s="170">
        <f>I55-H55</f>
        <v>1.0000001639127731E-3</v>
      </c>
    </row>
  </sheetData>
  <mergeCells count="85">
    <mergeCell ref="B53:C53"/>
    <mergeCell ref="B54:C54"/>
    <mergeCell ref="F55:G55"/>
    <mergeCell ref="B48:C48"/>
    <mergeCell ref="B49:C49"/>
    <mergeCell ref="B50:F50"/>
    <mergeCell ref="B51:C51"/>
    <mergeCell ref="B52:C52"/>
    <mergeCell ref="B47:G47"/>
    <mergeCell ref="B36:G36"/>
    <mergeCell ref="B37:G37"/>
    <mergeCell ref="B38:G38"/>
    <mergeCell ref="B39:G39"/>
    <mergeCell ref="B40:G40"/>
    <mergeCell ref="B41:G41"/>
    <mergeCell ref="B42:C42"/>
    <mergeCell ref="B43:C43"/>
    <mergeCell ref="B44:G44"/>
    <mergeCell ref="B45:C45"/>
    <mergeCell ref="B46:C46"/>
    <mergeCell ref="A34:A35"/>
    <mergeCell ref="B34:C35"/>
    <mergeCell ref="D34:G34"/>
    <mergeCell ref="H34:H35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H33"/>
    <mergeCell ref="A27:B27"/>
    <mergeCell ref="C27:H27"/>
    <mergeCell ref="A20:H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H26"/>
    <mergeCell ref="A17:B17"/>
    <mergeCell ref="C17:H17"/>
    <mergeCell ref="A18:B18"/>
    <mergeCell ref="C18:H18"/>
    <mergeCell ref="A19:B19"/>
    <mergeCell ref="C19:H19"/>
    <mergeCell ref="A14:B14"/>
    <mergeCell ref="C14:H14"/>
    <mergeCell ref="A15:B15"/>
    <mergeCell ref="C15:H15"/>
    <mergeCell ref="A16:B16"/>
    <mergeCell ref="C16:H16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1:E1"/>
    <mergeCell ref="F1:H1"/>
    <mergeCell ref="A2:H2"/>
    <mergeCell ref="A3:H3"/>
    <mergeCell ref="A4:B4"/>
    <mergeCell ref="C4:H4"/>
  </mergeCells>
  <pageMargins left="0.70866141732283472" right="0.11811023622047245" top="0.35433070866141736" bottom="0.55118110236220474" header="0.31496062992125984" footer="0.31496062992125984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1349-F359-44D7-B568-85BC3ADE5E49}">
  <dimension ref="A1:K57"/>
  <sheetViews>
    <sheetView topLeftCell="C30" workbookViewId="0">
      <selection activeCell="D49" sqref="D49"/>
    </sheetView>
  </sheetViews>
  <sheetFormatPr defaultColWidth="8.85546875" defaultRowHeight="13.15" x14ac:dyDescent="0.4"/>
  <cols>
    <col min="1" max="1" width="21.35546875" customWidth="1"/>
    <col min="2" max="2" width="4.85546875" customWidth="1"/>
    <col min="3" max="3" width="42.85546875" customWidth="1"/>
    <col min="4" max="4" width="11.85546875" customWidth="1"/>
    <col min="5" max="5" width="11" customWidth="1"/>
    <col min="6" max="6" width="13.85546875" customWidth="1"/>
    <col min="7" max="7" width="6.140625" customWidth="1"/>
    <col min="8" max="8" width="18.85546875" customWidth="1"/>
    <col min="9" max="9" width="15.140625" customWidth="1"/>
    <col min="10" max="10" width="10.5" bestFit="1" customWidth="1"/>
    <col min="11" max="11" width="12.5" customWidth="1"/>
  </cols>
  <sheetData>
    <row r="1" spans="1:8" ht="51" customHeight="1" x14ac:dyDescent="0.4">
      <c r="A1" s="352" t="s">
        <v>15</v>
      </c>
      <c r="B1" s="353"/>
      <c r="C1" s="353"/>
      <c r="D1" s="353"/>
      <c r="E1" s="353"/>
      <c r="F1" s="354" t="s">
        <v>112</v>
      </c>
      <c r="G1" s="355"/>
      <c r="H1" s="356"/>
    </row>
    <row r="2" spans="1:8" s="47" customFormat="1" ht="24" customHeight="1" x14ac:dyDescent="0.4">
      <c r="A2" s="255" t="s">
        <v>245</v>
      </c>
      <c r="B2" s="256"/>
      <c r="C2" s="256"/>
      <c r="D2" s="256"/>
      <c r="E2" s="256"/>
      <c r="F2" s="256"/>
      <c r="G2" s="256"/>
      <c r="H2" s="257"/>
    </row>
    <row r="3" spans="1:8" s="47" customFormat="1" ht="24" customHeight="1" x14ac:dyDescent="0.4">
      <c r="A3" s="255" t="s">
        <v>14</v>
      </c>
      <c r="B3" s="256"/>
      <c r="C3" s="256"/>
      <c r="D3" s="256"/>
      <c r="E3" s="256"/>
      <c r="F3" s="256"/>
      <c r="G3" s="256"/>
      <c r="H3" s="257"/>
    </row>
    <row r="4" spans="1:8" ht="21" customHeight="1" x14ac:dyDescent="0.4">
      <c r="A4" s="258" t="s">
        <v>16</v>
      </c>
      <c r="B4" s="259"/>
      <c r="C4" s="260" t="s">
        <v>17</v>
      </c>
      <c r="D4" s="261"/>
      <c r="E4" s="261"/>
      <c r="F4" s="261"/>
      <c r="G4" s="261"/>
      <c r="H4" s="262"/>
    </row>
    <row r="5" spans="1:8" ht="21" customHeight="1" x14ac:dyDescent="0.4">
      <c r="A5" s="258" t="s">
        <v>18</v>
      </c>
      <c r="B5" s="259"/>
      <c r="C5" s="260" t="s">
        <v>19</v>
      </c>
      <c r="D5" s="261"/>
      <c r="E5" s="261"/>
      <c r="F5" s="261"/>
      <c r="G5" s="261"/>
      <c r="H5" s="262"/>
    </row>
    <row r="6" spans="1:8" ht="21" customHeight="1" x14ac:dyDescent="0.4">
      <c r="A6" s="258" t="s">
        <v>20</v>
      </c>
      <c r="B6" s="259"/>
      <c r="C6" s="260" t="s">
        <v>21</v>
      </c>
      <c r="D6" s="261"/>
      <c r="E6" s="261"/>
      <c r="F6" s="261"/>
      <c r="G6" s="261"/>
      <c r="H6" s="262"/>
    </row>
    <row r="7" spans="1:8" ht="21" customHeight="1" x14ac:dyDescent="0.4">
      <c r="A7" s="258" t="s">
        <v>22</v>
      </c>
      <c r="B7" s="259"/>
      <c r="C7" s="260" t="s">
        <v>23</v>
      </c>
      <c r="D7" s="261"/>
      <c r="E7" s="261"/>
      <c r="F7" s="261"/>
      <c r="G7" s="261"/>
      <c r="H7" s="262"/>
    </row>
    <row r="8" spans="1:8" ht="21" customHeight="1" x14ac:dyDescent="0.4">
      <c r="A8" s="258" t="s">
        <v>24</v>
      </c>
      <c r="B8" s="259"/>
      <c r="C8" s="260" t="s">
        <v>25</v>
      </c>
      <c r="D8" s="261"/>
      <c r="E8" s="261"/>
      <c r="F8" s="261"/>
      <c r="G8" s="261"/>
      <c r="H8" s="262"/>
    </row>
    <row r="9" spans="1:8" ht="21" customHeight="1" x14ac:dyDescent="0.4">
      <c r="A9" s="258" t="s">
        <v>26</v>
      </c>
      <c r="B9" s="259"/>
      <c r="C9" s="260" t="s">
        <v>27</v>
      </c>
      <c r="D9" s="261"/>
      <c r="E9" s="261"/>
      <c r="F9" s="261"/>
      <c r="G9" s="261"/>
      <c r="H9" s="262"/>
    </row>
    <row r="10" spans="1:8" ht="21" customHeight="1" x14ac:dyDescent="0.4">
      <c r="A10" s="258" t="s">
        <v>28</v>
      </c>
      <c r="B10" s="259"/>
      <c r="C10" s="260" t="s">
        <v>113</v>
      </c>
      <c r="D10" s="261"/>
      <c r="E10" s="261"/>
      <c r="F10" s="261"/>
      <c r="G10" s="261"/>
      <c r="H10" s="262"/>
    </row>
    <row r="11" spans="1:8" ht="21" customHeight="1" x14ac:dyDescent="0.4">
      <c r="A11" s="258" t="s">
        <v>30</v>
      </c>
      <c r="B11" s="259"/>
      <c r="C11" s="260" t="s">
        <v>23</v>
      </c>
      <c r="D11" s="261"/>
      <c r="E11" s="261"/>
      <c r="F11" s="261"/>
      <c r="G11" s="261"/>
      <c r="H11" s="262"/>
    </row>
    <row r="12" spans="1:8" ht="21" customHeight="1" x14ac:dyDescent="0.4">
      <c r="A12" s="258" t="s">
        <v>31</v>
      </c>
      <c r="B12" s="259"/>
      <c r="C12" s="260" t="s">
        <v>23</v>
      </c>
      <c r="D12" s="261"/>
      <c r="E12" s="261"/>
      <c r="F12" s="261"/>
      <c r="G12" s="261"/>
      <c r="H12" s="262"/>
    </row>
    <row r="13" spans="1:8" ht="21" customHeight="1" x14ac:dyDescent="0.4">
      <c r="A13" s="258" t="s">
        <v>32</v>
      </c>
      <c r="B13" s="259"/>
      <c r="C13" s="260" t="s">
        <v>33</v>
      </c>
      <c r="D13" s="261"/>
      <c r="E13" s="261"/>
      <c r="F13" s="261"/>
      <c r="G13" s="261"/>
      <c r="H13" s="262"/>
    </row>
    <row r="14" spans="1:8" ht="21" customHeight="1" x14ac:dyDescent="0.4">
      <c r="A14" s="258" t="s">
        <v>34</v>
      </c>
      <c r="B14" s="259"/>
      <c r="C14" s="260" t="s">
        <v>35</v>
      </c>
      <c r="D14" s="261"/>
      <c r="E14" s="261"/>
      <c r="F14" s="261"/>
      <c r="G14" s="261"/>
      <c r="H14" s="262"/>
    </row>
    <row r="15" spans="1:8" ht="21" customHeight="1" x14ac:dyDescent="0.4">
      <c r="A15" s="258" t="s">
        <v>36</v>
      </c>
      <c r="B15" s="259"/>
      <c r="C15" s="260" t="s">
        <v>37</v>
      </c>
      <c r="D15" s="261"/>
      <c r="E15" s="261"/>
      <c r="F15" s="261"/>
      <c r="G15" s="261"/>
      <c r="H15" s="262"/>
    </row>
    <row r="16" spans="1:8" ht="21" customHeight="1" x14ac:dyDescent="0.4">
      <c r="A16" s="258" t="s">
        <v>38</v>
      </c>
      <c r="B16" s="259"/>
      <c r="C16" s="260" t="s">
        <v>39</v>
      </c>
      <c r="D16" s="261"/>
      <c r="E16" s="261"/>
      <c r="F16" s="261"/>
      <c r="G16" s="261"/>
      <c r="H16" s="262"/>
    </row>
    <row r="17" spans="1:8" ht="21" customHeight="1" x14ac:dyDescent="0.4">
      <c r="A17" s="258" t="s">
        <v>40</v>
      </c>
      <c r="B17" s="259"/>
      <c r="C17" s="260" t="s">
        <v>41</v>
      </c>
      <c r="D17" s="261"/>
      <c r="E17" s="261"/>
      <c r="F17" s="261"/>
      <c r="G17" s="261"/>
      <c r="H17" s="262"/>
    </row>
    <row r="18" spans="1:8" ht="21" customHeight="1" x14ac:dyDescent="0.4">
      <c r="A18" s="258" t="s">
        <v>42</v>
      </c>
      <c r="B18" s="259"/>
      <c r="C18" s="260" t="s">
        <v>114</v>
      </c>
      <c r="D18" s="261"/>
      <c r="E18" s="261"/>
      <c r="F18" s="261"/>
      <c r="G18" s="261"/>
      <c r="H18" s="262"/>
    </row>
    <row r="19" spans="1:8" ht="21" customHeight="1" x14ac:dyDescent="0.4">
      <c r="A19" s="258" t="s">
        <v>44</v>
      </c>
      <c r="B19" s="259"/>
      <c r="C19" s="260" t="s">
        <v>119</v>
      </c>
      <c r="D19" s="261"/>
      <c r="E19" s="261"/>
      <c r="F19" s="261"/>
      <c r="G19" s="261"/>
      <c r="H19" s="262"/>
    </row>
    <row r="20" spans="1:8" ht="23.85" customHeight="1" x14ac:dyDescent="0.4">
      <c r="A20" s="263" t="s">
        <v>10</v>
      </c>
      <c r="B20" s="264"/>
      <c r="C20" s="264"/>
      <c r="D20" s="264"/>
      <c r="E20" s="264"/>
      <c r="F20" s="264"/>
      <c r="G20" s="264"/>
      <c r="H20" s="265"/>
    </row>
    <row r="21" spans="1:8" ht="24" customHeight="1" x14ac:dyDescent="0.4">
      <c r="A21" s="263" t="s">
        <v>11</v>
      </c>
      <c r="B21" s="266"/>
      <c r="C21" s="267" t="s">
        <v>12</v>
      </c>
      <c r="D21" s="264"/>
      <c r="E21" s="264"/>
      <c r="F21" s="264"/>
      <c r="G21" s="266"/>
      <c r="H21" s="54" t="s">
        <v>13</v>
      </c>
    </row>
    <row r="22" spans="1:8" ht="21" customHeight="1" x14ac:dyDescent="0.4">
      <c r="A22" s="258" t="s">
        <v>45</v>
      </c>
      <c r="B22" s="259"/>
      <c r="C22" s="268" t="s">
        <v>46</v>
      </c>
      <c r="D22" s="269"/>
      <c r="E22" s="269"/>
      <c r="F22" s="269"/>
      <c r="G22" s="259"/>
      <c r="H22" s="49">
        <v>1</v>
      </c>
    </row>
    <row r="23" spans="1:8" ht="21" customHeight="1" x14ac:dyDescent="0.4">
      <c r="A23" s="258" t="s">
        <v>47</v>
      </c>
      <c r="B23" s="259"/>
      <c r="C23" s="268" t="s">
        <v>48</v>
      </c>
      <c r="D23" s="269"/>
      <c r="E23" s="269"/>
      <c r="F23" s="269"/>
      <c r="G23" s="259"/>
      <c r="H23" s="50">
        <f>H36</f>
        <v>16150000</v>
      </c>
    </row>
    <row r="24" spans="1:8" ht="21" customHeight="1" x14ac:dyDescent="0.4">
      <c r="A24" s="258" t="s">
        <v>49</v>
      </c>
      <c r="B24" s="259"/>
      <c r="C24" s="268" t="s">
        <v>115</v>
      </c>
      <c r="D24" s="269"/>
      <c r="E24" s="269"/>
      <c r="F24" s="269"/>
      <c r="G24" s="259"/>
      <c r="H24" s="48" t="s">
        <v>116</v>
      </c>
    </row>
    <row r="25" spans="1:8" ht="21" customHeight="1" x14ac:dyDescent="0.4">
      <c r="A25" s="258" t="s">
        <v>52</v>
      </c>
      <c r="B25" s="259"/>
      <c r="C25" s="268" t="s">
        <v>53</v>
      </c>
      <c r="D25" s="269"/>
      <c r="E25" s="269"/>
      <c r="F25" s="269"/>
      <c r="G25" s="259"/>
      <c r="H25" s="48" t="s">
        <v>54</v>
      </c>
    </row>
    <row r="26" spans="1:8" ht="24" customHeight="1" x14ac:dyDescent="0.4">
      <c r="A26" s="263" t="s">
        <v>55</v>
      </c>
      <c r="B26" s="264"/>
      <c r="C26" s="264"/>
      <c r="D26" s="264"/>
      <c r="E26" s="264"/>
      <c r="F26" s="264"/>
      <c r="G26" s="264"/>
      <c r="H26" s="265"/>
    </row>
    <row r="27" spans="1:8" ht="36" customHeight="1" x14ac:dyDescent="0.4">
      <c r="A27" s="258" t="s">
        <v>28</v>
      </c>
      <c r="B27" s="259"/>
      <c r="C27" s="260" t="s">
        <v>113</v>
      </c>
      <c r="D27" s="261"/>
      <c r="E27" s="261"/>
      <c r="F27" s="261"/>
      <c r="G27" s="261"/>
      <c r="H27" s="262"/>
    </row>
    <row r="28" spans="1:8" ht="20.25" customHeight="1" x14ac:dyDescent="0.4">
      <c r="A28" s="258" t="s">
        <v>32</v>
      </c>
      <c r="B28" s="259"/>
      <c r="C28" s="260" t="s">
        <v>33</v>
      </c>
      <c r="D28" s="261"/>
      <c r="E28" s="261"/>
      <c r="F28" s="261"/>
      <c r="G28" s="261"/>
      <c r="H28" s="262"/>
    </row>
    <row r="29" spans="1:8" ht="20.25" customHeight="1" x14ac:dyDescent="0.4">
      <c r="A29" s="258" t="s">
        <v>34</v>
      </c>
      <c r="B29" s="259"/>
      <c r="C29" s="260" t="s">
        <v>56</v>
      </c>
      <c r="D29" s="261"/>
      <c r="E29" s="261"/>
      <c r="F29" s="261"/>
      <c r="G29" s="261"/>
      <c r="H29" s="262"/>
    </row>
    <row r="30" spans="1:8" ht="33" customHeight="1" x14ac:dyDescent="0.4">
      <c r="A30" s="258" t="s">
        <v>57</v>
      </c>
      <c r="B30" s="259"/>
      <c r="C30" s="268" t="s">
        <v>117</v>
      </c>
      <c r="D30" s="269"/>
      <c r="E30" s="269"/>
      <c r="F30" s="269"/>
      <c r="G30" s="269"/>
      <c r="H30" s="314"/>
    </row>
    <row r="31" spans="1:8" ht="20.25" customHeight="1" x14ac:dyDescent="0.4">
      <c r="A31" s="258" t="s">
        <v>36</v>
      </c>
      <c r="B31" s="259"/>
      <c r="C31" s="260" t="s">
        <v>37</v>
      </c>
      <c r="D31" s="261"/>
      <c r="E31" s="261"/>
      <c r="F31" s="261"/>
      <c r="G31" s="261"/>
      <c r="H31" s="262"/>
    </row>
    <row r="32" spans="1:8" ht="20.25" customHeight="1" x14ac:dyDescent="0.4">
      <c r="A32" s="258" t="s">
        <v>59</v>
      </c>
      <c r="B32" s="259"/>
      <c r="C32" s="260" t="s">
        <v>60</v>
      </c>
      <c r="D32" s="261"/>
      <c r="E32" s="261"/>
      <c r="F32" s="261"/>
      <c r="G32" s="261"/>
      <c r="H32" s="262"/>
    </row>
    <row r="33" spans="1:9" ht="23.25" customHeight="1" x14ac:dyDescent="0.4">
      <c r="A33" s="263" t="s">
        <v>55</v>
      </c>
      <c r="B33" s="264"/>
      <c r="C33" s="264"/>
      <c r="D33" s="264"/>
      <c r="E33" s="264"/>
      <c r="F33" s="264"/>
      <c r="G33" s="264"/>
      <c r="H33" s="265"/>
    </row>
    <row r="34" spans="1:9" ht="20.25" customHeight="1" x14ac:dyDescent="0.4">
      <c r="A34" s="275" t="s">
        <v>61</v>
      </c>
      <c r="B34" s="277" t="s">
        <v>62</v>
      </c>
      <c r="C34" s="278"/>
      <c r="D34" s="267" t="s">
        <v>63</v>
      </c>
      <c r="E34" s="264"/>
      <c r="F34" s="264"/>
      <c r="G34" s="264"/>
      <c r="H34" s="281" t="s">
        <v>64</v>
      </c>
    </row>
    <row r="35" spans="1:9" ht="20.25" customHeight="1" x14ac:dyDescent="0.4">
      <c r="A35" s="276"/>
      <c r="B35" s="279"/>
      <c r="C35" s="280"/>
      <c r="D35" s="6" t="s">
        <v>65</v>
      </c>
      <c r="E35" s="6" t="s">
        <v>2</v>
      </c>
      <c r="F35" s="4" t="s">
        <v>3</v>
      </c>
      <c r="G35" s="51" t="s">
        <v>6</v>
      </c>
      <c r="H35" s="282"/>
    </row>
    <row r="36" spans="1:9" ht="21" customHeight="1" x14ac:dyDescent="0.4">
      <c r="A36" s="7">
        <v>5</v>
      </c>
      <c r="B36" s="270" t="s">
        <v>66</v>
      </c>
      <c r="C36" s="271"/>
      <c r="D36" s="271"/>
      <c r="E36" s="271"/>
      <c r="F36" s="271"/>
      <c r="G36" s="271"/>
      <c r="H36" s="52">
        <f>H40</f>
        <v>16150000</v>
      </c>
    </row>
    <row r="37" spans="1:9" ht="21" customHeight="1" x14ac:dyDescent="0.4">
      <c r="A37" s="9" t="s">
        <v>67</v>
      </c>
      <c r="B37" s="270" t="s">
        <v>68</v>
      </c>
      <c r="C37" s="271"/>
      <c r="D37" s="271"/>
      <c r="E37" s="271"/>
      <c r="F37" s="271"/>
      <c r="G37" s="271"/>
      <c r="H37" s="52">
        <f>H40</f>
        <v>16150000</v>
      </c>
    </row>
    <row r="38" spans="1:9" ht="21" customHeight="1" x14ac:dyDescent="0.4">
      <c r="A38" s="10">
        <v>37377</v>
      </c>
      <c r="B38" s="270" t="s">
        <v>69</v>
      </c>
      <c r="C38" s="271"/>
      <c r="D38" s="271"/>
      <c r="E38" s="271"/>
      <c r="F38" s="271"/>
      <c r="G38" s="271"/>
      <c r="H38" s="52">
        <f>H40</f>
        <v>16150000</v>
      </c>
    </row>
    <row r="39" spans="1:9" ht="21" customHeight="1" x14ac:dyDescent="0.4">
      <c r="A39" s="9" t="s">
        <v>70</v>
      </c>
      <c r="B39" s="270" t="s">
        <v>71</v>
      </c>
      <c r="C39" s="271"/>
      <c r="D39" s="271"/>
      <c r="E39" s="271"/>
      <c r="F39" s="271"/>
      <c r="G39" s="271"/>
      <c r="H39" s="52">
        <f>H40</f>
        <v>16150000</v>
      </c>
    </row>
    <row r="40" spans="1:9" ht="21" customHeight="1" x14ac:dyDescent="0.4">
      <c r="A40" s="9" t="s">
        <v>72</v>
      </c>
      <c r="B40" s="270" t="s">
        <v>73</v>
      </c>
      <c r="C40" s="271"/>
      <c r="D40" s="271"/>
      <c r="E40" s="271"/>
      <c r="F40" s="271"/>
      <c r="G40" s="271"/>
      <c r="H40" s="52">
        <f>SUM(H41+H44+H47)</f>
        <v>16150000</v>
      </c>
    </row>
    <row r="41" spans="1:9" ht="21" customHeight="1" x14ac:dyDescent="0.4">
      <c r="A41" s="9" t="s">
        <v>74</v>
      </c>
      <c r="B41" s="270" t="s">
        <v>75</v>
      </c>
      <c r="C41" s="271"/>
      <c r="D41" s="271"/>
      <c r="E41" s="271"/>
      <c r="F41" s="271"/>
      <c r="G41" s="271"/>
      <c r="H41" s="56">
        <f>SUM(H42:H43)</f>
        <v>1935900</v>
      </c>
    </row>
    <row r="42" spans="1:9" ht="33" customHeight="1" x14ac:dyDescent="0.4">
      <c r="A42" s="11"/>
      <c r="B42" s="268" t="s">
        <v>219</v>
      </c>
      <c r="C42" s="357"/>
      <c r="D42" s="12">
        <v>12</v>
      </c>
      <c r="E42" s="16" t="s">
        <v>76</v>
      </c>
      <c r="F42" s="72">
        <v>87875</v>
      </c>
      <c r="G42" s="14"/>
      <c r="H42" s="55">
        <f>D42*F42</f>
        <v>1054500</v>
      </c>
      <c r="I42" s="86"/>
    </row>
    <row r="43" spans="1:9" ht="33" customHeight="1" x14ac:dyDescent="0.4">
      <c r="A43" s="11"/>
      <c r="B43" s="268" t="s">
        <v>218</v>
      </c>
      <c r="C43" s="357"/>
      <c r="D43" s="12">
        <v>12</v>
      </c>
      <c r="E43" s="16" t="s">
        <v>76</v>
      </c>
      <c r="F43" s="72">
        <v>73450</v>
      </c>
      <c r="G43" s="14"/>
      <c r="H43" s="55">
        <f>D43*F43</f>
        <v>881400</v>
      </c>
    </row>
    <row r="44" spans="1:9" ht="21" customHeight="1" x14ac:dyDescent="0.4">
      <c r="A44" s="17" t="s">
        <v>90</v>
      </c>
      <c r="B44" s="270" t="s">
        <v>91</v>
      </c>
      <c r="C44" s="271"/>
      <c r="D44" s="271"/>
      <c r="E44" s="271"/>
      <c r="F44" s="70"/>
      <c r="G44" s="18"/>
      <c r="H44" s="56">
        <f>SUM(H45:H46)</f>
        <v>2930200</v>
      </c>
    </row>
    <row r="45" spans="1:9" ht="33" customHeight="1" x14ac:dyDescent="0.4">
      <c r="A45" s="11"/>
      <c r="B45" s="268" t="s">
        <v>224</v>
      </c>
      <c r="C45" s="357"/>
      <c r="D45" s="12">
        <v>8372</v>
      </c>
      <c r="E45" s="16" t="s">
        <v>92</v>
      </c>
      <c r="F45" s="72">
        <v>350</v>
      </c>
      <c r="G45" s="14"/>
      <c r="H45" s="55">
        <f>D45*F45</f>
        <v>2930200</v>
      </c>
      <c r="I45" s="86"/>
    </row>
    <row r="46" spans="1:9" ht="33" customHeight="1" x14ac:dyDescent="0.4">
      <c r="A46" s="11"/>
      <c r="B46" s="268" t="s">
        <v>224</v>
      </c>
      <c r="C46" s="357"/>
      <c r="D46" s="183">
        <v>0</v>
      </c>
      <c r="E46" s="16" t="s">
        <v>92</v>
      </c>
      <c r="F46" s="72">
        <v>350</v>
      </c>
      <c r="G46" s="14"/>
      <c r="H46" s="55">
        <f>D46*F46</f>
        <v>0</v>
      </c>
      <c r="I46" s="246"/>
    </row>
    <row r="47" spans="1:9" ht="21" customHeight="1" x14ac:dyDescent="0.4">
      <c r="A47" s="17" t="s">
        <v>77</v>
      </c>
      <c r="B47" s="270" t="s">
        <v>78</v>
      </c>
      <c r="C47" s="271"/>
      <c r="D47" s="271"/>
      <c r="E47" s="271"/>
      <c r="F47" s="70"/>
      <c r="G47" s="18"/>
      <c r="H47" s="56">
        <f>SUM(H48:H53)</f>
        <v>11283900</v>
      </c>
    </row>
    <row r="48" spans="1:9" ht="33" customHeight="1" x14ac:dyDescent="0.4">
      <c r="A48" s="11"/>
      <c r="B48" s="358" t="s">
        <v>103</v>
      </c>
      <c r="C48" s="357"/>
      <c r="D48" s="12">
        <v>6</v>
      </c>
      <c r="E48" s="16" t="s">
        <v>79</v>
      </c>
      <c r="F48" s="72">
        <v>163175</v>
      </c>
      <c r="G48" s="14"/>
      <c r="H48" s="55">
        <f>D48*F48</f>
        <v>979050</v>
      </c>
    </row>
    <row r="49" spans="1:11" ht="49.5" customHeight="1" x14ac:dyDescent="0.4">
      <c r="A49" s="11"/>
      <c r="B49" s="340" t="s">
        <v>251</v>
      </c>
      <c r="C49" s="339"/>
      <c r="D49" s="12">
        <v>5</v>
      </c>
      <c r="E49" s="16" t="s">
        <v>79</v>
      </c>
      <c r="F49" s="72">
        <v>163175</v>
      </c>
      <c r="G49" s="14"/>
      <c r="H49" s="55">
        <f t="shared" ref="H49:H53" si="0">D49*F49</f>
        <v>815875</v>
      </c>
    </row>
    <row r="50" spans="1:11" ht="32.25" customHeight="1" x14ac:dyDescent="0.4">
      <c r="A50" s="11"/>
      <c r="B50" s="340" t="s">
        <v>247</v>
      </c>
      <c r="C50" s="339"/>
      <c r="D50" s="27">
        <v>6</v>
      </c>
      <c r="E50" s="16" t="s">
        <v>79</v>
      </c>
      <c r="F50" s="73">
        <v>108800</v>
      </c>
      <c r="G50" s="28"/>
      <c r="H50" s="29">
        <f>D50*F50</f>
        <v>652800</v>
      </c>
    </row>
    <row r="51" spans="1:11" ht="49.5" customHeight="1" x14ac:dyDescent="0.4">
      <c r="A51" s="11"/>
      <c r="B51" s="340" t="s">
        <v>254</v>
      </c>
      <c r="C51" s="339"/>
      <c r="D51" s="27">
        <v>5</v>
      </c>
      <c r="E51" s="16" t="s">
        <v>79</v>
      </c>
      <c r="F51" s="73">
        <v>92500</v>
      </c>
      <c r="G51" s="28"/>
      <c r="H51" s="29">
        <f t="shared" ref="H51" si="1">D51*F51</f>
        <v>462500</v>
      </c>
    </row>
    <row r="52" spans="1:11" ht="33" customHeight="1" x14ac:dyDescent="0.4">
      <c r="A52" s="11"/>
      <c r="B52" s="319" t="s">
        <v>252</v>
      </c>
      <c r="C52" s="320"/>
      <c r="D52" s="12">
        <v>3</v>
      </c>
      <c r="E52" s="16" t="s">
        <v>79</v>
      </c>
      <c r="F52" s="73">
        <v>1699200</v>
      </c>
      <c r="G52" s="14"/>
      <c r="H52" s="55">
        <f t="shared" si="0"/>
        <v>5097600</v>
      </c>
      <c r="I52" s="86"/>
      <c r="J52" s="157"/>
      <c r="K52" s="158"/>
    </row>
    <row r="53" spans="1:11" ht="33" customHeight="1" x14ac:dyDescent="0.4">
      <c r="A53" s="11"/>
      <c r="B53" s="307" t="s">
        <v>249</v>
      </c>
      <c r="C53" s="308"/>
      <c r="D53" s="12">
        <v>3</v>
      </c>
      <c r="E53" s="16" t="s">
        <v>79</v>
      </c>
      <c r="F53" s="73">
        <v>1092025</v>
      </c>
      <c r="G53" s="14"/>
      <c r="H53" s="55">
        <f t="shared" si="0"/>
        <v>3276075</v>
      </c>
      <c r="I53" s="86"/>
      <c r="J53" s="157"/>
    </row>
    <row r="54" spans="1:11" ht="15" x14ac:dyDescent="0.4">
      <c r="A54" s="20" t="s">
        <v>5</v>
      </c>
      <c r="B54" s="45"/>
      <c r="C54" s="45"/>
      <c r="D54" s="45"/>
      <c r="E54" s="45"/>
      <c r="F54" s="45"/>
      <c r="G54" s="53"/>
      <c r="H54" s="56">
        <f>H36</f>
        <v>16150000</v>
      </c>
      <c r="I54" s="141">
        <v>16150000</v>
      </c>
    </row>
    <row r="57" spans="1:11" x14ac:dyDescent="0.4">
      <c r="H57" s="170">
        <f>I54-H54</f>
        <v>0</v>
      </c>
    </row>
  </sheetData>
  <mergeCells count="83">
    <mergeCell ref="B53:C53"/>
    <mergeCell ref="B42:C42"/>
    <mergeCell ref="B43:C43"/>
    <mergeCell ref="B44:E44"/>
    <mergeCell ref="B45:C45"/>
    <mergeCell ref="B46:C46"/>
    <mergeCell ref="B47:E47"/>
    <mergeCell ref="B48:C48"/>
    <mergeCell ref="B49:C49"/>
    <mergeCell ref="B50:C50"/>
    <mergeCell ref="B51:C51"/>
    <mergeCell ref="B52:C52"/>
    <mergeCell ref="B41:G41"/>
    <mergeCell ref="A31:B31"/>
    <mergeCell ref="C31:H31"/>
    <mergeCell ref="A32:B32"/>
    <mergeCell ref="C32:H32"/>
    <mergeCell ref="A33:H33"/>
    <mergeCell ref="A34:A35"/>
    <mergeCell ref="B34:C35"/>
    <mergeCell ref="D34:G34"/>
    <mergeCell ref="H34:H35"/>
    <mergeCell ref="B36:G36"/>
    <mergeCell ref="B37:G37"/>
    <mergeCell ref="B38:G38"/>
    <mergeCell ref="B39:G39"/>
    <mergeCell ref="B40:G40"/>
    <mergeCell ref="A28:B28"/>
    <mergeCell ref="C28:H28"/>
    <mergeCell ref="A29:B29"/>
    <mergeCell ref="C29:H29"/>
    <mergeCell ref="A30:B30"/>
    <mergeCell ref="C30:H30"/>
    <mergeCell ref="A27:B27"/>
    <mergeCell ref="C27:H27"/>
    <mergeCell ref="A20:H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H26"/>
    <mergeCell ref="A17:B17"/>
    <mergeCell ref="C17:H17"/>
    <mergeCell ref="A18:B18"/>
    <mergeCell ref="C18:H18"/>
    <mergeCell ref="A19:B19"/>
    <mergeCell ref="C19:H19"/>
    <mergeCell ref="A14:B14"/>
    <mergeCell ref="C14:H14"/>
    <mergeCell ref="A15:B15"/>
    <mergeCell ref="C15:H15"/>
    <mergeCell ref="A16:B16"/>
    <mergeCell ref="C16:H16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1:E1"/>
    <mergeCell ref="F1:H1"/>
    <mergeCell ref="A2:H2"/>
    <mergeCell ref="A3:H3"/>
    <mergeCell ref="A4:B4"/>
    <mergeCell ref="C4:H4"/>
  </mergeCells>
  <pageMargins left="0.70866141732283472" right="0.11811023622047245" top="0.55118110236220474" bottom="0.55118110236220474" header="0.31496062992125984" footer="0.31496062992125984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0C58-61FB-4FC7-B3B9-BA7B6609CC36}">
  <dimension ref="A1:J86"/>
  <sheetViews>
    <sheetView topLeftCell="B46" workbookViewId="0">
      <selection activeCell="G56" sqref="G56"/>
    </sheetView>
  </sheetViews>
  <sheetFormatPr defaultColWidth="8.85546875" defaultRowHeight="13.15" x14ac:dyDescent="0.4"/>
  <cols>
    <col min="1" max="1" width="21.85546875" customWidth="1"/>
    <col min="2" max="2" width="3.85546875" customWidth="1"/>
    <col min="3" max="3" width="38.5" customWidth="1"/>
    <col min="4" max="4" width="12" customWidth="1"/>
    <col min="5" max="5" width="12.640625" customWidth="1"/>
    <col min="6" max="6" width="13.35546875" customWidth="1"/>
    <col min="7" max="7" width="8.35546875" customWidth="1"/>
    <col min="8" max="8" width="19.85546875" customWidth="1"/>
    <col min="9" max="9" width="15.35546875" bestFit="1" customWidth="1"/>
    <col min="10" max="10" width="16.640625" bestFit="1" customWidth="1"/>
  </cols>
  <sheetData>
    <row r="1" spans="1:8" ht="51" customHeight="1" x14ac:dyDescent="0.4">
      <c r="A1" s="249" t="s">
        <v>15</v>
      </c>
      <c r="B1" s="250"/>
      <c r="C1" s="250"/>
      <c r="D1" s="250"/>
      <c r="E1" s="251"/>
      <c r="F1" s="354" t="s">
        <v>112</v>
      </c>
      <c r="G1" s="355"/>
      <c r="H1" s="356"/>
    </row>
    <row r="2" spans="1:8" ht="24" customHeight="1" x14ac:dyDescent="0.4">
      <c r="A2" s="255" t="s">
        <v>245</v>
      </c>
      <c r="B2" s="256"/>
      <c r="C2" s="256"/>
      <c r="D2" s="256"/>
      <c r="E2" s="256"/>
      <c r="F2" s="256"/>
      <c r="G2" s="256"/>
      <c r="H2" s="257"/>
    </row>
    <row r="3" spans="1:8" ht="24" customHeight="1" x14ac:dyDescent="0.4">
      <c r="A3" s="255" t="s">
        <v>14</v>
      </c>
      <c r="B3" s="256"/>
      <c r="C3" s="256"/>
      <c r="D3" s="256"/>
      <c r="E3" s="256"/>
      <c r="F3" s="256"/>
      <c r="G3" s="256"/>
      <c r="H3" s="257"/>
    </row>
    <row r="4" spans="1:8" s="3" customFormat="1" ht="32.25" customHeight="1" x14ac:dyDescent="0.4">
      <c r="A4" s="258" t="s">
        <v>16</v>
      </c>
      <c r="B4" s="259"/>
      <c r="C4" s="260" t="s">
        <v>17</v>
      </c>
      <c r="D4" s="261"/>
      <c r="E4" s="261"/>
      <c r="F4" s="261"/>
      <c r="G4" s="261"/>
      <c r="H4" s="262"/>
    </row>
    <row r="5" spans="1:8" s="3" customFormat="1" ht="21" customHeight="1" x14ac:dyDescent="0.4">
      <c r="A5" s="258" t="s">
        <v>18</v>
      </c>
      <c r="B5" s="259"/>
      <c r="C5" s="260" t="s">
        <v>19</v>
      </c>
      <c r="D5" s="261"/>
      <c r="E5" s="261"/>
      <c r="F5" s="261"/>
      <c r="G5" s="261"/>
      <c r="H5" s="262"/>
    </row>
    <row r="6" spans="1:8" s="3" customFormat="1" ht="21" customHeight="1" x14ac:dyDescent="0.4">
      <c r="A6" s="258" t="s">
        <v>20</v>
      </c>
      <c r="B6" s="259"/>
      <c r="C6" s="260" t="s">
        <v>21</v>
      </c>
      <c r="D6" s="261"/>
      <c r="E6" s="261"/>
      <c r="F6" s="261"/>
      <c r="G6" s="261"/>
      <c r="H6" s="262"/>
    </row>
    <row r="7" spans="1:8" s="3" customFormat="1" ht="21" customHeight="1" x14ac:dyDescent="0.4">
      <c r="A7" s="258" t="s">
        <v>22</v>
      </c>
      <c r="B7" s="259"/>
      <c r="C7" s="260" t="s">
        <v>23</v>
      </c>
      <c r="D7" s="261"/>
      <c r="E7" s="261"/>
      <c r="F7" s="261"/>
      <c r="G7" s="261"/>
      <c r="H7" s="262"/>
    </row>
    <row r="8" spans="1:8" s="3" customFormat="1" ht="36" customHeight="1" x14ac:dyDescent="0.4">
      <c r="A8" s="258" t="s">
        <v>24</v>
      </c>
      <c r="B8" s="259"/>
      <c r="C8" s="260" t="s">
        <v>25</v>
      </c>
      <c r="D8" s="261"/>
      <c r="E8" s="261"/>
      <c r="F8" s="261"/>
      <c r="G8" s="261"/>
      <c r="H8" s="262"/>
    </row>
    <row r="9" spans="1:8" s="3" customFormat="1" ht="21" customHeight="1" x14ac:dyDescent="0.4">
      <c r="A9" s="258" t="s">
        <v>26</v>
      </c>
      <c r="B9" s="259"/>
      <c r="C9" s="260" t="s">
        <v>27</v>
      </c>
      <c r="D9" s="261"/>
      <c r="E9" s="261"/>
      <c r="F9" s="261"/>
      <c r="G9" s="261"/>
      <c r="H9" s="262"/>
    </row>
    <row r="10" spans="1:8" s="3" customFormat="1" ht="21" customHeight="1" x14ac:dyDescent="0.4">
      <c r="A10" s="258" t="s">
        <v>28</v>
      </c>
      <c r="B10" s="259"/>
      <c r="C10" s="260" t="s">
        <v>120</v>
      </c>
      <c r="D10" s="261"/>
      <c r="E10" s="261"/>
      <c r="F10" s="261"/>
      <c r="G10" s="261"/>
      <c r="H10" s="262"/>
    </row>
    <row r="11" spans="1:8" s="3" customFormat="1" ht="21" customHeight="1" x14ac:dyDescent="0.4">
      <c r="A11" s="258" t="s">
        <v>30</v>
      </c>
      <c r="B11" s="259"/>
      <c r="C11" s="260" t="s">
        <v>23</v>
      </c>
      <c r="D11" s="261"/>
      <c r="E11" s="261"/>
      <c r="F11" s="261"/>
      <c r="G11" s="261"/>
      <c r="H11" s="262"/>
    </row>
    <row r="12" spans="1:8" s="3" customFormat="1" ht="21" customHeight="1" x14ac:dyDescent="0.4">
      <c r="A12" s="258" t="s">
        <v>31</v>
      </c>
      <c r="B12" s="259"/>
      <c r="C12" s="260" t="s">
        <v>23</v>
      </c>
      <c r="D12" s="261"/>
      <c r="E12" s="261"/>
      <c r="F12" s="261"/>
      <c r="G12" s="261"/>
      <c r="H12" s="262"/>
    </row>
    <row r="13" spans="1:8" s="3" customFormat="1" ht="21" customHeight="1" x14ac:dyDescent="0.4">
      <c r="A13" s="258" t="s">
        <v>32</v>
      </c>
      <c r="B13" s="259"/>
      <c r="C13" s="260" t="s">
        <v>33</v>
      </c>
      <c r="D13" s="261"/>
      <c r="E13" s="261"/>
      <c r="F13" s="261"/>
      <c r="G13" s="261"/>
      <c r="H13" s="262"/>
    </row>
    <row r="14" spans="1:8" s="3" customFormat="1" ht="21" customHeight="1" x14ac:dyDescent="0.4">
      <c r="A14" s="258" t="s">
        <v>34</v>
      </c>
      <c r="B14" s="259"/>
      <c r="C14" s="260" t="s">
        <v>35</v>
      </c>
      <c r="D14" s="261"/>
      <c r="E14" s="261"/>
      <c r="F14" s="261"/>
      <c r="G14" s="261"/>
      <c r="H14" s="262"/>
    </row>
    <row r="15" spans="1:8" s="3" customFormat="1" ht="21" customHeight="1" x14ac:dyDescent="0.4">
      <c r="A15" s="258" t="s">
        <v>36</v>
      </c>
      <c r="B15" s="259"/>
      <c r="C15" s="260" t="s">
        <v>37</v>
      </c>
      <c r="D15" s="261"/>
      <c r="E15" s="261"/>
      <c r="F15" s="261"/>
      <c r="G15" s="261"/>
      <c r="H15" s="262"/>
    </row>
    <row r="16" spans="1:8" s="3" customFormat="1" ht="21" customHeight="1" x14ac:dyDescent="0.4">
      <c r="A16" s="258" t="s">
        <v>38</v>
      </c>
      <c r="B16" s="259"/>
      <c r="C16" s="260" t="s">
        <v>39</v>
      </c>
      <c r="D16" s="261"/>
      <c r="E16" s="261"/>
      <c r="F16" s="261"/>
      <c r="G16" s="261"/>
      <c r="H16" s="262"/>
    </row>
    <row r="17" spans="1:8" s="3" customFormat="1" ht="21" customHeight="1" x14ac:dyDescent="0.4">
      <c r="A17" s="258" t="s">
        <v>40</v>
      </c>
      <c r="B17" s="259"/>
      <c r="C17" s="260" t="s">
        <v>137</v>
      </c>
      <c r="D17" s="261"/>
      <c r="E17" s="261"/>
      <c r="F17" s="261"/>
      <c r="G17" s="261"/>
      <c r="H17" s="262"/>
    </row>
    <row r="18" spans="1:8" s="3" customFormat="1" ht="21" customHeight="1" x14ac:dyDescent="0.4">
      <c r="A18" s="258" t="s">
        <v>42</v>
      </c>
      <c r="B18" s="259"/>
      <c r="C18" s="260" t="s">
        <v>139</v>
      </c>
      <c r="D18" s="261"/>
      <c r="E18" s="261"/>
      <c r="F18" s="261"/>
      <c r="G18" s="261"/>
      <c r="H18" s="262"/>
    </row>
    <row r="19" spans="1:8" s="3" customFormat="1" ht="21" customHeight="1" x14ac:dyDescent="0.4">
      <c r="A19" s="258" t="s">
        <v>44</v>
      </c>
      <c r="B19" s="259"/>
      <c r="C19" s="260" t="s">
        <v>138</v>
      </c>
      <c r="D19" s="261"/>
      <c r="E19" s="261"/>
      <c r="F19" s="261"/>
      <c r="G19" s="261"/>
      <c r="H19" s="262"/>
    </row>
    <row r="20" spans="1:8" s="62" customFormat="1" ht="24" customHeight="1" x14ac:dyDescent="0.4">
      <c r="A20" s="263" t="s">
        <v>10</v>
      </c>
      <c r="B20" s="264"/>
      <c r="C20" s="264"/>
      <c r="D20" s="264"/>
      <c r="E20" s="264"/>
      <c r="F20" s="264"/>
      <c r="G20" s="264"/>
      <c r="H20" s="265"/>
    </row>
    <row r="21" spans="1:8" s="62" customFormat="1" ht="24" customHeight="1" x14ac:dyDescent="0.4">
      <c r="A21" s="263" t="s">
        <v>11</v>
      </c>
      <c r="B21" s="266"/>
      <c r="C21" s="267" t="s">
        <v>12</v>
      </c>
      <c r="D21" s="264"/>
      <c r="E21" s="264"/>
      <c r="F21" s="264"/>
      <c r="G21" s="309" t="s">
        <v>13</v>
      </c>
      <c r="H21" s="310"/>
    </row>
    <row r="22" spans="1:8" s="3" customFormat="1" ht="21" customHeight="1" x14ac:dyDescent="0.4">
      <c r="A22" s="258" t="s">
        <v>45</v>
      </c>
      <c r="B22" s="259"/>
      <c r="C22" s="268" t="s">
        <v>46</v>
      </c>
      <c r="D22" s="269"/>
      <c r="E22" s="269"/>
      <c r="F22" s="269"/>
      <c r="G22" s="311">
        <v>1</v>
      </c>
      <c r="H22" s="312"/>
    </row>
    <row r="23" spans="1:8" s="3" customFormat="1" ht="21" customHeight="1" x14ac:dyDescent="0.4">
      <c r="A23" s="258" t="s">
        <v>47</v>
      </c>
      <c r="B23" s="259"/>
      <c r="C23" s="268" t="s">
        <v>48</v>
      </c>
      <c r="D23" s="269"/>
      <c r="E23" s="269"/>
      <c r="F23" s="269"/>
      <c r="G23" s="359">
        <f>H36</f>
        <v>60562999.999750003</v>
      </c>
      <c r="H23" s="360"/>
    </row>
    <row r="24" spans="1:8" s="3" customFormat="1" ht="21" customHeight="1" x14ac:dyDescent="0.4">
      <c r="A24" s="258" t="s">
        <v>49</v>
      </c>
      <c r="B24" s="259"/>
      <c r="C24" s="268" t="s">
        <v>121</v>
      </c>
      <c r="D24" s="269"/>
      <c r="E24" s="269"/>
      <c r="F24" s="269"/>
      <c r="G24" s="268" t="s">
        <v>122</v>
      </c>
      <c r="H24" s="314"/>
    </row>
    <row r="25" spans="1:8" s="3" customFormat="1" ht="21" customHeight="1" x14ac:dyDescent="0.4">
      <c r="A25" s="258" t="s">
        <v>52</v>
      </c>
      <c r="B25" s="259"/>
      <c r="C25" s="268" t="s">
        <v>53</v>
      </c>
      <c r="D25" s="269"/>
      <c r="E25" s="269"/>
      <c r="F25" s="269"/>
      <c r="G25" s="268" t="s">
        <v>54</v>
      </c>
      <c r="H25" s="314"/>
    </row>
    <row r="26" spans="1:8" s="3" customFormat="1" ht="24" customHeight="1" x14ac:dyDescent="0.4">
      <c r="A26" s="263" t="s">
        <v>55</v>
      </c>
      <c r="B26" s="264"/>
      <c r="C26" s="264"/>
      <c r="D26" s="264"/>
      <c r="E26" s="264"/>
      <c r="F26" s="264"/>
      <c r="G26" s="264"/>
      <c r="H26" s="265"/>
    </row>
    <row r="27" spans="1:8" s="3" customFormat="1" ht="21" customHeight="1" x14ac:dyDescent="0.4">
      <c r="A27" s="258" t="s">
        <v>28</v>
      </c>
      <c r="B27" s="259"/>
      <c r="C27" s="260" t="s">
        <v>120</v>
      </c>
      <c r="D27" s="261"/>
      <c r="E27" s="261"/>
      <c r="F27" s="261"/>
      <c r="G27" s="261"/>
      <c r="H27" s="262"/>
    </row>
    <row r="28" spans="1:8" s="3" customFormat="1" ht="21" customHeight="1" x14ac:dyDescent="0.4">
      <c r="A28" s="258" t="s">
        <v>32</v>
      </c>
      <c r="B28" s="259"/>
      <c r="C28" s="260" t="s">
        <v>33</v>
      </c>
      <c r="D28" s="261"/>
      <c r="E28" s="261"/>
      <c r="F28" s="261"/>
      <c r="G28" s="261"/>
      <c r="H28" s="262"/>
    </row>
    <row r="29" spans="1:8" s="3" customFormat="1" ht="21" customHeight="1" x14ac:dyDescent="0.4">
      <c r="A29" s="258" t="s">
        <v>34</v>
      </c>
      <c r="B29" s="259"/>
      <c r="C29" s="260" t="s">
        <v>56</v>
      </c>
      <c r="D29" s="261"/>
      <c r="E29" s="261"/>
      <c r="F29" s="261"/>
      <c r="G29" s="261"/>
      <c r="H29" s="262"/>
    </row>
    <row r="30" spans="1:8" s="3" customFormat="1" ht="21" customHeight="1" x14ac:dyDescent="0.4">
      <c r="A30" s="258" t="s">
        <v>57</v>
      </c>
      <c r="B30" s="259"/>
      <c r="C30" s="260" t="s">
        <v>123</v>
      </c>
      <c r="D30" s="261"/>
      <c r="E30" s="261"/>
      <c r="F30" s="261"/>
      <c r="G30" s="261"/>
      <c r="H30" s="262"/>
    </row>
    <row r="31" spans="1:8" s="3" customFormat="1" ht="21" customHeight="1" x14ac:dyDescent="0.4">
      <c r="A31" s="258" t="s">
        <v>36</v>
      </c>
      <c r="B31" s="259"/>
      <c r="C31" s="260" t="s">
        <v>37</v>
      </c>
      <c r="D31" s="261"/>
      <c r="E31" s="261"/>
      <c r="F31" s="261"/>
      <c r="G31" s="261"/>
      <c r="H31" s="262"/>
    </row>
    <row r="32" spans="1:8" s="3" customFormat="1" ht="21" customHeight="1" x14ac:dyDescent="0.4">
      <c r="A32" s="258" t="s">
        <v>59</v>
      </c>
      <c r="B32" s="259"/>
      <c r="C32" s="260" t="s">
        <v>60</v>
      </c>
      <c r="D32" s="261"/>
      <c r="E32" s="261"/>
      <c r="F32" s="261"/>
      <c r="G32" s="261"/>
      <c r="H32" s="262"/>
    </row>
    <row r="33" spans="1:8" s="3" customFormat="1" ht="24" customHeight="1" x14ac:dyDescent="0.4">
      <c r="A33" s="263" t="s">
        <v>55</v>
      </c>
      <c r="B33" s="264"/>
      <c r="C33" s="264"/>
      <c r="D33" s="264"/>
      <c r="E33" s="264"/>
      <c r="F33" s="264"/>
      <c r="G33" s="264"/>
      <c r="H33" s="265"/>
    </row>
    <row r="34" spans="1:8" s="3" customFormat="1" ht="21" customHeight="1" x14ac:dyDescent="0.4">
      <c r="A34" s="275" t="s">
        <v>61</v>
      </c>
      <c r="B34" s="277" t="s">
        <v>62</v>
      </c>
      <c r="C34" s="278"/>
      <c r="D34" s="267" t="s">
        <v>63</v>
      </c>
      <c r="E34" s="264"/>
      <c r="F34" s="264"/>
      <c r="G34" s="266"/>
      <c r="H34" s="281" t="s">
        <v>64</v>
      </c>
    </row>
    <row r="35" spans="1:8" s="3" customFormat="1" ht="24" customHeight="1" x14ac:dyDescent="0.4">
      <c r="A35" s="276"/>
      <c r="B35" s="279"/>
      <c r="C35" s="280"/>
      <c r="D35" s="6" t="s">
        <v>65</v>
      </c>
      <c r="E35" s="6" t="s">
        <v>2</v>
      </c>
      <c r="F35" s="5" t="s">
        <v>3</v>
      </c>
      <c r="G35" s="5" t="s">
        <v>6</v>
      </c>
      <c r="H35" s="282"/>
    </row>
    <row r="36" spans="1:8" s="3" customFormat="1" ht="21" customHeight="1" x14ac:dyDescent="0.4">
      <c r="A36" s="7">
        <v>5</v>
      </c>
      <c r="B36" s="270" t="s">
        <v>66</v>
      </c>
      <c r="C36" s="271"/>
      <c r="D36" s="271"/>
      <c r="E36" s="271"/>
      <c r="F36" s="271"/>
      <c r="G36" s="316"/>
      <c r="H36" s="63">
        <f>H37</f>
        <v>60562999.999750003</v>
      </c>
    </row>
    <row r="37" spans="1:8" s="3" customFormat="1" ht="21" customHeight="1" x14ac:dyDescent="0.4">
      <c r="A37" s="9" t="s">
        <v>67</v>
      </c>
      <c r="B37" s="270" t="s">
        <v>68</v>
      </c>
      <c r="C37" s="271"/>
      <c r="D37" s="271"/>
      <c r="E37" s="271"/>
      <c r="F37" s="271"/>
      <c r="G37" s="316"/>
      <c r="H37" s="63">
        <f>H38</f>
        <v>60562999.999750003</v>
      </c>
    </row>
    <row r="38" spans="1:8" s="3" customFormat="1" ht="21" customHeight="1" x14ac:dyDescent="0.4">
      <c r="A38" s="10">
        <v>37377</v>
      </c>
      <c r="B38" s="270" t="s">
        <v>69</v>
      </c>
      <c r="C38" s="271"/>
      <c r="D38" s="271"/>
      <c r="E38" s="271"/>
      <c r="F38" s="271"/>
      <c r="G38" s="316"/>
      <c r="H38" s="63">
        <f>H39+H66+H73</f>
        <v>60562999.999750003</v>
      </c>
    </row>
    <row r="39" spans="1:8" s="3" customFormat="1" ht="21" customHeight="1" x14ac:dyDescent="0.4">
      <c r="A39" s="9" t="s">
        <v>70</v>
      </c>
      <c r="B39" s="270" t="s">
        <v>71</v>
      </c>
      <c r="C39" s="271"/>
      <c r="D39" s="271"/>
      <c r="E39" s="271"/>
      <c r="F39" s="271"/>
      <c r="G39" s="316"/>
      <c r="H39" s="63">
        <f>H40</f>
        <v>26187999.999749999</v>
      </c>
    </row>
    <row r="40" spans="1:8" s="3" customFormat="1" ht="21" customHeight="1" x14ac:dyDescent="0.4">
      <c r="A40" s="9" t="s">
        <v>72</v>
      </c>
      <c r="B40" s="270" t="s">
        <v>73</v>
      </c>
      <c r="C40" s="271"/>
      <c r="D40" s="271"/>
      <c r="E40" s="271"/>
      <c r="F40" s="271"/>
      <c r="G40" s="316"/>
      <c r="H40" s="63">
        <f>H41+H52+H55+H59+H62</f>
        <v>26187999.999749999</v>
      </c>
    </row>
    <row r="41" spans="1:8" s="3" customFormat="1" ht="21" customHeight="1" x14ac:dyDescent="0.4">
      <c r="A41" s="9" t="s">
        <v>88</v>
      </c>
      <c r="B41" s="270" t="s">
        <v>89</v>
      </c>
      <c r="C41" s="271"/>
      <c r="D41" s="271"/>
      <c r="E41" s="271"/>
      <c r="F41" s="271"/>
      <c r="G41" s="316"/>
      <c r="H41" s="63">
        <f>SUM(H42:H51)</f>
        <v>5852275</v>
      </c>
    </row>
    <row r="42" spans="1:8" s="3" customFormat="1" ht="33" customHeight="1" x14ac:dyDescent="0.4">
      <c r="A42" s="26"/>
      <c r="B42" s="308" t="s">
        <v>131</v>
      </c>
      <c r="C42" s="308"/>
      <c r="D42" s="90">
        <v>5</v>
      </c>
      <c r="E42" s="91" t="s">
        <v>79</v>
      </c>
      <c r="F42" s="105">
        <v>36350</v>
      </c>
      <c r="G42" s="106"/>
      <c r="H42" s="43">
        <f>D42*F42</f>
        <v>181750</v>
      </c>
    </row>
    <row r="43" spans="1:8" s="3" customFormat="1" ht="33" customHeight="1" x14ac:dyDescent="0.4">
      <c r="A43" s="26"/>
      <c r="B43" s="307" t="s">
        <v>240</v>
      </c>
      <c r="C43" s="308"/>
      <c r="D43" s="90">
        <v>2</v>
      </c>
      <c r="E43" s="91" t="s">
        <v>226</v>
      </c>
      <c r="F43" s="105">
        <v>163750</v>
      </c>
      <c r="G43" s="106"/>
      <c r="H43" s="43">
        <f t="shared" ref="H43:H49" si="0">D43*F43</f>
        <v>327500</v>
      </c>
    </row>
    <row r="44" spans="1:8" s="3" customFormat="1" ht="33" customHeight="1" x14ac:dyDescent="0.4">
      <c r="A44" s="26"/>
      <c r="B44" s="307" t="s">
        <v>217</v>
      </c>
      <c r="C44" s="308"/>
      <c r="D44" s="90">
        <v>24</v>
      </c>
      <c r="E44" s="91" t="s">
        <v>79</v>
      </c>
      <c r="F44" s="105">
        <v>7775</v>
      </c>
      <c r="G44" s="106"/>
      <c r="H44" s="43">
        <f t="shared" si="0"/>
        <v>186600</v>
      </c>
    </row>
    <row r="45" spans="1:8" s="3" customFormat="1" ht="33" customHeight="1" x14ac:dyDescent="0.4">
      <c r="A45" s="26"/>
      <c r="B45" s="307" t="s">
        <v>255</v>
      </c>
      <c r="C45" s="308"/>
      <c r="D45" s="90">
        <v>5</v>
      </c>
      <c r="E45" s="92" t="s">
        <v>226</v>
      </c>
      <c r="F45" s="142">
        <v>84200</v>
      </c>
      <c r="G45" s="143"/>
      <c r="H45" s="29">
        <f>D45*F45</f>
        <v>421000</v>
      </c>
    </row>
    <row r="46" spans="1:8" s="3" customFormat="1" ht="48.75" customHeight="1" x14ac:dyDescent="0.4">
      <c r="A46" s="26"/>
      <c r="B46" s="307" t="s">
        <v>241</v>
      </c>
      <c r="C46" s="308"/>
      <c r="D46" s="90">
        <v>15</v>
      </c>
      <c r="E46" s="91" t="s">
        <v>150</v>
      </c>
      <c r="F46" s="105">
        <v>72075</v>
      </c>
      <c r="G46" s="106"/>
      <c r="H46" s="43">
        <f t="shared" si="0"/>
        <v>1081125</v>
      </c>
    </row>
    <row r="47" spans="1:8" s="3" customFormat="1" ht="33" customHeight="1" x14ac:dyDescent="0.4">
      <c r="A47" s="26"/>
      <c r="B47" s="307" t="s">
        <v>242</v>
      </c>
      <c r="C47" s="308"/>
      <c r="D47" s="90">
        <v>5</v>
      </c>
      <c r="E47" s="91" t="s">
        <v>124</v>
      </c>
      <c r="F47" s="105">
        <v>293725</v>
      </c>
      <c r="G47" s="106"/>
      <c r="H47" s="43">
        <f t="shared" si="0"/>
        <v>1468625</v>
      </c>
    </row>
    <row r="48" spans="1:8" s="3" customFormat="1" ht="33" customHeight="1" x14ac:dyDescent="0.4">
      <c r="A48" s="26"/>
      <c r="B48" s="307" t="s">
        <v>243</v>
      </c>
      <c r="C48" s="308"/>
      <c r="D48" s="90">
        <v>3</v>
      </c>
      <c r="E48" s="91" t="s">
        <v>220</v>
      </c>
      <c r="F48" s="105">
        <v>31450</v>
      </c>
      <c r="G48" s="106"/>
      <c r="H48" s="43">
        <f t="shared" si="0"/>
        <v>94350</v>
      </c>
    </row>
    <row r="49" spans="1:9" s="3" customFormat="1" ht="33" customHeight="1" x14ac:dyDescent="0.4">
      <c r="A49" s="26"/>
      <c r="B49" s="307" t="s">
        <v>244</v>
      </c>
      <c r="C49" s="308"/>
      <c r="D49" s="93">
        <v>3</v>
      </c>
      <c r="E49" s="94" t="s">
        <v>220</v>
      </c>
      <c r="F49" s="110">
        <v>48375</v>
      </c>
      <c r="G49" s="106"/>
      <c r="H49" s="43">
        <f t="shared" si="0"/>
        <v>145125</v>
      </c>
    </row>
    <row r="50" spans="1:9" s="3" customFormat="1" ht="48.75" customHeight="1" x14ac:dyDescent="0.4">
      <c r="A50" s="35"/>
      <c r="B50" s="363" t="s">
        <v>222</v>
      </c>
      <c r="C50" s="368"/>
      <c r="D50" s="95">
        <v>24</v>
      </c>
      <c r="E50" s="96" t="s">
        <v>150</v>
      </c>
      <c r="F50" s="105">
        <v>64675</v>
      </c>
      <c r="G50" s="106"/>
      <c r="H50" s="43">
        <f>D50*F50</f>
        <v>1552200</v>
      </c>
    </row>
    <row r="51" spans="1:9" s="3" customFormat="1" ht="33" customHeight="1" x14ac:dyDescent="0.4">
      <c r="A51" s="83"/>
      <c r="B51" s="363" t="s">
        <v>221</v>
      </c>
      <c r="C51" s="369"/>
      <c r="D51" s="93">
        <v>10</v>
      </c>
      <c r="E51" s="94" t="s">
        <v>226</v>
      </c>
      <c r="F51" s="137">
        <v>39400</v>
      </c>
      <c r="G51" s="138"/>
      <c r="H51" s="43">
        <f>D51*F51</f>
        <v>394000</v>
      </c>
    </row>
    <row r="52" spans="1:9" s="3" customFormat="1" ht="31.5" customHeight="1" x14ac:dyDescent="0.4">
      <c r="A52" s="88" t="s">
        <v>74</v>
      </c>
      <c r="B52" s="370" t="s">
        <v>75</v>
      </c>
      <c r="C52" s="366"/>
      <c r="D52" s="366"/>
      <c r="E52" s="366"/>
      <c r="F52" s="144"/>
      <c r="G52" s="145"/>
      <c r="H52" s="63">
        <f>SUM(H53:H54)</f>
        <v>3226500</v>
      </c>
    </row>
    <row r="53" spans="1:9" s="3" customFormat="1" ht="33" customHeight="1" x14ac:dyDescent="0.4">
      <c r="A53" s="26"/>
      <c r="B53" s="307" t="s">
        <v>219</v>
      </c>
      <c r="C53" s="308"/>
      <c r="D53" s="90">
        <v>20</v>
      </c>
      <c r="E53" s="91" t="s">
        <v>76</v>
      </c>
      <c r="F53" s="234">
        <v>87875</v>
      </c>
      <c r="G53" s="106"/>
      <c r="H53" s="43">
        <f>D53*F53</f>
        <v>1757500</v>
      </c>
    </row>
    <row r="54" spans="1:9" s="3" customFormat="1" ht="33" customHeight="1" x14ac:dyDescent="0.4">
      <c r="A54" s="26"/>
      <c r="B54" s="361" t="s">
        <v>218</v>
      </c>
      <c r="C54" s="362"/>
      <c r="D54" s="97">
        <v>20</v>
      </c>
      <c r="E54" s="98" t="s">
        <v>76</v>
      </c>
      <c r="F54" s="234">
        <v>73450</v>
      </c>
      <c r="G54" s="106"/>
      <c r="H54" s="43">
        <f>D54*F54</f>
        <v>1469000</v>
      </c>
    </row>
    <row r="55" spans="1:9" s="3" customFormat="1" ht="24" customHeight="1" x14ac:dyDescent="0.4">
      <c r="A55" s="2" t="s">
        <v>90</v>
      </c>
      <c r="B55" s="297" t="s">
        <v>91</v>
      </c>
      <c r="C55" s="297"/>
      <c r="D55" s="297"/>
      <c r="E55" s="297"/>
      <c r="F55" s="135"/>
      <c r="G55" s="108"/>
      <c r="H55" s="63">
        <f>SUM(H56:H58)</f>
        <v>3290549.99975</v>
      </c>
    </row>
    <row r="56" spans="1:9" s="3" customFormat="1" ht="46.5" customHeight="1" x14ac:dyDescent="0.4">
      <c r="A56" s="26"/>
      <c r="B56" s="320" t="s">
        <v>118</v>
      </c>
      <c r="C56" s="320"/>
      <c r="D56" s="99">
        <v>3658</v>
      </c>
      <c r="E56" s="100" t="s">
        <v>92</v>
      </c>
      <c r="F56" s="105">
        <v>350</v>
      </c>
      <c r="G56" s="106"/>
      <c r="H56" s="43">
        <f>D56*F56</f>
        <v>1280300</v>
      </c>
    </row>
    <row r="57" spans="1:9" s="3" customFormat="1" ht="47.25" customHeight="1" x14ac:dyDescent="0.4">
      <c r="A57" s="26"/>
      <c r="B57" s="319" t="s">
        <v>149</v>
      </c>
      <c r="C57" s="320"/>
      <c r="D57" s="184" t="s">
        <v>282</v>
      </c>
      <c r="E57" s="100" t="s">
        <v>92</v>
      </c>
      <c r="F57" s="105">
        <v>350</v>
      </c>
      <c r="G57" s="106"/>
      <c r="H57" s="43">
        <f>D57*F57</f>
        <v>249.99974999999998</v>
      </c>
      <c r="I57" s="189"/>
    </row>
    <row r="58" spans="1:9" s="3" customFormat="1" ht="49.5" customHeight="1" x14ac:dyDescent="0.4">
      <c r="A58" s="26"/>
      <c r="B58" s="363" t="s">
        <v>142</v>
      </c>
      <c r="C58" s="364"/>
      <c r="D58" s="103">
        <v>60</v>
      </c>
      <c r="E58" s="104" t="s">
        <v>125</v>
      </c>
      <c r="F58" s="105">
        <v>33500</v>
      </c>
      <c r="G58" s="106"/>
      <c r="H58" s="43">
        <f>D58*F58</f>
        <v>2010000</v>
      </c>
    </row>
    <row r="59" spans="1:9" s="3" customFormat="1" ht="32.25" customHeight="1" x14ac:dyDescent="0.4">
      <c r="A59" s="2" t="s">
        <v>77</v>
      </c>
      <c r="B59" s="365" t="s">
        <v>78</v>
      </c>
      <c r="C59" s="366"/>
      <c r="D59" s="366"/>
      <c r="E59" s="366"/>
      <c r="F59" s="366"/>
      <c r="G59" s="367"/>
      <c r="H59" s="63">
        <f>SUM(H60:H61)</f>
        <v>8373675</v>
      </c>
    </row>
    <row r="60" spans="1:9" s="3" customFormat="1" ht="33" customHeight="1" x14ac:dyDescent="0.4">
      <c r="A60" s="26"/>
      <c r="B60" s="307" t="s">
        <v>252</v>
      </c>
      <c r="C60" s="308"/>
      <c r="D60" s="93">
        <v>3</v>
      </c>
      <c r="E60" s="94" t="s">
        <v>79</v>
      </c>
      <c r="F60" s="142">
        <v>1699200</v>
      </c>
      <c r="G60" s="106"/>
      <c r="H60" s="43">
        <f>D60*F60</f>
        <v>5097600</v>
      </c>
    </row>
    <row r="61" spans="1:9" s="3" customFormat="1" ht="33" customHeight="1" x14ac:dyDescent="0.4">
      <c r="A61" s="26"/>
      <c r="B61" s="307" t="s">
        <v>249</v>
      </c>
      <c r="C61" s="308"/>
      <c r="D61" s="109">
        <v>3</v>
      </c>
      <c r="E61" s="92" t="s">
        <v>79</v>
      </c>
      <c r="F61" s="142">
        <v>1092025</v>
      </c>
      <c r="G61" s="106"/>
      <c r="H61" s="43">
        <f t="shared" ref="H61" si="1">D61*F61</f>
        <v>3276075</v>
      </c>
    </row>
    <row r="62" spans="1:9" s="3" customFormat="1" ht="33" customHeight="1" x14ac:dyDescent="0.4">
      <c r="A62" s="2" t="s">
        <v>80</v>
      </c>
      <c r="B62" s="292" t="s">
        <v>81</v>
      </c>
      <c r="C62" s="292"/>
      <c r="D62" s="292"/>
      <c r="E62" s="292"/>
      <c r="F62" s="124"/>
      <c r="G62" s="119"/>
      <c r="H62" s="63">
        <f>H63</f>
        <v>5445000</v>
      </c>
    </row>
    <row r="63" spans="1:9" s="3" customFormat="1" ht="21.75" customHeight="1" x14ac:dyDescent="0.4">
      <c r="A63" s="2"/>
      <c r="B63" s="373" t="s">
        <v>276</v>
      </c>
      <c r="C63" s="374"/>
      <c r="D63" s="374"/>
      <c r="E63" s="374"/>
      <c r="F63" s="374"/>
      <c r="G63" s="375"/>
      <c r="H63" s="63">
        <f>SUM(H64:H65)</f>
        <v>5445000</v>
      </c>
    </row>
    <row r="64" spans="1:9" s="3" customFormat="1" ht="49.5" customHeight="1" x14ac:dyDescent="0.4">
      <c r="A64" s="26"/>
      <c r="B64" s="298" t="s">
        <v>213</v>
      </c>
      <c r="C64" s="299"/>
      <c r="D64" s="125">
        <v>110</v>
      </c>
      <c r="E64" s="126" t="s">
        <v>82</v>
      </c>
      <c r="F64" s="159">
        <v>33000</v>
      </c>
      <c r="G64" s="160"/>
      <c r="H64" s="43">
        <f>D64*F64</f>
        <v>3630000</v>
      </c>
    </row>
    <row r="65" spans="1:8" s="3" customFormat="1" ht="52.5" customHeight="1" x14ac:dyDescent="0.4">
      <c r="A65" s="26"/>
      <c r="B65" s="290" t="s">
        <v>214</v>
      </c>
      <c r="C65" s="291"/>
      <c r="D65" s="114">
        <v>110</v>
      </c>
      <c r="E65" s="127" t="s">
        <v>82</v>
      </c>
      <c r="F65" s="123">
        <v>16500</v>
      </c>
      <c r="G65" s="117"/>
      <c r="H65" s="43">
        <f t="shared" ref="H65" si="2">D65*F65</f>
        <v>1815000</v>
      </c>
    </row>
    <row r="66" spans="1:8" s="3" customFormat="1" ht="24" customHeight="1" x14ac:dyDescent="0.4">
      <c r="A66" s="44" t="s">
        <v>109</v>
      </c>
      <c r="B66" s="297" t="s">
        <v>110</v>
      </c>
      <c r="C66" s="297"/>
      <c r="D66" s="297"/>
      <c r="E66" s="297"/>
      <c r="F66" s="135"/>
      <c r="G66" s="108"/>
      <c r="H66" s="63">
        <f>H67</f>
        <v>22000000</v>
      </c>
    </row>
    <row r="67" spans="1:8" s="3" customFormat="1" ht="24" customHeight="1" x14ac:dyDescent="0.4">
      <c r="A67" s="44" t="s">
        <v>126</v>
      </c>
      <c r="B67" s="297" t="s">
        <v>127</v>
      </c>
      <c r="C67" s="297"/>
      <c r="D67" s="297"/>
      <c r="E67" s="297"/>
      <c r="F67" s="135"/>
      <c r="G67" s="108"/>
      <c r="H67" s="63">
        <f>H68</f>
        <v>22000000</v>
      </c>
    </row>
    <row r="68" spans="1:8" s="3" customFormat="1" ht="24" customHeight="1" x14ac:dyDescent="0.4">
      <c r="A68" s="44" t="s">
        <v>128</v>
      </c>
      <c r="B68" s="297" t="s">
        <v>129</v>
      </c>
      <c r="C68" s="297"/>
      <c r="D68" s="297"/>
      <c r="E68" s="297"/>
      <c r="F68" s="135"/>
      <c r="G68" s="108"/>
      <c r="H68" s="63">
        <f>SUM(H69+H71)</f>
        <v>22000000</v>
      </c>
    </row>
    <row r="69" spans="1:8" s="3" customFormat="1" ht="21" customHeight="1" x14ac:dyDescent="0.4">
      <c r="A69" s="44"/>
      <c r="B69" s="371" t="s">
        <v>140</v>
      </c>
      <c r="C69" s="372"/>
      <c r="D69" s="140"/>
      <c r="E69" s="140"/>
      <c r="F69" s="135"/>
      <c r="G69" s="108"/>
      <c r="H69" s="63">
        <f>SUM(H70)</f>
        <v>12000000</v>
      </c>
    </row>
    <row r="70" spans="1:8" s="3" customFormat="1" ht="52.5" customHeight="1" x14ac:dyDescent="0.4">
      <c r="A70" s="26"/>
      <c r="B70" s="307" t="s">
        <v>256</v>
      </c>
      <c r="C70" s="308"/>
      <c r="D70" s="93">
        <v>12</v>
      </c>
      <c r="E70" s="94" t="s">
        <v>130</v>
      </c>
      <c r="F70" s="110">
        <v>1000000</v>
      </c>
      <c r="G70" s="106"/>
      <c r="H70" s="43">
        <f>D70*F70</f>
        <v>12000000</v>
      </c>
    </row>
    <row r="71" spans="1:8" s="3" customFormat="1" ht="21" customHeight="1" x14ac:dyDescent="0.4">
      <c r="A71" s="26"/>
      <c r="B71" s="371" t="s">
        <v>141</v>
      </c>
      <c r="C71" s="372"/>
      <c r="D71" s="93"/>
      <c r="E71" s="94"/>
      <c r="F71" s="110"/>
      <c r="G71" s="106"/>
      <c r="H71" s="63">
        <f>SUM(H72)</f>
        <v>10000000</v>
      </c>
    </row>
    <row r="72" spans="1:8" s="3" customFormat="1" ht="51" customHeight="1" x14ac:dyDescent="0.4">
      <c r="A72" s="26"/>
      <c r="B72" s="307" t="s">
        <v>231</v>
      </c>
      <c r="C72" s="308"/>
      <c r="D72" s="93">
        <v>2</v>
      </c>
      <c r="E72" s="94" t="s">
        <v>130</v>
      </c>
      <c r="F72" s="110">
        <v>5000000</v>
      </c>
      <c r="G72" s="106"/>
      <c r="H72" s="43">
        <f>D72*F72</f>
        <v>10000000</v>
      </c>
    </row>
    <row r="73" spans="1:8" s="3" customFormat="1" ht="24" customHeight="1" x14ac:dyDescent="0.4">
      <c r="A73" s="44" t="s">
        <v>95</v>
      </c>
      <c r="B73" s="297" t="s">
        <v>96</v>
      </c>
      <c r="C73" s="297"/>
      <c r="D73" s="297"/>
      <c r="E73" s="297"/>
      <c r="F73" s="107"/>
      <c r="G73" s="108"/>
      <c r="H73" s="63">
        <f>H74+H77</f>
        <v>12375000</v>
      </c>
    </row>
    <row r="74" spans="1:8" s="3" customFormat="1" ht="24" customHeight="1" x14ac:dyDescent="0.4">
      <c r="A74" s="2" t="s">
        <v>215</v>
      </c>
      <c r="B74" s="297" t="s">
        <v>216</v>
      </c>
      <c r="C74" s="297"/>
      <c r="D74" s="93"/>
      <c r="E74" s="111"/>
      <c r="F74" s="112"/>
      <c r="G74" s="113"/>
      <c r="H74" s="63">
        <f>SUM(H75:H76)</f>
        <v>800000</v>
      </c>
    </row>
    <row r="75" spans="1:8" s="3" customFormat="1" ht="39.75" customHeight="1" x14ac:dyDescent="0.4">
      <c r="A75" s="11"/>
      <c r="B75" s="308" t="s">
        <v>227</v>
      </c>
      <c r="C75" s="308"/>
      <c r="D75" s="146">
        <v>1</v>
      </c>
      <c r="E75" s="98" t="s">
        <v>228</v>
      </c>
      <c r="F75" s="147">
        <v>430000</v>
      </c>
      <c r="G75" s="113"/>
      <c r="H75" s="43">
        <f>D75*F75</f>
        <v>430000</v>
      </c>
    </row>
    <row r="76" spans="1:8" s="3" customFormat="1" ht="39.75" customHeight="1" x14ac:dyDescent="0.4">
      <c r="A76" s="11"/>
      <c r="B76" s="308" t="s">
        <v>248</v>
      </c>
      <c r="C76" s="308"/>
      <c r="D76" s="146">
        <v>2</v>
      </c>
      <c r="E76" s="98" t="s">
        <v>228</v>
      </c>
      <c r="F76" s="147">
        <v>185000</v>
      </c>
      <c r="G76" s="113"/>
      <c r="H76" s="43">
        <f>D76*F76</f>
        <v>370000</v>
      </c>
    </row>
    <row r="77" spans="1:8" s="3" customFormat="1" ht="24" customHeight="1" x14ac:dyDescent="0.4">
      <c r="A77" s="44" t="s">
        <v>97</v>
      </c>
      <c r="B77" s="297" t="s">
        <v>98</v>
      </c>
      <c r="C77" s="297"/>
      <c r="D77" s="297"/>
      <c r="E77" s="297"/>
      <c r="F77" s="107"/>
      <c r="G77" s="108"/>
      <c r="H77" s="63">
        <f>SUM(H78:H83)</f>
        <v>11575000</v>
      </c>
    </row>
    <row r="78" spans="1:8" s="3" customFormat="1" ht="63" customHeight="1" x14ac:dyDescent="0.4">
      <c r="A78" s="26"/>
      <c r="B78" s="308" t="s">
        <v>104</v>
      </c>
      <c r="C78" s="308"/>
      <c r="D78" s="90">
        <v>2</v>
      </c>
      <c r="E78" s="91" t="s">
        <v>99</v>
      </c>
      <c r="F78" s="105">
        <v>135000</v>
      </c>
      <c r="G78" s="106"/>
      <c r="H78" s="43">
        <f t="shared" ref="H78:H83" si="3">D78*F78</f>
        <v>270000</v>
      </c>
    </row>
    <row r="79" spans="1:8" s="3" customFormat="1" ht="51" customHeight="1" x14ac:dyDescent="0.4">
      <c r="A79" s="26"/>
      <c r="B79" s="308" t="s">
        <v>133</v>
      </c>
      <c r="C79" s="308"/>
      <c r="D79" s="90">
        <v>1</v>
      </c>
      <c r="E79" s="91" t="s">
        <v>99</v>
      </c>
      <c r="F79" s="105">
        <v>245000</v>
      </c>
      <c r="G79" s="106"/>
      <c r="H79" s="43">
        <f t="shared" si="3"/>
        <v>245000</v>
      </c>
    </row>
    <row r="80" spans="1:8" s="3" customFormat="1" ht="51" customHeight="1" x14ac:dyDescent="0.4">
      <c r="A80" s="26"/>
      <c r="B80" s="308" t="s">
        <v>134</v>
      </c>
      <c r="C80" s="308"/>
      <c r="D80" s="90">
        <v>2</v>
      </c>
      <c r="E80" s="91" t="s">
        <v>99</v>
      </c>
      <c r="F80" s="105">
        <v>255000</v>
      </c>
      <c r="G80" s="106"/>
      <c r="H80" s="43">
        <f t="shared" si="3"/>
        <v>510000</v>
      </c>
    </row>
    <row r="81" spans="1:10" s="3" customFormat="1" ht="51" customHeight="1" x14ac:dyDescent="0.4">
      <c r="A81" s="26"/>
      <c r="B81" s="308" t="s">
        <v>111</v>
      </c>
      <c r="C81" s="308"/>
      <c r="D81" s="90">
        <v>2</v>
      </c>
      <c r="E81" s="91" t="s">
        <v>99</v>
      </c>
      <c r="F81" s="105">
        <v>185000</v>
      </c>
      <c r="G81" s="106"/>
      <c r="H81" s="43">
        <f t="shared" si="3"/>
        <v>370000</v>
      </c>
    </row>
    <row r="82" spans="1:10" s="3" customFormat="1" ht="65.25" customHeight="1" x14ac:dyDescent="0.4">
      <c r="A82" s="26"/>
      <c r="B82" s="308" t="s">
        <v>135</v>
      </c>
      <c r="C82" s="308"/>
      <c r="D82" s="90">
        <v>2</v>
      </c>
      <c r="E82" s="91" t="s">
        <v>99</v>
      </c>
      <c r="F82" s="105">
        <v>160000</v>
      </c>
      <c r="G82" s="106"/>
      <c r="H82" s="43">
        <f t="shared" si="3"/>
        <v>320000</v>
      </c>
    </row>
    <row r="83" spans="1:10" s="3" customFormat="1" ht="51" customHeight="1" x14ac:dyDescent="0.4">
      <c r="A83" s="26"/>
      <c r="B83" s="307" t="s">
        <v>257</v>
      </c>
      <c r="C83" s="308"/>
      <c r="D83" s="97">
        <v>58</v>
      </c>
      <c r="E83" s="98" t="s">
        <v>82</v>
      </c>
      <c r="F83" s="105">
        <v>170000</v>
      </c>
      <c r="G83" s="106"/>
      <c r="H83" s="43">
        <f t="shared" si="3"/>
        <v>9860000</v>
      </c>
    </row>
    <row r="84" spans="1:10" s="3" customFormat="1" ht="24" customHeight="1" x14ac:dyDescent="0.4">
      <c r="A84" s="20"/>
      <c r="B84" s="149"/>
      <c r="C84" s="150"/>
      <c r="D84" s="151"/>
      <c r="E84" s="151"/>
      <c r="F84" s="376" t="s">
        <v>5</v>
      </c>
      <c r="G84" s="377"/>
      <c r="H84" s="61">
        <f>H36</f>
        <v>60562999.999750003</v>
      </c>
      <c r="I84" s="141">
        <v>60563000</v>
      </c>
      <c r="J84" s="57"/>
    </row>
    <row r="86" spans="1:10" x14ac:dyDescent="0.4">
      <c r="H86" s="170">
        <f>I84-H84</f>
        <v>2.4999678134918213E-4</v>
      </c>
    </row>
  </sheetData>
  <mergeCells count="119">
    <mergeCell ref="B83:C83"/>
    <mergeCell ref="F84:G84"/>
    <mergeCell ref="B78:C78"/>
    <mergeCell ref="B79:C79"/>
    <mergeCell ref="B80:C80"/>
    <mergeCell ref="B81:C81"/>
    <mergeCell ref="B82:C82"/>
    <mergeCell ref="B72:C72"/>
    <mergeCell ref="B73:E73"/>
    <mergeCell ref="B74:C74"/>
    <mergeCell ref="B75:C75"/>
    <mergeCell ref="B76:C76"/>
    <mergeCell ref="B77:E77"/>
    <mergeCell ref="B66:E66"/>
    <mergeCell ref="B67:E67"/>
    <mergeCell ref="B68:E68"/>
    <mergeCell ref="B69:C69"/>
    <mergeCell ref="B70:C70"/>
    <mergeCell ref="B71:C71"/>
    <mergeCell ref="B60:C60"/>
    <mergeCell ref="B61:C61"/>
    <mergeCell ref="B62:E62"/>
    <mergeCell ref="B63:G63"/>
    <mergeCell ref="B64:C64"/>
    <mergeCell ref="B65:C65"/>
    <mergeCell ref="B54:C54"/>
    <mergeCell ref="B55:E55"/>
    <mergeCell ref="B56:C56"/>
    <mergeCell ref="B57:C57"/>
    <mergeCell ref="B58:C58"/>
    <mergeCell ref="B59:G59"/>
    <mergeCell ref="B48:C48"/>
    <mergeCell ref="B49:C49"/>
    <mergeCell ref="B50:C50"/>
    <mergeCell ref="B51:C51"/>
    <mergeCell ref="B52:E52"/>
    <mergeCell ref="B53:C53"/>
    <mergeCell ref="B42:C42"/>
    <mergeCell ref="B43:C43"/>
    <mergeCell ref="B44:C44"/>
    <mergeCell ref="B45:C45"/>
    <mergeCell ref="B46:C46"/>
    <mergeCell ref="B47:C47"/>
    <mergeCell ref="B36:G36"/>
    <mergeCell ref="B37:G37"/>
    <mergeCell ref="B38:G38"/>
    <mergeCell ref="B39:G39"/>
    <mergeCell ref="B40:G40"/>
    <mergeCell ref="B41:G41"/>
    <mergeCell ref="A31:B31"/>
    <mergeCell ref="C31:H31"/>
    <mergeCell ref="A32:B32"/>
    <mergeCell ref="C32:H32"/>
    <mergeCell ref="A33:H33"/>
    <mergeCell ref="A34:A35"/>
    <mergeCell ref="B34:C35"/>
    <mergeCell ref="D34:G34"/>
    <mergeCell ref="H34:H35"/>
    <mergeCell ref="A28:B28"/>
    <mergeCell ref="C28:H28"/>
    <mergeCell ref="A29:B29"/>
    <mergeCell ref="C29:H29"/>
    <mergeCell ref="A30:B30"/>
    <mergeCell ref="C30:H30"/>
    <mergeCell ref="A25:B25"/>
    <mergeCell ref="C25:F25"/>
    <mergeCell ref="G25:H25"/>
    <mergeCell ref="A26:H26"/>
    <mergeCell ref="A27:B27"/>
    <mergeCell ref="C27:H27"/>
    <mergeCell ref="A23:B23"/>
    <mergeCell ref="C23:F23"/>
    <mergeCell ref="G23:H23"/>
    <mergeCell ref="A24:B24"/>
    <mergeCell ref="C24:F24"/>
    <mergeCell ref="G24:H24"/>
    <mergeCell ref="A20:H20"/>
    <mergeCell ref="A21:B21"/>
    <mergeCell ref="C21:F21"/>
    <mergeCell ref="G21:H21"/>
    <mergeCell ref="A22:B22"/>
    <mergeCell ref="C22:F22"/>
    <mergeCell ref="G22:H22"/>
    <mergeCell ref="A17:B17"/>
    <mergeCell ref="C17:H17"/>
    <mergeCell ref="A18:B18"/>
    <mergeCell ref="C18:H18"/>
    <mergeCell ref="A19:B19"/>
    <mergeCell ref="C19:H19"/>
    <mergeCell ref="A14:B14"/>
    <mergeCell ref="C14:H14"/>
    <mergeCell ref="A15:B15"/>
    <mergeCell ref="C15:H15"/>
    <mergeCell ref="A16:B16"/>
    <mergeCell ref="C16:H16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1:E1"/>
    <mergeCell ref="F1:H1"/>
    <mergeCell ref="A2:H2"/>
    <mergeCell ref="A3:H3"/>
    <mergeCell ref="A4:B4"/>
    <mergeCell ref="C4:H4"/>
  </mergeCells>
  <pageMargins left="0.70866141732283472" right="0.11811023622047245" top="0.35433070866141736" bottom="0.55118110236220474" header="0.31496062992125984" footer="0.31496062992125984"/>
  <pageSetup paperSize="9"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58A3-9AA1-4033-8EBF-DDB3E380275C}">
  <dimension ref="A1:I83"/>
  <sheetViews>
    <sheetView topLeftCell="A71" workbookViewId="0">
      <selection activeCell="D58" sqref="D58"/>
    </sheetView>
  </sheetViews>
  <sheetFormatPr defaultColWidth="8.85546875" defaultRowHeight="13.15" x14ac:dyDescent="0.4"/>
  <cols>
    <col min="1" max="1" width="21.85546875" customWidth="1"/>
    <col min="2" max="2" width="6.35546875" customWidth="1"/>
    <col min="3" max="3" width="34.35546875" customWidth="1"/>
    <col min="4" max="4" width="12.140625" customWidth="1"/>
    <col min="5" max="5" width="14.5" customWidth="1"/>
    <col min="6" max="6" width="14" customWidth="1"/>
    <col min="7" max="7" width="10.140625" customWidth="1"/>
    <col min="8" max="8" width="19.85546875" customWidth="1"/>
    <col min="9" max="9" width="16.640625" bestFit="1" customWidth="1"/>
  </cols>
  <sheetData>
    <row r="1" spans="1:8" ht="51" customHeight="1" x14ac:dyDescent="0.4">
      <c r="A1" s="249" t="s">
        <v>15</v>
      </c>
      <c r="B1" s="250"/>
      <c r="C1" s="250"/>
      <c r="D1" s="250"/>
      <c r="E1" s="251"/>
      <c r="F1" s="354" t="s">
        <v>112</v>
      </c>
      <c r="G1" s="355"/>
      <c r="H1" s="356"/>
    </row>
    <row r="2" spans="1:8" ht="24" customHeight="1" x14ac:dyDescent="0.4">
      <c r="A2" s="255" t="s">
        <v>245</v>
      </c>
      <c r="B2" s="256"/>
      <c r="C2" s="256"/>
      <c r="D2" s="256"/>
      <c r="E2" s="256"/>
      <c r="F2" s="256"/>
      <c r="G2" s="256"/>
      <c r="H2" s="257"/>
    </row>
    <row r="3" spans="1:8" ht="24" customHeight="1" x14ac:dyDescent="0.4">
      <c r="A3" s="255" t="s">
        <v>14</v>
      </c>
      <c r="B3" s="256"/>
      <c r="C3" s="256"/>
      <c r="D3" s="256"/>
      <c r="E3" s="256"/>
      <c r="F3" s="256"/>
      <c r="G3" s="256"/>
      <c r="H3" s="257"/>
    </row>
    <row r="4" spans="1:8" s="3" customFormat="1" ht="21" customHeight="1" x14ac:dyDescent="0.4">
      <c r="A4" s="258" t="s">
        <v>16</v>
      </c>
      <c r="B4" s="259"/>
      <c r="C4" s="260" t="s">
        <v>17</v>
      </c>
      <c r="D4" s="261"/>
      <c r="E4" s="261"/>
      <c r="F4" s="261"/>
      <c r="G4" s="261"/>
      <c r="H4" s="262"/>
    </row>
    <row r="5" spans="1:8" s="3" customFormat="1" ht="21" customHeight="1" x14ac:dyDescent="0.4">
      <c r="A5" s="258" t="s">
        <v>18</v>
      </c>
      <c r="B5" s="259"/>
      <c r="C5" s="260" t="s">
        <v>19</v>
      </c>
      <c r="D5" s="261"/>
      <c r="E5" s="261"/>
      <c r="F5" s="261"/>
      <c r="G5" s="261"/>
      <c r="H5" s="262"/>
    </row>
    <row r="6" spans="1:8" s="3" customFormat="1" ht="21" customHeight="1" x14ac:dyDescent="0.4">
      <c r="A6" s="258" t="s">
        <v>20</v>
      </c>
      <c r="B6" s="259"/>
      <c r="C6" s="260" t="s">
        <v>21</v>
      </c>
      <c r="D6" s="261"/>
      <c r="E6" s="261"/>
      <c r="F6" s="261"/>
      <c r="G6" s="261"/>
      <c r="H6" s="262"/>
    </row>
    <row r="7" spans="1:8" s="3" customFormat="1" ht="21" customHeight="1" x14ac:dyDescent="0.4">
      <c r="A7" s="258" t="s">
        <v>22</v>
      </c>
      <c r="B7" s="259"/>
      <c r="C7" s="260" t="s">
        <v>23</v>
      </c>
      <c r="D7" s="261"/>
      <c r="E7" s="261"/>
      <c r="F7" s="261"/>
      <c r="G7" s="261"/>
      <c r="H7" s="262"/>
    </row>
    <row r="8" spans="1:8" s="3" customFormat="1" ht="34.5" customHeight="1" x14ac:dyDescent="0.4">
      <c r="A8" s="258" t="s">
        <v>24</v>
      </c>
      <c r="B8" s="259"/>
      <c r="C8" s="260" t="s">
        <v>25</v>
      </c>
      <c r="D8" s="261"/>
      <c r="E8" s="261"/>
      <c r="F8" s="261"/>
      <c r="G8" s="261"/>
      <c r="H8" s="262"/>
    </row>
    <row r="9" spans="1:8" s="3" customFormat="1" ht="21" customHeight="1" x14ac:dyDescent="0.4">
      <c r="A9" s="258" t="s">
        <v>26</v>
      </c>
      <c r="B9" s="259"/>
      <c r="C9" s="260" t="s">
        <v>27</v>
      </c>
      <c r="D9" s="261"/>
      <c r="E9" s="261"/>
      <c r="F9" s="261"/>
      <c r="G9" s="261"/>
      <c r="H9" s="262"/>
    </row>
    <row r="10" spans="1:8" s="3" customFormat="1" ht="21" customHeight="1" x14ac:dyDescent="0.4">
      <c r="A10" s="258" t="s">
        <v>28</v>
      </c>
      <c r="B10" s="259"/>
      <c r="C10" s="260" t="s">
        <v>143</v>
      </c>
      <c r="D10" s="261"/>
      <c r="E10" s="261"/>
      <c r="F10" s="261"/>
      <c r="G10" s="261"/>
      <c r="H10" s="262"/>
    </row>
    <row r="11" spans="1:8" s="3" customFormat="1" ht="21" customHeight="1" x14ac:dyDescent="0.4">
      <c r="A11" s="258" t="s">
        <v>30</v>
      </c>
      <c r="B11" s="259"/>
      <c r="C11" s="260" t="s">
        <v>23</v>
      </c>
      <c r="D11" s="261"/>
      <c r="E11" s="261"/>
      <c r="F11" s="261"/>
      <c r="G11" s="261"/>
      <c r="H11" s="262"/>
    </row>
    <row r="12" spans="1:8" s="3" customFormat="1" ht="21" customHeight="1" x14ac:dyDescent="0.4">
      <c r="A12" s="258" t="s">
        <v>31</v>
      </c>
      <c r="B12" s="259"/>
      <c r="C12" s="260" t="s">
        <v>23</v>
      </c>
      <c r="D12" s="261"/>
      <c r="E12" s="261"/>
      <c r="F12" s="261"/>
      <c r="G12" s="261"/>
      <c r="H12" s="262"/>
    </row>
    <row r="13" spans="1:8" s="3" customFormat="1" ht="21" customHeight="1" x14ac:dyDescent="0.4">
      <c r="A13" s="258" t="s">
        <v>32</v>
      </c>
      <c r="B13" s="259"/>
      <c r="C13" s="260" t="s">
        <v>33</v>
      </c>
      <c r="D13" s="261"/>
      <c r="E13" s="261"/>
      <c r="F13" s="261"/>
      <c r="G13" s="261"/>
      <c r="H13" s="262"/>
    </row>
    <row r="14" spans="1:8" s="3" customFormat="1" ht="21" customHeight="1" x14ac:dyDescent="0.4">
      <c r="A14" s="258" t="s">
        <v>34</v>
      </c>
      <c r="B14" s="259"/>
      <c r="C14" s="260" t="s">
        <v>35</v>
      </c>
      <c r="D14" s="261"/>
      <c r="E14" s="261"/>
      <c r="F14" s="261"/>
      <c r="G14" s="261"/>
      <c r="H14" s="262"/>
    </row>
    <row r="15" spans="1:8" s="3" customFormat="1" ht="21" customHeight="1" x14ac:dyDescent="0.4">
      <c r="A15" s="258" t="s">
        <v>36</v>
      </c>
      <c r="B15" s="259"/>
      <c r="C15" s="260" t="s">
        <v>37</v>
      </c>
      <c r="D15" s="261"/>
      <c r="E15" s="261"/>
      <c r="F15" s="261"/>
      <c r="G15" s="261"/>
      <c r="H15" s="262"/>
    </row>
    <row r="16" spans="1:8" s="3" customFormat="1" ht="21" customHeight="1" x14ac:dyDescent="0.4">
      <c r="A16" s="258" t="s">
        <v>38</v>
      </c>
      <c r="B16" s="259"/>
      <c r="C16" s="260" t="s">
        <v>39</v>
      </c>
      <c r="D16" s="261"/>
      <c r="E16" s="261"/>
      <c r="F16" s="261"/>
      <c r="G16" s="261"/>
      <c r="H16" s="262"/>
    </row>
    <row r="17" spans="1:8" s="3" customFormat="1" ht="21" customHeight="1" x14ac:dyDescent="0.4">
      <c r="A17" s="258" t="s">
        <v>40</v>
      </c>
      <c r="B17" s="259"/>
      <c r="C17" s="260" t="s">
        <v>137</v>
      </c>
      <c r="D17" s="261"/>
      <c r="E17" s="261"/>
      <c r="F17" s="261"/>
      <c r="G17" s="261"/>
      <c r="H17" s="262"/>
    </row>
    <row r="18" spans="1:8" s="3" customFormat="1" ht="21" customHeight="1" x14ac:dyDescent="0.4">
      <c r="A18" s="258" t="s">
        <v>42</v>
      </c>
      <c r="B18" s="259"/>
      <c r="C18" s="260" t="s">
        <v>137</v>
      </c>
      <c r="D18" s="261"/>
      <c r="E18" s="261"/>
      <c r="F18" s="261"/>
      <c r="G18" s="261"/>
      <c r="H18" s="262"/>
    </row>
    <row r="19" spans="1:8" s="3" customFormat="1" ht="21" customHeight="1" x14ac:dyDescent="0.4">
      <c r="A19" s="258" t="s">
        <v>44</v>
      </c>
      <c r="B19" s="259"/>
      <c r="C19" s="260" t="s">
        <v>155</v>
      </c>
      <c r="D19" s="261"/>
      <c r="E19" s="261"/>
      <c r="F19" s="261"/>
      <c r="G19" s="261"/>
      <c r="H19" s="262"/>
    </row>
    <row r="20" spans="1:8" s="62" customFormat="1" ht="24" customHeight="1" x14ac:dyDescent="0.4">
      <c r="A20" s="263" t="s">
        <v>10</v>
      </c>
      <c r="B20" s="264"/>
      <c r="C20" s="264"/>
      <c r="D20" s="264"/>
      <c r="E20" s="264"/>
      <c r="F20" s="264"/>
      <c r="G20" s="264"/>
      <c r="H20" s="265"/>
    </row>
    <row r="21" spans="1:8" s="62" customFormat="1" ht="24" customHeight="1" x14ac:dyDescent="0.4">
      <c r="A21" s="263" t="s">
        <v>11</v>
      </c>
      <c r="B21" s="266"/>
      <c r="C21" s="267" t="s">
        <v>12</v>
      </c>
      <c r="D21" s="264"/>
      <c r="E21" s="264"/>
      <c r="F21" s="264"/>
      <c r="G21" s="309" t="s">
        <v>13</v>
      </c>
      <c r="H21" s="310"/>
    </row>
    <row r="22" spans="1:8" s="3" customFormat="1" ht="21" customHeight="1" x14ac:dyDescent="0.4">
      <c r="A22" s="258" t="s">
        <v>45</v>
      </c>
      <c r="B22" s="259"/>
      <c r="C22" s="268"/>
      <c r="D22" s="269"/>
      <c r="E22" s="269"/>
      <c r="F22" s="269"/>
      <c r="G22" s="311">
        <v>1</v>
      </c>
      <c r="H22" s="312"/>
    </row>
    <row r="23" spans="1:8" s="3" customFormat="1" ht="21" customHeight="1" x14ac:dyDescent="0.4">
      <c r="A23" s="258" t="s">
        <v>47</v>
      </c>
      <c r="B23" s="259"/>
      <c r="C23" s="268"/>
      <c r="D23" s="269"/>
      <c r="E23" s="269"/>
      <c r="F23" s="269"/>
      <c r="G23" s="378">
        <v>136982991</v>
      </c>
      <c r="H23" s="314"/>
    </row>
    <row r="24" spans="1:8" s="3" customFormat="1" ht="21" customHeight="1" x14ac:dyDescent="0.4">
      <c r="A24" s="258" t="s">
        <v>49</v>
      </c>
      <c r="B24" s="259"/>
      <c r="C24" s="268"/>
      <c r="D24" s="269"/>
      <c r="E24" s="269"/>
      <c r="F24" s="269"/>
      <c r="G24" s="268" t="s">
        <v>122</v>
      </c>
      <c r="H24" s="314"/>
    </row>
    <row r="25" spans="1:8" s="3" customFormat="1" ht="21" customHeight="1" x14ac:dyDescent="0.4">
      <c r="A25" s="258" t="s">
        <v>52</v>
      </c>
      <c r="B25" s="259"/>
      <c r="C25" s="268"/>
      <c r="D25" s="269"/>
      <c r="E25" s="269"/>
      <c r="F25" s="269"/>
      <c r="G25" s="268" t="s">
        <v>54</v>
      </c>
      <c r="H25" s="314"/>
    </row>
    <row r="26" spans="1:8" s="3" customFormat="1" ht="24" customHeight="1" x14ac:dyDescent="0.4">
      <c r="A26" s="263" t="s">
        <v>55</v>
      </c>
      <c r="B26" s="264"/>
      <c r="C26" s="264"/>
      <c r="D26" s="264"/>
      <c r="E26" s="264"/>
      <c r="F26" s="264"/>
      <c r="G26" s="264"/>
      <c r="H26" s="265"/>
    </row>
    <row r="27" spans="1:8" s="3" customFormat="1" ht="21" customHeight="1" x14ac:dyDescent="0.4">
      <c r="A27" s="258" t="s">
        <v>28</v>
      </c>
      <c r="B27" s="259"/>
      <c r="C27" s="260" t="s">
        <v>143</v>
      </c>
      <c r="D27" s="261"/>
      <c r="E27" s="261"/>
      <c r="F27" s="261"/>
      <c r="G27" s="261"/>
      <c r="H27" s="262"/>
    </row>
    <row r="28" spans="1:8" s="3" customFormat="1" ht="21" customHeight="1" x14ac:dyDescent="0.4">
      <c r="A28" s="258" t="s">
        <v>32</v>
      </c>
      <c r="B28" s="259"/>
      <c r="C28" s="260" t="s">
        <v>33</v>
      </c>
      <c r="D28" s="261"/>
      <c r="E28" s="261"/>
      <c r="F28" s="261"/>
      <c r="G28" s="261"/>
      <c r="H28" s="262"/>
    </row>
    <row r="29" spans="1:8" s="3" customFormat="1" ht="21" customHeight="1" x14ac:dyDescent="0.4">
      <c r="A29" s="258" t="s">
        <v>34</v>
      </c>
      <c r="B29" s="259"/>
      <c r="C29" s="260" t="s">
        <v>56</v>
      </c>
      <c r="D29" s="261"/>
      <c r="E29" s="261"/>
      <c r="F29" s="261"/>
      <c r="G29" s="261"/>
      <c r="H29" s="262"/>
    </row>
    <row r="30" spans="1:8" s="3" customFormat="1" ht="21" customHeight="1" x14ac:dyDescent="0.4">
      <c r="A30" s="258" t="s">
        <v>57</v>
      </c>
      <c r="B30" s="259"/>
      <c r="C30" s="260" t="s">
        <v>137</v>
      </c>
      <c r="D30" s="261"/>
      <c r="E30" s="261"/>
      <c r="F30" s="261"/>
      <c r="G30" s="261"/>
      <c r="H30" s="262"/>
    </row>
    <row r="31" spans="1:8" s="3" customFormat="1" ht="21" customHeight="1" x14ac:dyDescent="0.4">
      <c r="A31" s="258" t="s">
        <v>36</v>
      </c>
      <c r="B31" s="259"/>
      <c r="C31" s="260" t="s">
        <v>37</v>
      </c>
      <c r="D31" s="261"/>
      <c r="E31" s="261"/>
      <c r="F31" s="261"/>
      <c r="G31" s="261"/>
      <c r="H31" s="262"/>
    </row>
    <row r="32" spans="1:8" s="3" customFormat="1" ht="21" customHeight="1" x14ac:dyDescent="0.4">
      <c r="A32" s="258" t="s">
        <v>59</v>
      </c>
      <c r="B32" s="259"/>
      <c r="C32" s="260" t="s">
        <v>60</v>
      </c>
      <c r="D32" s="261"/>
      <c r="E32" s="261"/>
      <c r="F32" s="261"/>
      <c r="G32" s="261"/>
      <c r="H32" s="262"/>
    </row>
    <row r="33" spans="1:8" s="3" customFormat="1" ht="24" customHeight="1" x14ac:dyDescent="0.4">
      <c r="A33" s="263" t="s">
        <v>55</v>
      </c>
      <c r="B33" s="264"/>
      <c r="C33" s="264"/>
      <c r="D33" s="264"/>
      <c r="E33" s="264"/>
      <c r="F33" s="264"/>
      <c r="G33" s="264"/>
      <c r="H33" s="265"/>
    </row>
    <row r="34" spans="1:8" s="3" customFormat="1" ht="21" customHeight="1" x14ac:dyDescent="0.4">
      <c r="A34" s="275" t="s">
        <v>61</v>
      </c>
      <c r="B34" s="277" t="s">
        <v>62</v>
      </c>
      <c r="C34" s="278"/>
      <c r="D34" s="267" t="s">
        <v>63</v>
      </c>
      <c r="E34" s="264"/>
      <c r="F34" s="264"/>
      <c r="G34" s="266"/>
      <c r="H34" s="281" t="s">
        <v>64</v>
      </c>
    </row>
    <row r="35" spans="1:8" s="3" customFormat="1" ht="21" customHeight="1" x14ac:dyDescent="0.4">
      <c r="A35" s="276"/>
      <c r="B35" s="279"/>
      <c r="C35" s="280"/>
      <c r="D35" s="6" t="s">
        <v>65</v>
      </c>
      <c r="E35" s="6" t="s">
        <v>2</v>
      </c>
      <c r="F35" s="5" t="s">
        <v>3</v>
      </c>
      <c r="G35" s="59" t="s">
        <v>6</v>
      </c>
      <c r="H35" s="282"/>
    </row>
    <row r="36" spans="1:8" s="3" customFormat="1" ht="21" customHeight="1" x14ac:dyDescent="0.4">
      <c r="A36" s="7">
        <v>5</v>
      </c>
      <c r="B36" s="270" t="s">
        <v>66</v>
      </c>
      <c r="C36" s="271"/>
      <c r="D36" s="271"/>
      <c r="E36" s="271"/>
      <c r="F36" s="271"/>
      <c r="G36" s="316"/>
      <c r="H36" s="63">
        <f>SUM(H37)</f>
        <v>60563000</v>
      </c>
    </row>
    <row r="37" spans="1:8" s="3" customFormat="1" ht="21" customHeight="1" x14ac:dyDescent="0.4">
      <c r="A37" s="9" t="s">
        <v>67</v>
      </c>
      <c r="B37" s="270" t="s">
        <v>68</v>
      </c>
      <c r="C37" s="271"/>
      <c r="D37" s="271"/>
      <c r="E37" s="271"/>
      <c r="F37" s="271"/>
      <c r="G37" s="316"/>
      <c r="H37" s="63">
        <f>H38</f>
        <v>60563000</v>
      </c>
    </row>
    <row r="38" spans="1:8" s="3" customFormat="1" ht="21" customHeight="1" x14ac:dyDescent="0.4">
      <c r="A38" s="10">
        <v>37377</v>
      </c>
      <c r="B38" s="270" t="s">
        <v>69</v>
      </c>
      <c r="C38" s="271"/>
      <c r="D38" s="271"/>
      <c r="E38" s="271"/>
      <c r="F38" s="271"/>
      <c r="G38" s="316"/>
      <c r="H38" s="63">
        <f>H39+H64+H77</f>
        <v>60563000</v>
      </c>
    </row>
    <row r="39" spans="1:8" s="3" customFormat="1" ht="21" customHeight="1" x14ac:dyDescent="0.4">
      <c r="A39" s="9" t="s">
        <v>70</v>
      </c>
      <c r="B39" s="270" t="s">
        <v>71</v>
      </c>
      <c r="C39" s="271"/>
      <c r="D39" s="271"/>
      <c r="E39" s="271"/>
      <c r="F39" s="271"/>
      <c r="G39" s="316"/>
      <c r="H39" s="63">
        <f>H40</f>
        <v>51055850</v>
      </c>
    </row>
    <row r="40" spans="1:8" s="3" customFormat="1" ht="21" customHeight="1" x14ac:dyDescent="0.4">
      <c r="A40" s="9" t="s">
        <v>72</v>
      </c>
      <c r="B40" s="270" t="s">
        <v>73</v>
      </c>
      <c r="C40" s="271"/>
      <c r="D40" s="271"/>
      <c r="E40" s="271"/>
      <c r="F40" s="271"/>
      <c r="G40" s="316"/>
      <c r="H40" s="63">
        <f>H41+H45+H48+H53+H60</f>
        <v>51055850</v>
      </c>
    </row>
    <row r="41" spans="1:8" s="3" customFormat="1" ht="21" customHeight="1" x14ac:dyDescent="0.4">
      <c r="A41" s="9" t="s">
        <v>88</v>
      </c>
      <c r="B41" s="270" t="s">
        <v>89</v>
      </c>
      <c r="C41" s="271"/>
      <c r="D41" s="271"/>
      <c r="E41" s="271"/>
      <c r="F41" s="271"/>
      <c r="G41" s="316"/>
      <c r="H41" s="63">
        <f>SUM(H42:H44)</f>
        <v>1878250</v>
      </c>
    </row>
    <row r="42" spans="1:8" s="3" customFormat="1" ht="33" customHeight="1" x14ac:dyDescent="0.4">
      <c r="A42" s="26"/>
      <c r="B42" s="307" t="s">
        <v>217</v>
      </c>
      <c r="C42" s="308"/>
      <c r="D42" s="90">
        <v>17</v>
      </c>
      <c r="E42" s="91" t="s">
        <v>79</v>
      </c>
      <c r="F42" s="105">
        <v>7775</v>
      </c>
      <c r="G42" s="106"/>
      <c r="H42" s="43">
        <f t="shared" ref="H42:H44" si="0">D42*F42</f>
        <v>132175</v>
      </c>
    </row>
    <row r="43" spans="1:8" s="3" customFormat="1" ht="51.75" customHeight="1" x14ac:dyDescent="0.4">
      <c r="A43" s="26"/>
      <c r="B43" s="307" t="s">
        <v>241</v>
      </c>
      <c r="C43" s="308"/>
      <c r="D43" s="90">
        <v>12</v>
      </c>
      <c r="E43" s="91" t="s">
        <v>150</v>
      </c>
      <c r="F43" s="105">
        <v>72075</v>
      </c>
      <c r="G43" s="106"/>
      <c r="H43" s="43">
        <f t="shared" si="0"/>
        <v>864900</v>
      </c>
    </row>
    <row r="44" spans="1:8" s="3" customFormat="1" ht="50.25" customHeight="1" x14ac:dyDescent="0.4">
      <c r="A44" s="26"/>
      <c r="B44" s="307" t="s">
        <v>242</v>
      </c>
      <c r="C44" s="308"/>
      <c r="D44" s="90">
        <v>3</v>
      </c>
      <c r="E44" s="91" t="s">
        <v>124</v>
      </c>
      <c r="F44" s="105">
        <v>293725</v>
      </c>
      <c r="G44" s="106"/>
      <c r="H44" s="43">
        <f t="shared" si="0"/>
        <v>881175</v>
      </c>
    </row>
    <row r="45" spans="1:8" s="3" customFormat="1" ht="24" customHeight="1" x14ac:dyDescent="0.4">
      <c r="A45" s="60" t="s">
        <v>74</v>
      </c>
      <c r="B45" s="370" t="s">
        <v>75</v>
      </c>
      <c r="C45" s="366"/>
      <c r="D45" s="366"/>
      <c r="E45" s="366"/>
      <c r="F45" s="366"/>
      <c r="G45" s="367"/>
      <c r="H45" s="63">
        <f>SUM(H46:H47)</f>
        <v>2419875</v>
      </c>
    </row>
    <row r="46" spans="1:8" s="3" customFormat="1" ht="33" customHeight="1" x14ac:dyDescent="0.4">
      <c r="A46" s="26"/>
      <c r="B46" s="307" t="s">
        <v>219</v>
      </c>
      <c r="C46" s="308"/>
      <c r="D46" s="90">
        <v>15</v>
      </c>
      <c r="E46" s="91" t="s">
        <v>76</v>
      </c>
      <c r="F46" s="72">
        <v>87875</v>
      </c>
      <c r="G46" s="106"/>
      <c r="H46" s="43">
        <f>D46*F46</f>
        <v>1318125</v>
      </c>
    </row>
    <row r="47" spans="1:8" s="3" customFormat="1" ht="33" customHeight="1" x14ac:dyDescent="0.4">
      <c r="A47" s="26"/>
      <c r="B47" s="361" t="s">
        <v>218</v>
      </c>
      <c r="C47" s="362"/>
      <c r="D47" s="97">
        <v>15</v>
      </c>
      <c r="E47" s="98" t="s">
        <v>76</v>
      </c>
      <c r="F47" s="72">
        <v>73450</v>
      </c>
      <c r="G47" s="106"/>
      <c r="H47" s="43">
        <f>D47*F47</f>
        <v>1101750</v>
      </c>
    </row>
    <row r="48" spans="1:8" s="3" customFormat="1" ht="24" customHeight="1" x14ac:dyDescent="0.4">
      <c r="A48" s="2" t="s">
        <v>90</v>
      </c>
      <c r="B48" s="297" t="s">
        <v>91</v>
      </c>
      <c r="C48" s="297"/>
      <c r="D48" s="297"/>
      <c r="E48" s="297"/>
      <c r="F48" s="107"/>
      <c r="G48" s="108"/>
      <c r="H48" s="63">
        <f>SUM(H49:H52)</f>
        <v>16635100</v>
      </c>
    </row>
    <row r="49" spans="1:9" s="3" customFormat="1" ht="48.75" customHeight="1" x14ac:dyDescent="0.4">
      <c r="A49" s="26"/>
      <c r="B49" s="379" t="s">
        <v>239</v>
      </c>
      <c r="C49" s="379"/>
      <c r="D49" s="235">
        <v>16336</v>
      </c>
      <c r="E49" s="100" t="s">
        <v>92</v>
      </c>
      <c r="F49" s="105">
        <v>350</v>
      </c>
      <c r="G49" s="106"/>
      <c r="H49" s="43">
        <f>D49*F49</f>
        <v>5717600</v>
      </c>
    </row>
    <row r="50" spans="1:9" s="3" customFormat="1" ht="33" customHeight="1" x14ac:dyDescent="0.4">
      <c r="A50" s="26"/>
      <c r="B50" s="319" t="s">
        <v>239</v>
      </c>
      <c r="C50" s="320"/>
      <c r="D50" s="184">
        <v>0</v>
      </c>
      <c r="E50" s="100" t="s">
        <v>92</v>
      </c>
      <c r="F50" s="105">
        <v>350</v>
      </c>
      <c r="G50" s="106"/>
      <c r="H50" s="43">
        <f>D50*F50</f>
        <v>0</v>
      </c>
      <c r="I50" s="189">
        <v>125</v>
      </c>
    </row>
    <row r="51" spans="1:9" s="3" customFormat="1" ht="35.25" customHeight="1" x14ac:dyDescent="0.4">
      <c r="A51" s="26"/>
      <c r="B51" s="307" t="s">
        <v>223</v>
      </c>
      <c r="C51" s="308"/>
      <c r="D51" s="136">
        <v>50</v>
      </c>
      <c r="E51" s="104" t="s">
        <v>125</v>
      </c>
      <c r="F51" s="105">
        <v>127075</v>
      </c>
      <c r="G51" s="106"/>
      <c r="H51" s="43">
        <f>D51*F51</f>
        <v>6353750</v>
      </c>
    </row>
    <row r="52" spans="1:9" s="3" customFormat="1" ht="50.25" customHeight="1" x14ac:dyDescent="0.4">
      <c r="A52" s="26"/>
      <c r="B52" s="307" t="s">
        <v>234</v>
      </c>
      <c r="C52" s="308"/>
      <c r="D52" s="93">
        <v>50</v>
      </c>
      <c r="E52" s="94" t="s">
        <v>125</v>
      </c>
      <c r="F52" s="137">
        <v>91275</v>
      </c>
      <c r="G52" s="138"/>
      <c r="H52" s="43">
        <f>D52*F52</f>
        <v>4563750</v>
      </c>
    </row>
    <row r="53" spans="1:9" s="3" customFormat="1" ht="24" customHeight="1" x14ac:dyDescent="0.4">
      <c r="A53" s="2" t="s">
        <v>77</v>
      </c>
      <c r="B53" s="380" t="s">
        <v>78</v>
      </c>
      <c r="C53" s="333"/>
      <c r="D53" s="333"/>
      <c r="E53" s="333"/>
      <c r="F53" s="333"/>
      <c r="G53" s="381"/>
      <c r="H53" s="63">
        <f>SUM(H54:H59)</f>
        <v>19232625</v>
      </c>
    </row>
    <row r="54" spans="1:9" s="3" customFormat="1" ht="33" customHeight="1" x14ac:dyDescent="0.4">
      <c r="A54" s="26"/>
      <c r="B54" s="307" t="s">
        <v>8</v>
      </c>
      <c r="C54" s="384"/>
      <c r="D54" s="12">
        <v>5</v>
      </c>
      <c r="E54" s="16" t="s">
        <v>79</v>
      </c>
      <c r="F54" s="73">
        <v>1699200</v>
      </c>
      <c r="G54" s="14"/>
      <c r="H54" s="43">
        <f t="shared" ref="H54" si="1">D54*F54</f>
        <v>8496000</v>
      </c>
    </row>
    <row r="55" spans="1:9" s="3" customFormat="1" ht="33" customHeight="1" x14ac:dyDescent="0.4">
      <c r="A55" s="26"/>
      <c r="B55" s="307" t="s">
        <v>249</v>
      </c>
      <c r="C55" s="308"/>
      <c r="D55" s="64">
        <v>5</v>
      </c>
      <c r="E55" s="68" t="s">
        <v>79</v>
      </c>
      <c r="F55" s="73">
        <v>1092025</v>
      </c>
      <c r="G55" s="14"/>
      <c r="H55" s="43">
        <f>D55*F55</f>
        <v>5460125</v>
      </c>
    </row>
    <row r="56" spans="1:9" s="3" customFormat="1" ht="51" customHeight="1" x14ac:dyDescent="0.4">
      <c r="A56" s="26"/>
      <c r="B56" s="307" t="s">
        <v>251</v>
      </c>
      <c r="C56" s="308"/>
      <c r="D56" s="12">
        <v>10</v>
      </c>
      <c r="E56" s="16" t="s">
        <v>79</v>
      </c>
      <c r="F56" s="72">
        <v>163175</v>
      </c>
      <c r="G56" s="14"/>
      <c r="H56" s="55">
        <f t="shared" ref="H56" si="2">D56*F56</f>
        <v>1631750</v>
      </c>
    </row>
    <row r="57" spans="1:9" s="3" customFormat="1" ht="51" customHeight="1" x14ac:dyDescent="0.4">
      <c r="A57" s="26"/>
      <c r="B57" s="323" t="s">
        <v>103</v>
      </c>
      <c r="C57" s="324"/>
      <c r="D57" s="12">
        <v>10</v>
      </c>
      <c r="E57" s="16" t="s">
        <v>79</v>
      </c>
      <c r="F57" s="72">
        <v>163175</v>
      </c>
      <c r="G57" s="14"/>
      <c r="H57" s="55">
        <f>D57*F57</f>
        <v>1631750</v>
      </c>
    </row>
    <row r="58" spans="1:9" s="3" customFormat="1" ht="47.25" customHeight="1" x14ac:dyDescent="0.4">
      <c r="A58" s="26"/>
      <c r="B58" s="307" t="s">
        <v>247</v>
      </c>
      <c r="C58" s="308"/>
      <c r="D58" s="27">
        <v>10</v>
      </c>
      <c r="E58" s="16" t="s">
        <v>79</v>
      </c>
      <c r="F58" s="73">
        <v>108800</v>
      </c>
      <c r="G58" s="28"/>
      <c r="H58" s="29">
        <f>D58*F58</f>
        <v>1088000</v>
      </c>
    </row>
    <row r="59" spans="1:9" s="3" customFormat="1" ht="51" customHeight="1" x14ac:dyDescent="0.4">
      <c r="A59" s="26"/>
      <c r="B59" s="307" t="s">
        <v>254</v>
      </c>
      <c r="C59" s="308"/>
      <c r="D59" s="27">
        <v>10</v>
      </c>
      <c r="E59" s="16" t="s">
        <v>79</v>
      </c>
      <c r="F59" s="73">
        <v>92500</v>
      </c>
      <c r="G59" s="28"/>
      <c r="H59" s="29">
        <f t="shared" ref="H59" si="3">D59*F59</f>
        <v>925000</v>
      </c>
    </row>
    <row r="60" spans="1:9" s="3" customFormat="1" ht="24" customHeight="1" x14ac:dyDescent="0.4">
      <c r="A60" s="2" t="s">
        <v>80</v>
      </c>
      <c r="B60" s="292" t="s">
        <v>81</v>
      </c>
      <c r="C60" s="292"/>
      <c r="D60" s="292"/>
      <c r="E60" s="292"/>
      <c r="F60" s="124"/>
      <c r="G60" s="119"/>
      <c r="H60" s="63">
        <f>H61</f>
        <v>10890000</v>
      </c>
    </row>
    <row r="61" spans="1:9" s="3" customFormat="1" ht="24" customHeight="1" x14ac:dyDescent="0.4">
      <c r="A61" s="2"/>
      <c r="B61" s="317" t="s">
        <v>237</v>
      </c>
      <c r="C61" s="318"/>
      <c r="D61" s="318"/>
      <c r="E61" s="318"/>
      <c r="F61" s="120"/>
      <c r="G61" s="119"/>
      <c r="H61" s="63">
        <f>SUM(H62:H63)</f>
        <v>10890000</v>
      </c>
    </row>
    <row r="62" spans="1:9" s="3" customFormat="1" ht="51" customHeight="1" x14ac:dyDescent="0.4">
      <c r="A62" s="26"/>
      <c r="B62" s="382" t="s">
        <v>213</v>
      </c>
      <c r="C62" s="382"/>
      <c r="D62" s="213">
        <v>220</v>
      </c>
      <c r="E62" s="126" t="s">
        <v>82</v>
      </c>
      <c r="F62" s="123">
        <v>33000</v>
      </c>
      <c r="G62" s="117"/>
      <c r="H62" s="43">
        <f>D62*F62</f>
        <v>7260000</v>
      </c>
    </row>
    <row r="63" spans="1:9" s="3" customFormat="1" ht="48" customHeight="1" x14ac:dyDescent="0.4">
      <c r="A63" s="26"/>
      <c r="B63" s="383" t="s">
        <v>214</v>
      </c>
      <c r="C63" s="383"/>
      <c r="D63" s="216">
        <v>220</v>
      </c>
      <c r="E63" s="127" t="s">
        <v>82</v>
      </c>
      <c r="F63" s="123">
        <v>16500</v>
      </c>
      <c r="G63" s="117"/>
      <c r="H63" s="43">
        <f t="shared" ref="H63" si="4">D63*F63</f>
        <v>3630000</v>
      </c>
    </row>
    <row r="64" spans="1:9" s="3" customFormat="1" ht="24" customHeight="1" x14ac:dyDescent="0.4">
      <c r="A64" s="44" t="s">
        <v>93</v>
      </c>
      <c r="B64" s="315" t="s">
        <v>94</v>
      </c>
      <c r="C64" s="315"/>
      <c r="D64" s="315"/>
      <c r="E64" s="315"/>
      <c r="F64" s="70"/>
      <c r="G64" s="18"/>
      <c r="H64" s="63">
        <f>H66+H74</f>
        <v>6755000</v>
      </c>
    </row>
    <row r="65" spans="1:9" s="3" customFormat="1" ht="24" customHeight="1" x14ac:dyDescent="0.4">
      <c r="A65" s="44" t="s">
        <v>95</v>
      </c>
      <c r="B65" s="315" t="s">
        <v>96</v>
      </c>
      <c r="C65" s="315"/>
      <c r="D65" s="315"/>
      <c r="E65" s="315"/>
      <c r="F65" s="70"/>
      <c r="G65" s="18"/>
      <c r="H65" s="63">
        <f>H66+H74</f>
        <v>6755000</v>
      </c>
    </row>
    <row r="66" spans="1:9" s="3" customFormat="1" ht="24" customHeight="1" x14ac:dyDescent="0.4">
      <c r="A66" s="44" t="s">
        <v>97</v>
      </c>
      <c r="B66" s="315" t="s">
        <v>98</v>
      </c>
      <c r="C66" s="315"/>
      <c r="D66" s="315"/>
      <c r="E66" s="315"/>
      <c r="F66" s="70"/>
      <c r="G66" s="18"/>
      <c r="H66" s="63">
        <f>SUM(H67:H73)</f>
        <v>5155000</v>
      </c>
    </row>
    <row r="67" spans="1:9" s="3" customFormat="1" ht="51" customHeight="1" x14ac:dyDescent="0.4">
      <c r="A67" s="26"/>
      <c r="B67" s="308" t="s">
        <v>132</v>
      </c>
      <c r="C67" s="308"/>
      <c r="D67" s="64">
        <v>2</v>
      </c>
      <c r="E67" s="68" t="s">
        <v>99</v>
      </c>
      <c r="F67" s="71">
        <v>130000</v>
      </c>
      <c r="G67" s="14"/>
      <c r="H67" s="43">
        <f>D67*F67</f>
        <v>260000</v>
      </c>
    </row>
    <row r="68" spans="1:9" s="3" customFormat="1" ht="66.75" customHeight="1" x14ac:dyDescent="0.4">
      <c r="A68" s="26"/>
      <c r="B68" s="308" t="s">
        <v>104</v>
      </c>
      <c r="C68" s="308"/>
      <c r="D68" s="27">
        <v>3</v>
      </c>
      <c r="E68" s="66" t="s">
        <v>99</v>
      </c>
      <c r="F68" s="69">
        <v>135000</v>
      </c>
      <c r="G68" s="14"/>
      <c r="H68" s="43">
        <f t="shared" ref="H68:H73" si="5">D68*F68</f>
        <v>405000</v>
      </c>
    </row>
    <row r="69" spans="1:9" s="3" customFormat="1" ht="51" customHeight="1" x14ac:dyDescent="0.4">
      <c r="A69" s="26"/>
      <c r="B69" s="391" t="s">
        <v>133</v>
      </c>
      <c r="C69" s="364"/>
      <c r="D69" s="27">
        <v>1</v>
      </c>
      <c r="E69" s="66" t="s">
        <v>99</v>
      </c>
      <c r="F69" s="69">
        <v>245000</v>
      </c>
      <c r="G69" s="14"/>
      <c r="H69" s="43">
        <f t="shared" si="5"/>
        <v>245000</v>
      </c>
    </row>
    <row r="70" spans="1:9" s="3" customFormat="1" ht="51" customHeight="1" x14ac:dyDescent="0.4">
      <c r="A70" s="26"/>
      <c r="B70" s="300" t="s">
        <v>9</v>
      </c>
      <c r="C70" s="300"/>
      <c r="D70" s="27">
        <v>1</v>
      </c>
      <c r="E70" s="66" t="s">
        <v>99</v>
      </c>
      <c r="F70" s="69">
        <v>185000</v>
      </c>
      <c r="G70" s="14"/>
      <c r="H70" s="43">
        <f t="shared" si="5"/>
        <v>185000</v>
      </c>
    </row>
    <row r="71" spans="1:9" s="3" customFormat="1" ht="65.25" customHeight="1" x14ac:dyDescent="0.4">
      <c r="A71" s="26"/>
      <c r="B71" s="308" t="s">
        <v>135</v>
      </c>
      <c r="C71" s="308"/>
      <c r="D71" s="27">
        <v>1</v>
      </c>
      <c r="E71" s="66" t="s">
        <v>99</v>
      </c>
      <c r="F71" s="69">
        <v>160000</v>
      </c>
      <c r="G71" s="14"/>
      <c r="H71" s="43">
        <f t="shared" si="5"/>
        <v>160000</v>
      </c>
    </row>
    <row r="72" spans="1:9" s="3" customFormat="1" ht="63.75" customHeight="1" x14ac:dyDescent="0.4">
      <c r="A72" s="26"/>
      <c r="B72" s="308" t="s">
        <v>136</v>
      </c>
      <c r="C72" s="308"/>
      <c r="D72" s="27">
        <v>1</v>
      </c>
      <c r="E72" s="66" t="s">
        <v>99</v>
      </c>
      <c r="F72" s="69">
        <v>160000</v>
      </c>
      <c r="G72" s="14"/>
      <c r="H72" s="43">
        <f t="shared" si="5"/>
        <v>160000</v>
      </c>
    </row>
    <row r="73" spans="1:9" s="3" customFormat="1" ht="51" customHeight="1" x14ac:dyDescent="0.4">
      <c r="A73" s="26"/>
      <c r="B73" s="300" t="s">
        <v>257</v>
      </c>
      <c r="C73" s="300"/>
      <c r="D73" s="236">
        <v>22</v>
      </c>
      <c r="E73" s="237" t="s">
        <v>230</v>
      </c>
      <c r="F73" s="69">
        <v>170000</v>
      </c>
      <c r="G73" s="14"/>
      <c r="H73" s="43">
        <f t="shared" si="5"/>
        <v>3740000</v>
      </c>
    </row>
    <row r="74" spans="1:9" s="3" customFormat="1" ht="24" customHeight="1" x14ac:dyDescent="0.4">
      <c r="A74" s="2" t="s">
        <v>215</v>
      </c>
      <c r="B74" s="315" t="s">
        <v>216</v>
      </c>
      <c r="C74" s="315"/>
      <c r="D74" s="64"/>
      <c r="E74" s="84"/>
      <c r="F74" s="80"/>
      <c r="G74" s="65"/>
      <c r="H74" s="63">
        <f>SUM(H75:H76)</f>
        <v>1600000</v>
      </c>
    </row>
    <row r="75" spans="1:9" s="3" customFormat="1" ht="33.75" customHeight="1" x14ac:dyDescent="0.4">
      <c r="A75" s="2"/>
      <c r="B75" s="308" t="s">
        <v>227</v>
      </c>
      <c r="C75" s="308"/>
      <c r="D75" s="101">
        <v>2</v>
      </c>
      <c r="E75" s="67" t="s">
        <v>228</v>
      </c>
      <c r="F75" s="79">
        <v>430000</v>
      </c>
      <c r="G75" s="65"/>
      <c r="H75" s="43">
        <f>D75*F75</f>
        <v>860000</v>
      </c>
    </row>
    <row r="76" spans="1:9" s="3" customFormat="1" ht="66" customHeight="1" x14ac:dyDescent="0.4">
      <c r="A76" s="2"/>
      <c r="B76" s="307" t="s">
        <v>229</v>
      </c>
      <c r="C76" s="308"/>
      <c r="D76" s="27">
        <v>4</v>
      </c>
      <c r="E76" s="66" t="s">
        <v>99</v>
      </c>
      <c r="F76" s="69">
        <v>185000</v>
      </c>
      <c r="G76" s="14"/>
      <c r="H76" s="43">
        <f>D76*F76</f>
        <v>740000</v>
      </c>
    </row>
    <row r="77" spans="1:9" s="3" customFormat="1" ht="24" customHeight="1" x14ac:dyDescent="0.4">
      <c r="A77" s="199" t="s">
        <v>266</v>
      </c>
      <c r="B77" s="387" t="s">
        <v>268</v>
      </c>
      <c r="C77" s="388"/>
      <c r="D77" s="193"/>
      <c r="E77" s="194"/>
      <c r="F77" s="195"/>
      <c r="G77" s="196"/>
      <c r="H77" s="206">
        <f>H78</f>
        <v>2752150</v>
      </c>
    </row>
    <row r="78" spans="1:9" s="3" customFormat="1" ht="24" customHeight="1" x14ac:dyDescent="0.4">
      <c r="A78" s="62" t="s">
        <v>267</v>
      </c>
      <c r="B78" s="197"/>
      <c r="C78" s="198"/>
      <c r="D78" s="200"/>
      <c r="E78" s="201"/>
      <c r="F78" s="202"/>
      <c r="G78" s="203"/>
      <c r="H78" s="206">
        <f>SUM(H79)</f>
        <v>2752150</v>
      </c>
    </row>
    <row r="79" spans="1:9" s="3" customFormat="1" ht="36.75" customHeight="1" x14ac:dyDescent="0.4">
      <c r="A79" s="102"/>
      <c r="B79" s="389" t="s">
        <v>277</v>
      </c>
      <c r="C79" s="390"/>
      <c r="D79" s="238">
        <v>1</v>
      </c>
      <c r="E79" s="239" t="s">
        <v>269</v>
      </c>
      <c r="F79" s="73">
        <v>2752150</v>
      </c>
      <c r="G79" s="28"/>
      <c r="H79" s="205">
        <f>D79*F79</f>
        <v>2752150</v>
      </c>
    </row>
    <row r="80" spans="1:9" s="3" customFormat="1" ht="24" customHeight="1" x14ac:dyDescent="0.4">
      <c r="A80" s="172"/>
      <c r="B80" s="179"/>
      <c r="C80" s="180"/>
      <c r="D80" s="175"/>
      <c r="E80" s="175"/>
      <c r="F80" s="385" t="s">
        <v>5</v>
      </c>
      <c r="G80" s="386"/>
      <c r="H80" s="185">
        <f>H36</f>
        <v>60563000</v>
      </c>
      <c r="I80" s="141">
        <v>60563000</v>
      </c>
    </row>
    <row r="83" spans="8:8" x14ac:dyDescent="0.4">
      <c r="H83" s="170">
        <f>I80-H80</f>
        <v>0</v>
      </c>
    </row>
  </sheetData>
  <mergeCells count="114">
    <mergeCell ref="B72:C72"/>
    <mergeCell ref="B73:C73"/>
    <mergeCell ref="B74:C74"/>
    <mergeCell ref="B75:C75"/>
    <mergeCell ref="B76:C76"/>
    <mergeCell ref="F80:G80"/>
    <mergeCell ref="B77:C77"/>
    <mergeCell ref="B79:C79"/>
    <mergeCell ref="B66:E66"/>
    <mergeCell ref="B67:C67"/>
    <mergeCell ref="B68:C68"/>
    <mergeCell ref="B69:C69"/>
    <mergeCell ref="B70:C70"/>
    <mergeCell ref="B71:C71"/>
    <mergeCell ref="B60:E60"/>
    <mergeCell ref="B61:E61"/>
    <mergeCell ref="B62:C62"/>
    <mergeCell ref="B63:C63"/>
    <mergeCell ref="B64:E64"/>
    <mergeCell ref="B65:E65"/>
    <mergeCell ref="B54:C54"/>
    <mergeCell ref="B55:C55"/>
    <mergeCell ref="B56:C56"/>
    <mergeCell ref="B57:C57"/>
    <mergeCell ref="B58:C58"/>
    <mergeCell ref="B59:C59"/>
    <mergeCell ref="B48:E48"/>
    <mergeCell ref="B49:C49"/>
    <mergeCell ref="B50:C50"/>
    <mergeCell ref="B51:C51"/>
    <mergeCell ref="B52:C52"/>
    <mergeCell ref="B53:G53"/>
    <mergeCell ref="B42:C42"/>
    <mergeCell ref="B43:C43"/>
    <mergeCell ref="B44:C44"/>
    <mergeCell ref="B45:G45"/>
    <mergeCell ref="B46:C46"/>
    <mergeCell ref="B47:C47"/>
    <mergeCell ref="B36:G36"/>
    <mergeCell ref="B37:G37"/>
    <mergeCell ref="B38:G38"/>
    <mergeCell ref="B39:G39"/>
    <mergeCell ref="B40:G40"/>
    <mergeCell ref="B41:G41"/>
    <mergeCell ref="A31:B31"/>
    <mergeCell ref="C31:H31"/>
    <mergeCell ref="A32:B32"/>
    <mergeCell ref="C32:H32"/>
    <mergeCell ref="A33:H33"/>
    <mergeCell ref="A34:A35"/>
    <mergeCell ref="B34:C35"/>
    <mergeCell ref="D34:G34"/>
    <mergeCell ref="H34:H35"/>
    <mergeCell ref="A28:B28"/>
    <mergeCell ref="C28:H28"/>
    <mergeCell ref="A29:B29"/>
    <mergeCell ref="C29:H29"/>
    <mergeCell ref="A30:B30"/>
    <mergeCell ref="C30:H30"/>
    <mergeCell ref="A25:B25"/>
    <mergeCell ref="C25:F25"/>
    <mergeCell ref="G25:H25"/>
    <mergeCell ref="A26:H26"/>
    <mergeCell ref="A27:B27"/>
    <mergeCell ref="C27:H27"/>
    <mergeCell ref="A23:B23"/>
    <mergeCell ref="C23:F23"/>
    <mergeCell ref="G23:H23"/>
    <mergeCell ref="A24:B24"/>
    <mergeCell ref="C24:F24"/>
    <mergeCell ref="G24:H24"/>
    <mergeCell ref="A20:H20"/>
    <mergeCell ref="A21:B21"/>
    <mergeCell ref="C21:F21"/>
    <mergeCell ref="G21:H21"/>
    <mergeCell ref="A22:B22"/>
    <mergeCell ref="C22:F22"/>
    <mergeCell ref="G22:H22"/>
    <mergeCell ref="A17:B17"/>
    <mergeCell ref="C17:H17"/>
    <mergeCell ref="A18:B18"/>
    <mergeCell ref="C18:H18"/>
    <mergeCell ref="A19:B19"/>
    <mergeCell ref="C19:H19"/>
    <mergeCell ref="A14:B14"/>
    <mergeCell ref="C14:H14"/>
    <mergeCell ref="A15:B15"/>
    <mergeCell ref="C15:H15"/>
    <mergeCell ref="A16:B16"/>
    <mergeCell ref="C16:H16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1:E1"/>
    <mergeCell ref="F1:H1"/>
    <mergeCell ref="A2:H2"/>
    <mergeCell ref="A3:H3"/>
    <mergeCell ref="A4:B4"/>
    <mergeCell ref="C4:H4"/>
  </mergeCells>
  <pageMargins left="0.70866141732283472" right="0.11811023622047245" top="0.35433070866141736" bottom="0.55118110236220474" header="0.31496062992125984" footer="0.31496062992125984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C15A-2B69-4C6F-BA19-F82267A17470}">
  <dimension ref="A1:K45"/>
  <sheetViews>
    <sheetView tabSelected="1" topLeftCell="A25" workbookViewId="0">
      <selection activeCell="J13" sqref="J13"/>
    </sheetView>
  </sheetViews>
  <sheetFormatPr defaultRowHeight="13.15" x14ac:dyDescent="0.4"/>
  <cols>
    <col min="2" max="2" width="35.640625" customWidth="1"/>
    <col min="3" max="3" width="21.640625" customWidth="1"/>
    <col min="6" max="6" width="10.5" bestFit="1" customWidth="1"/>
    <col min="7" max="7" width="12" customWidth="1"/>
    <col min="8" max="8" width="13.640625" customWidth="1"/>
    <col min="9" max="10" width="14.640625" customWidth="1"/>
    <col min="11" max="11" width="15.640625" customWidth="1"/>
  </cols>
  <sheetData>
    <row r="1" spans="1:11" ht="21" customHeight="1" x14ac:dyDescent="0.4">
      <c r="A1" s="392" t="s">
        <v>156</v>
      </c>
      <c r="B1" s="392" t="s">
        <v>165</v>
      </c>
      <c r="C1" s="394" t="s">
        <v>166</v>
      </c>
      <c r="D1" s="395"/>
      <c r="E1" s="395"/>
      <c r="F1" s="395"/>
      <c r="G1" s="395"/>
      <c r="H1" s="395"/>
      <c r="I1" s="395"/>
      <c r="J1" s="396"/>
      <c r="K1" s="392" t="s">
        <v>203</v>
      </c>
    </row>
    <row r="2" spans="1:11" ht="21" customHeight="1" x14ac:dyDescent="0.4">
      <c r="A2" s="393"/>
      <c r="B2" s="393" t="s">
        <v>165</v>
      </c>
      <c r="C2" s="82" t="s">
        <v>157</v>
      </c>
      <c r="D2" s="82" t="s">
        <v>158</v>
      </c>
      <c r="E2" s="82" t="s">
        <v>159</v>
      </c>
      <c r="F2" s="82" t="s">
        <v>160</v>
      </c>
      <c r="G2" s="82" t="s">
        <v>161</v>
      </c>
      <c r="H2" s="82" t="s">
        <v>162</v>
      </c>
      <c r="I2" s="82" t="s">
        <v>163</v>
      </c>
      <c r="J2" s="82" t="s">
        <v>164</v>
      </c>
      <c r="K2" s="393" t="s">
        <v>164</v>
      </c>
    </row>
    <row r="3" spans="1:11" ht="21" customHeight="1" x14ac:dyDescent="0.4">
      <c r="A3" s="30">
        <v>1</v>
      </c>
      <c r="B3" s="81" t="s">
        <v>167</v>
      </c>
      <c r="C3" s="30">
        <v>36</v>
      </c>
      <c r="D3" s="30"/>
      <c r="E3" s="30"/>
      <c r="F3" s="30">
        <v>12</v>
      </c>
      <c r="G3" s="30">
        <v>23</v>
      </c>
      <c r="H3" s="30"/>
      <c r="I3" s="30"/>
      <c r="J3" s="30">
        <v>12</v>
      </c>
      <c r="K3" s="30">
        <f>SUM(C3:J3)</f>
        <v>83</v>
      </c>
    </row>
    <row r="4" spans="1:11" ht="21" customHeight="1" x14ac:dyDescent="0.4">
      <c r="A4" s="30">
        <v>2</v>
      </c>
      <c r="B4" s="81" t="s">
        <v>168</v>
      </c>
      <c r="C4" s="30">
        <v>36</v>
      </c>
      <c r="D4" s="30"/>
      <c r="E4" s="30"/>
      <c r="F4" s="30">
        <v>36</v>
      </c>
      <c r="G4" s="30"/>
      <c r="H4" s="30"/>
      <c r="I4" s="30">
        <v>60</v>
      </c>
      <c r="J4" s="30">
        <v>50</v>
      </c>
      <c r="K4" s="30">
        <f t="shared" ref="K4:K44" si="0">SUM(C4:J4)</f>
        <v>182</v>
      </c>
    </row>
    <row r="5" spans="1:11" ht="21" customHeight="1" x14ac:dyDescent="0.4">
      <c r="A5" s="30">
        <v>3</v>
      </c>
      <c r="B5" s="81" t="s">
        <v>169</v>
      </c>
      <c r="C5" s="30"/>
      <c r="D5" s="30"/>
      <c r="E5" s="30"/>
      <c r="F5" s="30"/>
      <c r="G5" s="30"/>
      <c r="H5" s="30"/>
      <c r="I5" s="30">
        <v>36</v>
      </c>
      <c r="J5" s="30">
        <v>2</v>
      </c>
      <c r="K5" s="30">
        <f t="shared" si="0"/>
        <v>38</v>
      </c>
    </row>
    <row r="6" spans="1:11" ht="21" customHeight="1" x14ac:dyDescent="0.4">
      <c r="A6" s="30">
        <v>4</v>
      </c>
      <c r="B6" s="81" t="s">
        <v>170</v>
      </c>
      <c r="C6" s="30"/>
      <c r="D6" s="30"/>
      <c r="E6" s="30"/>
      <c r="F6" s="30"/>
      <c r="G6" s="30"/>
      <c r="H6" s="30"/>
      <c r="I6" s="30">
        <v>5</v>
      </c>
      <c r="J6" s="30"/>
      <c r="K6" s="30">
        <f t="shared" si="0"/>
        <v>5</v>
      </c>
    </row>
    <row r="7" spans="1:11" ht="21" customHeight="1" x14ac:dyDescent="0.4">
      <c r="A7" s="30">
        <v>5</v>
      </c>
      <c r="B7" s="81" t="s">
        <v>171</v>
      </c>
      <c r="C7" s="30"/>
      <c r="D7" s="30"/>
      <c r="E7" s="30"/>
      <c r="F7" s="30"/>
      <c r="G7" s="30"/>
      <c r="H7" s="30"/>
      <c r="I7" s="30">
        <v>5</v>
      </c>
      <c r="J7" s="30"/>
      <c r="K7" s="30">
        <f t="shared" si="0"/>
        <v>5</v>
      </c>
    </row>
    <row r="8" spans="1:11" ht="21" customHeight="1" x14ac:dyDescent="0.4">
      <c r="A8" s="30">
        <v>6</v>
      </c>
      <c r="B8" s="81" t="s">
        <v>172</v>
      </c>
      <c r="C8" s="30"/>
      <c r="D8" s="30"/>
      <c r="E8" s="30"/>
      <c r="F8" s="30"/>
      <c r="G8" s="30"/>
      <c r="H8" s="30"/>
      <c r="I8" s="30">
        <v>5</v>
      </c>
      <c r="J8" s="30"/>
      <c r="K8" s="30">
        <f t="shared" si="0"/>
        <v>5</v>
      </c>
    </row>
    <row r="9" spans="1:11" ht="21" customHeight="1" x14ac:dyDescent="0.4">
      <c r="A9" s="30">
        <v>7</v>
      </c>
      <c r="B9" s="81" t="s">
        <v>173</v>
      </c>
      <c r="C9" s="30"/>
      <c r="D9" s="30"/>
      <c r="E9" s="30"/>
      <c r="F9" s="30"/>
      <c r="G9" s="30"/>
      <c r="H9" s="30"/>
      <c r="I9" s="30">
        <v>3</v>
      </c>
      <c r="J9" s="30"/>
      <c r="K9" s="30">
        <f t="shared" si="0"/>
        <v>3</v>
      </c>
    </row>
    <row r="10" spans="1:11" ht="21" customHeight="1" x14ac:dyDescent="0.4">
      <c r="A10" s="30">
        <v>8</v>
      </c>
      <c r="B10" s="81" t="s">
        <v>174</v>
      </c>
      <c r="C10" s="30"/>
      <c r="D10" s="30"/>
      <c r="E10" s="30"/>
      <c r="F10" s="30"/>
      <c r="G10" s="30"/>
      <c r="H10" s="30"/>
      <c r="I10" s="30">
        <v>3</v>
      </c>
      <c r="J10" s="30"/>
      <c r="K10" s="30">
        <f t="shared" si="0"/>
        <v>3</v>
      </c>
    </row>
    <row r="11" spans="1:11" ht="21" customHeight="1" x14ac:dyDescent="0.4">
      <c r="A11" s="30">
        <v>9</v>
      </c>
      <c r="B11" s="81" t="s">
        <v>175</v>
      </c>
      <c r="C11" s="30"/>
      <c r="D11" s="30"/>
      <c r="E11" s="30"/>
      <c r="F11" s="30"/>
      <c r="G11" s="30"/>
      <c r="H11" s="30"/>
      <c r="I11" s="30">
        <v>5</v>
      </c>
      <c r="J11" s="30"/>
      <c r="K11" s="30">
        <f t="shared" si="0"/>
        <v>5</v>
      </c>
    </row>
    <row r="12" spans="1:11" ht="21" customHeight="1" x14ac:dyDescent="0.4">
      <c r="A12" s="30">
        <v>10</v>
      </c>
      <c r="B12" s="81" t="s">
        <v>176</v>
      </c>
      <c r="C12" s="30">
        <v>5</v>
      </c>
      <c r="D12" s="30">
        <v>11</v>
      </c>
      <c r="E12" s="30">
        <v>9</v>
      </c>
      <c r="F12" s="30">
        <v>8</v>
      </c>
      <c r="G12" s="30">
        <v>7</v>
      </c>
      <c r="H12" s="30">
        <v>7</v>
      </c>
      <c r="I12" s="30">
        <v>10</v>
      </c>
      <c r="J12" s="30">
        <v>5</v>
      </c>
      <c r="K12" s="30">
        <f t="shared" si="0"/>
        <v>62</v>
      </c>
    </row>
    <row r="13" spans="1:11" ht="21" customHeight="1" x14ac:dyDescent="0.4">
      <c r="A13" s="30">
        <v>11</v>
      </c>
      <c r="B13" s="81" t="s">
        <v>177</v>
      </c>
      <c r="C13" s="30">
        <v>5</v>
      </c>
      <c r="D13" s="30">
        <v>10</v>
      </c>
      <c r="E13" s="30">
        <v>8</v>
      </c>
      <c r="F13" s="30">
        <v>8</v>
      </c>
      <c r="G13" s="30">
        <v>7</v>
      </c>
      <c r="H13" s="30">
        <v>7</v>
      </c>
      <c r="I13" s="30">
        <v>10</v>
      </c>
      <c r="J13" s="30">
        <v>5</v>
      </c>
      <c r="K13" s="30">
        <f t="shared" si="0"/>
        <v>60</v>
      </c>
    </row>
    <row r="14" spans="1:11" ht="21" customHeight="1" x14ac:dyDescent="0.4">
      <c r="A14" s="30">
        <v>12</v>
      </c>
      <c r="B14" s="81" t="s">
        <v>204</v>
      </c>
      <c r="C14" s="30">
        <v>5202</v>
      </c>
      <c r="D14" s="30"/>
      <c r="E14" s="30"/>
      <c r="F14" s="30">
        <v>11405</v>
      </c>
      <c r="G14" s="30"/>
      <c r="H14" s="30">
        <v>4310</v>
      </c>
      <c r="I14" s="30">
        <v>7140</v>
      </c>
      <c r="J14" s="30">
        <v>6941</v>
      </c>
      <c r="K14" s="30">
        <f t="shared" si="0"/>
        <v>34998</v>
      </c>
    </row>
    <row r="15" spans="1:11" ht="21" customHeight="1" x14ac:dyDescent="0.4">
      <c r="A15" s="30">
        <v>13</v>
      </c>
      <c r="B15" s="81" t="s">
        <v>205</v>
      </c>
      <c r="C15" s="30">
        <v>14</v>
      </c>
      <c r="D15" s="30"/>
      <c r="E15" s="30"/>
      <c r="F15" s="30"/>
      <c r="G15" s="30"/>
      <c r="H15" s="30"/>
      <c r="I15" s="30">
        <v>60</v>
      </c>
      <c r="J15" s="30"/>
      <c r="K15" s="30">
        <f t="shared" si="0"/>
        <v>74</v>
      </c>
    </row>
    <row r="16" spans="1:11" ht="21" customHeight="1" x14ac:dyDescent="0.4">
      <c r="A16" s="30">
        <v>14</v>
      </c>
      <c r="B16" s="81" t="s">
        <v>206</v>
      </c>
      <c r="C16" s="30">
        <v>12</v>
      </c>
      <c r="D16" s="30"/>
      <c r="E16" s="30"/>
      <c r="F16" s="30"/>
      <c r="G16" s="30"/>
      <c r="H16" s="30"/>
      <c r="I16" s="30"/>
      <c r="J16" s="30"/>
      <c r="K16" s="30">
        <f t="shared" si="0"/>
        <v>12</v>
      </c>
    </row>
    <row r="17" spans="1:11" ht="21" customHeight="1" x14ac:dyDescent="0.4">
      <c r="A17" s="30">
        <v>15</v>
      </c>
      <c r="B17" s="81" t="s">
        <v>185</v>
      </c>
      <c r="C17" s="30"/>
      <c r="D17" s="30"/>
      <c r="E17" s="30"/>
      <c r="F17" s="30"/>
      <c r="G17" s="30"/>
      <c r="H17" s="30"/>
      <c r="I17" s="30"/>
      <c r="J17" s="30">
        <v>50</v>
      </c>
      <c r="K17" s="30">
        <f t="shared" si="0"/>
        <v>50</v>
      </c>
    </row>
    <row r="18" spans="1:11" ht="21" customHeight="1" x14ac:dyDescent="0.4">
      <c r="A18" s="30">
        <v>16</v>
      </c>
      <c r="B18" s="81" t="s">
        <v>179</v>
      </c>
      <c r="C18" s="30">
        <v>2</v>
      </c>
      <c r="D18" s="30">
        <v>2</v>
      </c>
      <c r="E18" s="30">
        <v>2</v>
      </c>
      <c r="F18" s="30"/>
      <c r="G18" s="30">
        <v>1</v>
      </c>
      <c r="H18" s="30">
        <v>4</v>
      </c>
      <c r="I18" s="30">
        <v>3</v>
      </c>
      <c r="J18" s="30">
        <v>4</v>
      </c>
      <c r="K18" s="30">
        <f t="shared" si="0"/>
        <v>18</v>
      </c>
    </row>
    <row r="19" spans="1:11" ht="21" customHeight="1" x14ac:dyDescent="0.4">
      <c r="A19" s="30">
        <v>17</v>
      </c>
      <c r="B19" s="81" t="s">
        <v>180</v>
      </c>
      <c r="C19" s="30">
        <v>2</v>
      </c>
      <c r="D19" s="30">
        <v>3</v>
      </c>
      <c r="E19" s="30">
        <v>2</v>
      </c>
      <c r="F19" s="30"/>
      <c r="G19" s="30"/>
      <c r="H19" s="30">
        <v>3</v>
      </c>
      <c r="I19" s="30">
        <v>3</v>
      </c>
      <c r="J19" s="30">
        <v>4</v>
      </c>
      <c r="K19" s="30">
        <f t="shared" si="0"/>
        <v>17</v>
      </c>
    </row>
    <row r="20" spans="1:11" ht="21" customHeight="1" x14ac:dyDescent="0.4">
      <c r="A20" s="30">
        <v>18</v>
      </c>
      <c r="B20" s="81" t="s">
        <v>178</v>
      </c>
      <c r="C20" s="30">
        <v>2</v>
      </c>
      <c r="D20" s="30">
        <v>2</v>
      </c>
      <c r="E20" s="30">
        <v>1</v>
      </c>
      <c r="F20" s="30"/>
      <c r="G20" s="30">
        <v>2</v>
      </c>
      <c r="H20" s="30">
        <v>3</v>
      </c>
      <c r="I20" s="30">
        <v>4</v>
      </c>
      <c r="J20" s="30">
        <v>4</v>
      </c>
      <c r="K20" s="30">
        <f t="shared" si="0"/>
        <v>18</v>
      </c>
    </row>
    <row r="21" spans="1:11" ht="21" customHeight="1" x14ac:dyDescent="0.4">
      <c r="A21" s="30">
        <v>19</v>
      </c>
      <c r="B21" s="81" t="s">
        <v>181</v>
      </c>
      <c r="C21" s="30"/>
      <c r="D21" s="30"/>
      <c r="E21" s="30"/>
      <c r="F21" s="30">
        <v>10</v>
      </c>
      <c r="G21" s="30"/>
      <c r="H21" s="30">
        <v>12</v>
      </c>
      <c r="I21" s="30"/>
      <c r="J21" s="30"/>
      <c r="K21" s="30">
        <f t="shared" si="0"/>
        <v>22</v>
      </c>
    </row>
    <row r="22" spans="1:11" ht="21" customHeight="1" x14ac:dyDescent="0.4">
      <c r="A22" s="30">
        <v>20</v>
      </c>
      <c r="B22" s="81" t="s">
        <v>182</v>
      </c>
      <c r="C22" s="30"/>
      <c r="D22" s="30"/>
      <c r="E22" s="30"/>
      <c r="F22" s="30">
        <v>3</v>
      </c>
      <c r="G22" s="30"/>
      <c r="H22" s="30">
        <v>3</v>
      </c>
      <c r="I22" s="30"/>
      <c r="J22" s="30"/>
      <c r="K22" s="30">
        <f t="shared" si="0"/>
        <v>6</v>
      </c>
    </row>
    <row r="23" spans="1:11" ht="21" customHeight="1" x14ac:dyDescent="0.4">
      <c r="A23" s="30">
        <v>21</v>
      </c>
      <c r="B23" s="81" t="s">
        <v>183</v>
      </c>
      <c r="C23" s="30"/>
      <c r="D23" s="30"/>
      <c r="E23" s="30"/>
      <c r="F23" s="30">
        <v>3</v>
      </c>
      <c r="G23" s="30"/>
      <c r="H23" s="30">
        <v>3</v>
      </c>
      <c r="I23" s="30"/>
      <c r="J23" s="30"/>
      <c r="K23" s="30">
        <f t="shared" si="0"/>
        <v>6</v>
      </c>
    </row>
    <row r="24" spans="1:11" ht="21" customHeight="1" x14ac:dyDescent="0.4">
      <c r="A24" s="30">
        <v>22</v>
      </c>
      <c r="B24" s="81" t="s">
        <v>184</v>
      </c>
      <c r="C24" s="30"/>
      <c r="D24" s="30"/>
      <c r="E24" s="30"/>
      <c r="F24" s="30">
        <v>3</v>
      </c>
      <c r="G24" s="30"/>
      <c r="H24" s="30">
        <v>3</v>
      </c>
      <c r="I24" s="30"/>
      <c r="J24" s="30"/>
      <c r="K24" s="30">
        <f t="shared" si="0"/>
        <v>6</v>
      </c>
    </row>
    <row r="25" spans="1:11" ht="21" customHeight="1" x14ac:dyDescent="0.4">
      <c r="A25" s="30">
        <v>23</v>
      </c>
      <c r="B25" s="81" t="s">
        <v>186</v>
      </c>
      <c r="C25" s="30">
        <v>2</v>
      </c>
      <c r="D25" s="30"/>
      <c r="E25" s="30"/>
      <c r="F25" s="30"/>
      <c r="G25" s="30"/>
      <c r="H25" s="30"/>
      <c r="I25" s="30"/>
      <c r="J25" s="30"/>
      <c r="K25" s="30">
        <f t="shared" si="0"/>
        <v>2</v>
      </c>
    </row>
    <row r="26" spans="1:11" ht="21" customHeight="1" x14ac:dyDescent="0.4">
      <c r="A26" s="30">
        <v>24</v>
      </c>
      <c r="B26" s="81" t="s">
        <v>187</v>
      </c>
      <c r="C26" s="30">
        <v>80</v>
      </c>
      <c r="D26" s="30"/>
      <c r="E26" s="30"/>
      <c r="F26" s="30"/>
      <c r="G26" s="30"/>
      <c r="H26" s="30"/>
      <c r="I26" s="30"/>
      <c r="J26" s="30"/>
      <c r="K26" s="30">
        <f t="shared" si="0"/>
        <v>80</v>
      </c>
    </row>
    <row r="27" spans="1:11" ht="21" customHeight="1" x14ac:dyDescent="0.4">
      <c r="A27" s="30">
        <v>25</v>
      </c>
      <c r="B27" s="81" t="s">
        <v>188</v>
      </c>
      <c r="C27" s="30">
        <v>70</v>
      </c>
      <c r="D27" s="30">
        <v>110</v>
      </c>
      <c r="E27" s="30">
        <v>110</v>
      </c>
      <c r="F27" s="30"/>
      <c r="G27" s="30"/>
      <c r="H27" s="30"/>
      <c r="I27" s="30"/>
      <c r="J27" s="30"/>
      <c r="K27" s="30">
        <f t="shared" si="0"/>
        <v>290</v>
      </c>
    </row>
    <row r="28" spans="1:11" ht="21" customHeight="1" x14ac:dyDescent="0.4">
      <c r="A28" s="30">
        <v>26</v>
      </c>
      <c r="B28" s="81" t="s">
        <v>189</v>
      </c>
      <c r="C28" s="30">
        <v>70</v>
      </c>
      <c r="D28" s="30">
        <v>110</v>
      </c>
      <c r="E28" s="30">
        <v>110</v>
      </c>
      <c r="F28" s="30"/>
      <c r="G28" s="30"/>
      <c r="H28" s="30"/>
      <c r="I28" s="30"/>
      <c r="J28" s="30"/>
      <c r="K28" s="30">
        <f t="shared" si="0"/>
        <v>290</v>
      </c>
    </row>
    <row r="29" spans="1:11" ht="21" customHeight="1" x14ac:dyDescent="0.4">
      <c r="A29" s="30">
        <v>27</v>
      </c>
      <c r="B29" s="81" t="s">
        <v>190</v>
      </c>
      <c r="C29" s="30">
        <v>165</v>
      </c>
      <c r="D29" s="30"/>
      <c r="E29" s="30"/>
      <c r="F29" s="30"/>
      <c r="G29" s="30"/>
      <c r="H29" s="30"/>
      <c r="I29" s="30">
        <v>240</v>
      </c>
      <c r="J29" s="30"/>
      <c r="K29" s="30">
        <f t="shared" si="0"/>
        <v>405</v>
      </c>
    </row>
    <row r="30" spans="1:11" ht="21" customHeight="1" x14ac:dyDescent="0.4">
      <c r="A30" s="30">
        <v>28</v>
      </c>
      <c r="B30" s="81" t="s">
        <v>191</v>
      </c>
      <c r="C30" s="30">
        <v>80</v>
      </c>
      <c r="D30" s="30"/>
      <c r="E30" s="30"/>
      <c r="F30" s="30"/>
      <c r="G30" s="30"/>
      <c r="H30" s="30"/>
      <c r="I30" s="30">
        <v>110</v>
      </c>
      <c r="J30" s="30">
        <v>110</v>
      </c>
      <c r="K30" s="30">
        <f t="shared" si="0"/>
        <v>300</v>
      </c>
    </row>
    <row r="31" spans="1:11" ht="21" customHeight="1" x14ac:dyDescent="0.4">
      <c r="A31" s="30">
        <v>29</v>
      </c>
      <c r="B31" s="81" t="s">
        <v>192</v>
      </c>
      <c r="C31" s="30">
        <v>1</v>
      </c>
      <c r="D31" s="30"/>
      <c r="E31" s="30"/>
      <c r="F31" s="30"/>
      <c r="G31" s="30"/>
      <c r="H31" s="30"/>
      <c r="I31" s="30"/>
      <c r="J31" s="30"/>
      <c r="K31" s="30">
        <f t="shared" si="0"/>
        <v>1</v>
      </c>
    </row>
    <row r="32" spans="1:11" ht="21" customHeight="1" x14ac:dyDescent="0.4">
      <c r="A32" s="30">
        <v>30</v>
      </c>
      <c r="B32" s="81" t="s">
        <v>202</v>
      </c>
      <c r="C32" s="30"/>
      <c r="D32" s="30"/>
      <c r="E32" s="30"/>
      <c r="F32" s="30">
        <v>20</v>
      </c>
      <c r="G32" s="30">
        <v>20</v>
      </c>
      <c r="H32" s="30"/>
      <c r="I32" s="30">
        <v>150</v>
      </c>
      <c r="J32" s="30"/>
      <c r="K32" s="30">
        <f t="shared" si="0"/>
        <v>190</v>
      </c>
    </row>
    <row r="33" spans="1:11" ht="21" customHeight="1" x14ac:dyDescent="0.4">
      <c r="A33" s="30">
        <v>31</v>
      </c>
      <c r="B33" s="81" t="s">
        <v>193</v>
      </c>
      <c r="C33" s="30"/>
      <c r="D33" s="30"/>
      <c r="E33" s="30"/>
      <c r="F33" s="30">
        <v>1</v>
      </c>
      <c r="G33" s="30">
        <v>1</v>
      </c>
      <c r="H33" s="30"/>
      <c r="I33" s="30">
        <v>2</v>
      </c>
      <c r="J33" s="30">
        <v>2</v>
      </c>
      <c r="K33" s="30">
        <f t="shared" si="0"/>
        <v>6</v>
      </c>
    </row>
    <row r="34" spans="1:11" ht="21" customHeight="1" x14ac:dyDescent="0.4">
      <c r="A34" s="30">
        <v>32</v>
      </c>
      <c r="B34" s="81" t="s">
        <v>194</v>
      </c>
      <c r="C34" s="30"/>
      <c r="D34" s="30"/>
      <c r="E34" s="30"/>
      <c r="F34" s="30"/>
      <c r="G34" s="30"/>
      <c r="H34" s="30"/>
      <c r="I34" s="30">
        <v>2</v>
      </c>
      <c r="J34" s="30">
        <v>2</v>
      </c>
      <c r="K34" s="30">
        <f t="shared" si="0"/>
        <v>4</v>
      </c>
    </row>
    <row r="35" spans="1:11" ht="21" customHeight="1" x14ac:dyDescent="0.4">
      <c r="A35" s="30">
        <v>33</v>
      </c>
      <c r="B35" s="81" t="s">
        <v>195</v>
      </c>
      <c r="C35" s="30"/>
      <c r="D35" s="30"/>
      <c r="E35" s="30"/>
      <c r="F35" s="30">
        <v>1</v>
      </c>
      <c r="G35" s="30">
        <v>1</v>
      </c>
      <c r="H35" s="30"/>
      <c r="I35" s="30">
        <v>2</v>
      </c>
      <c r="J35" s="30">
        <v>2</v>
      </c>
      <c r="K35" s="30">
        <f t="shared" si="0"/>
        <v>6</v>
      </c>
    </row>
    <row r="36" spans="1:11" ht="21" customHeight="1" x14ac:dyDescent="0.4">
      <c r="A36" s="30">
        <v>34</v>
      </c>
      <c r="B36" s="81" t="s">
        <v>196</v>
      </c>
      <c r="C36" s="30"/>
      <c r="D36" s="30"/>
      <c r="E36" s="30"/>
      <c r="F36" s="30"/>
      <c r="G36" s="30"/>
      <c r="H36" s="30"/>
      <c r="I36" s="30">
        <v>2</v>
      </c>
      <c r="J36" s="30">
        <v>2</v>
      </c>
      <c r="K36" s="30">
        <f t="shared" si="0"/>
        <v>4</v>
      </c>
    </row>
    <row r="37" spans="1:11" ht="21" customHeight="1" x14ac:dyDescent="0.4">
      <c r="A37" s="30">
        <v>35</v>
      </c>
      <c r="B37" s="81" t="s">
        <v>197</v>
      </c>
      <c r="C37" s="30"/>
      <c r="D37" s="30"/>
      <c r="E37" s="30"/>
      <c r="F37" s="30"/>
      <c r="G37" s="30"/>
      <c r="H37" s="30"/>
      <c r="I37" s="30">
        <v>2</v>
      </c>
      <c r="J37" s="30">
        <v>2</v>
      </c>
      <c r="K37" s="30">
        <f t="shared" si="0"/>
        <v>4</v>
      </c>
    </row>
    <row r="38" spans="1:11" ht="21" customHeight="1" x14ac:dyDescent="0.4">
      <c r="A38" s="30">
        <v>36</v>
      </c>
      <c r="B38" s="81" t="s">
        <v>198</v>
      </c>
      <c r="C38" s="30"/>
      <c r="D38" s="30"/>
      <c r="E38" s="30"/>
      <c r="F38" s="30"/>
      <c r="G38" s="30"/>
      <c r="H38" s="30"/>
      <c r="I38" s="30"/>
      <c r="J38" s="30">
        <v>2</v>
      </c>
      <c r="K38" s="30">
        <f t="shared" si="0"/>
        <v>2</v>
      </c>
    </row>
    <row r="39" spans="1:11" ht="21" customHeight="1" x14ac:dyDescent="0.4">
      <c r="A39" s="30">
        <v>37</v>
      </c>
      <c r="B39" s="81" t="s">
        <v>199</v>
      </c>
      <c r="C39" s="30"/>
      <c r="D39" s="30"/>
      <c r="E39" s="30"/>
      <c r="F39" s="30"/>
      <c r="G39" s="30"/>
      <c r="H39" s="30"/>
      <c r="I39" s="30">
        <v>2</v>
      </c>
      <c r="J39" s="30">
        <v>2</v>
      </c>
      <c r="K39" s="30">
        <f t="shared" si="0"/>
        <v>4</v>
      </c>
    </row>
    <row r="40" spans="1:11" ht="21" customHeight="1" x14ac:dyDescent="0.4">
      <c r="A40" s="30">
        <v>38</v>
      </c>
      <c r="B40" s="81" t="s">
        <v>200</v>
      </c>
      <c r="C40" s="30"/>
      <c r="D40" s="30"/>
      <c r="E40" s="30"/>
      <c r="F40" s="30"/>
      <c r="G40" s="30"/>
      <c r="H40" s="30"/>
      <c r="I40" s="30">
        <v>2</v>
      </c>
      <c r="J40" s="30"/>
      <c r="K40" s="30">
        <f t="shared" si="0"/>
        <v>2</v>
      </c>
    </row>
    <row r="41" spans="1:11" ht="21" customHeight="1" x14ac:dyDescent="0.4">
      <c r="A41" s="30">
        <v>39</v>
      </c>
      <c r="B41" s="81" t="s">
        <v>201</v>
      </c>
      <c r="C41" s="30"/>
      <c r="D41" s="30"/>
      <c r="E41" s="30"/>
      <c r="F41" s="30"/>
      <c r="G41" s="30"/>
      <c r="H41" s="30"/>
      <c r="I41" s="30">
        <v>3</v>
      </c>
      <c r="J41" s="30"/>
      <c r="K41" s="30">
        <f t="shared" si="0"/>
        <v>3</v>
      </c>
    </row>
    <row r="42" spans="1:11" ht="21" customHeight="1" x14ac:dyDescent="0.4">
      <c r="A42" s="30">
        <v>40</v>
      </c>
      <c r="B42" s="81" t="s">
        <v>209</v>
      </c>
      <c r="C42" s="30"/>
      <c r="D42" s="30"/>
      <c r="E42" s="30"/>
      <c r="F42" s="30"/>
      <c r="G42" s="30"/>
      <c r="H42" s="30"/>
      <c r="I42" s="30">
        <v>3</v>
      </c>
      <c r="J42" s="30"/>
      <c r="K42" s="30">
        <f t="shared" si="0"/>
        <v>3</v>
      </c>
    </row>
    <row r="43" spans="1:11" ht="21" customHeight="1" x14ac:dyDescent="0.4">
      <c r="A43" s="30">
        <v>41</v>
      </c>
      <c r="B43" s="81" t="s">
        <v>207</v>
      </c>
      <c r="C43" s="81"/>
      <c r="D43" s="81"/>
      <c r="E43" s="81"/>
      <c r="F43" s="81"/>
      <c r="G43" s="81"/>
      <c r="H43" s="81"/>
      <c r="I43" s="30">
        <v>4</v>
      </c>
      <c r="J43" s="81"/>
      <c r="K43" s="30">
        <f t="shared" si="0"/>
        <v>4</v>
      </c>
    </row>
    <row r="44" spans="1:11" ht="21" customHeight="1" x14ac:dyDescent="0.4">
      <c r="A44" s="30">
        <v>42</v>
      </c>
      <c r="B44" s="81" t="s">
        <v>208</v>
      </c>
      <c r="C44" s="81"/>
      <c r="D44" s="81"/>
      <c r="E44" s="81"/>
      <c r="F44" s="81"/>
      <c r="G44" s="81"/>
      <c r="H44" s="81"/>
      <c r="I44" s="30">
        <v>4</v>
      </c>
      <c r="J44" s="81"/>
      <c r="K44" s="30">
        <f t="shared" si="0"/>
        <v>4</v>
      </c>
    </row>
    <row r="45" spans="1:11" ht="21" customHeight="1" x14ac:dyDescent="0.4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</row>
  </sheetData>
  <mergeCells count="4">
    <mergeCell ref="A1:A2"/>
    <mergeCell ref="B1:B2"/>
    <mergeCell ref="C1:J1"/>
    <mergeCell ref="K1:K2"/>
  </mergeCells>
  <pageMargins left="0.31496062992125984" right="0.70866141732283472" top="0.74803149606299213" bottom="0.74803149606299213" header="0.31496062992125984" footer="0.31496062992125984"/>
  <pageSetup paperSize="9" scale="8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FA9E-77C6-4AD6-A1EA-C74BB02A7949}">
  <dimension ref="A13:I19"/>
  <sheetViews>
    <sheetView topLeftCell="A14" workbookViewId="0">
      <selection activeCell="M14" sqref="M14"/>
    </sheetView>
  </sheetViews>
  <sheetFormatPr defaultRowHeight="13.15" x14ac:dyDescent="0.4"/>
  <cols>
    <col min="1" max="1" width="72.5" customWidth="1"/>
    <col min="4" max="4" width="8.35546875" customWidth="1"/>
  </cols>
  <sheetData>
    <row r="13" spans="1:4" ht="13.5" thickBot="1" x14ac:dyDescent="0.45"/>
    <row r="14" spans="1:4" ht="302.25" customHeight="1" thickTop="1" x14ac:dyDescent="0.4">
      <c r="A14" s="397" t="s">
        <v>238</v>
      </c>
      <c r="B14" s="398"/>
      <c r="C14" s="398"/>
      <c r="D14" s="399"/>
    </row>
    <row r="15" spans="1:4" ht="103.15" thickBot="1" x14ac:dyDescent="0.45">
      <c r="A15" s="400" t="s">
        <v>236</v>
      </c>
      <c r="B15" s="401"/>
      <c r="C15" s="401"/>
      <c r="D15" s="402"/>
    </row>
    <row r="16" spans="1:4" ht="13.5" thickTop="1" x14ac:dyDescent="0.4"/>
    <row r="19" spans="9:9" x14ac:dyDescent="0.4">
      <c r="I19" t="s">
        <v>7</v>
      </c>
    </row>
  </sheetData>
  <mergeCells count="2">
    <mergeCell ref="A14:D14"/>
    <mergeCell ref="A15:D15"/>
  </mergeCells>
  <pageMargins left="0.9055118110236221" right="0.9055118110236221" top="0.74803149606299213" bottom="0.74803149606299213" header="0.31496062992125984" footer="0.31496062992125984"/>
  <pageSetup paperSize="5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RENJA100226</vt:lpstr>
      <vt:lpstr>RKA100226</vt:lpstr>
      <vt:lpstr>RKA P 100226</vt:lpstr>
      <vt:lpstr>DPA100226</vt:lpstr>
      <vt:lpstr>DPA P 100226</vt:lpstr>
      <vt:lpstr>CAPAIAN 100226</vt:lpstr>
      <vt:lpstr>EVKIN100226 </vt:lpstr>
      <vt:lpstr>WALIDATA171225</vt:lpstr>
      <vt:lpstr>REKAPAN BELANJA </vt:lpstr>
      <vt:lpstr>Sheet1 </vt:lpstr>
      <vt:lpstr>'REKAPAN BELANJA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 Informasi Pemerintahan Daerah - Cetak Rincian Belanja 1.02.01.2.01.0001 Penyusunan Dokumen Perencanaan Perangkat Daerah</dc:title>
  <dc:creator>SIPD</dc:creator>
  <cp:lastModifiedBy>Dinas Kesehatan</cp:lastModifiedBy>
  <cp:lastPrinted>2025-03-04T04:06:30Z</cp:lastPrinted>
  <dcterms:created xsi:type="dcterms:W3CDTF">2024-01-03T04:19:08Z</dcterms:created>
  <dcterms:modified xsi:type="dcterms:W3CDTF">2026-02-19T07:50:52Z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2024-01-03T00:00:00Z</vt:filetime>
  </property>
  <property fmtid="{D5CDD505-2E9C-101B-9397-08002B2CF9AE}" pid="3" name="Creator">
    <vt:lpwstr>-</vt:lpwstr>
  </property>
  <property fmtid="{D5CDD505-2E9C-101B-9397-08002B2CF9AE}" pid="4" name="LastSaved">
    <vt:filetime>2024-01-03T00:00:00Z</vt:filetime>
  </property>
  <property fmtid="{D5CDD505-2E9C-101B-9397-08002B2CF9AE}" pid="5" name="Producer">
    <vt:lpwstr>3-Heights(TM) PDF Security Shell 4.8.25.2 (http://www.pdf-tools.com)</vt:lpwstr>
  </property>
</Properties>
</file>