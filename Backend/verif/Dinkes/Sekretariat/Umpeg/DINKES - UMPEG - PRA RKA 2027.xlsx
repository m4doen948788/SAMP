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\OneDrive\Documents\2027\UMPEG\"/>
    </mc:Choice>
  </mc:AlternateContent>
  <xr:revisionPtr revIDLastSave="4" documentId="8_{2D538BF4-DA67-42AA-B962-7C5B74C10EE3}" xr6:coauthVersionLast="36" xr6:coauthVersionMax="36" xr10:uidLastSave="{745EB920-EC42-4C0A-A1BD-D1641FD0A2F2}"/>
  <bookViews>
    <workbookView xWindow="120" yWindow="12" windowWidth="18960" windowHeight="11328" xr2:uid="{00000000-000D-0000-FFFF-FFFF00000000}"/>
  </bookViews>
  <sheets>
    <sheet name="Table 1" sheetId="1" r:id="rId1"/>
  </sheets>
  <definedNames>
    <definedName name="_xlnm._FilterDatabase" localSheetId="0" hidden="1">'Table 1'!$A$27:$O$2193</definedName>
  </definedNames>
  <calcPr calcId="191029"/>
</workbook>
</file>

<file path=xl/calcChain.xml><?xml version="1.0" encoding="utf-8"?>
<calcChain xmlns="http://schemas.openxmlformats.org/spreadsheetml/2006/main">
  <c r="O1380" i="1" l="1"/>
  <c r="O1378" i="1" s="1"/>
  <c r="O1377" i="1" s="1"/>
  <c r="O1376" i="1" s="1"/>
  <c r="O1362" i="1" s="1"/>
  <c r="O1361" i="1" s="1"/>
  <c r="O1360" i="1" s="1"/>
  <c r="O1359" i="1" s="1"/>
  <c r="N1344" i="1" s="1"/>
  <c r="O1379" i="1"/>
  <c r="O1107" i="1"/>
  <c r="O1106" i="1" s="1"/>
  <c r="O1103" i="1" s="1"/>
  <c r="O1099" i="1" s="1"/>
  <c r="O1098" i="1" s="1"/>
  <c r="O1097" i="1" s="1"/>
  <c r="O1096" i="1" s="1"/>
  <c r="O1095" i="1" s="1"/>
  <c r="O1094" i="1" s="1"/>
  <c r="N1079" i="1" s="1"/>
  <c r="O1038" i="1" l="1"/>
  <c r="O1029" i="1" s="1"/>
  <c r="O1028" i="1" s="1"/>
  <c r="O1027" i="1" s="1"/>
  <c r="O1026" i="1" s="1"/>
  <c r="O1025" i="1" s="1"/>
  <c r="O1024" i="1" s="1"/>
  <c r="O1023" i="1" s="1"/>
  <c r="O1022" i="1" s="1"/>
  <c r="O968" i="1"/>
  <c r="O960" i="1" s="1"/>
  <c r="O875" i="1"/>
  <c r="O862" i="1" s="1"/>
  <c r="O861" i="1" s="1"/>
  <c r="O781" i="1"/>
  <c r="O780" i="1" s="1"/>
  <c r="O779" i="1" s="1"/>
  <c r="O778" i="1" s="1"/>
  <c r="O777" i="1" s="1"/>
  <c r="O776" i="1" s="1"/>
  <c r="O1042" i="1" l="1"/>
  <c r="O959" i="1"/>
  <c r="O958" i="1" s="1"/>
  <c r="O945" i="1" s="1"/>
  <c r="O944" i="1" s="1"/>
  <c r="O943" i="1" s="1"/>
  <c r="O942" i="1" s="1"/>
  <c r="O941" i="1" s="1"/>
  <c r="N926" i="1" s="1"/>
  <c r="O890" i="1"/>
  <c r="O857" i="1"/>
  <c r="O856" i="1" s="1"/>
  <c r="O855" i="1" s="1"/>
  <c r="O854" i="1" s="1"/>
  <c r="O853" i="1" s="1"/>
  <c r="O852" i="1" s="1"/>
  <c r="N837" i="1" s="1"/>
  <c r="O775" i="1" l="1"/>
  <c r="O774" i="1" s="1"/>
  <c r="O773" i="1" s="1"/>
  <c r="O772" i="1" s="1"/>
  <c r="O771" i="1" s="1"/>
  <c r="O770" i="1" s="1"/>
  <c r="O769" i="1" s="1"/>
  <c r="O768" i="1" s="1"/>
  <c r="O758" i="1" s="1"/>
  <c r="O757" i="1" s="1"/>
  <c r="O756" i="1" s="1"/>
  <c r="N741" i="1" s="1"/>
  <c r="O696" i="1"/>
  <c r="O697" i="1"/>
  <c r="O698" i="1"/>
  <c r="O699" i="1"/>
  <c r="O700" i="1"/>
  <c r="O701" i="1"/>
  <c r="O702" i="1"/>
  <c r="O703" i="1"/>
  <c r="O695" i="1"/>
  <c r="O525" i="1"/>
  <c r="O524" i="1" s="1"/>
  <c r="O523" i="1" s="1"/>
  <c r="O381" i="1"/>
  <c r="O382" i="1"/>
  <c r="O380" i="1"/>
  <c r="O298" i="1"/>
  <c r="O297" i="1"/>
  <c r="O293" i="1" l="1"/>
  <c r="O292" i="1" s="1"/>
  <c r="O291" i="1" s="1"/>
  <c r="O290" i="1" s="1"/>
  <c r="O289" i="1" s="1"/>
  <c r="O288" i="1" s="1"/>
  <c r="O287" i="1" s="1"/>
  <c r="O286" i="1" s="1"/>
  <c r="N271" i="1" s="1"/>
  <c r="O694" i="1"/>
  <c r="O693" i="1" s="1"/>
  <c r="O692" i="1" s="1"/>
  <c r="O676" i="1" s="1"/>
  <c r="O675" i="1" s="1"/>
  <c r="O674" i="1" s="1"/>
  <c r="O673" i="1" s="1"/>
  <c r="N659" i="1" s="1"/>
  <c r="O376" i="1"/>
  <c r="O375" i="1" s="1"/>
  <c r="O374" i="1" s="1"/>
  <c r="O373" i="1" s="1"/>
  <c r="O372" i="1" s="1"/>
  <c r="O371" i="1" s="1"/>
  <c r="O370" i="1" s="1"/>
  <c r="O369" i="1" s="1"/>
  <c r="O207" i="1"/>
  <c r="O208" i="1"/>
  <c r="O209" i="1"/>
  <c r="O210" i="1"/>
  <c r="O211" i="1"/>
  <c r="O206" i="1"/>
  <c r="O129" i="1"/>
  <c r="O130" i="1"/>
  <c r="O131" i="1"/>
  <c r="O132" i="1"/>
  <c r="O128" i="1"/>
  <c r="O52" i="1"/>
  <c r="O53" i="1"/>
  <c r="O54" i="1"/>
  <c r="O55" i="1"/>
  <c r="O51" i="1"/>
  <c r="O124" i="1" l="1"/>
  <c r="O123" i="1" s="1"/>
  <c r="O122" i="1" s="1"/>
  <c r="O121" i="1" s="1"/>
  <c r="O120" i="1" s="1"/>
  <c r="O119" i="1" s="1"/>
  <c r="O118" i="1" s="1"/>
  <c r="O117" i="1" s="1"/>
  <c r="N102" i="1" s="1"/>
  <c r="O202" i="1"/>
  <c r="O201" i="1" s="1"/>
  <c r="O200" i="1" s="1"/>
  <c r="O199" i="1" s="1"/>
  <c r="O234" i="1" s="1"/>
  <c r="O47" i="1"/>
  <c r="O46" i="1" s="1"/>
  <c r="O45" i="1" s="1"/>
  <c r="O44" i="1" s="1"/>
  <c r="O43" i="1" s="1"/>
  <c r="O42" i="1" s="1"/>
  <c r="O41" i="1" s="1"/>
  <c r="O40" i="1" s="1"/>
  <c r="N25" i="1" s="1"/>
  <c r="O198" i="1" l="1"/>
  <c r="O197" i="1" s="1"/>
  <c r="O196" i="1" s="1"/>
  <c r="O195" i="1" s="1"/>
  <c r="N180" i="1" s="1"/>
</calcChain>
</file>

<file path=xl/sharedStrings.xml><?xml version="1.0" encoding="utf-8"?>
<sst xmlns="http://schemas.openxmlformats.org/spreadsheetml/2006/main" count="3945" uniqueCount="702">
  <si>
    <r>
      <rPr>
        <b/>
        <sz val="15"/>
        <rFont val="Arial"/>
        <family val="2"/>
      </rPr>
      <t>RENCANA KERJA DAN ANGGARAN SATUAN KERJA PERANGKAT DAERAH</t>
    </r>
  </si>
  <si>
    <r>
      <rPr>
        <b/>
        <sz val="12"/>
        <rFont val="Arial"/>
        <family val="2"/>
      </rPr>
      <t xml:space="preserve">Formulir RKA-BELANJA
</t>
    </r>
    <r>
      <rPr>
        <b/>
        <sz val="12"/>
        <rFont val="Arial"/>
        <family val="2"/>
      </rPr>
      <t>SKPD</t>
    </r>
  </si>
  <si>
    <r>
      <rPr>
        <sz val="12"/>
        <rFont val="Arial MT"/>
        <family val="2"/>
      </rPr>
      <t>Rincian Anggaran Belanja Menurut Program, Kegiatan dan Sub Kegiatan</t>
    </r>
  </si>
  <si>
    <r>
      <rPr>
        <sz val="9"/>
        <rFont val="Arial MT"/>
        <family val="2"/>
      </rPr>
      <t>Urusan Pemerintahan</t>
    </r>
  </si>
  <si>
    <r>
      <rPr>
        <sz val="9"/>
        <rFont val="Arial MT"/>
        <family val="2"/>
      </rPr>
      <t>: 1 URUSAN PEMERINTAHAN WAJIB YANG BERKAITAN DENGAN PELAYANAN DASAR</t>
    </r>
  </si>
  <si>
    <r>
      <rPr>
        <sz val="9"/>
        <rFont val="Arial MT"/>
        <family val="2"/>
      </rPr>
      <t>Bidang Urusan</t>
    </r>
  </si>
  <si>
    <r>
      <rPr>
        <sz val="9"/>
        <rFont val="Arial MT"/>
        <family val="2"/>
      </rPr>
      <t>: 1.02 URUSAN PEMERINTAHAN BIDANG KESEHATAN</t>
    </r>
  </si>
  <si>
    <r>
      <rPr>
        <sz val="9"/>
        <rFont val="Arial MT"/>
        <family val="2"/>
      </rPr>
      <t>Unit Organisasi</t>
    </r>
  </si>
  <si>
    <r>
      <rPr>
        <sz val="9"/>
        <rFont val="Arial MT"/>
        <family val="2"/>
      </rPr>
      <t>: 1.02.0.00.0.00.01.0000 DINAS KESEHATAN</t>
    </r>
  </si>
  <si>
    <r>
      <rPr>
        <sz val="9"/>
        <rFont val="Arial MT"/>
        <family val="2"/>
      </rPr>
      <t>Sub Unit Organisasi</t>
    </r>
  </si>
  <si>
    <r>
      <rPr>
        <sz val="9"/>
        <rFont val="Arial MT"/>
        <family val="2"/>
      </rPr>
      <t>: -</t>
    </r>
  </si>
  <si>
    <r>
      <rPr>
        <sz val="9"/>
        <rFont val="Arial MT"/>
        <family val="2"/>
      </rPr>
      <t>Program</t>
    </r>
  </si>
  <si>
    <r>
      <rPr>
        <sz val="9"/>
        <rFont val="Arial MT"/>
        <family val="2"/>
      </rPr>
      <t>: 1.02.01 PROGRAM PENUNJANG URUSAN PEMERINTAHAN DAERAH KABUPATEN/KOTA</t>
    </r>
  </si>
  <si>
    <r>
      <rPr>
        <sz val="9"/>
        <rFont val="Arial MT"/>
        <family val="2"/>
      </rPr>
      <t>Kegiatan</t>
    </r>
  </si>
  <si>
    <r>
      <rPr>
        <sz val="9"/>
        <rFont val="Arial MT"/>
        <family val="2"/>
      </rPr>
      <t>: 1.02.01.2.03 Administrasi Barang Milik Daerah pada Perangkat Daerah</t>
    </r>
  </si>
  <si>
    <r>
      <rPr>
        <sz val="9"/>
        <rFont val="Arial MT"/>
        <family val="2"/>
      </rPr>
      <t>Sub Kegiatan</t>
    </r>
  </si>
  <si>
    <r>
      <rPr>
        <sz val="9"/>
        <rFont val="Arial MT"/>
        <family val="2"/>
      </rPr>
      <t>: 1.02.01.2.03.0001 Penyusunan Perencanaan Kebutuhan Barang Milik Daerah SKPD</t>
    </r>
  </si>
  <si>
    <r>
      <rPr>
        <sz val="9"/>
        <rFont val="Arial MT"/>
        <family val="2"/>
      </rPr>
      <t>SPM</t>
    </r>
  </si>
  <si>
    <r>
      <rPr>
        <sz val="9"/>
        <rFont val="Arial MT"/>
        <family val="2"/>
      </rPr>
      <t>Jenis Layanan</t>
    </r>
  </si>
  <si>
    <r>
      <rPr>
        <sz val="9"/>
        <rFont val="Arial MT"/>
        <family val="2"/>
      </rPr>
      <t>Sumber Pendanaan</t>
    </r>
  </si>
  <si>
    <r>
      <rPr>
        <sz val="9"/>
        <rFont val="Arial MT"/>
        <family val="2"/>
      </rPr>
      <t>: PENDAPATAN ASLI DAERAH (PAD)</t>
    </r>
  </si>
  <si>
    <r>
      <rPr>
        <sz val="9"/>
        <rFont val="Arial MT"/>
        <family val="2"/>
      </rPr>
      <t>Lokasi</t>
    </r>
  </si>
  <si>
    <r>
      <rPr>
        <sz val="9"/>
        <rFont val="Arial MT"/>
        <family val="2"/>
      </rPr>
      <t>: Kab. Bogor, Cibinong, Tengah</t>
    </r>
  </si>
  <si>
    <r>
      <rPr>
        <sz val="9"/>
        <rFont val="Arial MT"/>
        <family val="2"/>
      </rPr>
      <t>Waktu Pelaksanaan</t>
    </r>
  </si>
  <si>
    <r>
      <rPr>
        <sz val="9"/>
        <rFont val="Arial MT"/>
        <family val="2"/>
      </rPr>
      <t>: Januari s.d Desember</t>
    </r>
  </si>
  <si>
    <r>
      <rPr>
        <sz val="9"/>
        <rFont val="Arial MT"/>
        <family val="2"/>
      </rPr>
      <t>Kelompok Sasaran</t>
    </r>
  </si>
  <si>
    <r>
      <rPr>
        <sz val="9"/>
        <rFont val="Arial MT"/>
        <family val="2"/>
      </rPr>
      <t>: DINAS KESEHATAN Kab. Bogor</t>
    </r>
  </si>
  <si>
    <r>
      <rPr>
        <sz val="9"/>
        <rFont val="Arial MT"/>
        <family val="2"/>
      </rPr>
      <t>: Rp. 0,00</t>
    </r>
  </si>
  <si>
    <r>
      <rPr>
        <sz val="9"/>
        <rFont val="Arial MT"/>
        <family val="2"/>
      </rPr>
      <t>: Rp. 19.117.650,00</t>
    </r>
  </si>
  <si>
    <r>
      <rPr>
        <sz val="12"/>
        <rFont val="Arial MT"/>
        <family val="2"/>
      </rPr>
      <t>Indikator dan Tolak Ukur Kinerja Kegiatan</t>
    </r>
  </si>
  <si>
    <r>
      <rPr>
        <sz val="12"/>
        <rFont val="Arial MT"/>
        <family val="2"/>
      </rPr>
      <t>Indikator</t>
    </r>
  </si>
  <si>
    <r>
      <rPr>
        <sz val="12"/>
        <rFont val="Arial MT"/>
        <family val="2"/>
      </rPr>
      <t>Tolok Ukur Kinerja</t>
    </r>
  </si>
  <si>
    <r>
      <rPr>
        <sz val="12"/>
        <rFont val="Arial MT"/>
        <family val="2"/>
      </rPr>
      <t>Target Kinerja</t>
    </r>
  </si>
  <si>
    <r>
      <rPr>
        <sz val="9"/>
        <rFont val="Arial MT"/>
        <family val="2"/>
      </rPr>
      <t>Capaian Program</t>
    </r>
  </si>
  <si>
    <r>
      <rPr>
        <sz val="9"/>
        <rFont val="Arial MT"/>
        <family val="2"/>
      </rPr>
      <t>Nilai AKIP</t>
    </r>
  </si>
  <si>
    <r>
      <rPr>
        <sz val="9"/>
        <rFont val="Arial MT"/>
        <family val="2"/>
      </rPr>
      <t>BB predikat</t>
    </r>
  </si>
  <si>
    <r>
      <rPr>
        <sz val="9"/>
        <rFont val="Arial MT"/>
        <family val="2"/>
      </rPr>
      <t>Masukan</t>
    </r>
  </si>
  <si>
    <r>
      <rPr>
        <sz val="9"/>
        <rFont val="Arial MT"/>
        <family val="2"/>
      </rPr>
      <t>Dana yang dibutuhkan</t>
    </r>
  </si>
  <si>
    <r>
      <rPr>
        <sz val="9"/>
        <rFont val="Arial MT"/>
        <family val="2"/>
      </rPr>
      <t>Keluaran</t>
    </r>
  </si>
  <si>
    <r>
      <rPr>
        <sz val="9"/>
        <rFont val="Arial MT"/>
        <family val="2"/>
      </rPr>
      <t>Jumlah Rencana Kebutuhan Barang Milik Daerah SKPD</t>
    </r>
  </si>
  <si>
    <r>
      <rPr>
        <sz val="9"/>
        <rFont val="Arial MT"/>
        <family val="2"/>
      </rPr>
      <t>3 Dokumen</t>
    </r>
  </si>
  <si>
    <r>
      <rPr>
        <sz val="9"/>
        <rFont val="Arial MT"/>
        <family val="2"/>
      </rPr>
      <t>Hasil</t>
    </r>
  </si>
  <si>
    <r>
      <rPr>
        <sz val="9"/>
        <rFont val="Arial MT"/>
        <family val="2"/>
      </rPr>
      <t>Persentase Aset yang Tercatat sesuai dengan Ketentuan Pengelolaan Barang Milik Daerah</t>
    </r>
  </si>
  <si>
    <r>
      <rPr>
        <sz val="12"/>
        <rFont val="Arial MT"/>
        <family val="2"/>
      </rPr>
      <t>Rincian Anggaran Belanja Kegiatan Satuan Kerja Perangkat Daerah</t>
    </r>
  </si>
  <si>
    <r>
      <rPr>
        <sz val="9"/>
        <rFont val="Arial MT"/>
        <family val="2"/>
      </rPr>
      <t>: Kab. Bogor, Kecamatan Cibinong, Kelurahan Tengah</t>
    </r>
  </si>
  <si>
    <r>
      <rPr>
        <sz val="9"/>
        <rFont val="Arial MT"/>
        <family val="2"/>
      </rPr>
      <t>Keluaran Sub Kegiatan</t>
    </r>
  </si>
  <si>
    <r>
      <rPr>
        <sz val="9"/>
        <rFont val="Arial MT"/>
        <family val="2"/>
      </rPr>
      <t>: Jumlah Rencana Kebutuhan Barang Milik Daerah SKPD</t>
    </r>
  </si>
  <si>
    <r>
      <rPr>
        <sz val="9"/>
        <rFont val="Arial MT"/>
        <family val="2"/>
      </rPr>
      <t>Keterangan</t>
    </r>
  </si>
  <si>
    <r>
      <rPr>
        <sz val="9"/>
        <rFont val="Arial MT"/>
        <family val="2"/>
      </rPr>
      <t>:</t>
    </r>
  </si>
  <si>
    <r>
      <rPr>
        <b/>
        <sz val="12"/>
        <rFont val="Arial"/>
        <family val="2"/>
      </rPr>
      <t>Rincian Anggaran Belanja Kegiatan Satuan Kerja Perangkat Daerah</t>
    </r>
  </si>
  <si>
    <r>
      <rPr>
        <b/>
        <sz val="9"/>
        <rFont val="Arial"/>
        <family val="2"/>
      </rPr>
      <t>Kode Rekening</t>
    </r>
  </si>
  <si>
    <r>
      <rPr>
        <b/>
        <sz val="9"/>
        <rFont val="Arial"/>
        <family val="2"/>
      </rPr>
      <t>Uraian</t>
    </r>
  </si>
  <si>
    <r>
      <rPr>
        <b/>
        <sz val="9"/>
        <rFont val="Arial"/>
        <family val="2"/>
      </rPr>
      <t>Rinci Perhitungan</t>
    </r>
  </si>
  <si>
    <r>
      <rPr>
        <b/>
        <sz val="9"/>
        <rFont val="Arial"/>
        <family val="2"/>
      </rPr>
      <t>Jumlah</t>
    </r>
  </si>
  <si>
    <r>
      <rPr>
        <b/>
        <sz val="9"/>
        <rFont val="Arial"/>
        <family val="2"/>
      </rPr>
      <t>Koefisien</t>
    </r>
  </si>
  <si>
    <r>
      <rPr>
        <b/>
        <sz val="9"/>
        <rFont val="Arial"/>
        <family val="2"/>
      </rPr>
      <t>Satuan</t>
    </r>
  </si>
  <si>
    <r>
      <rPr>
        <b/>
        <sz val="9"/>
        <rFont val="Arial"/>
        <family val="2"/>
      </rPr>
      <t>Harga</t>
    </r>
  </si>
  <si>
    <r>
      <rPr>
        <b/>
        <sz val="9"/>
        <rFont val="Arial"/>
        <family val="2"/>
      </rPr>
      <t>PPN</t>
    </r>
  </si>
  <si>
    <r>
      <rPr>
        <b/>
        <sz val="9"/>
        <rFont val="Arial"/>
        <family val="2"/>
      </rPr>
      <t>BELANJA DAERAH</t>
    </r>
  </si>
  <si>
    <r>
      <rPr>
        <b/>
        <sz val="9"/>
        <rFont val="Arial"/>
        <family val="2"/>
      </rPr>
      <t>5.1</t>
    </r>
  </si>
  <si>
    <r>
      <rPr>
        <b/>
        <sz val="9"/>
        <rFont val="Arial"/>
        <family val="2"/>
      </rPr>
      <t>BELANJA OPERASI</t>
    </r>
  </si>
  <si>
    <r>
      <rPr>
        <b/>
        <sz val="9"/>
        <rFont val="Arial"/>
        <family val="2"/>
      </rPr>
      <t>Belanja Barang dan Jasa</t>
    </r>
  </si>
  <si>
    <r>
      <rPr>
        <b/>
        <sz val="9"/>
        <rFont val="Arial"/>
        <family val="2"/>
      </rPr>
      <t>5.1.02.01</t>
    </r>
  </si>
  <si>
    <r>
      <rPr>
        <b/>
        <sz val="9"/>
        <rFont val="Arial"/>
        <family val="2"/>
      </rPr>
      <t>Belanja Barang</t>
    </r>
  </si>
  <si>
    <r>
      <rPr>
        <b/>
        <sz val="9"/>
        <rFont val="Arial"/>
        <family val="2"/>
      </rPr>
      <t>5.1.02.01.001</t>
    </r>
  </si>
  <si>
    <r>
      <rPr>
        <b/>
        <sz val="9"/>
        <rFont val="Arial"/>
        <family val="2"/>
      </rPr>
      <t>Belanja Barang Pakai Habis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</si>
  <si>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24</t>
    </r>
  </si>
  <si>
    <r>
      <rPr>
        <b/>
        <sz val="9"/>
        <rFont val="Arial"/>
        <family val="2"/>
      </rPr>
      <t>Belanja Alat/Bahan untuk Kegiatan Kantor-Alat Tulis Kantor</t>
    </r>
  </si>
  <si>
    <r>
      <rPr>
        <b/>
        <sz val="9"/>
        <rFont val="Arial"/>
        <family val="2"/>
      </rPr>
      <t xml:space="preserve">[ # ] ATK dan Kertas
</t>
    </r>
    <r>
      <rPr>
        <b/>
        <sz val="9"/>
        <rFont val="Arial"/>
        <family val="2"/>
      </rPr>
      <t>Sumber Dana : PENDAPATAN ASLI DAERAH (PAD)</t>
    </r>
  </si>
  <si>
    <r>
      <rPr>
        <b/>
        <sz val="9"/>
        <rFont val="Arial"/>
        <family val="2"/>
      </rPr>
      <t>[ - ] -</t>
    </r>
  </si>
  <si>
    <r>
      <rPr>
        <sz val="9"/>
        <rFont val="Arial MT"/>
        <family val="2"/>
      </rPr>
      <t xml:space="preserve">Ballpoint
</t>
    </r>
    <r>
      <rPr>
        <sz val="9"/>
        <rFont val="Arial MT"/>
        <family val="2"/>
      </rPr>
      <t>Spesifikasi : Gel, ukuran 0.5 mm</t>
    </r>
  </si>
  <si>
    <r>
      <rPr>
        <sz val="9"/>
        <rFont val="Arial MT"/>
        <family val="2"/>
      </rPr>
      <t>Lusin</t>
    </r>
  </si>
  <si>
    <r>
      <rPr>
        <sz val="9"/>
        <rFont val="Arial MT"/>
        <family val="2"/>
      </rPr>
      <t xml:space="preserve">Box Arsip
</t>
    </r>
    <r>
      <rPr>
        <sz val="9"/>
        <rFont val="Arial MT"/>
        <family val="2"/>
      </rPr>
      <t>Spesifikasi : Bahan kardus, ukuran 28 cm x 38 cm x 18 cm</t>
    </r>
  </si>
  <si>
    <r>
      <rPr>
        <sz val="9"/>
        <rFont val="Arial MT"/>
        <family val="2"/>
      </rPr>
      <t>Buah</t>
    </r>
  </si>
  <si>
    <r>
      <rPr>
        <sz val="9"/>
        <rFont val="Arial MT"/>
        <family val="2"/>
      </rPr>
      <t xml:space="preserve">Map
</t>
    </r>
    <r>
      <rPr>
        <sz val="9"/>
        <rFont val="Arial MT"/>
        <family val="2"/>
      </rPr>
      <t>Spesifikasi : Biasa, ukuran folio, isi 50 pcs</t>
    </r>
  </si>
  <si>
    <r>
      <rPr>
        <sz val="9"/>
        <rFont val="Arial MT"/>
        <family val="2"/>
      </rPr>
      <t>Pack</t>
    </r>
  </si>
  <si>
    <r>
      <rPr>
        <sz val="9"/>
        <rFont val="Arial MT"/>
        <family val="2"/>
      </rPr>
      <t xml:space="preserve">Map
</t>
    </r>
    <r>
      <rPr>
        <sz val="9"/>
        <rFont val="Arial MT"/>
        <family val="2"/>
      </rPr>
      <t>Spesifikasi : Snelhecter 5001, bahan plastik, isi 50 pcs</t>
    </r>
  </si>
  <si>
    <r>
      <rPr>
        <sz val="9"/>
        <rFont val="Arial MT"/>
        <family val="2"/>
      </rPr>
      <t xml:space="preserve">Odner
</t>
    </r>
    <r>
      <rPr>
        <sz val="9"/>
        <rFont val="Arial MT"/>
        <family val="2"/>
      </rPr>
      <t xml:space="preserve">Spesifikasi : Bahan karton, ukuran Folio, lebar
</t>
    </r>
    <r>
      <rPr>
        <sz val="9"/>
        <rFont val="Arial MT"/>
        <family val="2"/>
      </rPr>
      <t>7 cm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</si>
  <si>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25</t>
    </r>
  </si>
  <si>
    <r>
      <rPr>
        <b/>
        <sz val="9"/>
        <rFont val="Arial"/>
        <family val="2"/>
      </rPr>
      <t>Belanja Alat/Bahan untuk Kegiatan Kantor- Kertas dan Cover</t>
    </r>
  </si>
  <si>
    <r>
      <rPr>
        <sz val="9"/>
        <rFont val="Arial MT"/>
        <family val="2"/>
      </rPr>
      <t xml:space="preserve">Kertas HVS
</t>
    </r>
    <r>
      <rPr>
        <sz val="9"/>
        <rFont val="Arial MT"/>
        <family val="2"/>
      </rPr>
      <t>Spesifikasi : Ukuran A4 80 gram</t>
    </r>
  </si>
  <si>
    <r>
      <rPr>
        <sz val="9"/>
        <rFont val="Arial MT"/>
        <family val="2"/>
      </rPr>
      <t>Rim</t>
    </r>
  </si>
  <si>
    <r>
      <rPr>
        <sz val="9"/>
        <rFont val="Arial MT"/>
        <family val="2"/>
      </rPr>
      <t xml:space="preserve">Kertas HVS
</t>
    </r>
    <r>
      <rPr>
        <sz val="9"/>
        <rFont val="Arial MT"/>
        <family val="2"/>
      </rPr>
      <t>Spesifikasi : Ukuran F4 80 gram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</si>
  <si>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52</t>
    </r>
  </si>
  <si>
    <r>
      <rPr>
        <b/>
        <sz val="9"/>
        <rFont val="Arial"/>
        <family val="2"/>
      </rPr>
      <t>Belanja Makanan dan Minuman Rapat</t>
    </r>
  </si>
  <si>
    <r>
      <rPr>
        <b/>
        <sz val="9"/>
        <rFont val="Arial"/>
        <family val="2"/>
      </rPr>
      <t xml:space="preserve">[ # ] Makanan dan Minuman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</si>
  <si>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Makanan dan Minuman Rapat
</t>
    </r>
    <r>
      <rPr>
        <sz val="9"/>
        <rFont val="Arial MT"/>
        <family val="2"/>
      </rPr>
      <t>Spesifikasi : Belanja konsumsi kegiatan rapat atau sejenisnya (m...</t>
    </r>
  </si>
  <si>
    <r>
      <rPr>
        <sz val="9"/>
        <rFont val="Arial MT"/>
        <family val="2"/>
      </rPr>
      <t>Orang / Kali</t>
    </r>
  </si>
  <si>
    <r>
      <rPr>
        <sz val="9"/>
        <rFont val="Arial MT"/>
        <family val="2"/>
      </rPr>
      <t xml:space="preserve">Makanan dan Minuman Rapat
</t>
    </r>
    <r>
      <rPr>
        <sz val="9"/>
        <rFont val="Arial MT"/>
        <family val="2"/>
      </rPr>
      <t>Spesifikasi : Belanja konsumsi kegiatan rapat atau sejenisnya (s...</t>
    </r>
  </si>
  <si>
    <r>
      <rPr>
        <b/>
        <sz val="9"/>
        <rFont val="Arial"/>
        <family val="2"/>
      </rPr>
      <t>Jumlah :</t>
    </r>
  </si>
  <si>
    <r>
      <rPr>
        <sz val="9"/>
        <rFont val="Arial MT"/>
        <family val="2"/>
      </rPr>
      <t xml:space="preserve">Kab. Bogor,..............................
</t>
    </r>
    <r>
      <rPr>
        <sz val="9"/>
        <rFont val="Arial MT"/>
        <family val="2"/>
      </rPr>
      <t xml:space="preserve">Kepala DINAS KESEHATAN
</t>
    </r>
    <r>
      <rPr>
        <sz val="9"/>
        <rFont val="Arial MT"/>
        <family val="2"/>
      </rPr>
      <t>dr. FUSIA MEIDIAWATY, SH, M.H, Kes, MARS NIP. 197105272002122006</t>
    </r>
  </si>
  <si>
    <r>
      <rPr>
        <sz val="9"/>
        <rFont val="Arial MT"/>
        <family val="2"/>
      </rPr>
      <t>Pembahasan</t>
    </r>
  </si>
  <si>
    <r>
      <rPr>
        <sz val="9"/>
        <rFont val="Arial MT"/>
        <family val="2"/>
      </rPr>
      <t>Tanggal</t>
    </r>
  </si>
  <si>
    <r>
      <rPr>
        <sz val="9"/>
        <rFont val="Arial MT"/>
        <family val="2"/>
      </rPr>
      <t>Catatan</t>
    </r>
  </si>
  <si>
    <r>
      <rPr>
        <sz val="9"/>
        <rFont val="Arial MT"/>
        <family val="2"/>
      </rPr>
      <t>Dst</t>
    </r>
  </si>
  <si>
    <r>
      <rPr>
        <b/>
        <sz val="10"/>
        <rFont val="Arial"/>
        <family val="2"/>
      </rPr>
      <t>Tim Anggaran Pemerintahan Daerah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</si>
  <si>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</si>
  <si>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Nama</t>
    </r>
  </si>
  <si>
    <r>
      <rPr>
        <b/>
        <sz val="10"/>
        <rFont val="Arial"/>
        <family val="2"/>
      </rPr>
      <t>NIP</t>
    </r>
  </si>
  <si>
    <r>
      <rPr>
        <b/>
        <sz val="10"/>
        <rFont val="Arial"/>
        <family val="2"/>
      </rPr>
      <t>Jabatan</t>
    </r>
  </si>
  <si>
    <r>
      <rPr>
        <b/>
        <sz val="10"/>
        <rFont val="Arial"/>
        <family val="2"/>
      </rPr>
      <t>Tanda Tangan</t>
    </r>
  </si>
  <si>
    <r>
      <rPr>
        <sz val="10"/>
        <rFont val="Arial MT"/>
        <family val="2"/>
      </rPr>
      <t>Data Kosong</t>
    </r>
  </si>
  <si>
    <r>
      <rPr>
        <sz val="9"/>
        <rFont val="Arial MT"/>
        <family val="2"/>
      </rPr>
      <t>: 1.02.01.2.03.0003 Koordinasi dan Penilaian Barang Milik Daerah SKPD</t>
    </r>
  </si>
  <si>
    <r>
      <rPr>
        <sz val="9"/>
        <rFont val="Arial MT"/>
        <family val="2"/>
      </rPr>
      <t>: Rp. 12.057.375,00</t>
    </r>
  </si>
  <si>
    <r>
      <rPr>
        <sz val="9"/>
        <rFont val="Arial MT"/>
        <family val="2"/>
      </rPr>
      <t>: Rp. 12.695.400,00</t>
    </r>
  </si>
  <si>
    <r>
      <rPr>
        <sz val="9"/>
        <rFont val="Arial MT"/>
        <family val="2"/>
      </rPr>
      <t>Jumlah Laporan Hasil Penilaian Barang Milik Daerah dan Hasil Koordinasi Penilaian Barang Milik Daerah SKPD</t>
    </r>
  </si>
  <si>
    <r>
      <rPr>
        <sz val="9"/>
        <rFont val="Arial MT"/>
        <family val="2"/>
      </rPr>
      <t>12 Laporan</t>
    </r>
  </si>
  <si>
    <r>
      <rPr>
        <sz val="9"/>
        <rFont val="Arial MT"/>
        <family val="2"/>
      </rPr>
      <t>: Jumlah Laporan Hasil Penilaian Barang Milik Daerah dan Hasil Koordinasi Penilaian Barang Milik Daerah SKPD</t>
    </r>
  </si>
  <si>
    <r>
      <rPr>
        <sz val="9"/>
        <rFont val="Arial MT"/>
        <family val="2"/>
      </rPr>
      <t xml:space="preserve">Ballpoint
</t>
    </r>
    <r>
      <rPr>
        <sz val="9"/>
        <rFont val="Arial MT"/>
        <family val="2"/>
      </rPr>
      <t>Spesifikasi : Motif Batik</t>
    </r>
  </si>
  <si>
    <r>
      <rPr>
        <sz val="9"/>
        <rFont val="Arial MT"/>
        <family val="2"/>
      </rPr>
      <t xml:space="preserve">Box File
</t>
    </r>
    <r>
      <rPr>
        <sz val="9"/>
        <rFont val="Arial MT"/>
        <family val="2"/>
      </rPr>
      <t>Spesifikasi : Bahan karton dilapisi plastik, ukuran folio, lebar...</t>
    </r>
  </si>
  <si>
    <r>
      <rPr>
        <sz val="9"/>
        <rFont val="Arial MT"/>
        <family val="2"/>
      </rPr>
      <t xml:space="preserve">Isi staples
</t>
    </r>
    <r>
      <rPr>
        <sz val="9"/>
        <rFont val="Arial MT"/>
        <family val="2"/>
      </rPr>
      <t>Spesifikasi : Nomor 10, isi 20 dus</t>
    </r>
  </si>
  <si>
    <r>
      <rPr>
        <sz val="9"/>
        <rFont val="Arial MT"/>
        <family val="2"/>
      </rPr>
      <t xml:space="preserve">Map
</t>
    </r>
    <r>
      <rPr>
        <sz val="9"/>
        <rFont val="Arial MT"/>
        <family val="2"/>
      </rPr>
      <t>Spesifikasi : 5001 snelhecter, isi 50 pcs</t>
    </r>
  </si>
  <si>
    <r>
      <rPr>
        <sz val="9"/>
        <rFont val="Arial MT"/>
        <family val="2"/>
      </rPr>
      <t>Dus</t>
    </r>
  </si>
  <si>
    <r>
      <rPr>
        <sz val="9"/>
        <rFont val="Arial MT"/>
        <family val="2"/>
      </rPr>
      <t xml:space="preserve">Kertas HVS
</t>
    </r>
    <r>
      <rPr>
        <sz val="9"/>
        <rFont val="Arial MT"/>
        <family val="2"/>
      </rPr>
      <t>Spesifikasi : Ukuran A3 80 gram</t>
    </r>
  </si>
  <si>
    <r>
      <rPr>
        <sz val="9"/>
        <rFont val="Arial MT"/>
        <family val="2"/>
      </rPr>
      <t>: 1.02.01.2.03.0005 Rekonsiliasi dan Penyusunan Laporan Barang Milik Daerah pada SKPD</t>
    </r>
  </si>
  <si>
    <r>
      <rPr>
        <sz val="9"/>
        <rFont val="Arial MT"/>
        <family val="2"/>
      </rPr>
      <t>: Rp. 29.669.950,00</t>
    </r>
  </si>
  <si>
    <r>
      <rPr>
        <sz val="9"/>
        <rFont val="Arial MT"/>
        <family val="2"/>
      </rPr>
      <t>: Rp. 31.170.000,00</t>
    </r>
  </si>
  <si>
    <r>
      <rPr>
        <sz val="9"/>
        <rFont val="Arial MT"/>
        <family val="2"/>
      </rPr>
      <t>Jumlah Laporan Rekonsiliasi dan Penyusunan Laporan Barang Milik Daerah pada SKPD</t>
    </r>
  </si>
  <si>
    <r>
      <rPr>
        <sz val="9"/>
        <rFont val="Arial MT"/>
        <family val="2"/>
      </rPr>
      <t>: Jumlah Laporan Rekonsiliasi dan Penyusunan Laporan Barang Milik Daerah pada SKPD</t>
    </r>
  </si>
  <si>
    <r>
      <rPr>
        <b/>
        <sz val="9"/>
        <rFont val="Arial"/>
        <family val="2"/>
      </rPr>
      <t>[ - ] --</t>
    </r>
  </si>
  <si>
    <r>
      <rPr>
        <sz val="9"/>
        <rFont val="Arial MT"/>
        <family val="2"/>
      </rPr>
      <t>Pcs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</si>
  <si>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27</t>
    </r>
  </si>
  <si>
    <r>
      <rPr>
        <b/>
        <sz val="9"/>
        <rFont val="Arial"/>
        <family val="2"/>
      </rPr>
      <t>Belanja Alat/Bahan untuk Kegiatan Kantor-Benda Pos</t>
    </r>
  </si>
  <si>
    <r>
      <rPr>
        <b/>
        <sz val="9"/>
        <rFont val="Arial"/>
        <family val="2"/>
      </rPr>
      <t xml:space="preserve">[ # ] Penerimaan CASN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</si>
  <si>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Materai
</t>
    </r>
    <r>
      <rPr>
        <sz val="9"/>
        <rFont val="Arial MT"/>
        <family val="2"/>
      </rPr>
      <t>Spesifikasi : 10000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</si>
  <si>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29</t>
    </r>
  </si>
  <si>
    <r>
      <rPr>
        <b/>
        <sz val="9"/>
        <rFont val="Arial"/>
        <family val="2"/>
      </rPr>
      <t>Belanja Alat/Bahan untuk Kegiatan Kantor-Bahan Komputer</t>
    </r>
  </si>
  <si>
    <r>
      <rPr>
        <b/>
        <sz val="9"/>
        <rFont val="Arial"/>
        <family val="2"/>
      </rPr>
      <t xml:space="preserve">[ # ] Tinta Printer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</si>
  <si>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Tinta/Toner Printer
</t>
    </r>
    <r>
      <rPr>
        <sz val="9"/>
        <rFont val="Arial MT"/>
        <family val="2"/>
      </rPr>
      <t>Spesifikasi : Epson L3110 Black</t>
    </r>
  </si>
  <si>
    <r>
      <rPr>
        <sz val="9"/>
        <rFont val="Arial MT"/>
        <family val="2"/>
      </rPr>
      <t>Botol</t>
    </r>
  </si>
  <si>
    <r>
      <rPr>
        <sz val="9"/>
        <rFont val="Arial MT"/>
        <family val="2"/>
      </rPr>
      <t xml:space="preserve">Tinta/Toner Printer
</t>
    </r>
    <r>
      <rPr>
        <sz val="9"/>
        <rFont val="Arial MT"/>
        <family val="2"/>
      </rPr>
      <t>Spesifikasi : Epson L310, Warna</t>
    </r>
  </si>
  <si>
    <r>
      <rPr>
        <b/>
        <sz val="9"/>
        <rFont val="Arial"/>
        <family val="2"/>
      </rPr>
      <t xml:space="preserve">[ # ] Makan dan Minum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</si>
  <si>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>: 1.02.01.2.03.0006 Penatausahaan Barang Milik Daerah pada SKPD</t>
    </r>
  </si>
  <si>
    <r>
      <rPr>
        <sz val="9"/>
        <rFont val="Arial MT"/>
        <family val="2"/>
      </rPr>
      <t>: Rp. 35.550.268,00</t>
    </r>
  </si>
  <si>
    <r>
      <rPr>
        <sz val="9"/>
        <rFont val="Arial MT"/>
        <family val="2"/>
      </rPr>
      <t>: Rp. 37.338.590,00</t>
    </r>
  </si>
  <si>
    <r>
      <rPr>
        <sz val="9"/>
        <rFont val="Arial MT"/>
        <family val="2"/>
      </rPr>
      <t>Jumlah Laporan Penatausahaan Barang Milik Daerah pada SKPD</t>
    </r>
  </si>
  <si>
    <r>
      <rPr>
        <sz val="9"/>
        <rFont val="Arial MT"/>
        <family val="2"/>
      </rPr>
      <t>4 Laporan</t>
    </r>
  </si>
  <si>
    <r>
      <rPr>
        <sz val="9"/>
        <rFont val="Arial MT"/>
        <family val="2"/>
      </rPr>
      <t>: Jumlah Laporan Penatausahaan Barang Milik Daerah pada SKPD</t>
    </r>
  </si>
  <si>
    <r>
      <rPr>
        <b/>
        <sz val="9"/>
        <rFont val="Arial"/>
        <family val="2"/>
      </rPr>
      <t>5.1.02.02</t>
    </r>
  </si>
  <si>
    <r>
      <rPr>
        <b/>
        <sz val="9"/>
        <rFont val="Arial"/>
        <family val="2"/>
      </rPr>
      <t>Belanja Jasa</t>
    </r>
  </si>
  <si>
    <r>
      <rPr>
        <b/>
        <sz val="9"/>
        <rFont val="Arial"/>
        <family val="2"/>
      </rPr>
      <t>5.1.02.02.001</t>
    </r>
  </si>
  <si>
    <r>
      <rPr>
        <b/>
        <sz val="9"/>
        <rFont val="Arial"/>
        <family val="2"/>
      </rPr>
      <t>Belanja Jasa Kantor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</si>
  <si>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86</t>
    </r>
  </si>
  <si>
    <r>
      <rPr>
        <b/>
        <sz val="9"/>
        <rFont val="Arial"/>
        <family val="2"/>
      </rPr>
      <t>Belanja jasa Pegawai Pemerintah dengan Perjanjian Kerja (PPPK) Paruh Waktu pada jabatan tenaga teknis</t>
    </r>
  </si>
  <si>
    <r>
      <rPr>
        <b/>
        <sz val="9"/>
        <rFont val="Arial"/>
        <family val="2"/>
      </rPr>
      <t xml:space="preserve">[ # ] Tenaga Administrasi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</si>
  <si>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Pegawai Pemerintah dengan Perjanjian Kerja (PPPK) Paruh Waktu pada Jabatan Tenaga Teknis
</t>
    </r>
    <r>
      <rPr>
        <sz val="9"/>
        <rFont val="Arial MT"/>
        <family val="2"/>
      </rPr>
      <t>Spesifikasi : Pendidikan S1</t>
    </r>
  </si>
  <si>
    <r>
      <rPr>
        <sz val="9"/>
        <rFont val="Arial MT"/>
        <family val="2"/>
      </rPr>
      <t>1 x 12</t>
    </r>
  </si>
  <si>
    <r>
      <rPr>
        <sz val="9"/>
        <rFont val="Arial MT"/>
        <family val="2"/>
      </rPr>
      <t>Orang Bulan</t>
    </r>
  </si>
  <si>
    <r>
      <rPr>
        <b/>
        <sz val="9"/>
        <rFont val="Arial"/>
        <family val="2"/>
      </rPr>
      <t>5.1.02.02.002</t>
    </r>
  </si>
  <si>
    <r>
      <rPr>
        <b/>
        <sz val="9"/>
        <rFont val="Arial"/>
        <family val="2"/>
      </rPr>
      <t>Belanja Iuran Jaminan/Asuransi</t>
    </r>
  </si>
  <si>
    <r>
      <rPr>
        <b/>
        <sz val="9"/>
        <rFont val="Arial"/>
        <family val="2"/>
      </rPr>
      <t xml:space="preserve">5.1.02.02.002.000
</t>
    </r>
    <r>
      <rPr>
        <b/>
        <sz val="9"/>
        <rFont val="Arial"/>
        <family val="2"/>
      </rPr>
      <t>05</t>
    </r>
  </si>
  <si>
    <r>
      <rPr>
        <b/>
        <sz val="9"/>
        <rFont val="Arial"/>
        <family val="2"/>
      </rPr>
      <t>Belanja Iuran Jaminan Kesehatan bagi Non ASN</t>
    </r>
  </si>
  <si>
    <r>
      <rPr>
        <b/>
        <sz val="9"/>
        <rFont val="Arial"/>
        <family val="2"/>
      </rPr>
      <t xml:space="preserve">[ # ] Asuransi Non ASN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</si>
  <si>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Iuran Jaminan Kesehatan bagi Non ASN Spesifikasi : Iuran Jaminan Kesehatan bagi
</t>
    </r>
    <r>
      <rPr>
        <sz val="9"/>
        <rFont val="Arial MT"/>
        <family val="2"/>
      </rPr>
      <t>Non ASN</t>
    </r>
  </si>
  <si>
    <r>
      <rPr>
        <sz val="9"/>
        <rFont val="Arial MT"/>
        <family val="2"/>
      </rPr>
      <t>Orang / Bulan Bulan</t>
    </r>
  </si>
  <si>
    <r>
      <rPr>
        <b/>
        <sz val="9"/>
        <rFont val="Arial"/>
        <family val="2"/>
      </rPr>
      <t xml:space="preserve">5.1.02.02.002.000
</t>
    </r>
    <r>
      <rPr>
        <b/>
        <sz val="9"/>
        <rFont val="Arial"/>
        <family val="2"/>
      </rPr>
      <t>06</t>
    </r>
  </si>
  <si>
    <r>
      <rPr>
        <b/>
        <sz val="9"/>
        <rFont val="Arial"/>
        <family val="2"/>
      </rPr>
      <t>Belanja Iuran Jaminan Kecelakaan Kerja bagi Non ASN</t>
    </r>
  </si>
  <si>
    <r>
      <rPr>
        <sz val="9"/>
        <rFont val="Arial MT"/>
        <family val="2"/>
      </rPr>
      <t xml:space="preserve">Iuran Jaminan Kecelakaan Kerja Non ASN Spesifikasi : Iuran Jaminan Kecelakaan Kerja
</t>
    </r>
    <r>
      <rPr>
        <sz val="9"/>
        <rFont val="Arial MT"/>
        <family val="2"/>
      </rPr>
      <t>Non ASN</t>
    </r>
  </si>
  <si>
    <r>
      <rPr>
        <b/>
        <sz val="9"/>
        <rFont val="Arial"/>
        <family val="2"/>
      </rPr>
      <t xml:space="preserve">5.1.02.02.002.000
</t>
    </r>
    <r>
      <rPr>
        <b/>
        <sz val="9"/>
        <rFont val="Arial"/>
        <family val="2"/>
      </rPr>
      <t>07</t>
    </r>
  </si>
  <si>
    <r>
      <rPr>
        <b/>
        <sz val="9"/>
        <rFont val="Arial"/>
        <family val="2"/>
      </rPr>
      <t>Belanja Iuran Jaminan Kematian bagi Non ASN</t>
    </r>
  </si>
  <si>
    <r>
      <rPr>
        <sz val="9"/>
        <rFont val="Arial MT"/>
        <family val="2"/>
      </rPr>
      <t xml:space="preserve">Iuran Jaminan Kematian Non ASN
</t>
    </r>
    <r>
      <rPr>
        <sz val="9"/>
        <rFont val="Arial MT"/>
        <family val="2"/>
      </rPr>
      <t xml:space="preserve">Spesifikasi : Iuran Jaminan Kematian Non
</t>
    </r>
    <r>
      <rPr>
        <sz val="9"/>
        <rFont val="Arial MT"/>
        <family val="2"/>
      </rPr>
      <t>ASN</t>
    </r>
  </si>
  <si>
    <r>
      <rPr>
        <sz val="9"/>
        <rFont val="Arial MT"/>
        <family val="2"/>
      </rPr>
      <t>: 1.02.01.2.05 Administrasi Kepegawaian Perangkat Daerah</t>
    </r>
  </si>
  <si>
    <r>
      <rPr>
        <sz val="9"/>
        <rFont val="Arial MT"/>
        <family val="2"/>
      </rPr>
      <t>: 1.02.01.2.05.0003 Pendataan dan Pengolahan Administrasi Kepegawaian</t>
    </r>
  </si>
  <si>
    <r>
      <rPr>
        <sz val="9"/>
        <rFont val="Arial MT"/>
        <family val="2"/>
      </rPr>
      <t>: Rp. 63.660.668,00</t>
    </r>
  </si>
  <si>
    <r>
      <rPr>
        <sz val="9"/>
        <rFont val="Arial MT"/>
        <family val="2"/>
      </rPr>
      <t>: Rp. 107.487.572,00</t>
    </r>
  </si>
  <si>
    <r>
      <rPr>
        <sz val="9"/>
        <rFont val="Arial MT"/>
        <family val="2"/>
      </rPr>
      <t>Jumlah Dokumen Pendataan dan Pengolahan Administrasi Kepegawaian</t>
    </r>
  </si>
  <si>
    <r>
      <rPr>
        <sz val="9"/>
        <rFont val="Arial MT"/>
        <family val="2"/>
      </rPr>
      <t>30 Dokumen</t>
    </r>
  </si>
  <si>
    <r>
      <rPr>
        <sz val="9"/>
        <rFont val="Arial MT"/>
        <family val="2"/>
      </rPr>
      <t>Persentase ASN yang Tertangani Layanan Kepegawaian Tepat Waktu</t>
    </r>
  </si>
  <si>
    <r>
      <rPr>
        <sz val="9"/>
        <rFont val="Arial MT"/>
        <family val="2"/>
      </rPr>
      <t>: Jumlah Dokumen Pendataan dan Pengolahan Administrasi Kepegawaian</t>
    </r>
  </si>
  <si>
    <r>
      <rPr>
        <sz val="9"/>
        <rFont val="Arial MT"/>
        <family val="2"/>
      </rPr>
      <t xml:space="preserve">Ballpoint
</t>
    </r>
    <r>
      <rPr>
        <sz val="9"/>
        <rFont val="Arial MT"/>
        <family val="2"/>
      </rPr>
      <t>Spesifikasi : Balliner, ukuran 0.8 mm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</si>
  <si>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26</t>
    </r>
  </si>
  <si>
    <r>
      <rPr>
        <b/>
        <sz val="9"/>
        <rFont val="Arial"/>
        <family val="2"/>
      </rPr>
      <t>Belanja Alat/Bahan untuk Kegiatan Kantor- Bahan Cetak</t>
    </r>
  </si>
  <si>
    <r>
      <rPr>
        <b/>
        <sz val="9"/>
        <rFont val="Arial"/>
        <family val="2"/>
      </rPr>
      <t>[ - ] Bahan Cetak</t>
    </r>
  </si>
  <si>
    <r>
      <rPr>
        <sz val="9"/>
        <rFont val="Arial MT"/>
        <family val="2"/>
      </rPr>
      <t xml:space="preserve">Map Fraksi
</t>
    </r>
    <r>
      <rPr>
        <sz val="9"/>
        <rFont val="Arial MT"/>
        <family val="2"/>
      </rPr>
      <t>Spesifikasi : Buffalo berwarna, ukuran F4</t>
    </r>
  </si>
  <si>
    <r>
      <rPr>
        <sz val="9"/>
        <rFont val="Arial MT"/>
        <family val="2"/>
      </rPr>
      <t>Lembar</t>
    </r>
  </si>
  <si>
    <r>
      <rPr>
        <sz val="9"/>
        <rFont val="Arial MT"/>
        <family val="2"/>
      </rPr>
      <t xml:space="preserve">Buku Agenda
</t>
    </r>
    <r>
      <rPr>
        <sz val="9"/>
        <rFont val="Arial MT"/>
        <family val="2"/>
      </rPr>
      <t>Spesifikasi : Bahan Kulit Sintetis</t>
    </r>
  </si>
  <si>
    <r>
      <rPr>
        <b/>
        <sz val="9"/>
        <rFont val="Arial"/>
        <family val="2"/>
      </rPr>
      <t>5.1.02.04</t>
    </r>
  </si>
  <si>
    <r>
      <rPr>
        <b/>
        <sz val="9"/>
        <rFont val="Arial"/>
        <family val="2"/>
      </rPr>
      <t>Belanja Perjalanan Dinas</t>
    </r>
  </si>
  <si>
    <r>
      <rPr>
        <b/>
        <sz val="9"/>
        <rFont val="Arial"/>
        <family val="2"/>
      </rPr>
      <t>5.1.02.04.001</t>
    </r>
  </si>
  <si>
    <r>
      <rPr>
        <b/>
        <sz val="9"/>
        <rFont val="Arial"/>
        <family val="2"/>
      </rPr>
      <t>Belanja Perjalanan Dinas Dalam Negeri</t>
    </r>
  </si>
  <si>
    <r>
      <rPr>
        <b/>
        <sz val="9"/>
        <rFont val="Arial"/>
        <family val="2"/>
      </rPr>
      <t xml:space="preserve">5.1.02.04.001.000
</t>
    </r>
    <r>
      <rPr>
        <b/>
        <sz val="9"/>
        <rFont val="Arial"/>
        <family val="2"/>
      </rPr>
      <t>03</t>
    </r>
  </si>
  <si>
    <r>
      <rPr>
        <b/>
        <sz val="9"/>
        <rFont val="Arial"/>
        <family val="2"/>
      </rPr>
      <t>Belanja Perjalanan Dinas Dalam Kota</t>
    </r>
  </si>
  <si>
    <r>
      <rPr>
        <b/>
        <sz val="9"/>
        <rFont val="Arial"/>
        <family val="2"/>
      </rPr>
      <t xml:space="preserve">[ # ] Perjalanan Dinas Dalam Kota
</t>
    </r>
    <r>
      <rPr>
        <b/>
        <sz val="9"/>
        <rFont val="Arial"/>
        <family val="2"/>
      </rPr>
      <t>Sumber Dana : PENDAPATAN ASLI DAERAH (PAD)</t>
    </r>
  </si>
  <si>
    <r>
      <rPr>
        <b/>
        <sz val="9"/>
        <rFont val="Arial"/>
        <family val="2"/>
      </rPr>
      <t>[ - ] &lt;2000cc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</si>
  <si>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Ciawi</t>
    </r>
  </si>
  <si>
    <r>
      <rPr>
        <sz val="9"/>
        <rFont val="Arial MT"/>
        <family val="2"/>
      </rPr>
      <t>Kali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</si>
  <si>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Jasinga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</si>
  <si>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Parung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</si>
  <si>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Jonggol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</si>
  <si>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Ciseeng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</si>
  <si>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Cigudeg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</si>
  <si>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Klapanunggal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</si>
  <si>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Tanjungsari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</si>
  <si>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Dramaga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</si>
  <si>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Cisarua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</si>
  <si>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Leuwiliang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</si>
  <si>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Ciampea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</si>
  <si>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Tenjolaya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</si>
  <si>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Babakan Madan...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</si>
  <si>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Bojonggede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</si>
  <si>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Caringin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</si>
  <si>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Cibungbulang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</si>
  <si>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Cigombong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</si>
  <si>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Cijeruk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</si>
  <si>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Cileungsi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</si>
  <si>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Ciomas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</si>
  <si>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Citeureup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</si>
  <si>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Gunungputri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</si>
  <si>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Gunungsindur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</si>
  <si>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Kemang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</si>
  <si>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Leuwisadeng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</si>
  <si>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Megamendung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</si>
  <si>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Nanggung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</si>
  <si>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Pamijahan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</si>
  <si>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Rancabungur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</si>
  <si>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Rumpin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</si>
  <si>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Sukajaya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</si>
  <si>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Sukamakmur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</si>
  <si>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Sukaraja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</si>
  <si>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Tajurhalang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</si>
  <si>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Tamansari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</si>
  <si>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Tenjo</t>
    </r>
  </si>
  <si>
    <r>
      <rPr>
        <b/>
        <sz val="9"/>
        <rFont val="Arial"/>
        <family val="2"/>
      </rPr>
      <t>[ - ] Uang Harian dan Representasi</t>
    </r>
  </si>
  <si>
    <r>
      <rPr>
        <sz val="9"/>
        <rFont val="Arial MT"/>
        <family val="2"/>
      </rPr>
      <t xml:space="preserve">Uang Harian Perjalanan Dinas Dalam Daerah Spesifikasi : Perjalanan Dinas Dalam Daerah
</t>
    </r>
    <r>
      <rPr>
        <sz val="9"/>
        <rFont val="Arial MT"/>
        <family val="2"/>
      </rPr>
      <t>Lebih dari 8 jam</t>
    </r>
  </si>
  <si>
    <r>
      <rPr>
        <sz val="9"/>
        <rFont val="Arial MT"/>
        <family val="2"/>
      </rPr>
      <t>Orang / Hari</t>
    </r>
  </si>
  <si>
    <r>
      <rPr>
        <sz val="9"/>
        <rFont val="Arial MT"/>
        <family val="2"/>
      </rPr>
      <t>: 1.02.01.2.05.0005 Monitoring, Evaluasi, dan Penilaian Kinerja Pegawai</t>
    </r>
  </si>
  <si>
    <r>
      <rPr>
        <sz val="9"/>
        <rFont val="Arial MT"/>
        <family val="2"/>
      </rPr>
      <t>: Rp. 32.190.000,00</t>
    </r>
  </si>
  <si>
    <r>
      <rPr>
        <sz val="9"/>
        <rFont val="Arial MT"/>
        <family val="2"/>
      </rPr>
      <t>: Rp. 33.531.784,00</t>
    </r>
  </si>
  <si>
    <r>
      <rPr>
        <sz val="9"/>
        <rFont val="Arial MT"/>
        <family val="2"/>
      </rPr>
      <t>Jumlah Dokumen Monitoring, Evaluasi, dan Penilaian Kinerja Pegawai</t>
    </r>
  </si>
  <si>
    <r>
      <rPr>
        <sz val="9"/>
        <rFont val="Arial MT"/>
        <family val="2"/>
      </rPr>
      <t>4 Dokumen</t>
    </r>
  </si>
  <si>
    <r>
      <rPr>
        <sz val="9"/>
        <rFont val="Arial MT"/>
        <family val="2"/>
      </rPr>
      <t>: Jumlah Dokumen Monitoring, Evaluasi, dan Penilaian Kinerja Pegawai</t>
    </r>
  </si>
  <si>
    <r>
      <rPr>
        <b/>
        <sz val="9"/>
        <rFont val="Arial"/>
        <family val="2"/>
      </rPr>
      <t xml:space="preserve">[ # ] Perjalanan Dinas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</si>
  <si>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>: 1.02.01.2.05.0009 Pendidikan dan Pelatihan Pegawai Berdasarkan Tugas dan Fungsi</t>
    </r>
  </si>
  <si>
    <r>
      <rPr>
        <sz val="9"/>
        <rFont val="Arial MT"/>
        <family val="2"/>
      </rPr>
      <t>: Rp. 44.000.000,00</t>
    </r>
  </si>
  <si>
    <r>
      <rPr>
        <sz val="9"/>
        <rFont val="Arial MT"/>
        <family val="2"/>
      </rPr>
      <t>: Rp. 45.760.000,00</t>
    </r>
  </si>
  <si>
    <r>
      <rPr>
        <sz val="9"/>
        <rFont val="Arial MT"/>
        <family val="2"/>
      </rPr>
      <t>Jumlah Pegawai Berdasarkan Tugas dan Fungsi yang Mengikuti Pendidikan dan Pelatihan</t>
    </r>
  </si>
  <si>
    <r>
      <rPr>
        <sz val="9"/>
        <rFont val="Arial MT"/>
        <family val="2"/>
      </rPr>
      <t>14 Orang</t>
    </r>
  </si>
  <si>
    <r>
      <rPr>
        <sz val="9"/>
        <rFont val="Arial MT"/>
        <family val="2"/>
      </rPr>
      <t>: Jumlah Pegawai Berdasarkan Tugas dan Fungsi yang Mengikuti Pendidikan dan Pelatihan</t>
    </r>
  </si>
  <si>
    <r>
      <rPr>
        <b/>
        <sz val="9"/>
        <rFont val="Arial"/>
        <family val="2"/>
      </rPr>
      <t>5.1.02.02.012</t>
    </r>
  </si>
  <si>
    <r>
      <rPr>
        <b/>
        <sz val="9"/>
        <rFont val="Arial"/>
        <family val="2"/>
      </rPr>
      <t>Belanja Kursus/Pelatihan, Sosialisasi, Bimbingan Teknis serta Pendidikan dan Pelatihan</t>
    </r>
  </si>
  <si>
    <r>
      <rPr>
        <b/>
        <sz val="9"/>
        <rFont val="Arial"/>
        <family val="2"/>
      </rPr>
      <t xml:space="preserve">5.1.02.02.012.000
</t>
    </r>
    <r>
      <rPr>
        <b/>
        <sz val="9"/>
        <rFont val="Arial"/>
        <family val="2"/>
      </rPr>
      <t>01</t>
    </r>
  </si>
  <si>
    <r>
      <rPr>
        <b/>
        <sz val="9"/>
        <rFont val="Arial"/>
        <family val="2"/>
      </rPr>
      <t>Belanja Kursus Singkat/Pelatihan</t>
    </r>
  </si>
  <si>
    <r>
      <rPr>
        <b/>
        <sz val="9"/>
        <rFont val="Arial"/>
        <family val="2"/>
      </rPr>
      <t xml:space="preserve">[ # ] ---
</t>
    </r>
    <r>
      <rPr>
        <b/>
        <sz val="9"/>
        <rFont val="Arial"/>
        <family val="2"/>
      </rPr>
      <t>Sumber Dana : PENDAPATAN ASLI DAERAH (PAD)</t>
    </r>
  </si>
  <si>
    <r>
      <rPr>
        <b/>
        <sz val="9"/>
        <rFont val="Arial"/>
        <family val="2"/>
      </rPr>
      <t>[ - ] Belanja Kursus Singkat/Pelatihan</t>
    </r>
  </si>
  <si>
    <r>
      <rPr>
        <sz val="9"/>
        <rFont val="Arial MT"/>
        <family val="2"/>
      </rPr>
      <t xml:space="preserve">Biaya kepesertaan - Kursus Singkat/ Pelatihan Spesifikasi : Biaya kepesertaan - Kursus
</t>
    </r>
    <r>
      <rPr>
        <sz val="9"/>
        <rFont val="Arial MT"/>
        <family val="2"/>
      </rPr>
      <t>Singkat/ Pelatihan</t>
    </r>
  </si>
  <si>
    <r>
      <rPr>
        <sz val="9"/>
        <rFont val="Arial MT"/>
        <family val="2"/>
      </rPr>
      <t>Orang / Kegiatan</t>
    </r>
  </si>
  <si>
    <r>
      <rPr>
        <sz val="9"/>
        <rFont val="Arial MT"/>
        <family val="2"/>
      </rPr>
      <t>: 1.02.01.2.06 Administrasi Umum Perangkat Daerah</t>
    </r>
  </si>
  <si>
    <r>
      <rPr>
        <sz val="9"/>
        <rFont val="Arial MT"/>
        <family val="2"/>
      </rPr>
      <t xml:space="preserve">: 1.02.01.2.06.0001 Penyediaan Komponen Instalasi
</t>
    </r>
    <r>
      <rPr>
        <sz val="9"/>
        <rFont val="Arial MT"/>
        <family val="2"/>
      </rPr>
      <t>Listrik/Penerangan Bangunan Kantor</t>
    </r>
  </si>
  <si>
    <r>
      <rPr>
        <sz val="9"/>
        <rFont val="Arial MT"/>
        <family val="2"/>
      </rPr>
      <t>: Rp. 50.303.975,00</t>
    </r>
  </si>
  <si>
    <r>
      <rPr>
        <sz val="9"/>
        <rFont val="Arial MT"/>
        <family val="2"/>
      </rPr>
      <t>: Rp. 52.947.000,00</t>
    </r>
  </si>
  <si>
    <r>
      <rPr>
        <sz val="9"/>
        <rFont val="Arial MT"/>
        <family val="2"/>
      </rPr>
      <t>Jumlah Paket Komponen Instalasi Listrik/Penerangan Bangunan Kantor yang Disediakan</t>
    </r>
  </si>
  <si>
    <r>
      <rPr>
        <sz val="9"/>
        <rFont val="Arial MT"/>
        <family val="2"/>
      </rPr>
      <t>4 Paket</t>
    </r>
  </si>
  <si>
    <r>
      <rPr>
        <sz val="9"/>
        <rFont val="Arial MT"/>
        <family val="2"/>
      </rPr>
      <t>Persentase Terpenuhinya Jasa Pelayanan Administrasi Umum</t>
    </r>
  </si>
  <si>
    <r>
      <rPr>
        <sz val="9"/>
        <rFont val="Arial MT"/>
        <family val="2"/>
      </rPr>
      <t>: Jumlah Paket Komponen Instalasi Listrik/Penerangan Bangunan Kantor yang Disediakan</t>
    </r>
  </si>
  <si>
    <r>
      <rPr>
        <sz val="9"/>
        <rFont val="Arial MT"/>
        <family val="2"/>
      </rPr>
      <t xml:space="preserve">Odner
</t>
    </r>
    <r>
      <rPr>
        <sz val="9"/>
        <rFont val="Arial MT"/>
        <family val="2"/>
      </rPr>
      <t>Spesifikasi : Ukuran folio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</si>
  <si>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31</t>
    </r>
  </si>
  <si>
    <r>
      <rPr>
        <b/>
        <sz val="9"/>
        <rFont val="Arial"/>
        <family val="2"/>
      </rPr>
      <t>Belanja Alat/Bahan untuk Kegiatan Kantor-Alat Listrik</t>
    </r>
  </si>
  <si>
    <r>
      <rPr>
        <b/>
        <sz val="9"/>
        <rFont val="Arial"/>
        <family val="2"/>
      </rPr>
      <t xml:space="preserve">[ # ] Alat Listrik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</si>
  <si>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Baterai
</t>
    </r>
    <r>
      <rPr>
        <sz val="9"/>
        <rFont val="Arial MT"/>
        <family val="2"/>
      </rPr>
      <t>Spesifikasi : AAA, daya 1,5 volt</t>
    </r>
  </si>
  <si>
    <r>
      <rPr>
        <sz val="9"/>
        <rFont val="Arial MT"/>
        <family val="2"/>
      </rPr>
      <t xml:space="preserve">Lampu
</t>
    </r>
    <r>
      <rPr>
        <sz val="9"/>
        <rFont val="Arial MT"/>
        <family val="2"/>
      </rPr>
      <t>Spesifikasi : LED 20 Watt</t>
    </r>
  </si>
  <si>
    <r>
      <rPr>
        <sz val="9"/>
        <rFont val="Arial MT"/>
        <family val="2"/>
      </rPr>
      <t xml:space="preserve">Kabel Roll
</t>
    </r>
    <r>
      <rPr>
        <sz val="9"/>
        <rFont val="Arial MT"/>
        <family val="2"/>
      </rPr>
      <t>Spesifikasi : 4 lubang, panjang 15 meter</t>
    </r>
  </si>
  <si>
    <r>
      <rPr>
        <sz val="9"/>
        <rFont val="Arial MT"/>
        <family val="2"/>
      </rPr>
      <t xml:space="preserve">MCB
</t>
    </r>
    <r>
      <rPr>
        <sz val="9"/>
        <rFont val="Arial MT"/>
        <family val="2"/>
      </rPr>
      <t>Spesifikasi :  32 Amper, 1 Phase</t>
    </r>
  </si>
  <si>
    <r>
      <rPr>
        <sz val="9"/>
        <rFont val="Arial MT"/>
        <family val="2"/>
      </rPr>
      <t xml:space="preserve">MCB
</t>
    </r>
    <r>
      <rPr>
        <sz val="9"/>
        <rFont val="Arial MT"/>
        <family val="2"/>
      </rPr>
      <t>Spesifikasi : 20 Ampere, 1 Phase</t>
    </r>
  </si>
  <si>
    <r>
      <rPr>
        <sz val="9"/>
        <rFont val="Arial MT"/>
        <family val="2"/>
      </rPr>
      <t xml:space="preserve">Baterai
</t>
    </r>
    <r>
      <rPr>
        <sz val="9"/>
        <rFont val="Arial MT"/>
        <family val="2"/>
      </rPr>
      <t>Spesifikasi : AA, daya 1,5 volt</t>
    </r>
  </si>
  <si>
    <r>
      <rPr>
        <sz val="9"/>
        <rFont val="Arial MT"/>
        <family val="2"/>
      </rPr>
      <t xml:space="preserve">Lampu
</t>
    </r>
    <r>
      <rPr>
        <sz val="9"/>
        <rFont val="Arial MT"/>
        <family val="2"/>
      </rPr>
      <t>Spesifikasi : Daya 18 Watt</t>
    </r>
  </si>
  <si>
    <r>
      <rPr>
        <sz val="9"/>
        <rFont val="Arial MT"/>
        <family val="2"/>
      </rPr>
      <t xml:space="preserve">Lampu
</t>
    </r>
    <r>
      <rPr>
        <sz val="9"/>
        <rFont val="Arial MT"/>
        <family val="2"/>
      </rPr>
      <t>Spesifikasi : TL LED, 16 Watt</t>
    </r>
  </si>
  <si>
    <r>
      <rPr>
        <sz val="9"/>
        <rFont val="Arial MT"/>
        <family val="2"/>
      </rPr>
      <t xml:space="preserve">Lampu Sorot
</t>
    </r>
    <r>
      <rPr>
        <sz val="9"/>
        <rFont val="Arial MT"/>
        <family val="2"/>
      </rPr>
      <t>Spesifikasi : Daya 50 Watt</t>
    </r>
  </si>
  <si>
    <r>
      <rPr>
        <sz val="9"/>
        <rFont val="Arial MT"/>
        <family val="2"/>
      </rPr>
      <t>: Rp. 2.106.933.700,00</t>
    </r>
  </si>
  <si>
    <r>
      <rPr>
        <sz val="9"/>
        <rFont val="Arial MT"/>
        <family val="2"/>
      </rPr>
      <t>: Rp. 759.733.170,00</t>
    </r>
  </si>
  <si>
    <r>
      <rPr>
        <sz val="9"/>
        <rFont val="Arial MT"/>
        <family val="2"/>
      </rPr>
      <t>Jumlah Paket Peralatan dan Perlengkapan Kantor yang Disediakan</t>
    </r>
  </si>
  <si>
    <r>
      <rPr>
        <sz val="9"/>
        <rFont val="Arial MT"/>
        <family val="2"/>
      </rPr>
      <t>6 Paket</t>
    </r>
  </si>
  <si>
    <r>
      <rPr>
        <sz val="9"/>
        <rFont val="Arial MT"/>
        <family val="2"/>
      </rPr>
      <t>: Jumlah Paket Peralatan dan Perlengkapan Kantor yang Disediakan</t>
    </r>
  </si>
  <si>
    <r>
      <rPr>
        <b/>
        <sz val="9"/>
        <rFont val="Arial"/>
        <family val="2"/>
      </rPr>
      <t>5.2</t>
    </r>
  </si>
  <si>
    <r>
      <rPr>
        <b/>
        <sz val="9"/>
        <rFont val="Arial"/>
        <family val="2"/>
      </rPr>
      <t>BELANJA MODAL</t>
    </r>
  </si>
  <si>
    <r>
      <rPr>
        <b/>
        <sz val="9"/>
        <rFont val="Arial"/>
        <family val="2"/>
      </rPr>
      <t>Belanja Modal Peralatan dan Mesin</t>
    </r>
  </si>
  <si>
    <r>
      <rPr>
        <b/>
        <sz val="9"/>
        <rFont val="Arial"/>
        <family val="2"/>
      </rPr>
      <t>5.2.02.05</t>
    </r>
  </si>
  <si>
    <r>
      <rPr>
        <b/>
        <sz val="9"/>
        <rFont val="Arial"/>
        <family val="2"/>
      </rPr>
      <t>Belanja Modal Alat Kantor dan Rumah Tangga</t>
    </r>
  </si>
  <si>
    <r>
      <rPr>
        <b/>
        <sz val="9"/>
        <rFont val="Arial"/>
        <family val="2"/>
      </rPr>
      <t>5.2.02.05.002</t>
    </r>
  </si>
  <si>
    <r>
      <rPr>
        <b/>
        <sz val="9"/>
        <rFont val="Arial"/>
        <family val="2"/>
      </rPr>
      <t>Belanja Modal Alat Rumah Tangga</t>
    </r>
  </si>
  <si>
    <r>
      <rPr>
        <b/>
        <sz val="9"/>
        <rFont val="Arial"/>
        <family val="2"/>
      </rPr>
      <t xml:space="preserve">[ # ] POKIR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</si>
  <si>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>Unit Unit</t>
    </r>
  </si>
  <si>
    <r>
      <rPr>
        <b/>
        <sz val="9"/>
        <rFont val="Arial"/>
        <family val="2"/>
      </rPr>
      <t>5.2.02.06</t>
    </r>
  </si>
  <si>
    <r>
      <rPr>
        <b/>
        <sz val="9"/>
        <rFont val="Arial"/>
        <family val="2"/>
      </rPr>
      <t>Belanja Modal Alat Studio, Komunikasi, dan Pemancar</t>
    </r>
  </si>
  <si>
    <r>
      <rPr>
        <b/>
        <sz val="9"/>
        <rFont val="Arial"/>
        <family val="2"/>
      </rPr>
      <t>5.2.02.06.001</t>
    </r>
  </si>
  <si>
    <r>
      <rPr>
        <b/>
        <sz val="9"/>
        <rFont val="Arial"/>
        <family val="2"/>
      </rPr>
      <t>Belanja Modal Alat Studio</t>
    </r>
  </si>
  <si>
    <r>
      <rPr>
        <b/>
        <sz val="9"/>
        <rFont val="Arial"/>
        <family val="2"/>
      </rPr>
      <t xml:space="preserve">5.2.02.06.001.000
</t>
    </r>
    <r>
      <rPr>
        <b/>
        <sz val="9"/>
        <rFont val="Arial"/>
        <family val="2"/>
      </rPr>
      <t>01</t>
    </r>
  </si>
  <si>
    <r>
      <rPr>
        <b/>
        <sz val="9"/>
        <rFont val="Arial"/>
        <family val="2"/>
      </rPr>
      <t>Belanja Modal Peralatan Studio Audio</t>
    </r>
  </si>
  <si>
    <r>
      <rPr>
        <b/>
        <sz val="9"/>
        <rFont val="Arial"/>
        <family val="2"/>
      </rPr>
      <t xml:space="preserve">[ # ] Sound System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</si>
  <si>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Sound System
</t>
    </r>
    <r>
      <rPr>
        <sz val="9"/>
        <rFont val="Arial MT"/>
        <family val="2"/>
      </rPr>
      <t>Spesifikasi : 2 Way Speaker Wall 8 Inch</t>
    </r>
  </si>
  <si>
    <r>
      <rPr>
        <sz val="9"/>
        <rFont val="Arial MT"/>
        <family val="2"/>
      </rPr>
      <t>Unit</t>
    </r>
  </si>
  <si>
    <r>
      <rPr>
        <b/>
        <sz val="9"/>
        <rFont val="Arial"/>
        <family val="2"/>
      </rPr>
      <t>5.2.02.10</t>
    </r>
  </si>
  <si>
    <r>
      <rPr>
        <b/>
        <sz val="9"/>
        <rFont val="Arial"/>
        <family val="2"/>
      </rPr>
      <t>Belanja Modal Komputer</t>
    </r>
  </si>
  <si>
    <r>
      <rPr>
        <b/>
        <sz val="9"/>
        <rFont val="Arial"/>
        <family val="2"/>
      </rPr>
      <t>5.2.02.10.001</t>
    </r>
  </si>
  <si>
    <r>
      <rPr>
        <b/>
        <sz val="9"/>
        <rFont val="Arial"/>
        <family val="2"/>
      </rPr>
      <t>Belanja Modal Komputer Unit</t>
    </r>
  </si>
  <si>
    <r>
      <rPr>
        <b/>
        <sz val="9"/>
        <rFont val="Arial"/>
        <family val="2"/>
      </rPr>
      <t xml:space="preserve">5.2.02.10.001.000
</t>
    </r>
    <r>
      <rPr>
        <b/>
        <sz val="9"/>
        <rFont val="Arial"/>
        <family val="2"/>
      </rPr>
      <t>02</t>
    </r>
  </si>
  <si>
    <r>
      <rPr>
        <b/>
        <sz val="9"/>
        <rFont val="Arial"/>
        <family val="2"/>
      </rPr>
      <t>Belanja Modal Personal Computer</t>
    </r>
  </si>
  <si>
    <r>
      <rPr>
        <b/>
        <sz val="9"/>
        <rFont val="Arial"/>
        <family val="2"/>
      </rPr>
      <t xml:space="preserve">[ # ] Personal Computer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</si>
  <si>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PC unit
</t>
    </r>
    <r>
      <rPr>
        <sz val="9"/>
        <rFont val="Arial MT"/>
        <family val="2"/>
      </rPr>
      <t>Spesifikasi : All in one, processor Core i7, RAM 8 GB, SSD 512 G...</t>
    </r>
  </si>
  <si>
    <r>
      <rPr>
        <b/>
        <sz val="9"/>
        <rFont val="Arial"/>
        <family val="2"/>
      </rPr>
      <t>[ - ] P2P</t>
    </r>
  </si>
  <si>
    <r>
      <rPr>
        <sz val="9"/>
        <rFont val="Arial MT"/>
        <family val="2"/>
      </rPr>
      <t xml:space="preserve">PC Unit
</t>
    </r>
    <r>
      <rPr>
        <sz val="9"/>
        <rFont val="Arial MT"/>
        <family val="2"/>
      </rPr>
      <t>Spesifikasi : All in one, processor Core i7, uk. layar 27 inch, ...</t>
    </r>
  </si>
  <si>
    <r>
      <rPr>
        <b/>
        <sz val="9"/>
        <rFont val="Arial"/>
        <family val="2"/>
      </rPr>
      <t>5.2.02.10.002</t>
    </r>
  </si>
  <si>
    <r>
      <rPr>
        <b/>
        <sz val="9"/>
        <rFont val="Arial"/>
        <family val="2"/>
      </rPr>
      <t>Belanja Modal Peralatan Komputer</t>
    </r>
  </si>
  <si>
    <r>
      <rPr>
        <b/>
        <sz val="9"/>
        <rFont val="Arial"/>
        <family val="2"/>
      </rPr>
      <t xml:space="preserve">5.2.02.10.002.000
</t>
    </r>
    <r>
      <rPr>
        <b/>
        <sz val="9"/>
        <rFont val="Arial"/>
        <family val="2"/>
      </rPr>
      <t>03</t>
    </r>
  </si>
  <si>
    <r>
      <rPr>
        <b/>
        <sz val="9"/>
        <rFont val="Arial"/>
        <family val="2"/>
      </rPr>
      <t>Belanja Modal Peralatan Personal Computer</t>
    </r>
  </si>
  <si>
    <r>
      <rPr>
        <b/>
        <sz val="9"/>
        <rFont val="Arial"/>
        <family val="2"/>
      </rPr>
      <t xml:space="preserve">[ # ] Peralatan Personal Computer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</si>
  <si>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Printer
</t>
    </r>
    <r>
      <rPr>
        <sz val="9"/>
        <rFont val="Arial MT"/>
        <family val="2"/>
      </rPr>
      <t>Spesifikasi : 33 ppm black,15 ppm color, scanner flatbed</t>
    </r>
  </si>
  <si>
    <r>
      <rPr>
        <sz val="9"/>
        <rFont val="Arial MT"/>
        <family val="2"/>
      </rPr>
      <t xml:space="preserve">Printer
</t>
    </r>
    <r>
      <rPr>
        <sz val="9"/>
        <rFont val="Arial MT"/>
        <family val="2"/>
      </rPr>
      <t>Spesifikasi : Kecepatan print 30 ppm</t>
    </r>
  </si>
  <si>
    <r>
      <rPr>
        <sz val="9"/>
        <rFont val="Arial MT"/>
        <family val="2"/>
      </rPr>
      <t>: 1.02.01.2.06.0003 Penyediaan Peralatan Rumah Tangga</t>
    </r>
  </si>
  <si>
    <r>
      <rPr>
        <sz val="9"/>
        <rFont val="Arial MT"/>
        <family val="2"/>
      </rPr>
      <t>: Rp. 190.272.983,00</t>
    </r>
  </si>
  <si>
    <r>
      <rPr>
        <sz val="9"/>
        <rFont val="Arial MT"/>
        <family val="2"/>
      </rPr>
      <t>: Rp. 154.952.660,00</t>
    </r>
  </si>
  <si>
    <r>
      <rPr>
        <sz val="9"/>
        <rFont val="Arial MT"/>
        <family val="2"/>
      </rPr>
      <t>Jumlah Paket Peralatan Rumah Tangga yang Disediakan</t>
    </r>
  </si>
  <si>
    <r>
      <rPr>
        <sz val="9"/>
        <rFont val="Arial MT"/>
        <family val="2"/>
      </rPr>
      <t>3 Paket</t>
    </r>
  </si>
  <si>
    <r>
      <rPr>
        <sz val="9"/>
        <rFont val="Arial MT"/>
        <family val="2"/>
      </rPr>
      <t>: Jumlah Paket Peralatan Rumah Tangga yang Disediakan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</si>
  <si>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30</t>
    </r>
  </si>
  <si>
    <r>
      <rPr>
        <b/>
        <sz val="9"/>
        <rFont val="Arial"/>
        <family val="2"/>
      </rPr>
      <t>Belanja Alat/Bahan untuk Kegiatan Kantor-Perabot Kantor</t>
    </r>
  </si>
  <si>
    <r>
      <rPr>
        <b/>
        <sz val="9"/>
        <rFont val="Arial"/>
        <family val="2"/>
      </rPr>
      <t xml:space="preserve">[ # ] Perabot Kantor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</si>
  <si>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Pengharum Ruangan
</t>
    </r>
    <r>
      <rPr>
        <sz val="9"/>
        <rFont val="Arial MT"/>
        <family val="2"/>
      </rPr>
      <t>Spesifikasi : Otomatis, 3 pilihan pengatur waktu</t>
    </r>
  </si>
  <si>
    <r>
      <rPr>
        <sz val="9"/>
        <rFont val="Arial MT"/>
        <family val="2"/>
      </rPr>
      <t>10 x 1.000000349</t>
    </r>
  </si>
  <si>
    <r>
      <rPr>
        <sz val="9"/>
        <rFont val="Arial MT"/>
        <family val="2"/>
      </rPr>
      <t>Unit Buah</t>
    </r>
  </si>
  <si>
    <r>
      <rPr>
        <sz val="9"/>
        <rFont val="Arial MT"/>
        <family val="2"/>
      </rPr>
      <t xml:space="preserve">Kamper
</t>
    </r>
    <r>
      <rPr>
        <sz val="9"/>
        <rFont val="Arial MT"/>
        <family val="2"/>
      </rPr>
      <t>Spesifikasi : Kemasan 500 gram</t>
    </r>
  </si>
  <si>
    <r>
      <rPr>
        <sz val="9"/>
        <rFont val="Arial MT"/>
        <family val="2"/>
      </rPr>
      <t xml:space="preserve">Kanebo
</t>
    </r>
    <r>
      <rPr>
        <sz val="9"/>
        <rFont val="Arial MT"/>
        <family val="2"/>
      </rPr>
      <t>Spesifikasi : Ukuran 43 cm x 32 cm x 0,2 cm</t>
    </r>
  </si>
  <si>
    <r>
      <rPr>
        <sz val="9"/>
        <rFont val="Arial MT"/>
        <family val="2"/>
      </rPr>
      <t xml:space="preserve">Keset
</t>
    </r>
    <r>
      <rPr>
        <sz val="9"/>
        <rFont val="Arial MT"/>
        <family val="2"/>
      </rPr>
      <t>Spesifikasi : Bahan PVC, anti slip</t>
    </r>
  </si>
  <si>
    <r>
      <rPr>
        <sz val="9"/>
        <rFont val="Arial MT"/>
        <family val="2"/>
      </rPr>
      <t xml:space="preserve">Pel Lantai
</t>
    </r>
    <r>
      <rPr>
        <sz val="9"/>
        <rFont val="Arial MT"/>
        <family val="2"/>
      </rPr>
      <t>Spesifikasi : Gagang bahan plastik</t>
    </r>
  </si>
  <si>
    <r>
      <rPr>
        <sz val="9"/>
        <rFont val="Arial MT"/>
        <family val="2"/>
      </rPr>
      <t xml:space="preserve">Cairan Pembersih Kaca
</t>
    </r>
    <r>
      <rPr>
        <sz val="9"/>
        <rFont val="Arial MT"/>
        <family val="2"/>
      </rPr>
      <t>Spesifikasi : Kemasan isi 500 ml</t>
    </r>
  </si>
  <si>
    <r>
      <rPr>
        <sz val="9"/>
        <rFont val="Arial MT"/>
        <family val="2"/>
      </rPr>
      <t xml:space="preserve">Pembersih Lantai
</t>
    </r>
    <r>
      <rPr>
        <sz val="9"/>
        <rFont val="Arial MT"/>
        <family val="2"/>
      </rPr>
      <t>Spesifikasi : Karbol, kemasan 750 ml</t>
    </r>
  </si>
  <si>
    <r>
      <rPr>
        <sz val="9"/>
        <rFont val="Arial MT"/>
        <family val="2"/>
      </rPr>
      <t xml:space="preserve">Pengki
</t>
    </r>
    <r>
      <rPr>
        <sz val="9"/>
        <rFont val="Arial MT"/>
        <family val="2"/>
      </rPr>
      <t>Spesifikasi : Bahan Plastik Karet</t>
    </r>
  </si>
  <si>
    <r>
      <rPr>
        <sz val="9"/>
        <rFont val="Arial MT"/>
        <family val="2"/>
      </rPr>
      <t xml:space="preserve">Pengharum Ruangan
</t>
    </r>
    <r>
      <rPr>
        <sz val="9"/>
        <rFont val="Arial MT"/>
        <family val="2"/>
      </rPr>
      <t>Spesifikasi : Refill, otomatis, ukuran 340 ml</t>
    </r>
  </si>
  <si>
    <r>
      <rPr>
        <sz val="9"/>
        <rFont val="Arial MT"/>
        <family val="2"/>
      </rPr>
      <t xml:space="preserve">Sabun Cuci Piring
</t>
    </r>
    <r>
      <rPr>
        <sz val="9"/>
        <rFont val="Arial MT"/>
        <family val="2"/>
      </rPr>
      <t>Spesifikasi : Refill kemasan 400 ml</t>
    </r>
  </si>
  <si>
    <r>
      <rPr>
        <sz val="9"/>
        <rFont val="Arial MT"/>
        <family val="2"/>
      </rPr>
      <t xml:space="preserve">Sabun Cuci Tangan
</t>
    </r>
    <r>
      <rPr>
        <sz val="9"/>
        <rFont val="Arial MT"/>
        <family val="2"/>
      </rPr>
      <t>Spesifikasi : Refill, kemasan 1000 ml</t>
    </r>
  </si>
  <si>
    <r>
      <rPr>
        <sz val="9"/>
        <rFont val="Arial MT"/>
        <family val="2"/>
      </rPr>
      <t>Liter</t>
    </r>
  </si>
  <si>
    <r>
      <rPr>
        <sz val="9"/>
        <rFont val="Arial MT"/>
        <family val="2"/>
      </rPr>
      <t xml:space="preserve">Sapu
</t>
    </r>
    <r>
      <rPr>
        <sz val="9"/>
        <rFont val="Arial MT"/>
        <family val="2"/>
      </rPr>
      <t>Spesifikasi : Bahan ijuk</t>
    </r>
  </si>
  <si>
    <r>
      <rPr>
        <sz val="9"/>
        <rFont val="Arial MT"/>
        <family val="2"/>
      </rPr>
      <t xml:space="preserve">Sapu Lidi
</t>
    </r>
    <r>
      <rPr>
        <sz val="9"/>
        <rFont val="Arial MT"/>
        <family val="2"/>
      </rPr>
      <t>Spesifikasi : Bergagang</t>
    </r>
  </si>
  <si>
    <r>
      <rPr>
        <sz val="9"/>
        <rFont val="Arial MT"/>
        <family val="2"/>
      </rPr>
      <t xml:space="preserve">Sikat
</t>
    </r>
    <r>
      <rPr>
        <sz val="9"/>
        <rFont val="Arial MT"/>
        <family val="2"/>
      </rPr>
      <t>Spesifikasi : Bentuk gagang panjang</t>
    </r>
  </si>
  <si>
    <r>
      <rPr>
        <sz val="9"/>
        <rFont val="Arial MT"/>
        <family val="2"/>
      </rPr>
      <t xml:space="preserve">Tempat Sampah
</t>
    </r>
    <r>
      <rPr>
        <sz val="9"/>
        <rFont val="Arial MT"/>
        <family val="2"/>
      </rPr>
      <t>Spesifikasi : Bahan stainless stell, kapasitas 20 liter</t>
    </r>
  </si>
  <si>
    <r>
      <rPr>
        <sz val="9"/>
        <rFont val="Arial MT"/>
        <family val="2"/>
      </rPr>
      <t>-</t>
    </r>
  </si>
  <si>
    <r>
      <rPr>
        <sz val="9"/>
        <rFont val="Arial MT"/>
        <family val="2"/>
      </rPr>
      <t xml:space="preserve">Tempat Sampah
</t>
    </r>
    <r>
      <rPr>
        <sz val="9"/>
        <rFont val="Arial MT"/>
        <family val="2"/>
      </rPr>
      <t xml:space="preserve">Spesifikasi : Tong komposter, kapasitas 60
</t>
    </r>
    <r>
      <rPr>
        <sz val="9"/>
        <rFont val="Arial MT"/>
        <family val="2"/>
      </rPr>
      <t>liter</t>
    </r>
  </si>
  <si>
    <r>
      <rPr>
        <sz val="9"/>
        <rFont val="Arial MT"/>
        <family val="2"/>
      </rPr>
      <t xml:space="preserve">Tissue
</t>
    </r>
    <r>
      <rPr>
        <sz val="9"/>
        <rFont val="Arial MT"/>
        <family val="2"/>
      </rPr>
      <t>Spesifikasi : Refill, roll</t>
    </r>
  </si>
  <si>
    <r>
      <rPr>
        <sz val="9"/>
        <rFont val="Arial MT"/>
        <family val="2"/>
      </rPr>
      <t xml:space="preserve">Tissue
</t>
    </r>
    <r>
      <rPr>
        <sz val="9"/>
        <rFont val="Arial MT"/>
        <family val="2"/>
      </rPr>
      <t>Spesifikasi : Refill, Multifold</t>
    </r>
  </si>
  <si>
    <r>
      <rPr>
        <b/>
        <sz val="9"/>
        <rFont val="Arial"/>
        <family val="2"/>
      </rPr>
      <t>[ - ] Belanja Alat/Bahan untuk Kegiatan Kantor-Perabot Kantor</t>
    </r>
  </si>
  <si>
    <r>
      <rPr>
        <sz val="9"/>
        <rFont val="Arial MT"/>
        <family val="2"/>
      </rPr>
      <t xml:space="preserve">Gelas Goblet
</t>
    </r>
    <r>
      <rPr>
        <sz val="9"/>
        <rFont val="Arial MT"/>
        <family val="2"/>
      </rPr>
      <t>Spesifikasi : Isi 6 pcs</t>
    </r>
  </si>
  <si>
    <r>
      <rPr>
        <sz val="9"/>
        <rFont val="Arial MT"/>
        <family val="2"/>
      </rPr>
      <t xml:space="preserve">Gelas kopi
</t>
    </r>
    <r>
      <rPr>
        <sz val="9"/>
        <rFont val="Arial MT"/>
        <family val="2"/>
      </rPr>
      <t>Spesifikasi : isi 50 pcs, ukuran 8 oz</t>
    </r>
  </si>
  <si>
    <r>
      <rPr>
        <sz val="9"/>
        <rFont val="Arial MT"/>
        <family val="2"/>
      </rPr>
      <t xml:space="preserve">Bendera merah Putih
</t>
    </r>
    <r>
      <rPr>
        <sz val="9"/>
        <rFont val="Arial MT"/>
        <family val="2"/>
      </rPr>
      <t xml:space="preserve">Spesifikasi : bahan kain, ukuran 120 cm x 180
</t>
    </r>
    <r>
      <rPr>
        <sz val="9"/>
        <rFont val="Arial MT"/>
        <family val="2"/>
      </rPr>
      <t>cm</t>
    </r>
  </si>
  <si>
    <r>
      <rPr>
        <sz val="9"/>
        <rFont val="Arial MT"/>
        <family val="2"/>
      </rPr>
      <t xml:space="preserve">Kantung Plastik
</t>
    </r>
    <r>
      <rPr>
        <sz val="9"/>
        <rFont val="Arial MT"/>
        <family val="2"/>
      </rPr>
      <t>Spesifikasi : Warna Kuning, Untuk Sampah, ukuran 100 cm x 120 cm...</t>
    </r>
  </si>
  <si>
    <r>
      <rPr>
        <sz val="9"/>
        <rFont val="Arial MT"/>
        <family val="2"/>
      </rPr>
      <t xml:space="preserve">Kantung Plastik
</t>
    </r>
    <r>
      <rPr>
        <sz val="9"/>
        <rFont val="Arial MT"/>
        <family val="2"/>
      </rPr>
      <t>Spesifikasi : Warna hitam, Untuk Sampah, ukuran 60 cm x 100 cm</t>
    </r>
  </si>
  <si>
    <r>
      <rPr>
        <sz val="9"/>
        <rFont val="Arial MT"/>
        <family val="2"/>
      </rPr>
      <t xml:space="preserve">Tempat Koran
</t>
    </r>
    <r>
      <rPr>
        <sz val="9"/>
        <rFont val="Arial MT"/>
        <family val="2"/>
      </rPr>
      <t>Spesifikasi : Bahan kayu</t>
    </r>
  </si>
  <si>
    <r>
      <rPr>
        <sz val="9"/>
        <rFont val="Arial MT"/>
        <family val="2"/>
      </rPr>
      <t xml:space="preserve">Sendok Makan
</t>
    </r>
    <r>
      <rPr>
        <sz val="9"/>
        <rFont val="Arial MT"/>
        <family val="2"/>
      </rPr>
      <t>Spesifikasi : Bahan stainless steel, isi 6 pcs</t>
    </r>
  </si>
  <si>
    <r>
      <rPr>
        <sz val="9"/>
        <rFont val="Arial MT"/>
        <family val="2"/>
      </rPr>
      <t>: 1.02.01.2.06.0004 Penyediaan Bahan Logistik Kantor</t>
    </r>
  </si>
  <si>
    <r>
      <rPr>
        <sz val="9"/>
        <rFont val="Arial MT"/>
        <family val="2"/>
      </rPr>
      <t>: Rp. 107.878.528,00</t>
    </r>
  </si>
  <si>
    <r>
      <rPr>
        <sz val="9"/>
        <rFont val="Arial MT"/>
        <family val="2"/>
      </rPr>
      <t>: Rp. 112.254.000,00</t>
    </r>
  </si>
  <si>
    <r>
      <rPr>
        <sz val="9"/>
        <rFont val="Arial MT"/>
        <family val="2"/>
      </rPr>
      <t>Jumlah Paket Bahan Logistik Kantor yang Disediakan</t>
    </r>
  </si>
  <si>
    <r>
      <rPr>
        <sz val="9"/>
        <rFont val="Arial MT"/>
        <family val="2"/>
      </rPr>
      <t>: Jumlah Paket Bahan Logistik Kantor yang Disediakan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</si>
  <si>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04</t>
    </r>
  </si>
  <si>
    <r>
      <rPr>
        <b/>
        <sz val="9"/>
        <rFont val="Arial"/>
        <family val="2"/>
      </rPr>
      <t>Belanja Bahan-Bahan Bakar dan Pelumas</t>
    </r>
  </si>
  <si>
    <r>
      <rPr>
        <b/>
        <sz val="9"/>
        <rFont val="Arial"/>
        <family val="2"/>
      </rPr>
      <t xml:space="preserve">[ # ] BBM
</t>
    </r>
    <r>
      <rPr>
        <b/>
        <sz val="9"/>
        <rFont val="Arial"/>
        <family val="2"/>
      </rPr>
      <t>Sumber Dana : PENDAPATAN ASLI DAERAH (PAD)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</si>
  <si>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10</t>
    </r>
  </si>
  <si>
    <r>
      <rPr>
        <b/>
        <sz val="9"/>
        <rFont val="Arial"/>
        <family val="2"/>
      </rPr>
      <t>Belanja Bahan-Isi Tabung Gas</t>
    </r>
  </si>
  <si>
    <r>
      <rPr>
        <b/>
        <sz val="9"/>
        <rFont val="Arial"/>
        <family val="2"/>
      </rPr>
      <t xml:space="preserve">[ # ] Gas LPG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</si>
  <si>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Isi Tabung Gas
</t>
    </r>
    <r>
      <rPr>
        <sz val="9"/>
        <rFont val="Arial MT"/>
        <family val="2"/>
      </rPr>
      <t>Spesifikasi : Oksigen, volume 6 m3</t>
    </r>
  </si>
  <si>
    <r>
      <rPr>
        <sz val="9"/>
        <rFont val="Arial MT"/>
        <family val="2"/>
      </rPr>
      <t>Tabung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</si>
  <si>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43</t>
    </r>
  </si>
  <si>
    <r>
      <rPr>
        <b/>
        <sz val="9"/>
        <rFont val="Arial"/>
        <family val="2"/>
      </rPr>
      <t>Belanja Natura dan Pakan-Natura</t>
    </r>
  </si>
  <si>
    <r>
      <rPr>
        <b/>
        <sz val="9"/>
        <rFont val="Arial"/>
        <family val="2"/>
      </rPr>
      <t xml:space="preserve">[ # ] Natura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</si>
  <si>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Teh Celup
</t>
    </r>
    <r>
      <rPr>
        <sz val="9"/>
        <rFont val="Arial MT"/>
        <family val="2"/>
      </rPr>
      <t>Spesifikasi : Kemasan 25 pcs</t>
    </r>
  </si>
  <si>
    <r>
      <rPr>
        <sz val="9"/>
        <rFont val="Arial MT"/>
        <family val="2"/>
      </rPr>
      <t xml:space="preserve">Kopi
</t>
    </r>
    <r>
      <rPr>
        <sz val="9"/>
        <rFont val="Arial MT"/>
        <family val="2"/>
      </rPr>
      <t>Spesifikasi : kemasan 24 gram, isi 10 sachet</t>
    </r>
  </si>
  <si>
    <r>
      <rPr>
        <sz val="9"/>
        <rFont val="Arial MT"/>
        <family val="2"/>
      </rPr>
      <t xml:space="preserve">Kopi
</t>
    </r>
    <r>
      <rPr>
        <sz val="9"/>
        <rFont val="Arial MT"/>
        <family val="2"/>
      </rPr>
      <t>Spesifikasi : Isi 10 sachet, rasa cappuccino</t>
    </r>
  </si>
  <si>
    <r>
      <rPr>
        <sz val="9"/>
        <rFont val="Arial MT"/>
        <family val="2"/>
      </rPr>
      <t xml:space="preserve">Gula Pasir
</t>
    </r>
    <r>
      <rPr>
        <sz val="9"/>
        <rFont val="Arial MT"/>
        <family val="2"/>
      </rPr>
      <t>Spesifikasi : Kemasan 1 kg</t>
    </r>
  </si>
  <si>
    <r>
      <rPr>
        <sz val="9"/>
        <rFont val="Arial MT"/>
        <family val="2"/>
      </rPr>
      <t xml:space="preserve">Air Mineral
</t>
    </r>
    <r>
      <rPr>
        <sz val="9"/>
        <rFont val="Arial MT"/>
        <family val="2"/>
      </rPr>
      <t>Spesifikasi : Kemasan 600 ml, isi 24 botol</t>
    </r>
  </si>
  <si>
    <r>
      <rPr>
        <sz val="9"/>
        <rFont val="Arial MT"/>
        <family val="2"/>
      </rPr>
      <t xml:space="preserve">Air Mineral
</t>
    </r>
    <r>
      <rPr>
        <sz val="9"/>
        <rFont val="Arial MT"/>
        <family val="2"/>
      </rPr>
      <t>Spesifikasi : Kemasan 220 ml, isi 48 cup</t>
    </r>
  </si>
  <si>
    <r>
      <rPr>
        <sz val="9"/>
        <rFont val="Arial MT"/>
        <family val="2"/>
      </rPr>
      <t xml:space="preserve">Air Mineral
</t>
    </r>
    <r>
      <rPr>
        <sz val="9"/>
        <rFont val="Arial MT"/>
        <family val="2"/>
      </rPr>
      <t>Spesifikasi : Kemasan 19 Liter</t>
    </r>
  </si>
  <si>
    <r>
      <rPr>
        <sz val="9"/>
        <rFont val="Arial MT"/>
        <family val="2"/>
      </rPr>
      <t>Galon</t>
    </r>
  </si>
  <si>
    <r>
      <rPr>
        <sz val="9"/>
        <rFont val="Arial MT"/>
        <family val="2"/>
      </rPr>
      <t xml:space="preserve">Biji Kopi Arabika
</t>
    </r>
    <r>
      <rPr>
        <sz val="9"/>
        <rFont val="Arial MT"/>
        <family val="2"/>
      </rPr>
      <t>Spesifikasi : Berat 1 kg</t>
    </r>
  </si>
  <si>
    <r>
      <rPr>
        <sz val="9"/>
        <rFont val="Arial MT"/>
        <family val="2"/>
      </rPr>
      <t>Biji Kopi Robusta Spesifikasi : Berat 1 kg</t>
    </r>
  </si>
  <si>
    <r>
      <rPr>
        <sz val="9"/>
        <rFont val="Arial MT"/>
        <family val="2"/>
      </rPr>
      <t>: 1.02.01.2.06.0005 Penyediaan Barang Cetakan dan Penggandaan</t>
    </r>
  </si>
  <si>
    <r>
      <rPr>
        <sz val="9"/>
        <rFont val="Arial MT"/>
        <family val="2"/>
      </rPr>
      <t>: Rp. 41.730.100,00</t>
    </r>
  </si>
  <si>
    <r>
      <rPr>
        <sz val="9"/>
        <rFont val="Arial MT"/>
        <family val="2"/>
      </rPr>
      <t>: Rp. 131.996.150,00</t>
    </r>
  </si>
  <si>
    <r>
      <rPr>
        <sz val="9"/>
        <rFont val="Arial MT"/>
        <family val="2"/>
      </rPr>
      <t>Jumlah Paket Barang Cetakan dan Penggandaan yang Disediakan</t>
    </r>
  </si>
  <si>
    <r>
      <rPr>
        <sz val="9"/>
        <rFont val="Arial MT"/>
        <family val="2"/>
      </rPr>
      <t>1 Paket</t>
    </r>
  </si>
  <si>
    <r>
      <rPr>
        <sz val="9"/>
        <rFont val="Arial MT"/>
        <family val="2"/>
      </rPr>
      <t>: Jumlah Paket Barang Cetakan dan Penggandaan yang Disediakan</t>
    </r>
  </si>
  <si>
    <r>
      <rPr>
        <b/>
        <sz val="9"/>
        <rFont val="Arial"/>
        <family val="2"/>
      </rPr>
      <t xml:space="preserve">[ # ] Bahan Cetak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</si>
  <si>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Blanko Karbonase
</t>
    </r>
    <r>
      <rPr>
        <sz val="9"/>
        <rFont val="Arial MT"/>
        <family val="2"/>
      </rPr>
      <t>Spesifikasi : Bahan Kertas NCR, isi 50 set, 1 set isi 5 lembar, ...</t>
    </r>
  </si>
  <si>
    <r>
      <rPr>
        <sz val="9"/>
        <rFont val="Arial MT"/>
        <family val="2"/>
      </rPr>
      <t>Buku</t>
    </r>
  </si>
  <si>
    <r>
      <rPr>
        <sz val="9"/>
        <rFont val="Arial MT"/>
        <family val="2"/>
      </rPr>
      <t xml:space="preserve">Box Arsip
</t>
    </r>
    <r>
      <rPr>
        <sz val="9"/>
        <rFont val="Arial MT"/>
        <family val="2"/>
      </rPr>
      <t>Spesifikasi : Bahan kardus, ukuran 37 cm x 19 cm x 27 cm, custom</t>
    </r>
  </si>
  <si>
    <r>
      <rPr>
        <sz val="9"/>
        <rFont val="Arial MT"/>
        <family val="2"/>
      </rPr>
      <t xml:space="preserve">Map
</t>
    </r>
    <r>
      <rPr>
        <sz val="9"/>
        <rFont val="Arial MT"/>
        <family val="2"/>
      </rPr>
      <t>Spesifikasi : Berlogo Warna, Bahan Kertas Buffalo</t>
    </r>
  </si>
  <si>
    <r>
      <rPr>
        <sz val="9"/>
        <rFont val="Arial MT"/>
        <family val="2"/>
      </rPr>
      <t xml:space="preserve">Spanduk
</t>
    </r>
    <r>
      <rPr>
        <sz val="9"/>
        <rFont val="Arial MT"/>
        <family val="2"/>
      </rPr>
      <t>Spesifikasi : Bahan Fleksi Cina</t>
    </r>
  </si>
  <si>
    <r>
      <rPr>
        <sz val="9"/>
        <rFont val="Arial MT"/>
        <family val="2"/>
      </rPr>
      <t>Meter</t>
    </r>
  </si>
  <si>
    <r>
      <rPr>
        <sz val="9"/>
        <rFont val="Arial MT"/>
        <family val="2"/>
      </rPr>
      <t xml:space="preserve">Soft Cover Warna
</t>
    </r>
    <r>
      <rPr>
        <sz val="9"/>
        <rFont val="Arial MT"/>
        <family val="2"/>
      </rPr>
      <t>Spesifikasi : Ukuran Dengan Ketebalan Sampai Dengan 1 (Satu) Rim</t>
    </r>
  </si>
  <si>
    <r>
      <rPr>
        <sz val="9"/>
        <rFont val="Arial MT"/>
        <family val="2"/>
      </rPr>
      <t xml:space="preserve">Kop Fraksi
</t>
    </r>
    <r>
      <rPr>
        <sz val="9"/>
        <rFont val="Arial MT"/>
        <family val="2"/>
      </rPr>
      <t>Spesifikasi : Hitam putih ukuran, F4</t>
    </r>
  </si>
  <si>
    <r>
      <rPr>
        <sz val="9"/>
        <rFont val="Arial MT"/>
        <family val="2"/>
      </rPr>
      <t xml:space="preserve">Stiker
</t>
    </r>
    <r>
      <rPr>
        <sz val="9"/>
        <rFont val="Arial MT"/>
        <family val="2"/>
      </rPr>
      <t>Spesifikasi : Ukuran A3, bahan vinyl, custom</t>
    </r>
  </si>
  <si>
    <r>
      <rPr>
        <sz val="9"/>
        <rFont val="Arial MT"/>
        <family val="2"/>
      </rPr>
      <t xml:space="preserve">Karcis
</t>
    </r>
    <r>
      <rPr>
        <sz val="9"/>
        <rFont val="Arial MT"/>
        <family val="2"/>
      </rPr>
      <t>Spesifikasi : Pelayanan Kesehatan</t>
    </r>
  </si>
  <si>
    <r>
      <rPr>
        <sz val="9"/>
        <rFont val="Arial MT"/>
        <family val="2"/>
      </rPr>
      <t>: 1.02.01.2.06.0008 Fasilitasi Kunjungan Tamu</t>
    </r>
  </si>
  <si>
    <r>
      <rPr>
        <sz val="9"/>
        <rFont val="Arial MT"/>
        <family val="2"/>
      </rPr>
      <t>: Rp. 176.956.450,00</t>
    </r>
  </si>
  <si>
    <r>
      <rPr>
        <sz val="9"/>
        <rFont val="Arial MT"/>
        <family val="2"/>
      </rPr>
      <t>: Rp. 121.059.800,00</t>
    </r>
  </si>
  <si>
    <r>
      <rPr>
        <sz val="9"/>
        <rFont val="Arial MT"/>
        <family val="2"/>
      </rPr>
      <t>Jumlah Laporan Fasilitasi Kunjungan Tamu</t>
    </r>
  </si>
  <si>
    <r>
      <rPr>
        <sz val="9"/>
        <rFont val="Arial MT"/>
        <family val="2"/>
      </rPr>
      <t>: Jumlah Laporan Fasilitasi Kunjungan Tamu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</si>
  <si>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35</t>
    </r>
  </si>
  <si>
    <r>
      <rPr>
        <b/>
        <sz val="9"/>
        <rFont val="Arial"/>
        <family val="2"/>
      </rPr>
      <t>Belanja Alat/Bahan untuk Kegiatan Kantor- Suvenir/Cendera Mata</t>
    </r>
  </si>
  <si>
    <r>
      <rPr>
        <b/>
        <sz val="9"/>
        <rFont val="Arial"/>
        <family val="2"/>
      </rPr>
      <t xml:space="preserve">[ # ] Cendera Mata
</t>
    </r>
    <r>
      <rPr>
        <b/>
        <sz val="9"/>
        <rFont val="Arial"/>
        <family val="2"/>
      </rPr>
      <t>Sumber Dana : PENDAPATAN ASLI DAERAH (PAD)</t>
    </r>
  </si>
  <si>
    <r>
      <rPr>
        <b/>
        <sz val="9"/>
        <rFont val="Arial"/>
        <family val="2"/>
      </rPr>
      <t>[ - ] Karangan Bunga</t>
    </r>
  </si>
  <si>
    <r>
      <rPr>
        <sz val="9"/>
        <rFont val="Arial MT"/>
        <family val="2"/>
      </rPr>
      <t xml:space="preserve">Karangan Bunga
</t>
    </r>
    <r>
      <rPr>
        <sz val="9"/>
        <rFont val="Arial MT"/>
        <family val="2"/>
      </rPr>
      <t>Spesifikasi : Ukuran 150 x 200 cm</t>
    </r>
  </si>
  <si>
    <r>
      <rPr>
        <b/>
        <sz val="9"/>
        <rFont val="Arial"/>
        <family val="2"/>
      </rPr>
      <t>[ - ] Plakat</t>
    </r>
  </si>
  <si>
    <r>
      <rPr>
        <sz val="9"/>
        <rFont val="Arial MT"/>
        <family val="2"/>
      </rPr>
      <t xml:space="preserve">Plakat
</t>
    </r>
    <r>
      <rPr>
        <sz val="9"/>
        <rFont val="Arial MT"/>
        <family val="2"/>
      </rPr>
      <t>Spesifikasi : Bahan akrilik dan kayu, custom</t>
    </r>
  </si>
  <si>
    <r>
      <rPr>
        <b/>
        <sz val="9"/>
        <rFont val="Arial"/>
        <family val="2"/>
      </rPr>
      <t xml:space="preserve">5.1.02.01.001.000
</t>
    </r>
    <r>
      <rPr>
        <b/>
        <sz val="9"/>
        <rFont val="Arial"/>
        <family val="2"/>
      </rPr>
      <t>53</t>
    </r>
  </si>
  <si>
    <r>
      <rPr>
        <b/>
        <sz val="9"/>
        <rFont val="Arial"/>
        <family val="2"/>
      </rPr>
      <t>Belanja Makanan dan Minuman Jamuan Tamu</t>
    </r>
  </si>
  <si>
    <r>
      <rPr>
        <sz val="9"/>
        <rFont val="Arial MT"/>
        <family val="2"/>
      </rPr>
      <t xml:space="preserve">Makanan dan Minuman Jamuan Tamu Spesifikasi : Jamuan makan
</t>
    </r>
    <r>
      <rPr>
        <sz val="9"/>
        <rFont val="Arial MT"/>
        <family val="2"/>
      </rPr>
      <t>buffet/prasmanan VIP (khusus Pejabat ...</t>
    </r>
  </si>
  <si>
    <r>
      <rPr>
        <sz val="9"/>
        <rFont val="Arial MT"/>
        <family val="2"/>
      </rPr>
      <t xml:space="preserve">Makanan dan Minuman Jamuan Tamu Spesifikasi : Aneka sajian atau stand
</t>
    </r>
    <r>
      <rPr>
        <sz val="9"/>
        <rFont val="Arial MT"/>
        <family val="2"/>
      </rPr>
      <t>makanan atau buah buahan</t>
    </r>
  </si>
  <si>
    <r>
      <rPr>
        <sz val="9"/>
        <rFont val="Arial MT"/>
        <family val="2"/>
      </rPr>
      <t>Keranjang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</si>
  <si>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62</t>
    </r>
  </si>
  <si>
    <r>
      <rPr>
        <b/>
        <sz val="9"/>
        <rFont val="Arial"/>
        <family val="2"/>
      </rPr>
      <t>Belanja Langganan Jurnal/Surat Kabar/Majalah</t>
    </r>
  </si>
  <si>
    <r>
      <rPr>
        <b/>
        <sz val="9"/>
        <rFont val="Arial"/>
        <family val="2"/>
      </rPr>
      <t xml:space="preserve">[ # ] Langganan Media Cetak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</si>
  <si>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Belanja Jasa Surat Kabar/Majalah
</t>
    </r>
    <r>
      <rPr>
        <sz val="9"/>
        <rFont val="Arial MT"/>
        <family val="2"/>
      </rPr>
      <t>Spesifikasi : Surat Kabar Nasional Mingguan</t>
    </r>
  </si>
  <si>
    <r>
      <rPr>
        <sz val="9"/>
        <rFont val="Arial MT"/>
        <family val="2"/>
      </rPr>
      <t>Eksemplar</t>
    </r>
  </si>
  <si>
    <r>
      <rPr>
        <sz val="9"/>
        <rFont val="Arial MT"/>
        <family val="2"/>
      </rPr>
      <t>Belanja Jasa Surat Kabar/Majalah Spesifikasi : Surat Kabar Lokal Harian</t>
    </r>
  </si>
  <si>
    <r>
      <rPr>
        <sz val="9"/>
        <rFont val="Arial MT"/>
        <family val="2"/>
      </rPr>
      <t>: 1.02.01.2.06.0009 Penyelenggaraan Rapat Koordinasi dan Konsultasi SKPD</t>
    </r>
  </si>
  <si>
    <r>
      <rPr>
        <sz val="9"/>
        <rFont val="Arial MT"/>
        <family val="2"/>
      </rPr>
      <t>: Rp. 206.155.000,00</t>
    </r>
  </si>
  <si>
    <r>
      <rPr>
        <sz val="9"/>
        <rFont val="Arial MT"/>
        <family val="2"/>
      </rPr>
      <t>: Rp. 214.500.000,00</t>
    </r>
  </si>
  <si>
    <r>
      <rPr>
        <sz val="9"/>
        <rFont val="Arial MT"/>
        <family val="2"/>
      </rPr>
      <t>Jumlah Laporan Penyelenggaraan Rapat Koordinasi dan Konsultasi SKPD</t>
    </r>
  </si>
  <si>
    <r>
      <rPr>
        <sz val="9"/>
        <rFont val="Arial MT"/>
        <family val="2"/>
      </rPr>
      <t>3 Laporan</t>
    </r>
  </si>
  <si>
    <r>
      <rPr>
        <sz val="9"/>
        <rFont val="Arial MT"/>
        <family val="2"/>
      </rPr>
      <t>: Jumlah Laporan Penyelenggaraan Rapat Koordinasi dan Konsultasi SKPD</t>
    </r>
  </si>
  <si>
    <r>
      <rPr>
        <b/>
        <sz val="9"/>
        <rFont val="Arial"/>
        <family val="2"/>
      </rPr>
      <t xml:space="preserve">5.1.02.04.001.000
</t>
    </r>
    <r>
      <rPr>
        <b/>
        <sz val="9"/>
        <rFont val="Arial"/>
        <family val="2"/>
      </rPr>
      <t>01</t>
    </r>
  </si>
  <si>
    <r>
      <rPr>
        <b/>
        <sz val="9"/>
        <rFont val="Arial"/>
        <family val="2"/>
      </rPr>
      <t>Belanja Perjalanan Dinas Biasa</t>
    </r>
  </si>
  <si>
    <r>
      <rPr>
        <b/>
        <sz val="9"/>
        <rFont val="Arial"/>
        <family val="2"/>
      </rPr>
      <t>[ - ] Perjalanan Dinas Biasa</t>
    </r>
  </si>
  <si>
    <r>
      <rPr>
        <sz val="9"/>
        <rFont val="Arial MT"/>
        <family val="2"/>
      </rPr>
      <t xml:space="preserve">Biaya Transportasi Perjalanan Dinas Dalam Negeri
</t>
    </r>
    <r>
      <rPr>
        <sz val="9"/>
        <rFont val="Arial MT"/>
        <family val="2"/>
      </rPr>
      <t>Spesifikasi : dari Kabupaten Bogor ke Kota Bogor (one way)</t>
    </r>
  </si>
  <si>
    <r>
      <rPr>
        <sz val="9"/>
        <rFont val="Arial MT"/>
        <family val="2"/>
      </rPr>
      <t xml:space="preserve">Biaya Transportasi Perjalanan Dinas Dalam Negeri
</t>
    </r>
    <r>
      <rPr>
        <sz val="9"/>
        <rFont val="Arial MT"/>
        <family val="2"/>
      </rPr>
      <t>Spesifikasi : dari Kabupaten Bogor ke Kota Bandung (one way)</t>
    </r>
  </si>
  <si>
    <r>
      <rPr>
        <sz val="9"/>
        <rFont val="Arial MT"/>
        <family val="2"/>
      </rPr>
      <t xml:space="preserve">Biaya Transportasi Perjalanan Dinas Dalam Negeri
</t>
    </r>
    <r>
      <rPr>
        <sz val="9"/>
        <rFont val="Arial MT"/>
        <family val="2"/>
      </rPr>
      <t>Spesifikasi : dari Kabupaten Bogor ke DKI Jakarta (one way)</t>
    </r>
  </si>
  <si>
    <r>
      <rPr>
        <sz val="9"/>
        <rFont val="Arial MT"/>
        <family val="2"/>
      </rPr>
      <t>Uang Harian Perjalanan Dinas Dalam Negeri Spesifikasi : ke DKI Jakarta (luar kota)</t>
    </r>
  </si>
  <si>
    <r>
      <rPr>
        <sz val="9"/>
        <rFont val="Arial MT"/>
        <family val="2"/>
      </rPr>
      <t>Uang Harian Perjalanan Dinas Dalam Negeri Spesifikasi : ke Jawa Barat (luar kota)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</si>
  <si>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Cariu</t>
    </r>
  </si>
  <si>
    <r>
      <rPr>
        <sz val="9"/>
        <rFont val="Arial MT"/>
        <family val="2"/>
      </rPr>
      <t xml:space="preserve">Biaya transport perjalanan dinas antar kecamatan untuk Mobil &lt;2000cc
</t>
    </r>
    <r>
      <rPr>
        <sz val="9"/>
        <rFont val="Arial MT"/>
        <family val="2"/>
      </rPr>
      <t>Spesifikasi : dari Kecamatan Cibinong ke Kecamatan Parungpanjang</t>
    </r>
  </si>
  <si>
    <r>
      <rPr>
        <sz val="9"/>
        <rFont val="Arial MT"/>
        <family val="2"/>
      </rPr>
      <t xml:space="preserve">Biaya transport perjalanan dinas lingkup kecamatan untuk Mobil &lt;2000cc
</t>
    </r>
    <r>
      <rPr>
        <sz val="9"/>
        <rFont val="Arial MT"/>
        <family val="2"/>
      </rPr>
      <t>Spesifikasi : lingkup Kecamatan Cibinong</t>
    </r>
  </si>
  <si>
    <r>
      <rPr>
        <b/>
        <sz val="9"/>
        <rFont val="Arial"/>
        <family val="2"/>
      </rPr>
      <t>[ - ] &gt;2000cc</t>
    </r>
  </si>
  <si>
    <r>
      <rPr>
        <sz val="9"/>
        <rFont val="Arial MT"/>
        <family val="2"/>
      </rPr>
      <t xml:space="preserve">Biaya transport perjalanan dinas lingkup kecamatan untuk Mobil &gt;2000cc
</t>
    </r>
    <r>
      <rPr>
        <sz val="9"/>
        <rFont val="Arial MT"/>
        <family val="2"/>
      </rPr>
      <t>Spesifikasi : lingkup Kecamatan Cibinong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</si>
  <si>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Rumpin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</si>
  <si>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Bojonggede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</si>
  <si>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Ciomas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</si>
  <si>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Ciawi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</si>
  <si>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Sukamakmur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</si>
  <si>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Nanggung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</si>
  <si>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Babakan Madan...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</si>
  <si>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Sukaraja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</si>
  <si>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Ciseeng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</si>
  <si>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Rancabungur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</si>
  <si>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Cigudeg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</si>
  <si>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Tanjungsari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</si>
  <si>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Cisarua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</si>
  <si>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Tamansari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</si>
  <si>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Cileungsi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</si>
  <si>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Citeureup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</si>
  <si>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Pamijahan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</si>
  <si>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Caringin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</si>
  <si>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Cibungbulang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</si>
  <si>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Ciampea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</si>
  <si>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Dramaga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</si>
  <si>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Cijeruk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</si>
  <si>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Jasinga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</si>
  <si>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Cigombong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</si>
  <si>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Sukajaya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</si>
  <si>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Megamendung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</si>
  <si>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Jonggol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</si>
  <si>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Gunungsindur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</si>
  <si>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Leuwiliang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</si>
  <si>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Leuwisadeng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</si>
  <si>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Tenjo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</si>
  <si>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Tenjolaya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</si>
  <si>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Gunungputri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</si>
  <si>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Tajurhalang</t>
    </r>
  </si>
  <si>
    <r>
      <rPr>
        <sz val="9"/>
        <rFont val="Arial MT"/>
        <family val="2"/>
      </rPr>
      <t xml:space="preserve">Biaya transport perjalanan dinas antar kecamatan untuk Mobil &gt;2000cc
</t>
    </r>
    <r>
      <rPr>
        <sz val="9"/>
        <rFont val="Arial MT"/>
        <family val="2"/>
      </rPr>
      <t>Spesifikasi : dari Kecamatan Cibinong ke Kecamatan Parung</t>
    </r>
  </si>
  <si>
    <r>
      <rPr>
        <sz val="9"/>
        <rFont val="Arial MT"/>
        <family val="2"/>
      </rPr>
      <t xml:space="preserve">Uang Representasi Perjalanan Dinas dalam Daerah lebih dari 8 jam
</t>
    </r>
    <r>
      <rPr>
        <sz val="9"/>
        <rFont val="Arial MT"/>
        <family val="2"/>
      </rPr>
      <t>Spesifikasi : Pejabat Eselon II</t>
    </r>
  </si>
  <si>
    <r>
      <rPr>
        <b/>
        <sz val="9"/>
        <rFont val="Arial"/>
        <family val="2"/>
      </rPr>
      <t xml:space="preserve">5.1.02.04.001.000
</t>
    </r>
    <r>
      <rPr>
        <b/>
        <sz val="9"/>
        <rFont val="Arial"/>
        <family val="2"/>
      </rPr>
      <t>05</t>
    </r>
  </si>
  <si>
    <r>
      <rPr>
        <b/>
        <sz val="9"/>
        <rFont val="Arial"/>
        <family val="2"/>
      </rPr>
      <t>Belanja Perjalanan Dinas Paket Meeting Luar Kota</t>
    </r>
  </si>
  <si>
    <r>
      <rPr>
        <sz val="9"/>
        <rFont val="Arial MT"/>
        <family val="2"/>
      </rPr>
      <t xml:space="preserve">Uang Harian Kegiatan Rapat atau Pertemuan di Luar Kantor
</t>
    </r>
    <r>
      <rPr>
        <sz val="9"/>
        <rFont val="Arial MT"/>
        <family val="2"/>
      </rPr>
      <t>Spesifikasi : ke Jawa Barat (Fullboard)</t>
    </r>
  </si>
  <si>
    <r>
      <rPr>
        <sz val="9"/>
        <rFont val="Arial MT"/>
        <family val="2"/>
      </rPr>
      <t>: 1.02.01.2.06.0010 Penatausahaan Arsip Dinamis pada SKPD</t>
    </r>
  </si>
  <si>
    <r>
      <rPr>
        <sz val="9"/>
        <rFont val="Arial MT"/>
        <family val="2"/>
      </rPr>
      <t>: Rp. 141.190.922,00</t>
    </r>
  </si>
  <si>
    <r>
      <rPr>
        <sz val="9"/>
        <rFont val="Arial MT"/>
        <family val="2"/>
      </rPr>
      <t>: Rp. 268.828.500,00</t>
    </r>
  </si>
  <si>
    <r>
      <rPr>
        <sz val="9"/>
        <rFont val="Arial MT"/>
        <family val="2"/>
      </rPr>
      <t>Jumlah Dokumen Penatausahaan Arsip Dinamis pada SKPD</t>
    </r>
  </si>
  <si>
    <r>
      <rPr>
        <sz val="9"/>
        <rFont val="Arial MT"/>
        <family val="2"/>
      </rPr>
      <t>5 Dokumen</t>
    </r>
  </si>
  <si>
    <r>
      <rPr>
        <sz val="9"/>
        <rFont val="Arial MT"/>
        <family val="2"/>
      </rPr>
      <t>: Jumlah Dokumen Penatausahaan Arsip Dinamis pada SKPD</t>
    </r>
  </si>
  <si>
    <r>
      <rPr>
        <sz val="9"/>
        <rFont val="Arial MT"/>
        <family val="2"/>
      </rPr>
      <t xml:space="preserve">Binder Clip
</t>
    </r>
    <r>
      <rPr>
        <sz val="9"/>
        <rFont val="Arial MT"/>
        <family val="2"/>
      </rPr>
      <t>Spesifikasi : No. 111, Warna hitam</t>
    </r>
  </si>
  <si>
    <r>
      <rPr>
        <sz val="9"/>
        <rFont val="Arial MT"/>
        <family val="2"/>
      </rPr>
      <t xml:space="preserve">Binder Clip
</t>
    </r>
    <r>
      <rPr>
        <sz val="9"/>
        <rFont val="Arial MT"/>
        <family val="2"/>
      </rPr>
      <t>Spesifikasi : No. 200, Warna hitam</t>
    </r>
  </si>
  <si>
    <r>
      <rPr>
        <sz val="9"/>
        <rFont val="Arial MT"/>
        <family val="2"/>
      </rPr>
      <t xml:space="preserve">Binder Clip
</t>
    </r>
    <r>
      <rPr>
        <sz val="9"/>
        <rFont val="Arial MT"/>
        <family val="2"/>
      </rPr>
      <t>Spesifikasi : No. 155, warna hitam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</si>
  <si>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26</t>
    </r>
  </si>
  <si>
    <r>
      <rPr>
        <b/>
        <sz val="9"/>
        <rFont val="Arial"/>
        <family val="2"/>
      </rPr>
      <t>Belanja Jasa Tenaga Administrasi</t>
    </r>
  </si>
  <si>
    <r>
      <rPr>
        <sz val="9"/>
        <rFont val="Arial MT"/>
        <family val="2"/>
      </rPr>
      <t xml:space="preserve">Jasa Tenaga Rekruitmen
</t>
    </r>
    <r>
      <rPr>
        <sz val="9"/>
        <rFont val="Arial MT"/>
        <family val="2"/>
      </rPr>
      <t>Spesifikasi : Tenaga Teknis pendukung pelaksana kegiatan - Pendi...</t>
    </r>
  </si>
  <si>
    <r>
      <rPr>
        <sz val="9"/>
        <rFont val="Arial MT"/>
        <family val="2"/>
      </rPr>
      <t xml:space="preserve">Pegawai Pemerintah dengan Perjanjian Kerja (PPPK) Paruh Waktu pada Jabatan Tenaga Teknis
</t>
    </r>
    <r>
      <rPr>
        <sz val="9"/>
        <rFont val="Arial MT"/>
        <family val="2"/>
      </rPr>
      <t>Spesifikasi : Pendidikan SMA</t>
    </r>
  </si>
  <si>
    <r>
      <rPr>
        <sz val="9"/>
        <rFont val="Arial MT"/>
        <family val="2"/>
      </rPr>
      <t>2 x 12</t>
    </r>
  </si>
  <si>
    <r>
      <rPr>
        <sz val="9"/>
        <rFont val="Arial MT"/>
        <family val="2"/>
      </rPr>
      <t>4 x 12</t>
    </r>
  </si>
  <si>
    <r>
      <rPr>
        <sz val="9"/>
        <rFont val="Arial MT"/>
        <family val="2"/>
      </rPr>
      <t>: 1.02.01.2.06.0011 Dukungan Pelaksanaan Sistem Pemerintahan Berbasis Elektronik pada SKPD</t>
    </r>
  </si>
  <si>
    <r>
      <rPr>
        <sz val="9"/>
        <rFont val="Arial MT"/>
        <family val="2"/>
      </rPr>
      <t>: Rp. 21.794.600,00</t>
    </r>
  </si>
  <si>
    <r>
      <rPr>
        <sz val="9"/>
        <rFont val="Arial MT"/>
        <family val="2"/>
      </rPr>
      <t>: Rp. 22.671.450,00</t>
    </r>
  </si>
  <si>
    <r>
      <rPr>
        <sz val="9"/>
        <rFont val="Arial MT"/>
        <family val="2"/>
      </rPr>
      <t>Jumlah Dokumen Dukungan Pelaksanaan Sistem Pemerintahan Berbasis Elektronik pada SKPD</t>
    </r>
  </si>
  <si>
    <r>
      <rPr>
        <sz val="9"/>
        <rFont val="Arial MT"/>
        <family val="2"/>
      </rPr>
      <t>: Jumlah Dokumen Dukungan Pelaksanaan Sistem Pemerintahan Berbasis Elektronik pada SKPD</t>
    </r>
  </si>
  <si>
    <r>
      <rPr>
        <sz val="9"/>
        <rFont val="Arial MT"/>
        <family val="2"/>
      </rPr>
      <t xml:space="preserve">Binder Clip
</t>
    </r>
    <r>
      <rPr>
        <sz val="9"/>
        <rFont val="Arial MT"/>
        <family val="2"/>
      </rPr>
      <t>Spesifikasi : No. 260, Warna hitam</t>
    </r>
  </si>
  <si>
    <r>
      <rPr>
        <sz val="9"/>
        <rFont val="Arial MT"/>
        <family val="2"/>
      </rPr>
      <t xml:space="preserve">Binder Clip
</t>
    </r>
    <r>
      <rPr>
        <sz val="9"/>
        <rFont val="Arial MT"/>
        <family val="2"/>
      </rPr>
      <t>Spesifikasi : No. 107, warna hitam</t>
    </r>
  </si>
  <si>
    <r>
      <rPr>
        <b/>
        <sz val="9"/>
        <rFont val="Arial"/>
        <family val="2"/>
      </rPr>
      <t xml:space="preserve">[ # ] Bahan Komputer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</si>
  <si>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Tinta/Toner Printer
</t>
    </r>
    <r>
      <rPr>
        <sz val="9"/>
        <rFont val="Arial MT"/>
        <family val="2"/>
      </rPr>
      <t>Spesifikasi : Epson 664, Black</t>
    </r>
  </si>
  <si>
    <r>
      <rPr>
        <sz val="9"/>
        <rFont val="Arial MT"/>
        <family val="2"/>
      </rPr>
      <t xml:space="preserve">Tinta/Toner Printer
</t>
    </r>
    <r>
      <rPr>
        <sz val="9"/>
        <rFont val="Arial MT"/>
        <family val="2"/>
      </rPr>
      <t>Spesifikasi : Epson 664, Warna</t>
    </r>
  </si>
  <si>
    <r>
      <rPr>
        <sz val="9"/>
        <rFont val="Arial MT"/>
        <family val="2"/>
      </rPr>
      <t>: 1.02.01.2.07 Pengadaan Barang Milik Daerah Penunjang Urusan Pemerintah Daerah</t>
    </r>
  </si>
  <si>
    <r>
      <rPr>
        <sz val="9"/>
        <rFont val="Arial MT"/>
        <family val="2"/>
      </rPr>
      <t>: 1.02.01.2.07.0010 Pengadaan Sarana dan Prasarana Gedung Kantor atau Bangunan Lainnya</t>
    </r>
  </si>
  <si>
    <r>
      <rPr>
        <sz val="9"/>
        <rFont val="Arial MT"/>
        <family val="2"/>
      </rPr>
      <t>: Rp. 177.423.534,00</t>
    </r>
  </si>
  <si>
    <r>
      <rPr>
        <sz val="9"/>
        <rFont val="Arial MT"/>
        <family val="2"/>
      </rPr>
      <t>: Rp. 61.317.500,00</t>
    </r>
  </si>
  <si>
    <r>
      <rPr>
        <sz val="9"/>
        <rFont val="Arial MT"/>
        <family val="2"/>
      </rPr>
      <t>Jumlah Unit Sarana dan Prasarana Gedung Kantor atau Bangunan Lainnya yang Disediakan</t>
    </r>
  </si>
  <si>
    <r>
      <rPr>
        <sz val="9"/>
        <rFont val="Arial MT"/>
        <family val="2"/>
      </rPr>
      <t>6 Unit</t>
    </r>
  </si>
  <si>
    <r>
      <rPr>
        <sz val="9"/>
        <rFont val="Arial MT"/>
        <family val="2"/>
      </rPr>
      <t>Persentase Terpenuhinya Kebutuhan Sarana dan Prasarana yang sesuai dengan Ketentuan</t>
    </r>
  </si>
  <si>
    <r>
      <rPr>
        <sz val="9"/>
        <rFont val="Arial MT"/>
        <family val="2"/>
      </rPr>
      <t>: Jumlah Unit Sarana dan Prasarana Gedung Kantor atau Bangunan Lainnya yang Disediakan</t>
    </r>
  </si>
  <si>
    <r>
      <rPr>
        <b/>
        <sz val="9"/>
        <rFont val="Arial"/>
        <family val="2"/>
      </rPr>
      <t xml:space="preserve">5.2.02.05.002.000
</t>
    </r>
    <r>
      <rPr>
        <b/>
        <sz val="9"/>
        <rFont val="Arial"/>
        <family val="2"/>
      </rPr>
      <t>01</t>
    </r>
  </si>
  <si>
    <r>
      <rPr>
        <b/>
        <sz val="9"/>
        <rFont val="Arial"/>
        <family val="2"/>
      </rPr>
      <t>Belanja Modal Mebel</t>
    </r>
  </si>
  <si>
    <r>
      <rPr>
        <b/>
        <sz val="9"/>
        <rFont val="Arial"/>
        <family val="2"/>
      </rPr>
      <t xml:space="preserve">[ # ] Mebel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</si>
  <si>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Meja
</t>
    </r>
    <r>
      <rPr>
        <sz val="9"/>
        <rFont val="Arial MT"/>
        <family val="2"/>
      </rPr>
      <t>Spesifikasi : Ukuran 1400 x 700 x 750 mm, custom</t>
    </r>
  </si>
  <si>
    <r>
      <rPr>
        <b/>
        <sz val="9"/>
        <rFont val="Arial"/>
        <family val="2"/>
      </rPr>
      <t>[ - ] Kitchen Set</t>
    </r>
  </si>
  <si>
    <r>
      <rPr>
        <sz val="9"/>
        <rFont val="Arial MT"/>
        <family val="2"/>
      </rPr>
      <t xml:space="preserve">Meja
</t>
    </r>
    <r>
      <rPr>
        <sz val="9"/>
        <rFont val="Arial MT"/>
        <family val="2"/>
      </rPr>
      <t>Spesifikasi : Bahan MDF lapis HPL</t>
    </r>
  </si>
  <si>
    <r>
      <rPr>
        <sz val="9"/>
        <rFont val="Arial MT"/>
        <family val="2"/>
      </rPr>
      <t>8 x 1.0187656637</t>
    </r>
  </si>
  <si>
    <r>
      <rPr>
        <b/>
        <sz val="9"/>
        <rFont val="Arial"/>
        <family val="2"/>
      </rPr>
      <t>[ - ] Meja Sofa</t>
    </r>
  </si>
  <si>
    <r>
      <rPr>
        <b/>
        <sz val="9"/>
        <rFont val="Arial"/>
        <family val="2"/>
      </rPr>
      <t xml:space="preserve">5.2.02.05.002.000
</t>
    </r>
    <r>
      <rPr>
        <b/>
        <sz val="9"/>
        <rFont val="Arial"/>
        <family val="2"/>
      </rPr>
      <t>04</t>
    </r>
  </si>
  <si>
    <r>
      <rPr>
        <b/>
        <sz val="9"/>
        <rFont val="Arial"/>
        <family val="2"/>
      </rPr>
      <t>Belanja Modal Alat Pendingin</t>
    </r>
  </si>
  <si>
    <r>
      <rPr>
        <b/>
        <sz val="9"/>
        <rFont val="Arial"/>
        <family val="2"/>
      </rPr>
      <t xml:space="preserve">[ # ] AC
</t>
    </r>
    <r>
      <rPr>
        <b/>
        <sz val="9"/>
        <rFont val="Arial"/>
        <family val="2"/>
      </rPr>
      <t>Sumber Dana : PENDAPATAN ASLI DAERAH (PAD)</t>
    </r>
  </si>
  <si>
    <r>
      <rPr>
        <b/>
        <sz val="9"/>
        <rFont val="Arial"/>
        <family val="2"/>
      </rPr>
      <t>[ - ] Belanja Modal Alat Pendingin</t>
    </r>
  </si>
  <si>
    <r>
      <rPr>
        <sz val="9"/>
        <rFont val="Arial MT"/>
        <family val="2"/>
      </rPr>
      <t xml:space="preserve">Air Conditioner
</t>
    </r>
    <r>
      <rPr>
        <sz val="9"/>
        <rFont val="Arial MT"/>
        <family val="2"/>
      </rPr>
      <t>Spesifikasi : Standing, 2 PK</t>
    </r>
  </si>
  <si>
    <r>
      <rPr>
        <b/>
        <sz val="9"/>
        <rFont val="Arial"/>
        <family val="2"/>
      </rPr>
      <t xml:space="preserve">[ # ] Komputer dan Peralatan Komputer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</si>
  <si>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Laptop
</t>
    </r>
    <r>
      <rPr>
        <sz val="9"/>
        <rFont val="Arial MT"/>
        <family val="2"/>
      </rPr>
      <t>Spesifikasi : Intel Core i5, RAM 16GB SSD 512GB</t>
    </r>
  </si>
  <si>
    <r>
      <rPr>
        <sz val="9"/>
        <rFont val="Arial MT"/>
        <family val="2"/>
      </rPr>
      <t xml:space="preserve">Printer
</t>
    </r>
    <r>
      <rPr>
        <sz val="9"/>
        <rFont val="Arial MT"/>
        <family val="2"/>
      </rPr>
      <t xml:space="preserve">Spesifikasi : Resolusi cetak 1200 dpi x 1200
</t>
    </r>
    <r>
      <rPr>
        <sz val="9"/>
        <rFont val="Arial MT"/>
        <family val="2"/>
      </rPr>
      <t>dpi</t>
    </r>
  </si>
  <si>
    <r>
      <rPr>
        <sz val="9"/>
        <rFont val="Arial MT"/>
        <family val="2"/>
      </rPr>
      <t>: 1.02.01.2.08 Penyediaan Jasa Penunjang Urusan Pemerintahan Daerah</t>
    </r>
  </si>
  <si>
    <r>
      <rPr>
        <sz val="9"/>
        <rFont val="Arial MT"/>
        <family val="2"/>
      </rPr>
      <t>: 1.02.01.2.08.0002 Penyediaan Jasa Komunikasi, Sumber Daya Air dan Listrik</t>
    </r>
  </si>
  <si>
    <r>
      <rPr>
        <sz val="9"/>
        <rFont val="Arial MT"/>
        <family val="2"/>
      </rPr>
      <t>: Rp. 991.153.000,00</t>
    </r>
  </si>
  <si>
    <r>
      <rPr>
        <sz val="9"/>
        <rFont val="Arial MT"/>
        <family val="2"/>
      </rPr>
      <t>: Rp. 1.032.300.327,00</t>
    </r>
  </si>
  <si>
    <r>
      <rPr>
        <sz val="9"/>
        <rFont val="Arial MT"/>
        <family val="2"/>
      </rPr>
      <t>Jumlah Laporan Penyediaan Jasa Komunikasi, Sumber Daya Air dan Listrik yang Disediakan</t>
    </r>
  </si>
  <si>
    <r>
      <rPr>
        <sz val="9"/>
        <rFont val="Arial MT"/>
        <family val="2"/>
      </rPr>
      <t>Persentase Terpenuhinya Jasa Penunjang Urusan Pemerintah Daerah</t>
    </r>
  </si>
  <si>
    <r>
      <rPr>
        <sz val="9"/>
        <rFont val="Arial MT"/>
        <family val="2"/>
      </rPr>
      <t>: Jumlah Laporan Penyediaan Jasa Komunikasi, Sumber Daya Air dan Listrik yang Disediakan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</si>
  <si>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59</t>
    </r>
  </si>
  <si>
    <r>
      <rPr>
        <b/>
        <sz val="9"/>
        <rFont val="Arial"/>
        <family val="2"/>
      </rPr>
      <t>Belanja Tagihan Telepon</t>
    </r>
  </si>
  <si>
    <r>
      <rPr>
        <b/>
        <sz val="9"/>
        <rFont val="Arial"/>
        <family val="2"/>
      </rPr>
      <t xml:space="preserve">[ # ] Dinas Kesehatan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</si>
  <si>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Belanja Langganan Telepon
</t>
    </r>
    <r>
      <rPr>
        <sz val="9"/>
        <rFont val="Arial MT"/>
        <family val="2"/>
      </rPr>
      <t>Spesifikasi : Biaya Langganan Telepon</t>
    </r>
  </si>
  <si>
    <r>
      <rPr>
        <sz val="9"/>
        <rFont val="Arial MT"/>
        <family val="2"/>
      </rPr>
      <t>Per Bulan Bulan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</si>
  <si>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60</t>
    </r>
  </si>
  <si>
    <r>
      <rPr>
        <b/>
        <sz val="9"/>
        <rFont val="Arial"/>
        <family val="2"/>
      </rPr>
      <t>Belanja Tagihan Air</t>
    </r>
  </si>
  <si>
    <r>
      <rPr>
        <b/>
        <sz val="9"/>
        <rFont val="Arial"/>
        <family val="2"/>
      </rPr>
      <t>[ - ] Belanja Tagihan Air</t>
    </r>
  </si>
  <si>
    <r>
      <rPr>
        <sz val="9"/>
        <rFont val="Arial MT"/>
        <family val="2"/>
      </rPr>
      <t xml:space="preserve">Belanja Tagihan Air
</t>
    </r>
    <r>
      <rPr>
        <sz val="9"/>
        <rFont val="Arial MT"/>
        <family val="2"/>
      </rPr>
      <t>Spesifikasi : Biaya Pemakaian air</t>
    </r>
  </si>
  <si>
    <r>
      <rPr>
        <b/>
        <sz val="9"/>
        <rFont val="Arial"/>
        <family val="2"/>
      </rPr>
      <t xml:space="preserve">[ # ] PSC
</t>
    </r>
    <r>
      <rPr>
        <b/>
        <sz val="9"/>
        <rFont val="Arial"/>
        <family val="2"/>
      </rPr>
      <t>Sumber Dana : PENDAPATAN ASLI DAERAH (PAD)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</si>
  <si>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61</t>
    </r>
  </si>
  <si>
    <r>
      <rPr>
        <b/>
        <sz val="9"/>
        <rFont val="Arial"/>
        <family val="2"/>
      </rPr>
      <t>Belanja Tagihan Listrik</t>
    </r>
  </si>
  <si>
    <r>
      <rPr>
        <sz val="9"/>
        <rFont val="Arial MT"/>
        <family val="2"/>
      </rPr>
      <t xml:space="preserve">Biaya Pemakaian Listrik - TARIF LISTRIK GOLONGAN PEMERINTAH-1
</t>
    </r>
    <r>
      <rPr>
        <sz val="9"/>
        <rFont val="Arial MT"/>
        <family val="2"/>
      </rPr>
      <t>Spesifikasi : Tegangan rendah 6.600 VA s.d 200 kVA</t>
    </r>
  </si>
  <si>
    <r>
      <rPr>
        <sz val="9"/>
        <rFont val="Arial MT"/>
        <family val="2"/>
      </rPr>
      <t>Kwh</t>
    </r>
  </si>
  <si>
    <r>
      <rPr>
        <sz val="9"/>
        <rFont val="Arial MT"/>
        <family val="2"/>
      </rPr>
      <t>900 x 12</t>
    </r>
  </si>
  <si>
    <r>
      <rPr>
        <sz val="9"/>
        <rFont val="Arial MT"/>
        <family val="2"/>
      </rPr>
      <t>Kwh Bulan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</si>
  <si>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63</t>
    </r>
  </si>
  <si>
    <r>
      <rPr>
        <b/>
        <sz val="9"/>
        <rFont val="Arial"/>
        <family val="2"/>
      </rPr>
      <t>Belanja Kawat/Faksimili/Internet/TV Berlangganan</t>
    </r>
  </si>
  <si>
    <r>
      <rPr>
        <sz val="9"/>
        <rFont val="Arial MT"/>
        <family val="2"/>
      </rPr>
      <t>Belanja Pemakaian Internet Spesifikasi : Belanja Internet</t>
    </r>
  </si>
  <si>
    <r>
      <rPr>
        <sz val="9"/>
        <rFont val="Arial MT"/>
        <family val="2"/>
      </rPr>
      <t>: 1.02.01.2.08.0004 Penyediaan Jasa Pelayanan Umum Kantor</t>
    </r>
  </si>
  <si>
    <r>
      <rPr>
        <sz val="9"/>
        <rFont val="Arial MT"/>
        <family val="2"/>
      </rPr>
      <t>: Rp. 721.876.145,00</t>
    </r>
  </si>
  <si>
    <r>
      <rPr>
        <sz val="9"/>
        <rFont val="Arial MT"/>
        <family val="2"/>
      </rPr>
      <t>: Rp. 958.602.000,00</t>
    </r>
  </si>
  <si>
    <r>
      <rPr>
        <sz val="9"/>
        <rFont val="Arial MT"/>
        <family val="2"/>
      </rPr>
      <t>Jumlah Laporan Penyediaan Jasa Pelayanan Umum Kantor yang Disediakan</t>
    </r>
  </si>
  <si>
    <r>
      <rPr>
        <sz val="9"/>
        <rFont val="Arial MT"/>
        <family val="2"/>
      </rPr>
      <t>: Jumlah Laporan Penyediaan Jasa Pelayanan Umum Kantor yang Disediakan</t>
    </r>
  </si>
  <si>
    <r>
      <rPr>
        <b/>
        <sz val="9"/>
        <rFont val="Arial"/>
        <family val="2"/>
      </rPr>
      <t>[ - ] Cek Kesehatan Gratis Car Free Day</t>
    </r>
  </si>
  <si>
    <r>
      <rPr>
        <b/>
        <sz val="9"/>
        <rFont val="Arial"/>
        <family val="2"/>
      </rPr>
      <t>[ - ] Makanan dan Minuman Pengajian Mingguan</t>
    </r>
  </si>
  <si>
    <r>
      <rPr>
        <b/>
        <sz val="9"/>
        <rFont val="Arial"/>
        <family val="2"/>
      </rPr>
      <t>[ - ] Snack Olahraga Jumat Pagi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</si>
  <si>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07</t>
    </r>
  </si>
  <si>
    <r>
      <rPr>
        <b/>
        <sz val="9"/>
        <rFont val="Arial"/>
        <family val="2"/>
      </rPr>
      <t>Honorarium Rohaniwan</t>
    </r>
  </si>
  <si>
    <r>
      <rPr>
        <b/>
        <sz val="9"/>
        <rFont val="Arial"/>
        <family val="2"/>
      </rPr>
      <t xml:space="preserve">[ # ] Honorarium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</si>
  <si>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Honorarium Rohaniwan
</t>
    </r>
    <r>
      <rPr>
        <sz val="9"/>
        <rFont val="Arial MT"/>
        <family val="2"/>
      </rPr>
      <t>Spesifikasi : ASN di Luar Pemerintah Kabupaten Bogor</t>
    </r>
  </si>
  <si>
    <r>
      <rPr>
        <sz val="9"/>
        <rFont val="Arial MT"/>
        <family val="2"/>
      </rPr>
      <t>Orang / Acara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</si>
  <si>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30</t>
    </r>
  </si>
  <si>
    <r>
      <rPr>
        <b/>
        <sz val="9"/>
        <rFont val="Arial"/>
        <family val="2"/>
      </rPr>
      <t>Belanja Jasa Tenaga Kebersihan</t>
    </r>
  </si>
  <si>
    <r>
      <rPr>
        <b/>
        <sz val="9"/>
        <rFont val="Arial"/>
        <family val="2"/>
      </rPr>
      <t xml:space="preserve">[ # ] Tenaga Kebersihan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</si>
  <si>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Petugas Kebersihan
</t>
    </r>
    <r>
      <rPr>
        <sz val="9"/>
        <rFont val="Arial MT"/>
        <family val="2"/>
      </rPr>
      <t>Spesifikasi : Petugas Kebersihan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</si>
  <si>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31</t>
    </r>
  </si>
  <si>
    <r>
      <rPr>
        <b/>
        <sz val="9"/>
        <rFont val="Arial"/>
        <family val="2"/>
      </rPr>
      <t>Belanja Jasa Tenaga Keamanan</t>
    </r>
  </si>
  <si>
    <r>
      <rPr>
        <b/>
        <sz val="9"/>
        <rFont val="Arial"/>
        <family val="2"/>
      </rPr>
      <t xml:space="preserve">[ # ] Tenaga Keamanan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</si>
  <si>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Petugas Keamanan
</t>
    </r>
    <r>
      <rPr>
        <sz val="9"/>
        <rFont val="Arial MT"/>
        <family val="2"/>
      </rPr>
      <t>Spesifikasi : Anggota Pengamanan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</si>
  <si>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33</t>
    </r>
  </si>
  <si>
    <r>
      <rPr>
        <b/>
        <sz val="9"/>
        <rFont val="Arial"/>
        <family val="2"/>
      </rPr>
      <t>Belanja Jasa Tenaga Supir</t>
    </r>
  </si>
  <si>
    <r>
      <rPr>
        <b/>
        <sz val="9"/>
        <rFont val="Arial"/>
        <family val="2"/>
      </rPr>
      <t xml:space="preserve">[ # ] Tenaga Supir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</si>
  <si>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Upah Kerja bagi Tenaga Profesi dan Tenaga Teknis Non PNS
</t>
    </r>
    <r>
      <rPr>
        <sz val="9"/>
        <rFont val="Arial MT"/>
        <family val="2"/>
      </rPr>
      <t>Spesifikasi : Pengemudi</t>
    </r>
  </si>
  <si>
    <r>
      <rPr>
        <sz val="9"/>
        <rFont val="Arial MT"/>
        <family val="2"/>
      </rPr>
      <t>1 x 25 x 12</t>
    </r>
  </si>
  <si>
    <r>
      <rPr>
        <sz val="9"/>
        <rFont val="Arial MT"/>
        <family val="2"/>
      </rPr>
      <t>Orang / Hari Hari Bulan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</si>
  <si>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47</t>
    </r>
  </si>
  <si>
    <r>
      <rPr>
        <b/>
        <sz val="9"/>
        <rFont val="Arial"/>
        <family val="2"/>
      </rPr>
      <t>Belanja Jasa Penyelenggaraan Acara</t>
    </r>
  </si>
  <si>
    <r>
      <rPr>
        <b/>
        <sz val="9"/>
        <rFont val="Arial"/>
        <family val="2"/>
      </rPr>
      <t xml:space="preserve">[ # ] Helaran dan HJB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</si>
  <si>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Belanja Jasa Penyelenggara Acara - Event Organizer acara
</t>
    </r>
    <r>
      <rPr>
        <sz val="9"/>
        <rFont val="Arial MT"/>
        <family val="2"/>
      </rPr>
      <t>Spesifikasi : even kecil, penunjang kegiatan: audio, video, publ...</t>
    </r>
  </si>
  <si>
    <r>
      <rPr>
        <sz val="9"/>
        <rFont val="Arial MT"/>
        <family val="2"/>
      </rPr>
      <t xml:space="preserve">Belanja Jasa Penyelenggara Acara - Event Organizer acara
</t>
    </r>
    <r>
      <rPr>
        <sz val="9"/>
        <rFont val="Arial MT"/>
        <family val="2"/>
      </rPr>
      <t>Spesifikasi : penunjang kegiatan: audio, publikasi &amp; perlengkapa...</t>
    </r>
  </si>
  <si>
    <r>
      <rPr>
        <b/>
        <sz val="9"/>
        <rFont val="Arial"/>
        <family val="2"/>
      </rPr>
      <t>[ - ] Jasa Tenaga Keamanan</t>
    </r>
  </si>
  <si>
    <r>
      <rPr>
        <sz val="9"/>
        <rFont val="Arial MT"/>
        <family val="2"/>
      </rPr>
      <t xml:space="preserve">Pegawai Pemerintah dengan Perjanjian Kerja (PPPK) Paruh Waktu pada Jabatan Tenaga Teknis
</t>
    </r>
    <r>
      <rPr>
        <sz val="9"/>
        <rFont val="Arial MT"/>
        <family val="2"/>
      </rPr>
      <t>Spesifikasi : Kepala Petugas Keamanan</t>
    </r>
  </si>
  <si>
    <r>
      <rPr>
        <sz val="9"/>
        <rFont val="Arial MT"/>
        <family val="2"/>
      </rPr>
      <t xml:space="preserve">Pegawai Pemerintah dengan Perjanjian Kerja (PPPK) Paruh Waktu pada Jabatan Tenaga Teknis
</t>
    </r>
    <r>
      <rPr>
        <sz val="9"/>
        <rFont val="Arial MT"/>
        <family val="2"/>
      </rPr>
      <t>Spesifikasi : Anggota Pengamanan</t>
    </r>
  </si>
  <si>
    <r>
      <rPr>
        <sz val="9"/>
        <rFont val="Arial MT"/>
        <family val="2"/>
      </rPr>
      <t>5 x 12</t>
    </r>
  </si>
  <si>
    <r>
      <rPr>
        <b/>
        <sz val="9"/>
        <rFont val="Arial"/>
        <family val="2"/>
      </rPr>
      <t>[ - ] Jasa Tenaga Kebersihan</t>
    </r>
  </si>
  <si>
    <r>
      <rPr>
        <sz val="9"/>
        <rFont val="Arial MT"/>
        <family val="2"/>
      </rPr>
      <t xml:space="preserve">Pegawai Pemerintah dengan Perjanjian Kerja (PPPK) Paruh Waktu pada Jabatan Tenaga Teknis
</t>
    </r>
    <r>
      <rPr>
        <sz val="9"/>
        <rFont val="Arial MT"/>
        <family val="2"/>
      </rPr>
      <t>Spesifikasi : Petugas Kebersihan</t>
    </r>
  </si>
  <si>
    <r>
      <rPr>
        <sz val="9"/>
        <rFont val="Arial MT"/>
        <family val="2"/>
      </rPr>
      <t>10 x 12</t>
    </r>
  </si>
  <si>
    <r>
      <rPr>
        <sz val="9"/>
        <rFont val="Arial MT"/>
        <family val="2"/>
      </rPr>
      <t>24 x 12</t>
    </r>
  </si>
  <si>
    <r>
      <rPr>
        <sz val="9"/>
        <rFont val="Arial MT"/>
        <family val="2"/>
      </rPr>
      <t>Orang</t>
    </r>
  </si>
  <si>
    <r>
      <rPr>
        <sz val="9"/>
        <rFont val="Arial MT"/>
        <family val="2"/>
      </rPr>
      <t>: 1.02.01.2.09 Pemeliharaan Barang Milik Daerah Penunjang Urusan Pemerintahan Daerah</t>
    </r>
  </si>
  <si>
    <r>
      <rPr>
        <sz val="9"/>
        <rFont val="Arial MT"/>
        <family val="2"/>
      </rPr>
      <t>: 1.02.01.2.09.0001 Penyediaan Jasa Pemeliharaan, Biaya Pemeliharaan, dan Pajak Kendaraan Perorangan Dinas atau Kendaraan Dinas Jabatan</t>
    </r>
  </si>
  <si>
    <r>
      <rPr>
        <sz val="9"/>
        <rFont val="Arial MT"/>
        <family val="2"/>
      </rPr>
      <t>: Kab. Bogor, Cibinong, Pakansari</t>
    </r>
  </si>
  <si>
    <r>
      <rPr>
        <sz val="9"/>
        <rFont val="Arial MT"/>
        <family val="2"/>
      </rPr>
      <t>: Barang Milik Daerah Kab. Bogor</t>
    </r>
  </si>
  <si>
    <r>
      <rPr>
        <sz val="9"/>
        <rFont val="Arial MT"/>
        <family val="2"/>
      </rPr>
      <t>: Rp. 246.330.000,00</t>
    </r>
  </si>
  <si>
    <r>
      <rPr>
        <sz val="9"/>
        <rFont val="Arial MT"/>
        <family val="2"/>
      </rPr>
      <t>: Rp. 251.183.900,00</t>
    </r>
  </si>
  <si>
    <r>
      <rPr>
        <sz val="9"/>
        <rFont val="Arial MT"/>
        <family val="2"/>
      </rPr>
      <t>Jumlah Kendaraan Perorangan Dinas atau Kendaraan Dinas Jabatan yang Dipelihara dan dibayarkan Pajaknya</t>
    </r>
  </si>
  <si>
    <r>
      <rPr>
        <sz val="9"/>
        <rFont val="Arial MT"/>
        <family val="2"/>
      </rPr>
      <t>9 Unit</t>
    </r>
  </si>
  <si>
    <r>
      <rPr>
        <sz val="9"/>
        <rFont val="Arial MT"/>
        <family val="2"/>
      </rPr>
      <t>Persentase Barang Milik Daerah Yang Terpelihara Dengan Baik</t>
    </r>
  </si>
  <si>
    <r>
      <rPr>
        <sz val="9"/>
        <rFont val="Arial MT"/>
        <family val="2"/>
      </rPr>
      <t>: Kab. Bogor, Kecamatan Cibinong, Kelurahan Pakansari</t>
    </r>
  </si>
  <si>
    <r>
      <rPr>
        <sz val="9"/>
        <rFont val="Arial MT"/>
        <family val="2"/>
      </rPr>
      <t>: Jumlah Kendaraan Perorangan Dinas atau Kendaraan Dinas Jabatan yang Dipelihara dan dibayarkan Pajaknya</t>
    </r>
  </si>
  <si>
    <r>
      <rPr>
        <b/>
        <sz val="9"/>
        <rFont val="Arial"/>
        <family val="2"/>
      </rPr>
      <t xml:space="preserve">5.1.02.02.001.000
</t>
    </r>
    <r>
      <rPr>
        <b/>
        <sz val="9"/>
        <rFont val="Arial"/>
        <family val="2"/>
      </rPr>
      <t>67</t>
    </r>
  </si>
  <si>
    <r>
      <rPr>
        <b/>
        <sz val="9"/>
        <rFont val="Arial"/>
        <family val="2"/>
      </rPr>
      <t>Belanja Pembayaran Pajak, Bea, dan Perizinan</t>
    </r>
  </si>
  <si>
    <r>
      <rPr>
        <b/>
        <sz val="9"/>
        <rFont val="Arial"/>
        <family val="2"/>
      </rPr>
      <t xml:space="preserve">[ # ] Pajak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</si>
  <si>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>Biaya Pajak Kendaraan Bermotor Spesifikasi : Kendaraan Roda 4</t>
    </r>
  </si>
  <si>
    <r>
      <rPr>
        <sz val="9"/>
        <rFont val="Arial MT"/>
        <family val="2"/>
      </rPr>
      <t>Unit / Tahun</t>
    </r>
  </si>
  <si>
    <r>
      <rPr>
        <b/>
        <sz val="9"/>
        <rFont val="Arial"/>
        <family val="2"/>
      </rPr>
      <t>5.1.02.03</t>
    </r>
  </si>
  <si>
    <r>
      <rPr>
        <b/>
        <sz val="9"/>
        <rFont val="Arial"/>
        <family val="2"/>
      </rPr>
      <t>Belanja Pemeliharaan</t>
    </r>
  </si>
  <si>
    <r>
      <rPr>
        <b/>
        <sz val="9"/>
        <rFont val="Arial"/>
        <family val="2"/>
      </rPr>
      <t>5.1.02.03.002</t>
    </r>
  </si>
  <si>
    <r>
      <rPr>
        <b/>
        <sz val="9"/>
        <rFont val="Arial"/>
        <family val="2"/>
      </rPr>
      <t>Belanja Pemeliharaan Peralatan dan Mesin</t>
    </r>
  </si>
  <si>
    <r>
      <rPr>
        <b/>
        <sz val="9"/>
        <rFont val="Arial"/>
        <family val="2"/>
      </rPr>
      <t xml:space="preserve">5.1.02.03.002.000
</t>
    </r>
    <r>
      <rPr>
        <b/>
        <sz val="9"/>
        <rFont val="Arial"/>
        <family val="2"/>
      </rPr>
      <t>35</t>
    </r>
  </si>
  <si>
    <r>
      <rPr>
        <b/>
        <sz val="9"/>
        <rFont val="Arial"/>
        <family val="2"/>
      </rPr>
      <t>Belanja Pemeliharaan Alat Angkutan-Alat Angkutan Darat Bermotor-Kendaraan Dinas Bermotor Perorangan</t>
    </r>
  </si>
  <si>
    <r>
      <rPr>
        <b/>
        <sz val="9"/>
        <rFont val="Arial"/>
        <family val="2"/>
      </rPr>
      <t xml:space="preserve">[ # ] Pemeliharaan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</si>
  <si>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Biaya pemeliharaan kendaraan dinas operasional roda 4
</t>
    </r>
    <r>
      <rPr>
        <sz val="9"/>
        <rFont val="Arial MT"/>
        <family val="2"/>
      </rPr>
      <t>Spesifikasi : umur kendaraan di atas 2 tahun sampai dengan 5 tah...</t>
    </r>
  </si>
  <si>
    <r>
      <rPr>
        <sz val="9"/>
        <rFont val="Arial MT"/>
        <family val="2"/>
      </rPr>
      <t xml:space="preserve">Biaya pemeliharaan kendaraan dinas operasional roda 4
</t>
    </r>
    <r>
      <rPr>
        <sz val="9"/>
        <rFont val="Arial MT"/>
        <family val="2"/>
      </rPr>
      <t>Spesifikasi : umur kendaraan di atas 5 tahun</t>
    </r>
  </si>
  <si>
    <r>
      <rPr>
        <sz val="9"/>
        <rFont val="Arial MT"/>
        <family val="2"/>
      </rPr>
      <t xml:space="preserve">Biaya Pemeliharaan Kendaraan Pejabat - Pejabat Eselon II
</t>
    </r>
    <r>
      <rPr>
        <sz val="9"/>
        <rFont val="Arial MT"/>
        <family val="2"/>
      </rPr>
      <t>Spesifikasi : Pemeliharaan dan operasional kendaraan dinas, term...</t>
    </r>
  </si>
  <si>
    <r>
      <rPr>
        <sz val="9"/>
        <rFont val="Arial MT"/>
        <family val="2"/>
      </rPr>
      <t>: 1.02.01.2.09.0002 Penyediaan Jasa Pemeliharaan, Biaya Pemeliharaan, Pajak dan Perizinan Kendaraan Dinas Operasional atau Lapangan</t>
    </r>
  </si>
  <si>
    <r>
      <rPr>
        <sz val="9"/>
        <rFont val="Arial MT"/>
        <family val="2"/>
      </rPr>
      <t>: Rp. 226.400.000,00</t>
    </r>
  </si>
  <si>
    <r>
      <rPr>
        <sz val="9"/>
        <rFont val="Arial MT"/>
        <family val="2"/>
      </rPr>
      <t>: Rp. 1.454.761.000,00</t>
    </r>
  </si>
  <si>
    <r>
      <rPr>
        <sz val="9"/>
        <rFont val="Arial MT"/>
        <family val="2"/>
      </rPr>
      <t>Jumlah Kendaraan Dinas Operasional atau Lapangan yang Dipelihara dan dibayarkan Pajak dan Perizinannya</t>
    </r>
  </si>
  <si>
    <r>
      <rPr>
        <sz val="9"/>
        <rFont val="Arial MT"/>
        <family val="2"/>
      </rPr>
      <t>11 Unit</t>
    </r>
  </si>
  <si>
    <r>
      <rPr>
        <sz val="9"/>
        <rFont val="Arial MT"/>
        <family val="2"/>
      </rPr>
      <t>: Jumlah Kendaraan Dinas Operasional atau Lapangan yang Dipelihara dan dibayarkan Pajak dan Perizinannya</t>
    </r>
  </si>
  <si>
    <r>
      <rPr>
        <sz val="9"/>
        <rFont val="Arial MT"/>
        <family val="2"/>
      </rPr>
      <t xml:space="preserve">Biaya Pajak Kendaraan Bermotor
</t>
    </r>
    <r>
      <rPr>
        <sz val="9"/>
        <rFont val="Arial MT"/>
        <family val="2"/>
      </rPr>
      <t>Spesifikasi : Kendaraan Roda 2 dan Roda 3</t>
    </r>
  </si>
  <si>
    <r>
      <rPr>
        <sz val="9"/>
        <rFont val="Arial MT"/>
        <family val="2"/>
      </rPr>
      <t xml:space="preserve">Biaya pemeliharaan kendaraan dinas operasional roda 4
</t>
    </r>
    <r>
      <rPr>
        <sz val="9"/>
        <rFont val="Arial MT"/>
        <family val="2"/>
      </rPr>
      <t>Spesifikasi : umur kendaraan 1 tahun sampai dengan 2 tahun</t>
    </r>
  </si>
  <si>
    <r>
      <rPr>
        <b/>
        <sz val="9"/>
        <rFont val="Arial"/>
        <family val="2"/>
      </rPr>
      <t xml:space="preserve">5.1.02.03.002.000
</t>
    </r>
    <r>
      <rPr>
        <b/>
        <sz val="9"/>
        <rFont val="Arial"/>
        <family val="2"/>
      </rPr>
      <t>38</t>
    </r>
  </si>
  <si>
    <r>
      <rPr>
        <b/>
        <sz val="9"/>
        <rFont val="Arial"/>
        <family val="2"/>
      </rPr>
      <t>Belanja Pemeliharaan Alat Angkutan-Alat Angkutan Darat Bermotor-Kendaraan Bermotor Beroda Dua</t>
    </r>
  </si>
  <si>
    <r>
      <rPr>
        <sz val="9"/>
        <rFont val="Arial MT"/>
        <family val="2"/>
      </rPr>
      <t xml:space="preserve">Biaya pemeliharaan kendaraan dinas operasional roda 2
</t>
    </r>
    <r>
      <rPr>
        <sz val="9"/>
        <rFont val="Arial MT"/>
        <family val="2"/>
      </rPr>
      <t>Spesifikasi : umur kendaraan di atas 5 tahun</t>
    </r>
  </si>
  <si>
    <r>
      <rPr>
        <sz val="9"/>
        <rFont val="Arial MT"/>
        <family val="2"/>
      </rPr>
      <t>: 1.02.01.2.09.0006 Pemeliharaan Peralatan dan Mesin Lainnya</t>
    </r>
  </si>
  <si>
    <r>
      <rPr>
        <sz val="9"/>
        <rFont val="Arial MT"/>
        <family val="2"/>
      </rPr>
      <t>: Rp. 156.070.000,00</t>
    </r>
  </si>
  <si>
    <r>
      <rPr>
        <sz val="9"/>
        <rFont val="Arial MT"/>
        <family val="2"/>
      </rPr>
      <t>: Rp. 156.174.700,00</t>
    </r>
  </si>
  <si>
    <r>
      <rPr>
        <sz val="9"/>
        <rFont val="Arial MT"/>
        <family val="2"/>
      </rPr>
      <t>Jumlah Peralatan dan Mesin Lainnya yang Dipelihara</t>
    </r>
  </si>
  <si>
    <r>
      <rPr>
        <sz val="9"/>
        <rFont val="Arial MT"/>
        <family val="2"/>
      </rPr>
      <t>153 Unit</t>
    </r>
  </si>
  <si>
    <r>
      <rPr>
        <sz val="9"/>
        <rFont val="Arial MT"/>
        <family val="2"/>
      </rPr>
      <t>: Jumlah Peralatan dan Mesin Lainnya yang Dipelihara</t>
    </r>
  </si>
  <si>
    <r>
      <rPr>
        <b/>
        <sz val="9"/>
        <rFont val="Arial"/>
        <family val="2"/>
      </rPr>
      <t xml:space="preserve">5.1.02.03.002.001
</t>
    </r>
    <r>
      <rPr>
        <b/>
        <sz val="9"/>
        <rFont val="Arial"/>
        <family val="2"/>
      </rPr>
      <t>17</t>
    </r>
  </si>
  <si>
    <r>
      <rPr>
        <b/>
        <sz val="9"/>
        <rFont val="Arial"/>
        <family val="2"/>
      </rPr>
      <t>Belanja Pemeliharaan Alat Kantor dan Rumah Tangga-Alat Kantor-Alat Kantor Lainnya</t>
    </r>
  </si>
  <si>
    <r>
      <rPr>
        <b/>
        <sz val="9"/>
        <rFont val="Arial"/>
        <family val="2"/>
      </rPr>
      <t>[ - ] Pemeliharaan CCTV dan Smart Doorlock</t>
    </r>
  </si>
  <si>
    <r>
      <rPr>
        <sz val="9"/>
        <rFont val="Arial MT"/>
        <family val="2"/>
      </rPr>
      <t xml:space="preserve">Jasa Pemeliharaan Kamera Rusak Berat Spesifikasi : Jasa perbaikan kamera rusak
</t>
    </r>
    <r>
      <rPr>
        <sz val="9"/>
        <rFont val="Arial MT"/>
        <family val="2"/>
      </rPr>
      <t>berat, pergantian lens...</t>
    </r>
  </si>
  <si>
    <r>
      <rPr>
        <b/>
        <sz val="9"/>
        <rFont val="Arial"/>
        <family val="2"/>
      </rPr>
      <t xml:space="preserve">5.1.02.03.002.001
</t>
    </r>
    <r>
      <rPr>
        <b/>
        <sz val="9"/>
        <rFont val="Arial"/>
        <family val="2"/>
      </rPr>
      <t>21</t>
    </r>
  </si>
  <si>
    <r>
      <rPr>
        <b/>
        <sz val="9"/>
        <rFont val="Arial"/>
        <family val="2"/>
      </rPr>
      <t>Belanja Pemeliharaan Alat Kantor dan Rumah Tangga-Alat Rumah Tangga-Alat Pendingin</t>
    </r>
  </si>
  <si>
    <r>
      <rPr>
        <b/>
        <sz val="9"/>
        <rFont val="Arial"/>
        <family val="2"/>
      </rPr>
      <t xml:space="preserve">[ # ] Pemeliharaan AC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</si>
  <si>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>Pemeliharaan Alat Pendingin - AC Split Spesifikasi : AC Split</t>
    </r>
  </si>
  <si>
    <r>
      <rPr>
        <b/>
        <sz val="9"/>
        <rFont val="Arial"/>
        <family val="2"/>
      </rPr>
      <t xml:space="preserve">5.1.02.03.002.001
</t>
    </r>
    <r>
      <rPr>
        <b/>
        <sz val="9"/>
        <rFont val="Arial"/>
        <family val="2"/>
      </rPr>
      <t>95</t>
    </r>
  </si>
  <si>
    <r>
      <rPr>
        <b/>
        <sz val="9"/>
        <rFont val="Arial"/>
        <family val="2"/>
      </rPr>
      <t>Belanja Pemeliharaan Alat Studio, Komunikasi, dan Pemancar-Peralatan Pemancar-Sumber Tenaga</t>
    </r>
  </si>
  <si>
    <r>
      <rPr>
        <b/>
        <sz val="9"/>
        <rFont val="Arial"/>
        <family val="2"/>
      </rPr>
      <t xml:space="preserve">[ # ] Pemeliharaan Genset
</t>
    </r>
    <r>
      <rPr>
        <b/>
        <sz val="9"/>
        <rFont val="Arial"/>
        <family val="2"/>
      </rPr>
      <t>Sumber Dana : PENDAPATAN ASLI DAERAH (PAD)</t>
    </r>
  </si>
  <si>
    <r>
      <rPr>
        <sz val="9"/>
        <rFont val="Arial MT"/>
        <family val="2"/>
      </rPr>
      <t xml:space="preserve">Pemeliharaan Peralatan Pemancar - Sumber Tenaga
</t>
    </r>
    <r>
      <rPr>
        <sz val="9"/>
        <rFont val="Arial MT"/>
        <family val="2"/>
      </rPr>
      <t>Spesifikasi : Genset 350 KVA</t>
    </r>
  </si>
  <si>
    <r>
      <rPr>
        <sz val="9"/>
        <rFont val="Arial MT"/>
        <family val="2"/>
      </rPr>
      <t>: 1.02.01.2.09.0009 Pemeliharaan/Rehabilitasi Gedung Kantor dan Bangunan Lainnya</t>
    </r>
  </si>
  <si>
    <r>
      <rPr>
        <sz val="9"/>
        <rFont val="Arial MT"/>
        <family val="2"/>
      </rPr>
      <t>: Rp. 48.838.000,00</t>
    </r>
  </si>
  <si>
    <r>
      <rPr>
        <sz val="9"/>
        <rFont val="Arial MT"/>
        <family val="2"/>
      </rPr>
      <t>: Rp. 817.014.000,00</t>
    </r>
  </si>
  <si>
    <r>
      <rPr>
        <sz val="9"/>
        <rFont val="Arial MT"/>
        <family val="2"/>
      </rPr>
      <t>Jumlah Gedung Kantor dan Bangunan Lainnya yang Dipelihara/Direhabilitasi</t>
    </r>
  </si>
  <si>
    <r>
      <rPr>
        <sz val="9"/>
        <rFont val="Arial MT"/>
        <family val="2"/>
      </rPr>
      <t>1 Unit</t>
    </r>
  </si>
  <si>
    <r>
      <rPr>
        <sz val="9"/>
        <rFont val="Arial MT"/>
        <family val="2"/>
      </rPr>
      <t>: Jumlah Gedung Kantor dan Bangunan Lainnya yang Dipelihara/Direhabilitasi</t>
    </r>
  </si>
  <si>
    <r>
      <rPr>
        <b/>
        <sz val="9"/>
        <rFont val="Arial"/>
        <family val="2"/>
      </rPr>
      <t>5.1.02.03.003</t>
    </r>
  </si>
  <si>
    <r>
      <rPr>
        <b/>
        <sz val="9"/>
        <rFont val="Arial"/>
        <family val="2"/>
      </rPr>
      <t>Belanja Pemeliharaan Gedung dan Bangunan</t>
    </r>
  </si>
  <si>
    <r>
      <rPr>
        <b/>
        <sz val="9"/>
        <rFont val="Arial"/>
        <family val="2"/>
      </rPr>
      <t xml:space="preserve">5.1.02.03.003.000
</t>
    </r>
    <r>
      <rPr>
        <b/>
        <sz val="9"/>
        <rFont val="Arial"/>
        <family val="2"/>
      </rPr>
      <t>01</t>
    </r>
  </si>
  <si>
    <r>
      <rPr>
        <b/>
        <sz val="9"/>
        <rFont val="Arial"/>
        <family val="2"/>
      </rPr>
      <t>Belanja Pemeliharaan Bangunan Gedung-Bangunan Gedung Tempat Kerja-Bangunan Gedung Kantor</t>
    </r>
  </si>
  <si>
    <r>
      <rPr>
        <b/>
        <sz val="9"/>
        <rFont val="Arial"/>
        <family val="2"/>
      </rPr>
      <t>[ - ] Rehabilitasi Gedung Lama dan Gudang Vaksin</t>
    </r>
  </si>
  <si>
    <r>
      <rPr>
        <sz val="9"/>
        <rFont val="Arial MT"/>
        <family val="2"/>
      </rPr>
      <t xml:space="preserve">Pemeliharaan Gedung atau Bangunan Dalam Negeri
</t>
    </r>
    <r>
      <rPr>
        <sz val="9"/>
        <rFont val="Arial MT"/>
        <family val="2"/>
      </rPr>
      <t xml:space="preserve">Spesifikasi : Gedung Bertingkat - tingkat
</t>
    </r>
    <r>
      <rPr>
        <sz val="9"/>
        <rFont val="Arial MT"/>
        <family val="2"/>
      </rPr>
      <t>k    e    r    u    s    a    k    a    n     "d    2    %        d</t>
    </r>
  </si>
  <si>
    <r>
      <rPr>
        <sz val="9"/>
        <rFont val="Arial MT"/>
        <family val="2"/>
      </rPr>
      <t>M2/Tahun</t>
    </r>
  </si>
  <si>
    <r>
      <rPr>
        <b/>
        <sz val="9"/>
        <rFont val="Arial"/>
        <family val="2"/>
      </rPr>
      <t xml:space="preserve">[ # ] Pemeliharaan Gedung Lingkungan Dinkes
</t>
    </r>
    <r>
      <rPr>
        <b/>
        <sz val="9"/>
        <rFont val="Arial"/>
        <family val="2"/>
      </rPr>
      <t>Sumber Dana : PENDAPATAN ASLI DAERAH (PAD)</t>
    </r>
  </si>
  <si>
    <r>
      <rPr>
        <b/>
        <sz val="9"/>
        <rFont val="Arial"/>
        <family val="2"/>
      </rPr>
      <t>[ - ] Gedung Pendukung</t>
    </r>
  </si>
  <si>
    <r>
      <rPr>
        <sz val="9"/>
        <rFont val="Arial MT"/>
        <family val="2"/>
      </rPr>
      <t xml:space="preserve">Pemeliharaan Gedung atau Bangunan Dalam Negeri
</t>
    </r>
    <r>
      <rPr>
        <sz val="9"/>
        <rFont val="Arial MT"/>
        <family val="2"/>
      </rPr>
      <t xml:space="preserve">Spesifikasi : Gedung Tidak Bertingkat -
</t>
    </r>
    <r>
      <rPr>
        <sz val="9"/>
        <rFont val="Arial MT"/>
        <family val="2"/>
      </rPr>
      <t>t    i    n    g    k    a    t        k    e    r    u    s    a    k</t>
    </r>
  </si>
  <si>
    <r>
      <rPr>
        <b/>
        <sz val="9"/>
        <rFont val="Arial"/>
        <family val="2"/>
      </rPr>
      <t>[ - ] Gedung Utama</t>
    </r>
  </si>
  <si>
    <r>
      <rPr>
        <sz val="9"/>
        <rFont val="Arial MT"/>
        <family val="2"/>
      </rPr>
      <t>: 1.02.01.2.09.0011 Pemeliharaan/Rehabilitasi Sarana dan Prasarana Pendukung Gedung Kantor atau Bangunan Lainnya</t>
    </r>
  </si>
  <si>
    <r>
      <rPr>
        <sz val="9"/>
        <rFont val="Arial MT"/>
        <family val="2"/>
      </rPr>
      <t>: Rp. 71.879.641,00</t>
    </r>
  </si>
  <si>
    <r>
      <rPr>
        <sz val="9"/>
        <rFont val="Arial MT"/>
        <family val="2"/>
      </rPr>
      <t>: Rp. 305.800.000,00</t>
    </r>
  </si>
  <si>
    <r>
      <rPr>
        <sz val="9"/>
        <rFont val="Arial MT"/>
        <family val="2"/>
      </rPr>
      <t>Jumlah Sarana dan Prasarana Pendukung Gedung Kantor atau Bangunan Lainnya yang Dipelihara/Direhabilitasi</t>
    </r>
  </si>
  <si>
    <r>
      <rPr>
        <sz val="9"/>
        <rFont val="Arial MT"/>
        <family val="2"/>
      </rPr>
      <t>4 Unit</t>
    </r>
  </si>
  <si>
    <r>
      <rPr>
        <sz val="9"/>
        <rFont val="Arial MT"/>
        <family val="2"/>
      </rPr>
      <t>: Jumlah Sarana dan Prasarana Pendukung Gedung Kantor atau Bangunan Lainnya yang Dipelihara/Direhabilitasi</t>
    </r>
  </si>
  <si>
    <r>
      <rPr>
        <b/>
        <sz val="9"/>
        <rFont val="Arial"/>
        <family val="2"/>
      </rPr>
      <t>[ - ] APAR</t>
    </r>
  </si>
  <si>
    <r>
      <rPr>
        <sz val="9"/>
        <rFont val="Arial MT"/>
        <family val="2"/>
      </rPr>
      <t xml:space="preserve">Continuous Form
</t>
    </r>
    <r>
      <rPr>
        <sz val="9"/>
        <rFont val="Arial MT"/>
        <family val="2"/>
      </rPr>
      <t>Spesifikasi : Ukuran 9,5 inch x 11 inch, 2 ply</t>
    </r>
  </si>
  <si>
    <r>
      <rPr>
        <b/>
        <sz val="9"/>
        <rFont val="Arial"/>
        <family val="2"/>
      </rPr>
      <t>[ - ] Pemeliharaan Pagar</t>
    </r>
  </si>
  <si>
    <r>
      <rPr>
        <sz val="9"/>
        <rFont val="Arial MT"/>
        <family val="2"/>
      </rPr>
      <t xml:space="preserve">Pemeliharaan Gedung atau Bangunan Dalam Negeri
</t>
    </r>
    <r>
      <rPr>
        <sz val="9"/>
        <rFont val="Arial MT"/>
        <family val="2"/>
      </rPr>
      <t>Spesifikasi : Halaman Gedung/Bangunan Kantor - tingkat kerusakan...</t>
    </r>
  </si>
  <si>
    <r>
      <rPr>
        <b/>
        <sz val="9"/>
        <rFont val="Arial"/>
        <family val="2"/>
      </rPr>
      <t>[ - ] Pemeliharaan Taman</t>
    </r>
  </si>
  <si>
    <r>
      <rPr>
        <sz val="9"/>
        <rFont val="Arial MT"/>
        <family val="2"/>
      </rPr>
      <t>4187.9641</t>
    </r>
  </si>
  <si>
    <t>Alokasi 2026</t>
  </si>
  <si>
    <t>Bensin
Spesifikasi : Pertamina Dex, pertanggal 30 juni 2026</t>
  </si>
  <si>
    <t>Bensin
Spesifikasi : Pertamax, pertanggal 30 juni 2026</t>
  </si>
  <si>
    <t>[ - ] Lungsuran 2026</t>
  </si>
  <si>
    <t>Pemerintahan Kab. Bogor Tahun Anggaran 2027</t>
  </si>
  <si>
    <t>Alokasi 2027</t>
  </si>
  <si>
    <t>Alokasi 2028</t>
  </si>
  <si>
    <t>: Rp. 18.197,000,00</t>
  </si>
  <si>
    <t>\</t>
  </si>
  <si>
    <t>: 1.02.01.2.03.0006 Penatausahaan Barang Milik Daerah pada SKPD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</si>
  <si>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</si>
  <si>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</si>
  <si>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</si>
  <si>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</si>
  <si>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[ # ] Belanja Iuran Jaminan Kesehatan bagi PPPK Paruh Waktu pada Jabatan Tenaga Teknis
Sumber Dana : PENDAPATAN ASLI DAERAH (PAD)</t>
  </si>
  <si>
    <t>[ # ] Belanja Iuran Jaminan Kecelakaan bagi PPPK Paruh Waktu pada Jabatan Tenaga Teknis
Sumber Dana : PENDAPATAN ASLI DAERAH (PAD)</t>
  </si>
  <si>
    <t># ] Belanja Iuran Jaminan Kematian bagi PPPK Paruh Waktu pada Jabatan Tenaga Teknis
Sumber Dana : PENDAPATAN ASLI DAERAH (PAD)</t>
  </si>
  <si>
    <t>5.1.02.02.002.00033</t>
  </si>
  <si>
    <t>Belanja Iuran Jaminan Kematian bagi PPPK Paruh Waktu pada Jabatan Tenaga Teknis</t>
  </si>
  <si>
    <t>: 1.02.01.2.05.0003 Pendataan dan Pengolahan Administrasi Kepegawaian</t>
  </si>
  <si>
    <t>Belanja Alat/Bahan untuk Kegiatan Kantor-Alat Tulis Kantor</t>
  </si>
  <si>
    <t>: 1.02.01.2.05.0005 Monitoring, Evaluasi, dan Penilaian Kinerja Pegawai</t>
  </si>
  <si>
    <t>: 1.02.01.2.05.0009 Pendidikan dan Pelatihan Pegawai Berdasarkan Tugas dan Fungsi</t>
  </si>
  <si>
    <t>: 1.02.01.2.06.0001 Penyediaan Komponen Instalasi
Listrik/Penerangan Bangunan Kantor</t>
  </si>
  <si>
    <t>: 1.02.01.2.06.0002 Penyediaan Peralatan dan Perlengkapan Kantor</t>
  </si>
  <si>
    <t>[ - ] Videotron</t>
  </si>
  <si>
    <t>Videotron
Spesifikasi : LED Indoor Pixed 2.0, Cabinet Size 640mm x
360mm x 65mm, Resolution pixel 320 x 180, Bringhtness
600 sampai 900 nits</t>
  </si>
  <si>
    <t xml:space="preserve">Unit </t>
  </si>
  <si>
    <t>5.2.02.05.001</t>
  </si>
  <si>
    <t>5.2.02.05.001.00005</t>
  </si>
  <si>
    <t>Belanja Modal Alat Kantor Lainnya</t>
  </si>
  <si>
    <t>: 1.02.01.2.06.0004 Penyediaan Bahan Logistik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</si>
</sst>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\.d\.yy;@"/>
    <numFmt numFmtId="165" formatCode="0."/>
    <numFmt numFmtId="166" formatCode="_-* #,##0_-;\-* #,##0_-;_-* &quot;-&quot;??_-;_-@_-"/>
    <numFmt numFmtId="167" formatCode="0.00000"/>
  </numFmts>
  <fonts count="16">
    <font>
      <sz val="10"/>
      <color rgb="FF000000"/>
      <name val="Times New Roman"/>
      <charset val="204"/>
    </font>
    <font>
      <b/>
      <sz val="15"/>
      <name val="Arial"/>
      <family val="2"/>
    </font>
    <font>
      <sz val="12"/>
      <name val="Arial MT"/>
    </font>
    <font>
      <sz val="9"/>
      <name val="Arial MT"/>
    </font>
    <font>
      <sz val="9"/>
      <color rgb="FF000000"/>
      <name val="Arial MT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0"/>
      <name val="Arial MT"/>
    </font>
    <font>
      <b/>
      <sz val="12"/>
      <name val="Arial"/>
      <family val="2"/>
    </font>
    <font>
      <sz val="12"/>
      <name val="Arial MT"/>
      <family val="2"/>
    </font>
    <font>
      <sz val="9"/>
      <name val="Arial MT"/>
      <family val="2"/>
    </font>
    <font>
      <b/>
      <sz val="9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3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 indent="1"/>
    </xf>
    <xf numFmtId="0" fontId="8" fillId="0" borderId="13" xfId="0" applyFont="1" applyFill="1" applyBorder="1" applyAlignment="1">
      <alignment horizontal="left" vertical="top" wrapText="1" indent="1"/>
    </xf>
    <xf numFmtId="166" fontId="0" fillId="0" borderId="0" xfId="1" applyNumberFormat="1" applyFont="1" applyFill="1" applyBorder="1" applyAlignment="1">
      <alignment horizontal="left" vertical="center" wrapText="1"/>
    </xf>
    <xf numFmtId="166" fontId="6" fillId="0" borderId="1" xfId="1" applyNumberFormat="1" applyFont="1" applyFill="1" applyBorder="1" applyAlignment="1">
      <alignment horizontal="center" vertical="top" wrapText="1"/>
    </xf>
    <xf numFmtId="166" fontId="3" fillId="0" borderId="1" xfId="1" applyNumberFormat="1" applyFont="1" applyFill="1" applyBorder="1" applyAlignment="1">
      <alignment horizontal="right" vertical="center" wrapText="1"/>
    </xf>
    <xf numFmtId="166" fontId="6" fillId="0" borderId="1" xfId="1" applyNumberFormat="1" applyFont="1" applyFill="1" applyBorder="1" applyAlignment="1">
      <alignment horizontal="right" vertical="top" wrapText="1"/>
    </xf>
    <xf numFmtId="166" fontId="3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left" vertical="top" wrapText="1" indent="1"/>
    </xf>
    <xf numFmtId="166" fontId="3" fillId="0" borderId="1" xfId="1" applyNumberFormat="1" applyFont="1" applyFill="1" applyBorder="1" applyAlignment="1">
      <alignment horizontal="left" vertical="top" wrapText="1" indent="1"/>
    </xf>
    <xf numFmtId="166" fontId="3" fillId="0" borderId="1" xfId="1" applyNumberFormat="1" applyFont="1" applyFill="1" applyBorder="1" applyAlignment="1">
      <alignment horizontal="left" vertical="center" wrapText="1" indent="1"/>
    </xf>
    <xf numFmtId="166" fontId="6" fillId="0" borderId="1" xfId="1" applyNumberFormat="1" applyFont="1" applyFill="1" applyBorder="1" applyAlignment="1">
      <alignment horizontal="left" vertical="top" wrapText="1" indent="2"/>
    </xf>
    <xf numFmtId="166" fontId="6" fillId="0" borderId="1" xfId="1" applyNumberFormat="1" applyFont="1" applyFill="1" applyBorder="1" applyAlignment="1">
      <alignment horizontal="left" vertical="top" wrapText="1"/>
    </xf>
    <xf numFmtId="166" fontId="3" fillId="0" borderId="1" xfId="1" applyNumberFormat="1" applyFont="1" applyFill="1" applyBorder="1" applyAlignment="1">
      <alignment horizontal="left" vertical="top" wrapText="1" indent="2"/>
    </xf>
    <xf numFmtId="166" fontId="3" fillId="0" borderId="1" xfId="1" applyNumberFormat="1" applyFont="1" applyFill="1" applyBorder="1" applyAlignment="1">
      <alignment horizontal="left" vertical="center" wrapText="1" indent="2"/>
    </xf>
    <xf numFmtId="166" fontId="0" fillId="0" borderId="0" xfId="1" applyNumberFormat="1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166" fontId="8" fillId="0" borderId="2" xfId="1" applyNumberFormat="1" applyFont="1" applyFill="1" applyBorder="1" applyAlignment="1">
      <alignment horizontal="left" vertical="top" wrapText="1" indent="5"/>
    </xf>
    <xf numFmtId="166" fontId="8" fillId="0" borderId="3" xfId="1" applyNumberFormat="1" applyFont="1" applyFill="1" applyBorder="1" applyAlignment="1">
      <alignment horizontal="left" vertical="top" wrapText="1" indent="5"/>
    </xf>
    <xf numFmtId="166" fontId="8" fillId="0" borderId="4" xfId="1" applyNumberFormat="1" applyFont="1" applyFill="1" applyBorder="1" applyAlignment="1">
      <alignment horizontal="left" vertical="top" wrapText="1" indent="5"/>
    </xf>
    <xf numFmtId="0" fontId="9" fillId="0" borderId="2" xfId="0" applyFont="1" applyFill="1" applyBorder="1" applyAlignment="1">
      <alignment horizontal="center" vertical="top" wrapText="1"/>
    </xf>
    <xf numFmtId="0" fontId="9" fillId="0" borderId="3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right" vertical="top" wrapText="1" indent="1"/>
    </xf>
    <xf numFmtId="0" fontId="6" fillId="0" borderId="3" xfId="0" applyFont="1" applyFill="1" applyBorder="1" applyAlignment="1">
      <alignment horizontal="right" vertical="top" wrapText="1" indent="1"/>
    </xf>
    <xf numFmtId="0" fontId="6" fillId="0" borderId="4" xfId="0" applyFont="1" applyFill="1" applyBorder="1" applyAlignment="1">
      <alignment horizontal="righ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166" fontId="0" fillId="0" borderId="0" xfId="1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165" fontId="4" fillId="0" borderId="2" xfId="0" applyNumberFormat="1" applyFont="1" applyFill="1" applyBorder="1" applyAlignment="1">
      <alignment horizontal="left" vertical="top" shrinkToFit="1"/>
    </xf>
    <xf numFmtId="165" fontId="4" fillId="0" borderId="3" xfId="0" applyNumberFormat="1" applyFont="1" applyFill="1" applyBorder="1" applyAlignment="1">
      <alignment horizontal="left" vertical="top" shrinkToFit="1"/>
    </xf>
    <xf numFmtId="165" fontId="4" fillId="0" borderId="4" xfId="0" applyNumberFormat="1" applyFont="1" applyFill="1" applyBorder="1" applyAlignment="1">
      <alignment horizontal="left" vertical="top" shrinkToFi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1" fontId="4" fillId="0" borderId="2" xfId="0" applyNumberFormat="1" applyFont="1" applyFill="1" applyBorder="1" applyAlignment="1">
      <alignment horizontal="left" vertical="center" shrinkToFit="1"/>
    </xf>
    <xf numFmtId="1" fontId="4" fillId="0" borderId="4" xfId="0" applyNumberFormat="1" applyFont="1" applyFill="1" applyBorder="1" applyAlignment="1">
      <alignment horizontal="left" vertical="center" shrinkToFi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166" fontId="4" fillId="0" borderId="2" xfId="1" applyNumberFormat="1" applyFont="1" applyFill="1" applyBorder="1" applyAlignment="1">
      <alignment horizontal="left" vertical="center" shrinkToFit="1"/>
    </xf>
    <xf numFmtId="166" fontId="4" fillId="0" borderId="4" xfId="1" applyNumberFormat="1" applyFont="1" applyFill="1" applyBorder="1" applyAlignment="1">
      <alignment horizontal="left" vertical="center" shrinkToFit="1"/>
    </xf>
    <xf numFmtId="166" fontId="4" fillId="0" borderId="2" xfId="1" applyNumberFormat="1" applyFont="1" applyFill="1" applyBorder="1" applyAlignment="1">
      <alignment horizontal="left" vertical="center" indent="1" shrinkToFit="1"/>
    </xf>
    <xf numFmtId="166" fontId="4" fillId="0" borderId="3" xfId="1" applyNumberFormat="1" applyFont="1" applyFill="1" applyBorder="1" applyAlignment="1">
      <alignment horizontal="left" vertical="center" indent="1" shrinkToFit="1"/>
    </xf>
    <xf numFmtId="166" fontId="4" fillId="0" borderId="4" xfId="1" applyNumberFormat="1" applyFont="1" applyFill="1" applyBorder="1" applyAlignment="1">
      <alignment horizontal="left" vertical="center" indent="1" shrinkToFit="1"/>
    </xf>
    <xf numFmtId="0" fontId="6" fillId="0" borderId="5" xfId="0" applyFont="1" applyFill="1" applyBorder="1" applyAlignment="1">
      <alignment horizontal="left" vertical="top" wrapText="1" indent="1"/>
    </xf>
    <xf numFmtId="0" fontId="6" fillId="0" borderId="6" xfId="0" applyFont="1" applyFill="1" applyBorder="1" applyAlignment="1">
      <alignment horizontal="left" vertical="top" wrapText="1" indent="1"/>
    </xf>
    <xf numFmtId="0" fontId="6" fillId="0" borderId="7" xfId="0" applyFont="1" applyFill="1" applyBorder="1" applyAlignment="1">
      <alignment horizontal="left" vertical="top" wrapText="1" indent="1"/>
    </xf>
    <xf numFmtId="0" fontId="6" fillId="0" borderId="8" xfId="0" applyFont="1" applyFill="1" applyBorder="1" applyAlignment="1">
      <alignment horizontal="left" vertical="top" wrapText="1" indent="1"/>
    </xf>
    <xf numFmtId="0" fontId="6" fillId="0" borderId="5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166" fontId="6" fillId="0" borderId="11" xfId="1" applyNumberFormat="1" applyFont="1" applyFill="1" applyBorder="1" applyAlignment="1">
      <alignment horizontal="left" vertical="top" wrapText="1" indent="3"/>
    </xf>
    <xf numFmtId="166" fontId="6" fillId="0" borderId="12" xfId="1" applyNumberFormat="1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left" vertical="top" wrapText="1" indent="5"/>
    </xf>
    <xf numFmtId="0" fontId="6" fillId="0" borderId="4" xfId="0" applyFont="1" applyFill="1" applyBorder="1" applyAlignment="1">
      <alignment horizontal="left" vertical="top" wrapText="1" indent="5"/>
    </xf>
    <xf numFmtId="166" fontId="6" fillId="0" borderId="2" xfId="1" applyNumberFormat="1" applyFont="1" applyFill="1" applyBorder="1" applyAlignment="1">
      <alignment horizontal="left" vertical="top" wrapText="1" indent="4"/>
    </xf>
    <xf numFmtId="166" fontId="6" fillId="0" borderId="4" xfId="1" applyNumberFormat="1" applyFont="1" applyFill="1" applyBorder="1" applyAlignment="1">
      <alignment horizontal="left" vertical="top" wrapText="1" indent="4"/>
    </xf>
    <xf numFmtId="166" fontId="6" fillId="0" borderId="2" xfId="1" applyNumberFormat="1" applyFont="1" applyFill="1" applyBorder="1" applyAlignment="1">
      <alignment horizontal="left" vertical="top" wrapText="1" indent="2"/>
    </xf>
    <xf numFmtId="166" fontId="6" fillId="0" borderId="3" xfId="1" applyNumberFormat="1" applyFont="1" applyFill="1" applyBorder="1" applyAlignment="1">
      <alignment horizontal="left" vertical="top" wrapText="1" indent="2"/>
    </xf>
    <xf numFmtId="166" fontId="6" fillId="0" borderId="4" xfId="1" applyNumberFormat="1" applyFont="1" applyFill="1" applyBorder="1" applyAlignment="1">
      <alignment horizontal="left" vertical="top" wrapText="1" indent="2"/>
    </xf>
    <xf numFmtId="1" fontId="7" fillId="0" borderId="2" xfId="0" applyNumberFormat="1" applyFont="1" applyFill="1" applyBorder="1" applyAlignment="1">
      <alignment horizontal="left" vertical="top" shrinkToFit="1"/>
    </xf>
    <xf numFmtId="1" fontId="7" fillId="0" borderId="4" xfId="0" applyNumberFormat="1" applyFont="1" applyFill="1" applyBorder="1" applyAlignment="1">
      <alignment horizontal="left" vertical="top" shrinkToFit="1"/>
    </xf>
    <xf numFmtId="164" fontId="7" fillId="0" borderId="2" xfId="0" applyNumberFormat="1" applyFont="1" applyFill="1" applyBorder="1" applyAlignment="1">
      <alignment horizontal="left" vertical="top" shrinkToFit="1"/>
    </xf>
    <xf numFmtId="164" fontId="7" fillId="0" borderId="4" xfId="0" applyNumberFormat="1" applyFont="1" applyFill="1" applyBorder="1" applyAlignment="1">
      <alignment horizontal="left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166" fontId="6" fillId="0" borderId="2" xfId="1" applyNumberFormat="1" applyFont="1" applyFill="1" applyBorder="1" applyAlignment="1">
      <alignment horizontal="center" vertical="top" wrapText="1"/>
    </xf>
    <xf numFmtId="166" fontId="6" fillId="0" borderId="3" xfId="1" applyNumberFormat="1" applyFont="1" applyFill="1" applyBorder="1" applyAlignment="1">
      <alignment horizontal="center" vertical="top" wrapText="1"/>
    </xf>
    <xf numFmtId="166" fontId="6" fillId="0" borderId="4" xfId="1" applyNumberFormat="1" applyFont="1" applyFill="1" applyBorder="1" applyAlignment="1">
      <alignment horizontal="center" vertical="top" wrapText="1"/>
    </xf>
    <xf numFmtId="166" fontId="3" fillId="0" borderId="2" xfId="1" applyNumberFormat="1" applyFont="1" applyFill="1" applyBorder="1" applyAlignment="1">
      <alignment horizontal="left" vertical="top" wrapText="1"/>
    </xf>
    <xf numFmtId="166" fontId="3" fillId="0" borderId="4" xfId="1" applyNumberFormat="1" applyFont="1" applyFill="1" applyBorder="1" applyAlignment="1">
      <alignment horizontal="left" vertical="top" wrapText="1"/>
    </xf>
    <xf numFmtId="166" fontId="4" fillId="0" borderId="2" xfId="1" applyNumberFormat="1" applyFont="1" applyFill="1" applyBorder="1" applyAlignment="1">
      <alignment horizontal="left" vertical="top" shrinkToFit="1"/>
    </xf>
    <xf numFmtId="166" fontId="4" fillId="0" borderId="4" xfId="1" applyNumberFormat="1" applyFont="1" applyFill="1" applyBorder="1" applyAlignment="1">
      <alignment horizontal="left" vertical="top" shrinkToFi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166" fontId="2" fillId="0" borderId="2" xfId="1" applyNumberFormat="1" applyFont="1" applyFill="1" applyBorder="1" applyAlignment="1">
      <alignment horizontal="left" vertical="top" wrapText="1" indent="2"/>
    </xf>
    <xf numFmtId="166" fontId="2" fillId="0" borderId="4" xfId="1" applyNumberFormat="1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18"/>
    </xf>
    <xf numFmtId="0" fontId="1" fillId="0" borderId="3" xfId="0" applyFont="1" applyFill="1" applyBorder="1" applyAlignment="1">
      <alignment horizontal="left" vertical="top" wrapText="1" indent="18"/>
    </xf>
    <xf numFmtId="0" fontId="1" fillId="0" borderId="4" xfId="0" applyFont="1" applyFill="1" applyBorder="1" applyAlignment="1">
      <alignment horizontal="left" vertical="top" wrapText="1" indent="18"/>
    </xf>
    <xf numFmtId="166" fontId="0" fillId="0" borderId="2" xfId="1" applyNumberFormat="1" applyFont="1" applyFill="1" applyBorder="1" applyAlignment="1">
      <alignment horizontal="left" vertical="top" wrapText="1" indent="7"/>
    </xf>
    <xf numFmtId="166" fontId="0" fillId="0" borderId="3" xfId="1" applyNumberFormat="1" applyFont="1" applyFill="1" applyBorder="1" applyAlignment="1">
      <alignment horizontal="left" vertical="top" wrapText="1" indent="7"/>
    </xf>
    <xf numFmtId="166" fontId="0" fillId="0" borderId="4" xfId="1" applyNumberFormat="1" applyFont="1" applyFill="1" applyBorder="1" applyAlignment="1">
      <alignment horizontal="left" vertical="top" wrapText="1" indent="7"/>
    </xf>
    <xf numFmtId="1" fontId="4" fillId="2" borderId="2" xfId="0" applyNumberFormat="1" applyFont="1" applyFill="1" applyBorder="1" applyAlignment="1">
      <alignment horizontal="left" vertical="center" shrinkToFit="1"/>
    </xf>
    <xf numFmtId="1" fontId="4" fillId="2" borderId="4" xfId="0" applyNumberFormat="1" applyFont="1" applyFill="1" applyBorder="1" applyAlignment="1">
      <alignment horizontal="left" vertical="center" shrinkToFi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top" wrapText="1" indent="2"/>
    </xf>
    <xf numFmtId="0" fontId="3" fillId="0" borderId="4" xfId="0" applyFont="1" applyFill="1" applyBorder="1" applyAlignment="1">
      <alignment horizontal="left" vertical="top" wrapText="1" indent="2"/>
    </xf>
    <xf numFmtId="166" fontId="4" fillId="0" borderId="3" xfId="1" applyNumberFormat="1" applyFont="1" applyFill="1" applyBorder="1" applyAlignment="1">
      <alignment horizontal="left" vertical="center" shrinkToFit="1"/>
    </xf>
    <xf numFmtId="0" fontId="8" fillId="0" borderId="14" xfId="0" applyFont="1" applyFill="1" applyBorder="1" applyAlignment="1">
      <alignment horizontal="center" vertical="top" wrapText="1"/>
    </xf>
    <xf numFmtId="0" fontId="8" fillId="0" borderId="15" xfId="0" applyFont="1" applyFill="1" applyBorder="1" applyAlignment="1">
      <alignment horizontal="center" vertical="top" wrapText="1"/>
    </xf>
    <xf numFmtId="0" fontId="8" fillId="0" borderId="16" xfId="0" applyFont="1" applyFill="1" applyBorder="1" applyAlignment="1">
      <alignment horizontal="center" vertical="top" wrapText="1"/>
    </xf>
    <xf numFmtId="166" fontId="8" fillId="0" borderId="14" xfId="1" applyNumberFormat="1" applyFont="1" applyFill="1" applyBorder="1" applyAlignment="1">
      <alignment horizontal="left" vertical="top" wrapText="1" indent="5"/>
    </xf>
    <xf numFmtId="166" fontId="8" fillId="0" borderId="15" xfId="1" applyNumberFormat="1" applyFont="1" applyFill="1" applyBorder="1" applyAlignment="1">
      <alignment horizontal="left" vertical="top" wrapText="1" indent="5"/>
    </xf>
    <xf numFmtId="166" fontId="8" fillId="0" borderId="16" xfId="1" applyNumberFormat="1" applyFont="1" applyFill="1" applyBorder="1" applyAlignment="1">
      <alignment horizontal="left" vertical="top" wrapText="1" indent="5"/>
    </xf>
    <xf numFmtId="0" fontId="10" fillId="0" borderId="2" xfId="0" applyFont="1" applyFill="1" applyBorder="1" applyAlignment="1">
      <alignment horizontal="center" vertical="top" wrapText="1"/>
    </xf>
    <xf numFmtId="0" fontId="12" fillId="0" borderId="2" xfId="0" applyFont="1" applyFill="1" applyBorder="1" applyAlignment="1">
      <alignment horizontal="left" vertical="top" wrapText="1" indent="1"/>
    </xf>
    <xf numFmtId="0" fontId="13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vertical="top" wrapText="1" indent="2"/>
    </xf>
    <xf numFmtId="0" fontId="12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top" wrapText="1"/>
    </xf>
    <xf numFmtId="167" fontId="4" fillId="0" borderId="2" xfId="0" applyNumberFormat="1" applyFont="1" applyFill="1" applyBorder="1" applyAlignment="1">
      <alignment horizontal="left" vertical="center" shrinkToFit="1"/>
    </xf>
    <xf numFmtId="167" fontId="4" fillId="0" borderId="4" xfId="0" applyNumberFormat="1" applyFont="1" applyFill="1" applyBorder="1" applyAlignment="1">
      <alignment horizontal="left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2101</xdr:row>
      <xdr:rowOff>263505</xdr:rowOff>
    </xdr:from>
    <xdr:ext cx="1440180" cy="102996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440180" cy="1029969"/>
        </a:xfrm>
        <a:custGeom>
          <a:avLst/>
          <a:gdLst/>
          <a:ahLst/>
          <a:cxnLst/>
          <a:rect l="0" t="0" r="0" b="0"/>
          <a:pathLst>
            <a:path w="1440180" h="1029969">
              <a:moveTo>
                <a:pt x="1440000" y="0"/>
              </a:moveTo>
              <a:lnTo>
                <a:pt x="0" y="0"/>
              </a:lnTo>
              <a:lnTo>
                <a:pt x="0" y="1029780"/>
              </a:lnTo>
              <a:lnTo>
                <a:pt x="1440000" y="1029780"/>
              </a:lnTo>
              <a:lnTo>
                <a:pt x="144000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5</xdr:col>
      <xdr:colOff>0</xdr:colOff>
      <xdr:row>2104</xdr:row>
      <xdr:rowOff>252491</xdr:rowOff>
    </xdr:from>
    <xdr:ext cx="1440180" cy="1029969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440180" cy="1029969"/>
        </a:xfrm>
        <a:custGeom>
          <a:avLst/>
          <a:gdLst/>
          <a:ahLst/>
          <a:cxnLst/>
          <a:rect l="0" t="0" r="0" b="0"/>
          <a:pathLst>
            <a:path w="1440180" h="1029969">
              <a:moveTo>
                <a:pt x="1440000" y="0"/>
              </a:moveTo>
              <a:lnTo>
                <a:pt x="0" y="0"/>
              </a:lnTo>
              <a:lnTo>
                <a:pt x="0" y="1029780"/>
              </a:lnTo>
              <a:lnTo>
                <a:pt x="1440000" y="1029780"/>
              </a:lnTo>
              <a:lnTo>
                <a:pt x="144000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5</xdr:col>
      <xdr:colOff>0</xdr:colOff>
      <xdr:row>2107</xdr:row>
      <xdr:rowOff>4048</xdr:rowOff>
    </xdr:from>
    <xdr:ext cx="1440180" cy="1029969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440180" cy="1029969"/>
        </a:xfrm>
        <a:custGeom>
          <a:avLst/>
          <a:gdLst/>
          <a:ahLst/>
          <a:cxnLst/>
          <a:rect l="0" t="0" r="0" b="0"/>
          <a:pathLst>
            <a:path w="1440180" h="1029969">
              <a:moveTo>
                <a:pt x="1440000" y="0"/>
              </a:moveTo>
              <a:lnTo>
                <a:pt x="0" y="0"/>
              </a:lnTo>
              <a:lnTo>
                <a:pt x="0" y="1029780"/>
              </a:lnTo>
              <a:lnTo>
                <a:pt x="1440000" y="1029780"/>
              </a:lnTo>
              <a:lnTo>
                <a:pt x="144000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93"/>
  <sheetViews>
    <sheetView tabSelected="1" view="pageBreakPreview" topLeftCell="A1454" zoomScale="60" zoomScaleNormal="70" workbookViewId="0">
      <selection activeCell="A1485" sqref="A1485:B1485"/>
    </sheetView>
  </sheetViews>
  <sheetFormatPr defaultRowHeight="13.2"/>
  <cols>
    <col min="1" max="1" width="6.88671875" customWidth="1"/>
    <col min="2" max="3" width="12.6640625" customWidth="1"/>
    <col min="4" max="4" width="6.88671875" customWidth="1"/>
    <col min="5" max="5" width="32.6640625" customWidth="1"/>
    <col min="6" max="6" width="5.77734375" customWidth="1"/>
    <col min="7" max="7" width="20.88671875" customWidth="1"/>
    <col min="8" max="8" width="12.6640625" customWidth="1"/>
    <col min="9" max="9" width="14" customWidth="1"/>
    <col min="10" max="10" width="5.77734375" style="17" customWidth="1"/>
    <col min="11" max="11" width="12.6640625" style="17" customWidth="1"/>
    <col min="12" max="12" width="1.109375" style="17" customWidth="1"/>
    <col min="13" max="14" width="5.77734375" style="17" customWidth="1"/>
    <col min="15" max="15" width="19.77734375" style="17" customWidth="1"/>
  </cols>
  <sheetData>
    <row r="1" spans="1:15" ht="64.05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8"/>
      <c r="K1" s="109" t="s">
        <v>1</v>
      </c>
      <c r="L1" s="110"/>
      <c r="M1" s="110"/>
      <c r="N1" s="110"/>
      <c r="O1" s="111"/>
    </row>
    <row r="2" spans="1:15" ht="23.55" customHeight="1">
      <c r="A2" s="101" t="s">
        <v>674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3"/>
    </row>
    <row r="3" spans="1:15" ht="20.55" customHeight="1">
      <c r="A3" s="93"/>
      <c r="B3" s="93"/>
      <c r="C3" s="1"/>
      <c r="D3" s="93"/>
      <c r="E3" s="93"/>
      <c r="F3" s="93"/>
      <c r="G3" s="93"/>
      <c r="H3" s="93"/>
      <c r="I3" s="93"/>
      <c r="J3" s="5"/>
      <c r="K3" s="36"/>
      <c r="L3" s="36"/>
      <c r="M3" s="5"/>
      <c r="N3" s="5"/>
      <c r="O3" s="5"/>
    </row>
    <row r="4" spans="1:15" ht="37.049999999999997" customHeight="1">
      <c r="A4" s="101" t="s">
        <v>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3"/>
    </row>
    <row r="5" spans="1:15" ht="21" customHeight="1">
      <c r="A5" s="37" t="s">
        <v>3</v>
      </c>
      <c r="B5" s="38"/>
      <c r="C5" s="39"/>
      <c r="D5" s="90" t="s">
        <v>4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2"/>
    </row>
    <row r="6" spans="1:15" ht="22.05" customHeight="1">
      <c r="A6" s="37" t="s">
        <v>5</v>
      </c>
      <c r="B6" s="38"/>
      <c r="C6" s="39"/>
      <c r="D6" s="90" t="s">
        <v>6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2"/>
    </row>
    <row r="7" spans="1:15" ht="22.05" customHeight="1">
      <c r="A7" s="37" t="s">
        <v>7</v>
      </c>
      <c r="B7" s="38"/>
      <c r="C7" s="39"/>
      <c r="D7" s="90" t="s">
        <v>8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2"/>
    </row>
    <row r="8" spans="1:15" ht="21" customHeight="1">
      <c r="A8" s="37" t="s">
        <v>9</v>
      </c>
      <c r="B8" s="38"/>
      <c r="C8" s="39"/>
      <c r="D8" s="90" t="s">
        <v>10</v>
      </c>
      <c r="E8" s="91"/>
      <c r="F8" s="91"/>
      <c r="G8" s="91"/>
      <c r="H8" s="91"/>
      <c r="I8" s="91"/>
      <c r="J8" s="91"/>
      <c r="K8" s="91"/>
      <c r="L8" s="91"/>
      <c r="M8" s="91"/>
      <c r="N8" s="91"/>
      <c r="O8" s="92"/>
    </row>
    <row r="9" spans="1:15" ht="22.05" customHeight="1">
      <c r="A9" s="37" t="s">
        <v>11</v>
      </c>
      <c r="B9" s="38"/>
      <c r="C9" s="39"/>
      <c r="D9" s="90" t="s">
        <v>12</v>
      </c>
      <c r="E9" s="91"/>
      <c r="F9" s="91"/>
      <c r="G9" s="91"/>
      <c r="H9" s="91"/>
      <c r="I9" s="91"/>
      <c r="J9" s="91"/>
      <c r="K9" s="91"/>
      <c r="L9" s="91"/>
      <c r="M9" s="91"/>
      <c r="N9" s="91"/>
      <c r="O9" s="92"/>
    </row>
    <row r="10" spans="1:15" ht="22.05" customHeight="1">
      <c r="A10" s="37" t="s">
        <v>13</v>
      </c>
      <c r="B10" s="38"/>
      <c r="C10" s="39"/>
      <c r="D10" s="90" t="s">
        <v>14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2"/>
    </row>
    <row r="11" spans="1:15" ht="21" customHeight="1">
      <c r="A11" s="37" t="s">
        <v>15</v>
      </c>
      <c r="B11" s="38"/>
      <c r="C11" s="39"/>
      <c r="D11" s="90" t="s">
        <v>16</v>
      </c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2"/>
    </row>
    <row r="12" spans="1:15" ht="22.05" customHeight="1">
      <c r="A12" s="37" t="s">
        <v>17</v>
      </c>
      <c r="B12" s="38"/>
      <c r="C12" s="39"/>
      <c r="D12" s="90" t="s">
        <v>10</v>
      </c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2"/>
    </row>
    <row r="13" spans="1:15" ht="22.05" customHeight="1">
      <c r="A13" s="37" t="s">
        <v>18</v>
      </c>
      <c r="B13" s="38"/>
      <c r="C13" s="39"/>
      <c r="D13" s="90" t="s">
        <v>10</v>
      </c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2"/>
    </row>
    <row r="14" spans="1:15" ht="22.05" customHeight="1">
      <c r="A14" s="37" t="s">
        <v>19</v>
      </c>
      <c r="B14" s="38"/>
      <c r="C14" s="39"/>
      <c r="D14" s="90" t="s">
        <v>20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2"/>
    </row>
    <row r="15" spans="1:15" ht="21" customHeight="1">
      <c r="A15" s="37" t="s">
        <v>21</v>
      </c>
      <c r="B15" s="38"/>
      <c r="C15" s="39"/>
      <c r="D15" s="90" t="s">
        <v>22</v>
      </c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2"/>
    </row>
    <row r="16" spans="1:15" ht="22.05" customHeight="1">
      <c r="A16" s="37" t="s">
        <v>23</v>
      </c>
      <c r="B16" s="38"/>
      <c r="C16" s="39"/>
      <c r="D16" s="90" t="s">
        <v>24</v>
      </c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2"/>
    </row>
    <row r="17" spans="1:15" ht="22.05" customHeight="1">
      <c r="A17" s="37" t="s">
        <v>25</v>
      </c>
      <c r="B17" s="38"/>
      <c r="C17" s="39"/>
      <c r="D17" s="90" t="s">
        <v>26</v>
      </c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2"/>
    </row>
    <row r="18" spans="1:15" ht="21" customHeight="1">
      <c r="A18" s="37" t="s">
        <v>670</v>
      </c>
      <c r="B18" s="38"/>
      <c r="C18" s="39"/>
      <c r="D18" s="90" t="s">
        <v>27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2"/>
    </row>
    <row r="19" spans="1:15" ht="22.05" customHeight="1">
      <c r="A19" s="37" t="s">
        <v>675</v>
      </c>
      <c r="B19" s="38"/>
      <c r="C19" s="39"/>
      <c r="D19" s="127" t="s">
        <v>677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2"/>
    </row>
    <row r="20" spans="1:15" ht="21.45" customHeight="1">
      <c r="A20" s="37" t="s">
        <v>676</v>
      </c>
      <c r="B20" s="38"/>
      <c r="C20" s="39"/>
      <c r="D20" s="90" t="s">
        <v>28</v>
      </c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2"/>
    </row>
    <row r="21" spans="1:15" ht="20.55" customHeight="1">
      <c r="A21" s="93"/>
      <c r="B21" s="93"/>
      <c r="C21" s="1"/>
      <c r="D21" s="93"/>
      <c r="E21" s="93"/>
      <c r="F21" s="93"/>
      <c r="G21" s="93"/>
      <c r="H21" s="93"/>
      <c r="I21" s="93"/>
      <c r="J21" s="5"/>
      <c r="K21" s="36"/>
      <c r="L21" s="36"/>
      <c r="M21" s="5"/>
      <c r="N21" s="5"/>
      <c r="O21" s="5"/>
    </row>
    <row r="22" spans="1:15" ht="22.95" customHeight="1">
      <c r="A22" s="101" t="s">
        <v>29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3"/>
    </row>
    <row r="23" spans="1:15" ht="24" customHeight="1">
      <c r="A23" s="101" t="s">
        <v>30</v>
      </c>
      <c r="B23" s="102"/>
      <c r="C23" s="103"/>
      <c r="D23" s="101" t="s">
        <v>31</v>
      </c>
      <c r="E23" s="102"/>
      <c r="F23" s="102"/>
      <c r="G23" s="102"/>
      <c r="H23" s="102"/>
      <c r="I23" s="102"/>
      <c r="J23" s="102"/>
      <c r="K23" s="102"/>
      <c r="L23" s="102"/>
      <c r="M23" s="103"/>
      <c r="N23" s="104" t="s">
        <v>32</v>
      </c>
      <c r="O23" s="105"/>
    </row>
    <row r="24" spans="1:15" ht="21" customHeight="1">
      <c r="A24" s="37" t="s">
        <v>33</v>
      </c>
      <c r="B24" s="38"/>
      <c r="C24" s="39"/>
      <c r="D24" s="37" t="s">
        <v>34</v>
      </c>
      <c r="E24" s="38"/>
      <c r="F24" s="38"/>
      <c r="G24" s="38"/>
      <c r="H24" s="38"/>
      <c r="I24" s="38"/>
      <c r="J24" s="38"/>
      <c r="K24" s="38"/>
      <c r="L24" s="38"/>
      <c r="M24" s="39"/>
      <c r="N24" s="97" t="s">
        <v>35</v>
      </c>
      <c r="O24" s="98"/>
    </row>
    <row r="25" spans="1:15" ht="19.95" customHeight="1">
      <c r="A25" s="37" t="s">
        <v>36</v>
      </c>
      <c r="B25" s="38"/>
      <c r="C25" s="39"/>
      <c r="D25" s="37" t="s">
        <v>37</v>
      </c>
      <c r="E25" s="38"/>
      <c r="F25" s="38"/>
      <c r="G25" s="38"/>
      <c r="H25" s="38"/>
      <c r="I25" s="38"/>
      <c r="J25" s="38"/>
      <c r="K25" s="38"/>
      <c r="L25" s="38"/>
      <c r="M25" s="39"/>
      <c r="N25" s="97">
        <f>O40</f>
        <v>18197000.000490002</v>
      </c>
      <c r="O25" s="98"/>
    </row>
    <row r="26" spans="1:15" ht="19.95" customHeight="1">
      <c r="A26" s="37" t="s">
        <v>38</v>
      </c>
      <c r="B26" s="38"/>
      <c r="C26" s="39"/>
      <c r="D26" s="37" t="s">
        <v>39</v>
      </c>
      <c r="E26" s="38"/>
      <c r="F26" s="38"/>
      <c r="G26" s="38"/>
      <c r="H26" s="38"/>
      <c r="I26" s="38"/>
      <c r="J26" s="38"/>
      <c r="K26" s="38"/>
      <c r="L26" s="38"/>
      <c r="M26" s="39"/>
      <c r="N26" s="97" t="s">
        <v>40</v>
      </c>
      <c r="O26" s="98"/>
    </row>
    <row r="27" spans="1:15" ht="20.55" customHeight="1">
      <c r="A27" s="37" t="s">
        <v>41</v>
      </c>
      <c r="B27" s="38"/>
      <c r="C27" s="39"/>
      <c r="D27" s="37" t="s">
        <v>42</v>
      </c>
      <c r="E27" s="38"/>
      <c r="F27" s="38"/>
      <c r="G27" s="38"/>
      <c r="H27" s="38"/>
      <c r="I27" s="38"/>
      <c r="J27" s="38"/>
      <c r="K27" s="38"/>
      <c r="L27" s="38"/>
      <c r="M27" s="39"/>
      <c r="N27" s="99">
        <v>1</v>
      </c>
      <c r="O27" s="100"/>
    </row>
    <row r="28" spans="1:15" ht="20.55" customHeight="1">
      <c r="A28" s="93"/>
      <c r="B28" s="93"/>
      <c r="C28" s="1"/>
      <c r="D28" s="93"/>
      <c r="E28" s="93"/>
      <c r="F28" s="93"/>
      <c r="G28" s="93"/>
      <c r="H28" s="93"/>
      <c r="I28" s="93"/>
      <c r="J28" s="5"/>
      <c r="K28" s="36"/>
      <c r="L28" s="36"/>
      <c r="M28" s="5"/>
      <c r="N28" s="5"/>
      <c r="O28" s="5"/>
    </row>
    <row r="29" spans="1:15" ht="37.049999999999997" customHeight="1">
      <c r="A29" s="101" t="s">
        <v>43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3"/>
    </row>
    <row r="30" spans="1:15" ht="21" customHeight="1">
      <c r="A30" s="37" t="s">
        <v>15</v>
      </c>
      <c r="B30" s="38"/>
      <c r="C30" s="39"/>
      <c r="D30" s="90" t="s">
        <v>16</v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2"/>
    </row>
    <row r="31" spans="1:15" ht="19.95" customHeight="1">
      <c r="A31" s="37" t="s">
        <v>19</v>
      </c>
      <c r="B31" s="38"/>
      <c r="C31" s="39"/>
      <c r="D31" s="90" t="s">
        <v>20</v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2"/>
    </row>
    <row r="32" spans="1:15" ht="19.95" customHeight="1">
      <c r="A32" s="37" t="s">
        <v>21</v>
      </c>
      <c r="B32" s="38"/>
      <c r="C32" s="39"/>
      <c r="D32" s="90" t="s">
        <v>44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2"/>
    </row>
    <row r="33" spans="1:15" ht="21" customHeight="1">
      <c r="A33" s="37" t="s">
        <v>45</v>
      </c>
      <c r="B33" s="38"/>
      <c r="C33" s="39"/>
      <c r="D33" s="90" t="s">
        <v>46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2"/>
    </row>
    <row r="34" spans="1:15" ht="19.95" customHeight="1">
      <c r="A34" s="37" t="s">
        <v>23</v>
      </c>
      <c r="B34" s="38"/>
      <c r="C34" s="39"/>
      <c r="D34" s="90" t="s">
        <v>24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</row>
    <row r="35" spans="1:15" ht="19.5" customHeight="1">
      <c r="A35" s="37" t="s">
        <v>47</v>
      </c>
      <c r="B35" s="38"/>
      <c r="C35" s="39"/>
      <c r="D35" s="90" t="s">
        <v>48</v>
      </c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</row>
    <row r="36" spans="1:15" ht="20.55" customHeight="1">
      <c r="A36" s="93"/>
      <c r="B36" s="93"/>
      <c r="C36" s="1"/>
      <c r="D36" s="93"/>
      <c r="E36" s="93"/>
      <c r="F36" s="93"/>
      <c r="G36" s="93"/>
      <c r="H36" s="93"/>
      <c r="I36" s="93"/>
      <c r="J36" s="5"/>
      <c r="K36" s="36"/>
      <c r="L36" s="36"/>
      <c r="M36" s="5"/>
      <c r="N36" s="5"/>
      <c r="O36" s="5"/>
    </row>
    <row r="37" spans="1:15" ht="37.950000000000003" customHeight="1">
      <c r="A37" s="87" t="s">
        <v>49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9"/>
    </row>
    <row r="38" spans="1:15" ht="19.95" customHeight="1">
      <c r="A38" s="61" t="s">
        <v>50</v>
      </c>
      <c r="B38" s="62"/>
      <c r="C38" s="65" t="s">
        <v>51</v>
      </c>
      <c r="D38" s="66"/>
      <c r="E38" s="67"/>
      <c r="F38" s="71" t="s">
        <v>52</v>
      </c>
      <c r="G38" s="72"/>
      <c r="H38" s="72"/>
      <c r="I38" s="72"/>
      <c r="J38" s="72"/>
      <c r="K38" s="72"/>
      <c r="L38" s="72"/>
      <c r="M38" s="72"/>
      <c r="N38" s="73"/>
      <c r="O38" s="74" t="s">
        <v>53</v>
      </c>
    </row>
    <row r="39" spans="1:15" ht="21" customHeight="1">
      <c r="A39" s="63"/>
      <c r="B39" s="64"/>
      <c r="C39" s="68"/>
      <c r="D39" s="69"/>
      <c r="E39" s="70"/>
      <c r="F39" s="76" t="s">
        <v>54</v>
      </c>
      <c r="G39" s="77"/>
      <c r="H39" s="71" t="s">
        <v>55</v>
      </c>
      <c r="I39" s="73"/>
      <c r="J39" s="94" t="s">
        <v>56</v>
      </c>
      <c r="K39" s="95"/>
      <c r="L39" s="96"/>
      <c r="M39" s="80" t="s">
        <v>57</v>
      </c>
      <c r="N39" s="82"/>
      <c r="O39" s="75"/>
    </row>
    <row r="40" spans="1:15" ht="19.95" customHeight="1">
      <c r="A40" s="83">
        <v>5</v>
      </c>
      <c r="B40" s="84"/>
      <c r="C40" s="46" t="s">
        <v>58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8"/>
      <c r="O40" s="6">
        <f>O41</f>
        <v>18197000.000490002</v>
      </c>
    </row>
    <row r="41" spans="1:15" ht="19.95" customHeight="1">
      <c r="A41" s="46" t="s">
        <v>59</v>
      </c>
      <c r="B41" s="48"/>
      <c r="C41" s="46" t="s">
        <v>60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8"/>
      <c r="O41" s="6">
        <f>O42</f>
        <v>18197000.000490002</v>
      </c>
    </row>
    <row r="42" spans="1:15" ht="21" customHeight="1">
      <c r="A42" s="85">
        <v>37377</v>
      </c>
      <c r="B42" s="86"/>
      <c r="C42" s="46" t="s">
        <v>61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8"/>
      <c r="O42" s="6">
        <f>O43</f>
        <v>18197000.000490002</v>
      </c>
    </row>
    <row r="43" spans="1:15" ht="19.95" customHeight="1">
      <c r="A43" s="46" t="s">
        <v>62</v>
      </c>
      <c r="B43" s="48"/>
      <c r="C43" s="46" t="s">
        <v>63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8"/>
      <c r="O43" s="6">
        <f>O44</f>
        <v>18197000.000490002</v>
      </c>
    </row>
    <row r="44" spans="1:15" ht="19.95" customHeight="1">
      <c r="A44" s="46" t="s">
        <v>64</v>
      </c>
      <c r="B44" s="48"/>
      <c r="C44" s="46" t="s">
        <v>65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8"/>
      <c r="O44" s="6">
        <f>O45+O56+O61</f>
        <v>18197000.000490002</v>
      </c>
    </row>
    <row r="45" spans="1:15" ht="31.05" customHeight="1">
      <c r="A45" s="30" t="s">
        <v>66</v>
      </c>
      <c r="B45" s="32"/>
      <c r="C45" s="46" t="s">
        <v>67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8"/>
      <c r="O45" s="6">
        <f>O46</f>
        <v>1264525.00049</v>
      </c>
    </row>
    <row r="46" spans="1:15" ht="31.05" customHeight="1">
      <c r="A46" s="40"/>
      <c r="B46" s="42"/>
      <c r="C46" s="30" t="s">
        <v>68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2"/>
      <c r="O46" s="6">
        <f>O47</f>
        <v>1264525.00049</v>
      </c>
    </row>
    <row r="47" spans="1:15" ht="20.25" customHeight="1">
      <c r="A47" s="40"/>
      <c r="B47" s="42"/>
      <c r="C47" s="46" t="s">
        <v>69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8"/>
      <c r="O47" s="6">
        <f>SUM(O51:O55)</f>
        <v>1264525.00049</v>
      </c>
    </row>
    <row r="48" spans="1:15" ht="37.950000000000003" customHeight="1">
      <c r="A48" s="87" t="s">
        <v>49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9"/>
    </row>
    <row r="49" spans="1:15" ht="19.95" customHeight="1">
      <c r="A49" s="61" t="s">
        <v>50</v>
      </c>
      <c r="B49" s="62"/>
      <c r="C49" s="65" t="s">
        <v>51</v>
      </c>
      <c r="D49" s="66"/>
      <c r="E49" s="67"/>
      <c r="F49" s="71" t="s">
        <v>52</v>
      </c>
      <c r="G49" s="72"/>
      <c r="H49" s="72"/>
      <c r="I49" s="72"/>
      <c r="J49" s="72"/>
      <c r="K49" s="72"/>
      <c r="L49" s="72"/>
      <c r="M49" s="72"/>
      <c r="N49" s="73"/>
      <c r="O49" s="74" t="s">
        <v>53</v>
      </c>
    </row>
    <row r="50" spans="1:15" ht="21" customHeight="1">
      <c r="A50" s="63"/>
      <c r="B50" s="64"/>
      <c r="C50" s="68"/>
      <c r="D50" s="69"/>
      <c r="E50" s="70"/>
      <c r="F50" s="76" t="s">
        <v>54</v>
      </c>
      <c r="G50" s="77"/>
      <c r="H50" s="71" t="s">
        <v>55</v>
      </c>
      <c r="I50" s="73"/>
      <c r="J50" s="94" t="s">
        <v>56</v>
      </c>
      <c r="K50" s="95"/>
      <c r="L50" s="96"/>
      <c r="M50" s="80" t="s">
        <v>57</v>
      </c>
      <c r="N50" s="82"/>
      <c r="O50" s="75"/>
    </row>
    <row r="51" spans="1:15" ht="60" customHeight="1">
      <c r="A51" s="30"/>
      <c r="B51" s="32"/>
      <c r="C51" s="49" t="s">
        <v>70</v>
      </c>
      <c r="D51" s="50"/>
      <c r="E51" s="51"/>
      <c r="F51" s="52">
        <v>3</v>
      </c>
      <c r="G51" s="53"/>
      <c r="H51" s="54" t="s">
        <v>71</v>
      </c>
      <c r="I51" s="55"/>
      <c r="J51" s="56">
        <v>59200</v>
      </c>
      <c r="K51" s="119"/>
      <c r="L51" s="57"/>
      <c r="M51" s="56">
        <v>0</v>
      </c>
      <c r="N51" s="57"/>
      <c r="O51" s="7">
        <f>F51*J51</f>
        <v>177600</v>
      </c>
    </row>
    <row r="52" spans="1:15" ht="70.95" customHeight="1">
      <c r="A52" s="30"/>
      <c r="B52" s="32"/>
      <c r="C52" s="49" t="s">
        <v>72</v>
      </c>
      <c r="D52" s="50"/>
      <c r="E52" s="51"/>
      <c r="F52" s="132">
        <v>7.0083713999999997</v>
      </c>
      <c r="G52" s="133"/>
      <c r="H52" s="54" t="s">
        <v>73</v>
      </c>
      <c r="I52" s="55"/>
      <c r="J52" s="56">
        <v>32850</v>
      </c>
      <c r="K52" s="119"/>
      <c r="L52" s="57"/>
      <c r="M52" s="56">
        <v>0</v>
      </c>
      <c r="N52" s="57"/>
      <c r="O52" s="7">
        <f t="shared" ref="O52:O55" si="0">F52*J52</f>
        <v>230225.00048999998</v>
      </c>
    </row>
    <row r="53" spans="1:15" ht="60" customHeight="1">
      <c r="A53" s="30"/>
      <c r="B53" s="32"/>
      <c r="C53" s="49" t="s">
        <v>74</v>
      </c>
      <c r="D53" s="50"/>
      <c r="E53" s="51"/>
      <c r="F53" s="52">
        <v>3</v>
      </c>
      <c r="G53" s="53"/>
      <c r="H53" s="54" t="s">
        <v>75</v>
      </c>
      <c r="I53" s="55"/>
      <c r="J53" s="56">
        <v>84200</v>
      </c>
      <c r="K53" s="119"/>
      <c r="L53" s="57"/>
      <c r="M53" s="56">
        <v>0</v>
      </c>
      <c r="N53" s="57"/>
      <c r="O53" s="7">
        <f t="shared" si="0"/>
        <v>252600</v>
      </c>
    </row>
    <row r="54" spans="1:15" ht="70.95" customHeight="1">
      <c r="A54" s="30"/>
      <c r="B54" s="32"/>
      <c r="C54" s="49" t="s">
        <v>76</v>
      </c>
      <c r="D54" s="50"/>
      <c r="E54" s="51"/>
      <c r="F54" s="52">
        <v>3</v>
      </c>
      <c r="G54" s="53"/>
      <c r="H54" s="54" t="s">
        <v>75</v>
      </c>
      <c r="I54" s="55"/>
      <c r="J54" s="56">
        <v>171150</v>
      </c>
      <c r="K54" s="119"/>
      <c r="L54" s="57"/>
      <c r="M54" s="56">
        <v>0</v>
      </c>
      <c r="N54" s="57"/>
      <c r="O54" s="7">
        <f t="shared" si="0"/>
        <v>513450</v>
      </c>
    </row>
    <row r="55" spans="1:15" ht="70.95" customHeight="1">
      <c r="A55" s="30"/>
      <c r="B55" s="32"/>
      <c r="C55" s="49" t="s">
        <v>77</v>
      </c>
      <c r="D55" s="50"/>
      <c r="E55" s="51"/>
      <c r="F55" s="52">
        <v>2</v>
      </c>
      <c r="G55" s="53"/>
      <c r="H55" s="54" t="s">
        <v>73</v>
      </c>
      <c r="I55" s="55"/>
      <c r="J55" s="56">
        <v>45325</v>
      </c>
      <c r="K55" s="119"/>
      <c r="L55" s="57"/>
      <c r="M55" s="56">
        <v>0</v>
      </c>
      <c r="N55" s="57"/>
      <c r="O55" s="7">
        <f t="shared" si="0"/>
        <v>90650</v>
      </c>
    </row>
    <row r="56" spans="1:15" ht="30" customHeight="1">
      <c r="A56" s="30" t="s">
        <v>78</v>
      </c>
      <c r="B56" s="32"/>
      <c r="C56" s="46" t="s">
        <v>79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8"/>
      <c r="O56" s="8">
        <v>6042475</v>
      </c>
    </row>
    <row r="57" spans="1:15" ht="31.05" customHeight="1">
      <c r="A57" s="40"/>
      <c r="B57" s="42"/>
      <c r="C57" s="30" t="s">
        <v>68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2"/>
      <c r="O57" s="8">
        <v>6042475</v>
      </c>
    </row>
    <row r="58" spans="1:15" ht="19.95" customHeight="1">
      <c r="A58" s="40"/>
      <c r="B58" s="42"/>
      <c r="C58" s="46" t="s">
        <v>69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8"/>
      <c r="O58" s="8">
        <v>6042475</v>
      </c>
    </row>
    <row r="59" spans="1:15" ht="61.05" customHeight="1">
      <c r="A59" s="30"/>
      <c r="B59" s="32"/>
      <c r="C59" s="49" t="s">
        <v>80</v>
      </c>
      <c r="D59" s="50"/>
      <c r="E59" s="51"/>
      <c r="F59" s="52">
        <v>38</v>
      </c>
      <c r="G59" s="53"/>
      <c r="H59" s="54" t="s">
        <v>81</v>
      </c>
      <c r="I59" s="55"/>
      <c r="J59" s="56">
        <v>73450</v>
      </c>
      <c r="K59" s="119"/>
      <c r="L59" s="57"/>
      <c r="M59" s="56">
        <v>0</v>
      </c>
      <c r="N59" s="57"/>
      <c r="O59" s="7">
        <v>2791100</v>
      </c>
    </row>
    <row r="60" spans="1:15" ht="60" customHeight="1">
      <c r="A60" s="30"/>
      <c r="B60" s="32"/>
      <c r="C60" s="49" t="s">
        <v>82</v>
      </c>
      <c r="D60" s="50"/>
      <c r="E60" s="51"/>
      <c r="F60" s="52">
        <v>37</v>
      </c>
      <c r="G60" s="53"/>
      <c r="H60" s="54" t="s">
        <v>81</v>
      </c>
      <c r="I60" s="55"/>
      <c r="J60" s="56">
        <v>87875</v>
      </c>
      <c r="K60" s="119"/>
      <c r="L60" s="57"/>
      <c r="M60" s="56">
        <v>0</v>
      </c>
      <c r="N60" s="57"/>
      <c r="O60" s="7">
        <v>3251375</v>
      </c>
    </row>
    <row r="61" spans="1:15" ht="31.05" customHeight="1">
      <c r="A61" s="30" t="s">
        <v>83</v>
      </c>
      <c r="B61" s="32"/>
      <c r="C61" s="46" t="s">
        <v>84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8"/>
      <c r="O61" s="8">
        <v>10890000</v>
      </c>
    </row>
    <row r="62" spans="1:15" ht="31.05" customHeight="1">
      <c r="A62" s="40"/>
      <c r="B62" s="42"/>
      <c r="C62" s="30" t="s">
        <v>85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2"/>
      <c r="O62" s="8">
        <v>10890000</v>
      </c>
    </row>
    <row r="63" spans="1:15" ht="19.95" customHeight="1">
      <c r="A63" s="40"/>
      <c r="B63" s="42"/>
      <c r="C63" s="46" t="s">
        <v>69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8"/>
      <c r="O63" s="8">
        <v>10890000</v>
      </c>
    </row>
    <row r="64" spans="1:15" ht="70.95" customHeight="1">
      <c r="A64" s="30"/>
      <c r="B64" s="32"/>
      <c r="C64" s="49" t="s">
        <v>86</v>
      </c>
      <c r="D64" s="50"/>
      <c r="E64" s="51"/>
      <c r="F64" s="52">
        <v>220</v>
      </c>
      <c r="G64" s="53"/>
      <c r="H64" s="54" t="s">
        <v>87</v>
      </c>
      <c r="I64" s="55"/>
      <c r="J64" s="56">
        <v>33000</v>
      </c>
      <c r="K64" s="119"/>
      <c r="L64" s="57"/>
      <c r="M64" s="56">
        <v>0</v>
      </c>
      <c r="N64" s="57"/>
      <c r="O64" s="7">
        <v>7260000</v>
      </c>
    </row>
    <row r="65" spans="1:15" ht="70.05" customHeight="1">
      <c r="A65" s="30"/>
      <c r="B65" s="32"/>
      <c r="C65" s="49" t="s">
        <v>88</v>
      </c>
      <c r="D65" s="50"/>
      <c r="E65" s="51"/>
      <c r="F65" s="52">
        <v>220</v>
      </c>
      <c r="G65" s="53"/>
      <c r="H65" s="54" t="s">
        <v>87</v>
      </c>
      <c r="I65" s="55"/>
      <c r="J65" s="56">
        <v>16500</v>
      </c>
      <c r="K65" s="119"/>
      <c r="L65" s="57"/>
      <c r="M65" s="56">
        <v>0</v>
      </c>
      <c r="N65" s="57"/>
      <c r="O65" s="7">
        <v>3630000</v>
      </c>
    </row>
    <row r="66" spans="1:15" ht="21" customHeight="1">
      <c r="A66" s="27" t="s">
        <v>89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9"/>
      <c r="O66" s="8">
        <v>18196725</v>
      </c>
    </row>
    <row r="67" spans="1:15" ht="153" customHeight="1">
      <c r="A67" s="30"/>
      <c r="B67" s="31"/>
      <c r="C67" s="31"/>
      <c r="D67" s="31"/>
      <c r="E67" s="31"/>
      <c r="F67" s="31"/>
      <c r="G67" s="32"/>
      <c r="H67" s="33" t="s">
        <v>90</v>
      </c>
      <c r="I67" s="34"/>
      <c r="J67" s="34"/>
      <c r="K67" s="34"/>
      <c r="L67" s="34"/>
      <c r="M67" s="34"/>
      <c r="N67" s="34"/>
      <c r="O67" s="35"/>
    </row>
    <row r="68" spans="1:15" ht="21" customHeight="1">
      <c r="A68" s="37" t="s">
        <v>91</v>
      </c>
      <c r="B68" s="38"/>
      <c r="C68" s="39"/>
      <c r="D68" s="2" t="s">
        <v>48</v>
      </c>
      <c r="E68" s="40"/>
      <c r="F68" s="41"/>
      <c r="G68" s="41"/>
      <c r="H68" s="41"/>
      <c r="I68" s="41"/>
      <c r="J68" s="41"/>
      <c r="K68" s="41"/>
      <c r="L68" s="41"/>
      <c r="M68" s="41"/>
      <c r="N68" s="41"/>
      <c r="O68" s="42"/>
    </row>
    <row r="69" spans="1:15" ht="19.95" customHeight="1">
      <c r="A69" s="37" t="s">
        <v>92</v>
      </c>
      <c r="B69" s="38"/>
      <c r="C69" s="39"/>
      <c r="D69" s="2" t="s">
        <v>48</v>
      </c>
      <c r="E69" s="40"/>
      <c r="F69" s="41"/>
      <c r="G69" s="41"/>
      <c r="H69" s="41"/>
      <c r="I69" s="41"/>
      <c r="J69" s="41"/>
      <c r="K69" s="41"/>
      <c r="L69" s="41"/>
      <c r="M69" s="41"/>
      <c r="N69" s="41"/>
      <c r="O69" s="42"/>
    </row>
    <row r="70" spans="1:15" ht="19.95" customHeight="1">
      <c r="A70" s="37" t="s">
        <v>93</v>
      </c>
      <c r="B70" s="38"/>
      <c r="C70" s="39"/>
      <c r="D70" s="2" t="s">
        <v>48</v>
      </c>
      <c r="E70" s="40"/>
      <c r="F70" s="41"/>
      <c r="G70" s="41"/>
      <c r="H70" s="41"/>
      <c r="I70" s="41"/>
      <c r="J70" s="41"/>
      <c r="K70" s="41"/>
      <c r="L70" s="41"/>
      <c r="M70" s="41"/>
      <c r="N70" s="41"/>
      <c r="O70" s="42"/>
    </row>
    <row r="71" spans="1:15" ht="21" customHeight="1">
      <c r="A71" s="43">
        <v>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5"/>
    </row>
    <row r="72" spans="1:15" ht="19.95" customHeight="1">
      <c r="A72" s="43">
        <v>2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5"/>
    </row>
    <row r="73" spans="1:15" ht="20.55" customHeight="1">
      <c r="A73" s="37" t="s">
        <v>94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9"/>
    </row>
    <row r="74" spans="1:15" ht="20.55" customHeight="1">
      <c r="A74" s="1"/>
      <c r="B74" s="93"/>
      <c r="C74" s="93"/>
      <c r="D74" s="1"/>
      <c r="E74" s="93"/>
      <c r="F74" s="93"/>
      <c r="G74" s="93"/>
      <c r="H74" s="93"/>
      <c r="I74" s="93"/>
      <c r="J74" s="93"/>
      <c r="K74" s="93"/>
      <c r="L74" s="36"/>
      <c r="M74" s="36"/>
      <c r="N74" s="36"/>
      <c r="O74" s="36"/>
    </row>
    <row r="75" spans="1:15" ht="21" customHeight="1">
      <c r="A75" s="18" t="s">
        <v>95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20"/>
    </row>
    <row r="76" spans="1:15" ht="22.05" customHeight="1">
      <c r="A76" s="3" t="s">
        <v>96</v>
      </c>
      <c r="B76" s="18" t="s">
        <v>97</v>
      </c>
      <c r="C76" s="19"/>
      <c r="D76" s="19"/>
      <c r="E76" s="19"/>
      <c r="F76" s="20"/>
      <c r="G76" s="18" t="s">
        <v>98</v>
      </c>
      <c r="H76" s="20"/>
      <c r="I76" s="18" t="s">
        <v>99</v>
      </c>
      <c r="J76" s="19"/>
      <c r="K76" s="20"/>
      <c r="L76" s="21" t="s">
        <v>100</v>
      </c>
      <c r="M76" s="22"/>
      <c r="N76" s="22"/>
      <c r="O76" s="23"/>
    </row>
    <row r="77" spans="1:15" ht="21" customHeight="1">
      <c r="A77" s="24" t="s">
        <v>101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6"/>
    </row>
    <row r="78" spans="1:15" ht="64.05" customHeight="1">
      <c r="A78" s="106" t="s">
        <v>0</v>
      </c>
      <c r="B78" s="107"/>
      <c r="C78" s="107"/>
      <c r="D78" s="107"/>
      <c r="E78" s="107"/>
      <c r="F78" s="107"/>
      <c r="G78" s="107"/>
      <c r="H78" s="107"/>
      <c r="I78" s="107"/>
      <c r="J78" s="108"/>
      <c r="K78" s="109" t="s">
        <v>1</v>
      </c>
      <c r="L78" s="110"/>
      <c r="M78" s="110"/>
      <c r="N78" s="110"/>
      <c r="O78" s="111"/>
    </row>
    <row r="79" spans="1:15" ht="23.55" customHeight="1">
      <c r="A79" s="101" t="s">
        <v>674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3"/>
    </row>
    <row r="80" spans="1:15" ht="20.55" customHeight="1">
      <c r="A80" s="93"/>
      <c r="B80" s="93"/>
      <c r="C80" s="1"/>
      <c r="D80" s="93"/>
      <c r="E80" s="93"/>
      <c r="F80" s="93"/>
      <c r="G80" s="93"/>
      <c r="H80" s="93"/>
      <c r="I80" s="93"/>
      <c r="J80" s="5"/>
      <c r="K80" s="36"/>
      <c r="L80" s="36"/>
      <c r="M80" s="5"/>
      <c r="N80" s="5"/>
      <c r="O80" s="5"/>
    </row>
    <row r="81" spans="1:15" ht="37.049999999999997" customHeight="1">
      <c r="A81" s="101" t="s">
        <v>2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3"/>
    </row>
    <row r="82" spans="1:15" ht="21" customHeight="1">
      <c r="A82" s="37" t="s">
        <v>3</v>
      </c>
      <c r="B82" s="38"/>
      <c r="C82" s="39"/>
      <c r="D82" s="90" t="s">
        <v>4</v>
      </c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2"/>
    </row>
    <row r="83" spans="1:15" ht="22.05" customHeight="1">
      <c r="A83" s="37" t="s">
        <v>5</v>
      </c>
      <c r="B83" s="38"/>
      <c r="C83" s="39"/>
      <c r="D83" s="90" t="s">
        <v>6</v>
      </c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2"/>
    </row>
    <row r="84" spans="1:15" ht="22.05" customHeight="1">
      <c r="A84" s="37" t="s">
        <v>7</v>
      </c>
      <c r="B84" s="38"/>
      <c r="C84" s="39"/>
      <c r="D84" s="90" t="s">
        <v>8</v>
      </c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2"/>
    </row>
    <row r="85" spans="1:15" ht="21" customHeight="1">
      <c r="A85" s="37" t="s">
        <v>9</v>
      </c>
      <c r="B85" s="38"/>
      <c r="C85" s="39"/>
      <c r="D85" s="90" t="s">
        <v>10</v>
      </c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</row>
    <row r="86" spans="1:15" ht="22.05" customHeight="1">
      <c r="A86" s="37" t="s">
        <v>11</v>
      </c>
      <c r="B86" s="38"/>
      <c r="C86" s="39"/>
      <c r="D86" s="90" t="s">
        <v>12</v>
      </c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</row>
    <row r="87" spans="1:15" ht="22.05" customHeight="1">
      <c r="A87" s="37" t="s">
        <v>13</v>
      </c>
      <c r="B87" s="38"/>
      <c r="C87" s="39"/>
      <c r="D87" s="90" t="s">
        <v>14</v>
      </c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2"/>
    </row>
    <row r="88" spans="1:15" ht="21" customHeight="1">
      <c r="A88" s="37" t="s">
        <v>15</v>
      </c>
      <c r="B88" s="38"/>
      <c r="C88" s="39"/>
      <c r="D88" s="90" t="s">
        <v>102</v>
      </c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2"/>
    </row>
    <row r="89" spans="1:15" ht="22.05" customHeight="1">
      <c r="A89" s="37" t="s">
        <v>17</v>
      </c>
      <c r="B89" s="38"/>
      <c r="C89" s="39"/>
      <c r="D89" s="90" t="s">
        <v>10</v>
      </c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2"/>
    </row>
    <row r="90" spans="1:15" ht="22.05" customHeight="1">
      <c r="A90" s="37" t="s">
        <v>18</v>
      </c>
      <c r="B90" s="38"/>
      <c r="C90" s="39"/>
      <c r="D90" s="90" t="s">
        <v>10</v>
      </c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</row>
    <row r="91" spans="1:15" ht="22.05" customHeight="1">
      <c r="A91" s="37" t="s">
        <v>19</v>
      </c>
      <c r="B91" s="38"/>
      <c r="C91" s="39"/>
      <c r="D91" s="90" t="s">
        <v>20</v>
      </c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</row>
    <row r="92" spans="1:15" ht="21" customHeight="1">
      <c r="A92" s="37" t="s">
        <v>21</v>
      </c>
      <c r="B92" s="38"/>
      <c r="C92" s="39"/>
      <c r="D92" s="90" t="s">
        <v>22</v>
      </c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2"/>
    </row>
    <row r="93" spans="1:15" ht="22.05" customHeight="1">
      <c r="A93" s="37" t="s">
        <v>23</v>
      </c>
      <c r="B93" s="38"/>
      <c r="C93" s="39"/>
      <c r="D93" s="90" t="s">
        <v>24</v>
      </c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2"/>
    </row>
    <row r="94" spans="1:15" ht="22.05" customHeight="1">
      <c r="A94" s="37" t="s">
        <v>25</v>
      </c>
      <c r="B94" s="38"/>
      <c r="C94" s="39"/>
      <c r="D94" s="90" t="s">
        <v>26</v>
      </c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2"/>
    </row>
    <row r="95" spans="1:15" ht="21" customHeight="1">
      <c r="A95" s="37" t="s">
        <v>670</v>
      </c>
      <c r="B95" s="38"/>
      <c r="C95" s="39"/>
      <c r="D95" s="90" t="s">
        <v>27</v>
      </c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2"/>
    </row>
    <row r="96" spans="1:15" ht="22.05" customHeight="1">
      <c r="A96" s="37" t="s">
        <v>675</v>
      </c>
      <c r="B96" s="38"/>
      <c r="C96" s="39"/>
      <c r="D96" s="90" t="s">
        <v>103</v>
      </c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2"/>
    </row>
    <row r="97" spans="1:15" ht="21.45" customHeight="1">
      <c r="A97" s="37" t="s">
        <v>676</v>
      </c>
      <c r="B97" s="38"/>
      <c r="C97" s="39"/>
      <c r="D97" s="90" t="s">
        <v>104</v>
      </c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2"/>
    </row>
    <row r="98" spans="1:15" ht="20.55" customHeight="1">
      <c r="A98" s="93"/>
      <c r="B98" s="93"/>
      <c r="C98" s="1"/>
      <c r="D98" s="93"/>
      <c r="E98" s="93"/>
      <c r="F98" s="93"/>
      <c r="G98" s="93"/>
      <c r="H98" s="93"/>
      <c r="I98" s="93"/>
      <c r="J98" s="5"/>
      <c r="K98" s="36"/>
      <c r="L98" s="36"/>
      <c r="M98" s="5"/>
      <c r="N98" s="5"/>
      <c r="O98" s="5"/>
    </row>
    <row r="99" spans="1:15" ht="22.95" customHeight="1">
      <c r="A99" s="101" t="s">
        <v>29</v>
      </c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3"/>
    </row>
    <row r="100" spans="1:15" ht="24" customHeight="1">
      <c r="A100" s="101" t="s">
        <v>30</v>
      </c>
      <c r="B100" s="102"/>
      <c r="C100" s="103"/>
      <c r="D100" s="101" t="s">
        <v>31</v>
      </c>
      <c r="E100" s="102"/>
      <c r="F100" s="102"/>
      <c r="G100" s="102"/>
      <c r="H100" s="102"/>
      <c r="I100" s="102"/>
      <c r="J100" s="102"/>
      <c r="K100" s="102"/>
      <c r="L100" s="102"/>
      <c r="M100" s="103"/>
      <c r="N100" s="104" t="s">
        <v>32</v>
      </c>
      <c r="O100" s="105"/>
    </row>
    <row r="101" spans="1:15" ht="21" customHeight="1">
      <c r="A101" s="37" t="s">
        <v>33</v>
      </c>
      <c r="B101" s="38"/>
      <c r="C101" s="39"/>
      <c r="D101" s="37" t="s">
        <v>34</v>
      </c>
      <c r="E101" s="38"/>
      <c r="F101" s="38"/>
      <c r="G101" s="38"/>
      <c r="H101" s="38"/>
      <c r="I101" s="38"/>
      <c r="J101" s="38"/>
      <c r="K101" s="38"/>
      <c r="L101" s="38"/>
      <c r="M101" s="39"/>
      <c r="N101" s="97" t="s">
        <v>35</v>
      </c>
      <c r="O101" s="98"/>
    </row>
    <row r="102" spans="1:15" ht="19.95" customHeight="1">
      <c r="A102" s="37" t="s">
        <v>36</v>
      </c>
      <c r="B102" s="38"/>
      <c r="C102" s="39"/>
      <c r="D102" s="37" t="s">
        <v>37</v>
      </c>
      <c r="E102" s="38"/>
      <c r="F102" s="38"/>
      <c r="G102" s="38"/>
      <c r="H102" s="38"/>
      <c r="I102" s="38"/>
      <c r="J102" s="38"/>
      <c r="K102" s="38"/>
      <c r="L102" s="38"/>
      <c r="M102" s="39"/>
      <c r="N102" s="97">
        <f>O117</f>
        <v>12058000</v>
      </c>
      <c r="O102" s="98"/>
    </row>
    <row r="103" spans="1:15" ht="19.95" customHeight="1">
      <c r="A103" s="37" t="s">
        <v>38</v>
      </c>
      <c r="B103" s="38"/>
      <c r="C103" s="39"/>
      <c r="D103" s="37" t="s">
        <v>105</v>
      </c>
      <c r="E103" s="38"/>
      <c r="F103" s="38"/>
      <c r="G103" s="38"/>
      <c r="H103" s="38"/>
      <c r="I103" s="38"/>
      <c r="J103" s="38"/>
      <c r="K103" s="38"/>
      <c r="L103" s="38"/>
      <c r="M103" s="39"/>
      <c r="N103" s="97" t="s">
        <v>106</v>
      </c>
      <c r="O103" s="98"/>
    </row>
    <row r="104" spans="1:15" ht="20.55" customHeight="1">
      <c r="A104" s="37" t="s">
        <v>41</v>
      </c>
      <c r="B104" s="38"/>
      <c r="C104" s="39"/>
      <c r="D104" s="37" t="s">
        <v>42</v>
      </c>
      <c r="E104" s="38"/>
      <c r="F104" s="38"/>
      <c r="G104" s="38"/>
      <c r="H104" s="38"/>
      <c r="I104" s="38"/>
      <c r="J104" s="38"/>
      <c r="K104" s="38"/>
      <c r="L104" s="38"/>
      <c r="M104" s="39"/>
      <c r="N104" s="99">
        <v>1</v>
      </c>
      <c r="O104" s="100"/>
    </row>
    <row r="105" spans="1:15" ht="20.55" customHeight="1">
      <c r="A105" s="93"/>
      <c r="B105" s="93"/>
      <c r="C105" s="1"/>
      <c r="D105" s="93"/>
      <c r="E105" s="93"/>
      <c r="F105" s="93"/>
      <c r="G105" s="93"/>
      <c r="H105" s="93"/>
      <c r="I105" s="93"/>
      <c r="J105" s="5"/>
      <c r="K105" s="36"/>
      <c r="L105" s="36"/>
      <c r="M105" s="5"/>
      <c r="N105" s="5"/>
      <c r="O105" s="5"/>
    </row>
    <row r="106" spans="1:15" ht="37.049999999999997" customHeight="1">
      <c r="A106" s="101" t="s">
        <v>43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3"/>
    </row>
    <row r="107" spans="1:15" ht="21" customHeight="1">
      <c r="A107" s="37" t="s">
        <v>15</v>
      </c>
      <c r="B107" s="38"/>
      <c r="C107" s="39"/>
      <c r="D107" s="90" t="s">
        <v>102</v>
      </c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2"/>
    </row>
    <row r="108" spans="1:15" ht="19.95" customHeight="1">
      <c r="A108" s="37" t="s">
        <v>19</v>
      </c>
      <c r="B108" s="38"/>
      <c r="C108" s="39"/>
      <c r="D108" s="90" t="s">
        <v>20</v>
      </c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2"/>
    </row>
    <row r="109" spans="1:15" ht="19.95" customHeight="1">
      <c r="A109" s="37" t="s">
        <v>21</v>
      </c>
      <c r="B109" s="38"/>
      <c r="C109" s="39"/>
      <c r="D109" s="90" t="s">
        <v>44</v>
      </c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2"/>
    </row>
    <row r="110" spans="1:15" ht="21" customHeight="1">
      <c r="A110" s="37" t="s">
        <v>45</v>
      </c>
      <c r="B110" s="38"/>
      <c r="C110" s="39"/>
      <c r="D110" s="90" t="s">
        <v>107</v>
      </c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2"/>
    </row>
    <row r="111" spans="1:15" ht="19.95" customHeight="1">
      <c r="A111" s="37" t="s">
        <v>23</v>
      </c>
      <c r="B111" s="38"/>
      <c r="C111" s="39"/>
      <c r="D111" s="90" t="s">
        <v>24</v>
      </c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2"/>
    </row>
    <row r="112" spans="1:15" ht="19.5" customHeight="1">
      <c r="A112" s="37" t="s">
        <v>47</v>
      </c>
      <c r="B112" s="38"/>
      <c r="C112" s="39"/>
      <c r="D112" s="90" t="s">
        <v>48</v>
      </c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2"/>
    </row>
    <row r="113" spans="1:15" ht="20.55" customHeight="1">
      <c r="A113" s="93"/>
      <c r="B113" s="93"/>
      <c r="C113" s="1"/>
      <c r="D113" s="93"/>
      <c r="E113" s="93"/>
      <c r="F113" s="93"/>
      <c r="G113" s="93"/>
      <c r="H113" s="93"/>
      <c r="I113" s="93"/>
      <c r="J113" s="5"/>
      <c r="K113" s="36"/>
      <c r="L113" s="36"/>
      <c r="M113" s="5"/>
      <c r="N113" s="5"/>
      <c r="O113" s="5"/>
    </row>
    <row r="114" spans="1:15" ht="37.950000000000003" customHeight="1">
      <c r="A114" s="87" t="s">
        <v>49</v>
      </c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9"/>
    </row>
    <row r="115" spans="1:15" ht="19.95" customHeight="1">
      <c r="A115" s="61" t="s">
        <v>50</v>
      </c>
      <c r="B115" s="62"/>
      <c r="C115" s="65" t="s">
        <v>51</v>
      </c>
      <c r="D115" s="66"/>
      <c r="E115" s="67"/>
      <c r="F115" s="71" t="s">
        <v>52</v>
      </c>
      <c r="G115" s="72"/>
      <c r="H115" s="72"/>
      <c r="I115" s="72"/>
      <c r="J115" s="72"/>
      <c r="K115" s="72"/>
      <c r="L115" s="72"/>
      <c r="M115" s="72"/>
      <c r="N115" s="73"/>
      <c r="O115" s="74" t="s">
        <v>53</v>
      </c>
    </row>
    <row r="116" spans="1:15" ht="21" customHeight="1">
      <c r="A116" s="63"/>
      <c r="B116" s="64"/>
      <c r="C116" s="68"/>
      <c r="D116" s="69"/>
      <c r="E116" s="70"/>
      <c r="F116" s="76" t="s">
        <v>54</v>
      </c>
      <c r="G116" s="77"/>
      <c r="H116" s="71" t="s">
        <v>55</v>
      </c>
      <c r="I116" s="73"/>
      <c r="J116" s="94" t="s">
        <v>56</v>
      </c>
      <c r="K116" s="95"/>
      <c r="L116" s="96"/>
      <c r="M116" s="80" t="s">
        <v>57</v>
      </c>
      <c r="N116" s="82"/>
      <c r="O116" s="75"/>
    </row>
    <row r="117" spans="1:15" ht="19.95" customHeight="1">
      <c r="A117" s="83">
        <v>5</v>
      </c>
      <c r="B117" s="84"/>
      <c r="C117" s="46" t="s">
        <v>58</v>
      </c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8"/>
      <c r="O117" s="6">
        <f>O118</f>
        <v>12058000</v>
      </c>
    </row>
    <row r="118" spans="1:15" ht="19.95" customHeight="1">
      <c r="A118" s="46" t="s">
        <v>59</v>
      </c>
      <c r="B118" s="48"/>
      <c r="C118" s="46" t="s">
        <v>60</v>
      </c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8"/>
      <c r="O118" s="6">
        <f>O119</f>
        <v>12058000</v>
      </c>
    </row>
    <row r="119" spans="1:15" ht="21" customHeight="1">
      <c r="A119" s="85">
        <v>37377</v>
      </c>
      <c r="B119" s="86"/>
      <c r="C119" s="46" t="s">
        <v>61</v>
      </c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8"/>
      <c r="O119" s="6">
        <f>O120</f>
        <v>12058000</v>
      </c>
    </row>
    <row r="120" spans="1:15" ht="19.95" customHeight="1">
      <c r="A120" s="46" t="s">
        <v>62</v>
      </c>
      <c r="B120" s="48"/>
      <c r="C120" s="46" t="s">
        <v>63</v>
      </c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8"/>
      <c r="O120" s="6">
        <f>O121</f>
        <v>12058000</v>
      </c>
    </row>
    <row r="121" spans="1:15" ht="19.95" customHeight="1">
      <c r="A121" s="46" t="s">
        <v>64</v>
      </c>
      <c r="B121" s="48"/>
      <c r="C121" s="46" t="s">
        <v>65</v>
      </c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8"/>
      <c r="O121" s="6">
        <f>SUM(O122+O133+O140)</f>
        <v>12058000</v>
      </c>
    </row>
    <row r="122" spans="1:15" ht="31.05" customHeight="1">
      <c r="A122" s="30" t="s">
        <v>66</v>
      </c>
      <c r="B122" s="32"/>
      <c r="C122" s="46" t="s">
        <v>67</v>
      </c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8"/>
      <c r="O122" s="6">
        <f>O123</f>
        <v>2406550</v>
      </c>
    </row>
    <row r="123" spans="1:15" ht="31.05" customHeight="1">
      <c r="A123" s="40"/>
      <c r="B123" s="42"/>
      <c r="C123" s="30" t="s">
        <v>68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2"/>
      <c r="O123" s="6">
        <f>O124</f>
        <v>2406550</v>
      </c>
    </row>
    <row r="124" spans="1:15" ht="20.25" customHeight="1">
      <c r="A124" s="40"/>
      <c r="B124" s="42"/>
      <c r="C124" s="46" t="s">
        <v>69</v>
      </c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8"/>
      <c r="O124" s="6">
        <f>SUM(O128:O132)</f>
        <v>2406550</v>
      </c>
    </row>
    <row r="125" spans="1:15" ht="37.950000000000003" customHeight="1">
      <c r="A125" s="87" t="s">
        <v>49</v>
      </c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9"/>
    </row>
    <row r="126" spans="1:15" ht="19.95" customHeight="1">
      <c r="A126" s="61" t="s">
        <v>50</v>
      </c>
      <c r="B126" s="62"/>
      <c r="C126" s="65" t="s">
        <v>51</v>
      </c>
      <c r="D126" s="66"/>
      <c r="E126" s="67"/>
      <c r="F126" s="71" t="s">
        <v>52</v>
      </c>
      <c r="G126" s="72"/>
      <c r="H126" s="72"/>
      <c r="I126" s="72"/>
      <c r="J126" s="72"/>
      <c r="K126" s="72"/>
      <c r="L126" s="72"/>
      <c r="M126" s="72"/>
      <c r="N126" s="73"/>
      <c r="O126" s="74" t="s">
        <v>53</v>
      </c>
    </row>
    <row r="127" spans="1:15" ht="21" customHeight="1">
      <c r="A127" s="63"/>
      <c r="B127" s="64"/>
      <c r="C127" s="68"/>
      <c r="D127" s="69"/>
      <c r="E127" s="70"/>
      <c r="F127" s="76" t="s">
        <v>54</v>
      </c>
      <c r="G127" s="77"/>
      <c r="H127" s="71" t="s">
        <v>55</v>
      </c>
      <c r="I127" s="73"/>
      <c r="J127" s="94" t="s">
        <v>56</v>
      </c>
      <c r="K127" s="95"/>
      <c r="L127" s="96"/>
      <c r="M127" s="80" t="s">
        <v>57</v>
      </c>
      <c r="N127" s="82"/>
      <c r="O127" s="75"/>
    </row>
    <row r="128" spans="1:15" ht="60" customHeight="1">
      <c r="A128" s="30"/>
      <c r="B128" s="32"/>
      <c r="C128" s="49" t="s">
        <v>108</v>
      </c>
      <c r="D128" s="50"/>
      <c r="E128" s="51"/>
      <c r="F128" s="52">
        <v>5</v>
      </c>
      <c r="G128" s="53"/>
      <c r="H128" s="54" t="s">
        <v>71</v>
      </c>
      <c r="I128" s="55"/>
      <c r="J128" s="56">
        <v>58550</v>
      </c>
      <c r="K128" s="119"/>
      <c r="L128" s="57"/>
      <c r="M128" s="56">
        <v>0</v>
      </c>
      <c r="N128" s="57"/>
      <c r="O128" s="7">
        <f>F128*J128</f>
        <v>292750</v>
      </c>
    </row>
    <row r="129" spans="1:15" ht="70.95" customHeight="1">
      <c r="A129" s="30"/>
      <c r="B129" s="32"/>
      <c r="C129" s="49" t="s">
        <v>109</v>
      </c>
      <c r="D129" s="50"/>
      <c r="E129" s="51"/>
      <c r="F129" s="52">
        <v>5.0096637031310403</v>
      </c>
      <c r="G129" s="53"/>
      <c r="H129" s="54" t="s">
        <v>73</v>
      </c>
      <c r="I129" s="55"/>
      <c r="J129" s="56">
        <v>64675</v>
      </c>
      <c r="K129" s="119"/>
      <c r="L129" s="57"/>
      <c r="M129" s="56">
        <v>0</v>
      </c>
      <c r="N129" s="57"/>
      <c r="O129" s="7">
        <f t="shared" ref="O129:O132" si="1">F129*J129</f>
        <v>324000</v>
      </c>
    </row>
    <row r="130" spans="1:15" ht="60" customHeight="1">
      <c r="A130" s="30"/>
      <c r="B130" s="32"/>
      <c r="C130" s="49" t="s">
        <v>110</v>
      </c>
      <c r="D130" s="50"/>
      <c r="E130" s="51"/>
      <c r="F130" s="52">
        <v>5</v>
      </c>
      <c r="G130" s="53"/>
      <c r="H130" s="54" t="s">
        <v>75</v>
      </c>
      <c r="I130" s="55"/>
      <c r="J130" s="56">
        <v>163750</v>
      </c>
      <c r="K130" s="119"/>
      <c r="L130" s="57"/>
      <c r="M130" s="56">
        <v>0</v>
      </c>
      <c r="N130" s="57"/>
      <c r="O130" s="7">
        <f t="shared" si="1"/>
        <v>818750</v>
      </c>
    </row>
    <row r="131" spans="1:15" ht="61.05" customHeight="1">
      <c r="A131" s="30"/>
      <c r="B131" s="32"/>
      <c r="C131" s="49" t="s">
        <v>74</v>
      </c>
      <c r="D131" s="50"/>
      <c r="E131" s="51"/>
      <c r="F131" s="52">
        <v>5</v>
      </c>
      <c r="G131" s="53"/>
      <c r="H131" s="54" t="s">
        <v>75</v>
      </c>
      <c r="I131" s="55"/>
      <c r="J131" s="56">
        <v>84200</v>
      </c>
      <c r="K131" s="119"/>
      <c r="L131" s="57"/>
      <c r="M131" s="56">
        <v>0</v>
      </c>
      <c r="N131" s="57"/>
      <c r="O131" s="7">
        <f t="shared" si="1"/>
        <v>421000</v>
      </c>
    </row>
    <row r="132" spans="1:15" ht="60" customHeight="1">
      <c r="A132" s="30"/>
      <c r="B132" s="32"/>
      <c r="C132" s="49" t="s">
        <v>111</v>
      </c>
      <c r="D132" s="50"/>
      <c r="E132" s="51"/>
      <c r="F132" s="52">
        <v>3</v>
      </c>
      <c r="G132" s="53"/>
      <c r="H132" s="54" t="s">
        <v>112</v>
      </c>
      <c r="I132" s="55"/>
      <c r="J132" s="56">
        <v>183350</v>
      </c>
      <c r="K132" s="119"/>
      <c r="L132" s="57"/>
      <c r="M132" s="56">
        <v>0</v>
      </c>
      <c r="N132" s="57"/>
      <c r="O132" s="7">
        <f t="shared" si="1"/>
        <v>550050</v>
      </c>
    </row>
    <row r="133" spans="1:15" ht="31.05" customHeight="1">
      <c r="A133" s="30" t="s">
        <v>78</v>
      </c>
      <c r="B133" s="32"/>
      <c r="C133" s="46" t="s">
        <v>79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8"/>
      <c r="O133" s="8">
        <v>4206450</v>
      </c>
    </row>
    <row r="134" spans="1:15" ht="30" customHeight="1">
      <c r="A134" s="40"/>
      <c r="B134" s="42"/>
      <c r="C134" s="30" t="s">
        <v>68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2"/>
      <c r="O134" s="8">
        <v>4206450</v>
      </c>
    </row>
    <row r="135" spans="1:15" ht="21" customHeight="1">
      <c r="A135" s="40"/>
      <c r="B135" s="42"/>
      <c r="C135" s="46" t="s">
        <v>69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8"/>
      <c r="O135" s="8">
        <v>4206450</v>
      </c>
    </row>
    <row r="136" spans="1:15" ht="60" customHeight="1">
      <c r="A136" s="30"/>
      <c r="B136" s="32"/>
      <c r="C136" s="49" t="s">
        <v>113</v>
      </c>
      <c r="D136" s="50"/>
      <c r="E136" s="51"/>
      <c r="F136" s="52">
        <v>5</v>
      </c>
      <c r="G136" s="53"/>
      <c r="H136" s="54" t="s">
        <v>81</v>
      </c>
      <c r="I136" s="55"/>
      <c r="J136" s="56">
        <v>111000</v>
      </c>
      <c r="K136" s="119"/>
      <c r="L136" s="57"/>
      <c r="M136" s="56">
        <v>0</v>
      </c>
      <c r="N136" s="57"/>
      <c r="O136" s="7">
        <v>555000</v>
      </c>
    </row>
    <row r="137" spans="1:15" ht="61.05" customHeight="1">
      <c r="A137" s="30"/>
      <c r="B137" s="32"/>
      <c r="C137" s="49" t="s">
        <v>82</v>
      </c>
      <c r="D137" s="50"/>
      <c r="E137" s="51"/>
      <c r="F137" s="52">
        <v>24</v>
      </c>
      <c r="G137" s="53"/>
      <c r="H137" s="54" t="s">
        <v>81</v>
      </c>
      <c r="I137" s="55"/>
      <c r="J137" s="56">
        <v>87875</v>
      </c>
      <c r="K137" s="119"/>
      <c r="L137" s="57"/>
      <c r="M137" s="56">
        <v>0</v>
      </c>
      <c r="N137" s="57"/>
      <c r="O137" s="7">
        <v>2109000</v>
      </c>
    </row>
    <row r="138" spans="1:15" ht="60" customHeight="1">
      <c r="A138" s="30"/>
      <c r="B138" s="32"/>
      <c r="C138" s="49" t="s">
        <v>80</v>
      </c>
      <c r="D138" s="50"/>
      <c r="E138" s="51"/>
      <c r="F138" s="52">
        <v>21</v>
      </c>
      <c r="G138" s="53"/>
      <c r="H138" s="54" t="s">
        <v>81</v>
      </c>
      <c r="I138" s="55"/>
      <c r="J138" s="56">
        <v>73450</v>
      </c>
      <c r="K138" s="119"/>
      <c r="L138" s="57"/>
      <c r="M138" s="56">
        <v>0</v>
      </c>
      <c r="N138" s="57"/>
      <c r="O138" s="7">
        <v>1542450</v>
      </c>
    </row>
    <row r="139" spans="1:15" ht="31.05" customHeight="1">
      <c r="A139" s="30" t="s">
        <v>83</v>
      </c>
      <c r="B139" s="32"/>
      <c r="C139" s="46" t="s">
        <v>84</v>
      </c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8"/>
      <c r="O139" s="8">
        <v>5445000</v>
      </c>
    </row>
    <row r="140" spans="1:15" ht="30" customHeight="1">
      <c r="A140" s="40"/>
      <c r="B140" s="42"/>
      <c r="C140" s="30" t="s">
        <v>85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2"/>
      <c r="O140" s="8">
        <v>5445000</v>
      </c>
    </row>
    <row r="141" spans="1:15" ht="21" customHeight="1">
      <c r="A141" s="40"/>
      <c r="B141" s="42"/>
      <c r="C141" s="46" t="s">
        <v>69</v>
      </c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8"/>
      <c r="O141" s="8">
        <v>5445000</v>
      </c>
    </row>
    <row r="142" spans="1:15" ht="70.05" customHeight="1">
      <c r="A142" s="30"/>
      <c r="B142" s="32"/>
      <c r="C142" s="49" t="s">
        <v>86</v>
      </c>
      <c r="D142" s="50"/>
      <c r="E142" s="51"/>
      <c r="F142" s="52">
        <v>110</v>
      </c>
      <c r="G142" s="53"/>
      <c r="H142" s="54" t="s">
        <v>87</v>
      </c>
      <c r="I142" s="55"/>
      <c r="J142" s="56">
        <v>33000</v>
      </c>
      <c r="K142" s="119"/>
      <c r="L142" s="57"/>
      <c r="M142" s="56">
        <v>0</v>
      </c>
      <c r="N142" s="57"/>
      <c r="O142" s="7">
        <v>3630000</v>
      </c>
    </row>
    <row r="143" spans="1:15" ht="70.95" customHeight="1">
      <c r="A143" s="30"/>
      <c r="B143" s="32"/>
      <c r="C143" s="49" t="s">
        <v>88</v>
      </c>
      <c r="D143" s="50"/>
      <c r="E143" s="51"/>
      <c r="F143" s="52">
        <v>110</v>
      </c>
      <c r="G143" s="53"/>
      <c r="H143" s="54" t="s">
        <v>87</v>
      </c>
      <c r="I143" s="55"/>
      <c r="J143" s="56">
        <v>16500</v>
      </c>
      <c r="K143" s="119"/>
      <c r="L143" s="57"/>
      <c r="M143" s="56">
        <v>0</v>
      </c>
      <c r="N143" s="57"/>
      <c r="O143" s="7">
        <v>1815000</v>
      </c>
    </row>
    <row r="144" spans="1:15" ht="21" customHeight="1">
      <c r="A144" s="27" t="s">
        <v>89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9"/>
      <c r="O144" s="8">
        <v>12057375</v>
      </c>
    </row>
    <row r="145" spans="1:15" ht="153" customHeight="1">
      <c r="A145" s="30"/>
      <c r="B145" s="31"/>
      <c r="C145" s="31"/>
      <c r="D145" s="31"/>
      <c r="E145" s="31"/>
      <c r="F145" s="31"/>
      <c r="G145" s="32"/>
      <c r="H145" s="33" t="s">
        <v>90</v>
      </c>
      <c r="I145" s="34"/>
      <c r="J145" s="34"/>
      <c r="K145" s="34"/>
      <c r="L145" s="34"/>
      <c r="M145" s="34"/>
      <c r="N145" s="34"/>
      <c r="O145" s="35"/>
    </row>
    <row r="146" spans="1:15" ht="21" customHeight="1">
      <c r="A146" s="37" t="s">
        <v>91</v>
      </c>
      <c r="B146" s="38"/>
      <c r="C146" s="39"/>
      <c r="D146" s="2" t="s">
        <v>48</v>
      </c>
      <c r="E146" s="40"/>
      <c r="F146" s="41"/>
      <c r="G146" s="41"/>
      <c r="H146" s="41"/>
      <c r="I146" s="41"/>
      <c r="J146" s="41"/>
      <c r="K146" s="41"/>
      <c r="L146" s="41"/>
      <c r="M146" s="41"/>
      <c r="N146" s="41"/>
      <c r="O146" s="42"/>
    </row>
    <row r="147" spans="1:15" ht="19.95" customHeight="1">
      <c r="A147" s="37" t="s">
        <v>92</v>
      </c>
      <c r="B147" s="38"/>
      <c r="C147" s="39"/>
      <c r="D147" s="2" t="s">
        <v>48</v>
      </c>
      <c r="E147" s="40"/>
      <c r="F147" s="41"/>
      <c r="G147" s="41"/>
      <c r="H147" s="41"/>
      <c r="I147" s="41"/>
      <c r="J147" s="41"/>
      <c r="K147" s="41"/>
      <c r="L147" s="41"/>
      <c r="M147" s="41"/>
      <c r="N147" s="41"/>
      <c r="O147" s="42"/>
    </row>
    <row r="148" spans="1:15" ht="19.95" customHeight="1">
      <c r="A148" s="37" t="s">
        <v>93</v>
      </c>
      <c r="B148" s="38"/>
      <c r="C148" s="39"/>
      <c r="D148" s="2" t="s">
        <v>48</v>
      </c>
      <c r="E148" s="40"/>
      <c r="F148" s="41"/>
      <c r="G148" s="41"/>
      <c r="H148" s="41"/>
      <c r="I148" s="41"/>
      <c r="J148" s="41"/>
      <c r="K148" s="41"/>
      <c r="L148" s="41"/>
      <c r="M148" s="41"/>
      <c r="N148" s="41"/>
      <c r="O148" s="42"/>
    </row>
    <row r="149" spans="1:15" ht="21" customHeight="1">
      <c r="A149" s="43">
        <v>1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5"/>
    </row>
    <row r="150" spans="1:15" ht="19.95" customHeight="1">
      <c r="A150" s="43">
        <v>2</v>
      </c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5"/>
    </row>
    <row r="151" spans="1:15" ht="20.55" customHeight="1">
      <c r="A151" s="37" t="s">
        <v>94</v>
      </c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9"/>
    </row>
    <row r="152" spans="1:15" ht="20.55" customHeight="1">
      <c r="A152" s="1"/>
      <c r="B152" s="93"/>
      <c r="C152" s="93"/>
      <c r="D152" s="1"/>
      <c r="E152" s="93"/>
      <c r="F152" s="93"/>
      <c r="G152" s="93"/>
      <c r="H152" s="93"/>
      <c r="I152" s="93"/>
      <c r="J152" s="93"/>
      <c r="K152" s="93"/>
      <c r="L152" s="36"/>
      <c r="M152" s="36"/>
      <c r="N152" s="36"/>
      <c r="O152" s="36"/>
    </row>
    <row r="153" spans="1:15" ht="21" customHeight="1">
      <c r="A153" s="18" t="s">
        <v>95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0"/>
    </row>
    <row r="154" spans="1:15" ht="22.05" customHeight="1">
      <c r="A154" s="3" t="s">
        <v>96</v>
      </c>
      <c r="B154" s="18" t="s">
        <v>97</v>
      </c>
      <c r="C154" s="19"/>
      <c r="D154" s="19"/>
      <c r="E154" s="19"/>
      <c r="F154" s="20"/>
      <c r="G154" s="18" t="s">
        <v>98</v>
      </c>
      <c r="H154" s="20"/>
      <c r="I154" s="18" t="s">
        <v>99</v>
      </c>
      <c r="J154" s="19"/>
      <c r="K154" s="20"/>
      <c r="L154" s="21" t="s">
        <v>100</v>
      </c>
      <c r="M154" s="22"/>
      <c r="N154" s="22"/>
      <c r="O154" s="23"/>
    </row>
    <row r="155" spans="1:15" ht="21" customHeight="1">
      <c r="A155" s="24" t="s">
        <v>101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6"/>
    </row>
    <row r="156" spans="1:15" ht="64.05" customHeight="1">
      <c r="A156" s="106" t="s">
        <v>0</v>
      </c>
      <c r="B156" s="107"/>
      <c r="C156" s="107"/>
      <c r="D156" s="107"/>
      <c r="E156" s="107"/>
      <c r="F156" s="107"/>
      <c r="G156" s="107"/>
      <c r="H156" s="107"/>
      <c r="I156" s="107"/>
      <c r="J156" s="108"/>
      <c r="K156" s="109" t="s">
        <v>1</v>
      </c>
      <c r="L156" s="110"/>
      <c r="M156" s="110"/>
      <c r="N156" s="110"/>
      <c r="O156" s="111"/>
    </row>
    <row r="157" spans="1:15" ht="23.55" customHeight="1">
      <c r="A157" s="101" t="s">
        <v>674</v>
      </c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3"/>
    </row>
    <row r="158" spans="1:15" ht="20.55" customHeight="1">
      <c r="A158" s="93"/>
      <c r="B158" s="93"/>
      <c r="C158" s="1"/>
      <c r="D158" s="93"/>
      <c r="E158" s="93"/>
      <c r="F158" s="93"/>
      <c r="G158" s="93"/>
      <c r="H158" s="93"/>
      <c r="I158" s="93"/>
      <c r="J158" s="5"/>
      <c r="K158" s="36"/>
      <c r="L158" s="36"/>
      <c r="M158" s="5"/>
      <c r="N158" s="5"/>
      <c r="O158" s="5"/>
    </row>
    <row r="159" spans="1:15" ht="37.049999999999997" customHeight="1">
      <c r="A159" s="101" t="s">
        <v>2</v>
      </c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3"/>
    </row>
    <row r="160" spans="1:15" ht="21" customHeight="1">
      <c r="A160" s="37" t="s">
        <v>3</v>
      </c>
      <c r="B160" s="38"/>
      <c r="C160" s="39"/>
      <c r="D160" s="90" t="s">
        <v>4</v>
      </c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2"/>
    </row>
    <row r="161" spans="1:15" ht="22.05" customHeight="1">
      <c r="A161" s="37" t="s">
        <v>5</v>
      </c>
      <c r="B161" s="38"/>
      <c r="C161" s="39"/>
      <c r="D161" s="90" t="s">
        <v>6</v>
      </c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2"/>
    </row>
    <row r="162" spans="1:15" ht="22.05" customHeight="1">
      <c r="A162" s="37" t="s">
        <v>7</v>
      </c>
      <c r="B162" s="38"/>
      <c r="C162" s="39"/>
      <c r="D162" s="90" t="s">
        <v>8</v>
      </c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2"/>
    </row>
    <row r="163" spans="1:15" ht="21" customHeight="1">
      <c r="A163" s="37" t="s">
        <v>9</v>
      </c>
      <c r="B163" s="38"/>
      <c r="C163" s="39"/>
      <c r="D163" s="90" t="s">
        <v>10</v>
      </c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2"/>
    </row>
    <row r="164" spans="1:15" ht="22.05" customHeight="1">
      <c r="A164" s="37" t="s">
        <v>11</v>
      </c>
      <c r="B164" s="38"/>
      <c r="C164" s="39"/>
      <c r="D164" s="90" t="s">
        <v>12</v>
      </c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2"/>
    </row>
    <row r="165" spans="1:15" ht="22.05" customHeight="1">
      <c r="A165" s="37" t="s">
        <v>13</v>
      </c>
      <c r="B165" s="38"/>
      <c r="C165" s="39"/>
      <c r="D165" s="90" t="s">
        <v>14</v>
      </c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2"/>
    </row>
    <row r="166" spans="1:15" ht="21" customHeight="1">
      <c r="A166" s="37" t="s">
        <v>15</v>
      </c>
      <c r="B166" s="38"/>
      <c r="C166" s="39"/>
      <c r="D166" s="90" t="s">
        <v>114</v>
      </c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2"/>
    </row>
    <row r="167" spans="1:15" ht="22.05" customHeight="1">
      <c r="A167" s="37" t="s">
        <v>17</v>
      </c>
      <c r="B167" s="38"/>
      <c r="C167" s="39"/>
      <c r="D167" s="90" t="s">
        <v>10</v>
      </c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2"/>
    </row>
    <row r="168" spans="1:15" ht="22.05" customHeight="1">
      <c r="A168" s="37" t="s">
        <v>18</v>
      </c>
      <c r="B168" s="38"/>
      <c r="C168" s="39"/>
      <c r="D168" s="90" t="s">
        <v>10</v>
      </c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2"/>
    </row>
    <row r="169" spans="1:15" ht="22.05" customHeight="1">
      <c r="A169" s="37" t="s">
        <v>19</v>
      </c>
      <c r="B169" s="38"/>
      <c r="C169" s="39"/>
      <c r="D169" s="90" t="s">
        <v>20</v>
      </c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2"/>
    </row>
    <row r="170" spans="1:15" ht="21" customHeight="1">
      <c r="A170" s="37" t="s">
        <v>21</v>
      </c>
      <c r="B170" s="38"/>
      <c r="C170" s="39"/>
      <c r="D170" s="90" t="s">
        <v>22</v>
      </c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2"/>
    </row>
    <row r="171" spans="1:15" ht="22.05" customHeight="1">
      <c r="A171" s="37" t="s">
        <v>23</v>
      </c>
      <c r="B171" s="38"/>
      <c r="C171" s="39"/>
      <c r="D171" s="90" t="s">
        <v>24</v>
      </c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</row>
    <row r="172" spans="1:15" ht="22.05" customHeight="1">
      <c r="A172" s="37" t="s">
        <v>25</v>
      </c>
      <c r="B172" s="38"/>
      <c r="C172" s="39"/>
      <c r="D172" s="90" t="s">
        <v>26</v>
      </c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</row>
    <row r="173" spans="1:15" ht="21" customHeight="1">
      <c r="A173" s="37" t="s">
        <v>670</v>
      </c>
      <c r="B173" s="38"/>
      <c r="C173" s="39"/>
      <c r="D173" s="90" t="s">
        <v>27</v>
      </c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2"/>
    </row>
    <row r="174" spans="1:15" ht="22.05" customHeight="1">
      <c r="A174" s="37" t="s">
        <v>675</v>
      </c>
      <c r="B174" s="38"/>
      <c r="C174" s="39"/>
      <c r="D174" s="90" t="s">
        <v>115</v>
      </c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2"/>
    </row>
    <row r="175" spans="1:15" ht="21.45" customHeight="1">
      <c r="A175" s="37" t="s">
        <v>676</v>
      </c>
      <c r="B175" s="38"/>
      <c r="C175" s="39"/>
      <c r="D175" s="90" t="s">
        <v>116</v>
      </c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</row>
    <row r="176" spans="1:15" ht="20.55" customHeight="1">
      <c r="A176" s="93"/>
      <c r="B176" s="93"/>
      <c r="C176" s="1"/>
      <c r="D176" s="93"/>
      <c r="E176" s="93"/>
      <c r="F176" s="93"/>
      <c r="G176" s="93"/>
      <c r="H176" s="93"/>
      <c r="I176" s="93"/>
      <c r="J176" s="5"/>
      <c r="K176" s="36"/>
      <c r="L176" s="36"/>
      <c r="M176" s="5"/>
      <c r="N176" s="5"/>
      <c r="O176" s="5"/>
    </row>
    <row r="177" spans="1:15" ht="22.95" customHeight="1">
      <c r="A177" s="101" t="s">
        <v>29</v>
      </c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3"/>
    </row>
    <row r="178" spans="1:15" ht="24" customHeight="1">
      <c r="A178" s="101" t="s">
        <v>30</v>
      </c>
      <c r="B178" s="102"/>
      <c r="C178" s="103"/>
      <c r="D178" s="101" t="s">
        <v>31</v>
      </c>
      <c r="E178" s="102"/>
      <c r="F178" s="102"/>
      <c r="G178" s="102"/>
      <c r="H178" s="102"/>
      <c r="I178" s="102"/>
      <c r="J178" s="102"/>
      <c r="K178" s="102"/>
      <c r="L178" s="102"/>
      <c r="M178" s="103"/>
      <c r="N178" s="104" t="s">
        <v>32</v>
      </c>
      <c r="O178" s="105"/>
    </row>
    <row r="179" spans="1:15" ht="21" customHeight="1">
      <c r="A179" s="37" t="s">
        <v>33</v>
      </c>
      <c r="B179" s="38"/>
      <c r="C179" s="39"/>
      <c r="D179" s="37" t="s">
        <v>34</v>
      </c>
      <c r="E179" s="38"/>
      <c r="F179" s="38"/>
      <c r="G179" s="38"/>
      <c r="H179" s="38"/>
      <c r="I179" s="38"/>
      <c r="J179" s="38"/>
      <c r="K179" s="38"/>
      <c r="L179" s="38"/>
      <c r="M179" s="39"/>
      <c r="N179" s="97" t="s">
        <v>35</v>
      </c>
      <c r="O179" s="98"/>
    </row>
    <row r="180" spans="1:15" ht="19.95" customHeight="1">
      <c r="A180" s="37" t="s">
        <v>36</v>
      </c>
      <c r="B180" s="38"/>
      <c r="C180" s="39"/>
      <c r="D180" s="37" t="s">
        <v>37</v>
      </c>
      <c r="E180" s="38"/>
      <c r="F180" s="38"/>
      <c r="G180" s="38"/>
      <c r="H180" s="38"/>
      <c r="I180" s="38"/>
      <c r="J180" s="38"/>
      <c r="K180" s="38"/>
      <c r="L180" s="38"/>
      <c r="M180" s="39"/>
      <c r="N180" s="97">
        <f>O195</f>
        <v>29669999.993474998</v>
      </c>
      <c r="O180" s="98"/>
    </row>
    <row r="181" spans="1:15" ht="19.95" customHeight="1">
      <c r="A181" s="37" t="s">
        <v>38</v>
      </c>
      <c r="B181" s="38"/>
      <c r="C181" s="39"/>
      <c r="D181" s="37" t="s">
        <v>117</v>
      </c>
      <c r="E181" s="38"/>
      <c r="F181" s="38"/>
      <c r="G181" s="38"/>
      <c r="H181" s="38"/>
      <c r="I181" s="38"/>
      <c r="J181" s="38"/>
      <c r="K181" s="38"/>
      <c r="L181" s="38"/>
      <c r="M181" s="39"/>
      <c r="N181" s="97" t="s">
        <v>106</v>
      </c>
      <c r="O181" s="98"/>
    </row>
    <row r="182" spans="1:15" ht="20.55" customHeight="1">
      <c r="A182" s="37" t="s">
        <v>41</v>
      </c>
      <c r="B182" s="38"/>
      <c r="C182" s="39"/>
      <c r="D182" s="37" t="s">
        <v>42</v>
      </c>
      <c r="E182" s="38"/>
      <c r="F182" s="38"/>
      <c r="G182" s="38"/>
      <c r="H182" s="38"/>
      <c r="I182" s="38"/>
      <c r="J182" s="38"/>
      <c r="K182" s="38"/>
      <c r="L182" s="38"/>
      <c r="M182" s="39"/>
      <c r="N182" s="99">
        <v>1</v>
      </c>
      <c r="O182" s="100"/>
    </row>
    <row r="183" spans="1:15" ht="20.55" customHeight="1">
      <c r="A183" s="93"/>
      <c r="B183" s="93"/>
      <c r="C183" s="1"/>
      <c r="D183" s="93"/>
      <c r="E183" s="93"/>
      <c r="F183" s="93"/>
      <c r="G183" s="93"/>
      <c r="H183" s="93"/>
      <c r="I183" s="93"/>
      <c r="J183" s="5"/>
      <c r="K183" s="36"/>
      <c r="L183" s="36"/>
      <c r="M183" s="5"/>
      <c r="N183" s="5"/>
      <c r="O183" s="5"/>
    </row>
    <row r="184" spans="1:15" ht="37.049999999999997" customHeight="1">
      <c r="A184" s="101" t="s">
        <v>43</v>
      </c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3"/>
    </row>
    <row r="185" spans="1:15" ht="21" customHeight="1">
      <c r="A185" s="37" t="s">
        <v>15</v>
      </c>
      <c r="B185" s="38"/>
      <c r="C185" s="39"/>
      <c r="D185" s="90" t="s">
        <v>114</v>
      </c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2"/>
    </row>
    <row r="186" spans="1:15" ht="19.95" customHeight="1">
      <c r="A186" s="37" t="s">
        <v>19</v>
      </c>
      <c r="B186" s="38"/>
      <c r="C186" s="39"/>
      <c r="D186" s="90" t="s">
        <v>20</v>
      </c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2"/>
    </row>
    <row r="187" spans="1:15" ht="19.95" customHeight="1">
      <c r="A187" s="37" t="s">
        <v>21</v>
      </c>
      <c r="B187" s="38"/>
      <c r="C187" s="39"/>
      <c r="D187" s="90" t="s">
        <v>44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2"/>
    </row>
    <row r="188" spans="1:15" ht="21" customHeight="1">
      <c r="A188" s="37" t="s">
        <v>45</v>
      </c>
      <c r="B188" s="38"/>
      <c r="C188" s="39"/>
      <c r="D188" s="90" t="s">
        <v>118</v>
      </c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2"/>
    </row>
    <row r="189" spans="1:15" ht="19.95" customHeight="1">
      <c r="A189" s="37" t="s">
        <v>23</v>
      </c>
      <c r="B189" s="38"/>
      <c r="C189" s="39"/>
      <c r="D189" s="90" t="s">
        <v>24</v>
      </c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2"/>
    </row>
    <row r="190" spans="1:15" ht="19.5" customHeight="1">
      <c r="A190" s="37" t="s">
        <v>47</v>
      </c>
      <c r="B190" s="38"/>
      <c r="C190" s="39"/>
      <c r="D190" s="90" t="s">
        <v>48</v>
      </c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2"/>
    </row>
    <row r="191" spans="1:15" ht="20.55" customHeight="1">
      <c r="A191" s="93"/>
      <c r="B191" s="93"/>
      <c r="C191" s="1"/>
      <c r="D191" s="93"/>
      <c r="E191" s="93"/>
      <c r="F191" s="93"/>
      <c r="G191" s="93"/>
      <c r="H191" s="93"/>
      <c r="I191" s="93"/>
      <c r="J191" s="5"/>
      <c r="K191" s="36"/>
      <c r="L191" s="36"/>
      <c r="M191" s="5"/>
      <c r="N191" s="5"/>
      <c r="O191" s="5"/>
    </row>
    <row r="192" spans="1:15" ht="37.950000000000003" customHeight="1">
      <c r="A192" s="87" t="s">
        <v>49</v>
      </c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9"/>
    </row>
    <row r="193" spans="1:15" ht="19.95" customHeight="1">
      <c r="A193" s="61" t="s">
        <v>50</v>
      </c>
      <c r="B193" s="62"/>
      <c r="C193" s="65" t="s">
        <v>51</v>
      </c>
      <c r="D193" s="66"/>
      <c r="E193" s="67"/>
      <c r="F193" s="71" t="s">
        <v>52</v>
      </c>
      <c r="G193" s="72"/>
      <c r="H193" s="72"/>
      <c r="I193" s="72"/>
      <c r="J193" s="72"/>
      <c r="K193" s="72"/>
      <c r="L193" s="72"/>
      <c r="M193" s="72"/>
      <c r="N193" s="73"/>
      <c r="O193" s="74" t="s">
        <v>53</v>
      </c>
    </row>
    <row r="194" spans="1:15" ht="21" customHeight="1">
      <c r="A194" s="63"/>
      <c r="B194" s="64"/>
      <c r="C194" s="68"/>
      <c r="D194" s="69"/>
      <c r="E194" s="70"/>
      <c r="F194" s="76" t="s">
        <v>54</v>
      </c>
      <c r="G194" s="77"/>
      <c r="H194" s="71" t="s">
        <v>55</v>
      </c>
      <c r="I194" s="73"/>
      <c r="J194" s="94" t="s">
        <v>56</v>
      </c>
      <c r="K194" s="95"/>
      <c r="L194" s="96"/>
      <c r="M194" s="80" t="s">
        <v>57</v>
      </c>
      <c r="N194" s="82"/>
      <c r="O194" s="75"/>
    </row>
    <row r="195" spans="1:15" ht="19.95" customHeight="1">
      <c r="A195" s="83">
        <v>5</v>
      </c>
      <c r="B195" s="84"/>
      <c r="C195" s="46" t="s">
        <v>58</v>
      </c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8"/>
      <c r="O195" s="6">
        <f>O196</f>
        <v>29669999.993474998</v>
      </c>
    </row>
    <row r="196" spans="1:15" ht="19.95" customHeight="1">
      <c r="A196" s="46" t="s">
        <v>59</v>
      </c>
      <c r="B196" s="48"/>
      <c r="C196" s="46" t="s">
        <v>60</v>
      </c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8"/>
      <c r="O196" s="6">
        <f>O197</f>
        <v>29669999.993474998</v>
      </c>
    </row>
    <row r="197" spans="1:15" ht="21" customHeight="1">
      <c r="A197" s="85">
        <v>37377</v>
      </c>
      <c r="B197" s="86"/>
      <c r="C197" s="46" t="s">
        <v>61</v>
      </c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8"/>
      <c r="O197" s="6">
        <f>O198</f>
        <v>29669999.993474998</v>
      </c>
    </row>
    <row r="198" spans="1:15" ht="19.95" customHeight="1">
      <c r="A198" s="46" t="s">
        <v>62</v>
      </c>
      <c r="B198" s="48"/>
      <c r="C198" s="46" t="s">
        <v>63</v>
      </c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8"/>
      <c r="O198" s="6">
        <f>O199</f>
        <v>29669999.993474998</v>
      </c>
    </row>
    <row r="199" spans="1:15" ht="19.95" customHeight="1">
      <c r="A199" s="46" t="s">
        <v>64</v>
      </c>
      <c r="B199" s="48"/>
      <c r="C199" s="46" t="s">
        <v>65</v>
      </c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8"/>
      <c r="O199" s="6">
        <f>O200+O212+O217+O221+O226</f>
        <v>29669999.993474998</v>
      </c>
    </row>
    <row r="200" spans="1:15" ht="31.05" customHeight="1">
      <c r="A200" s="30" t="s">
        <v>66</v>
      </c>
      <c r="B200" s="32"/>
      <c r="C200" s="46" t="s">
        <v>67</v>
      </c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8"/>
      <c r="O200" s="6">
        <f>O201</f>
        <v>3798749.9934749999</v>
      </c>
    </row>
    <row r="201" spans="1:15" ht="31.05" customHeight="1">
      <c r="A201" s="40"/>
      <c r="B201" s="42"/>
      <c r="C201" s="30" t="s">
        <v>68</v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2"/>
      <c r="O201" s="6">
        <f>O202</f>
        <v>3798749.9934749999</v>
      </c>
    </row>
    <row r="202" spans="1:15" ht="20.25" customHeight="1">
      <c r="A202" s="40"/>
      <c r="B202" s="42"/>
      <c r="C202" s="46" t="s">
        <v>119</v>
      </c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8"/>
      <c r="O202" s="6">
        <f>SUM(O206:O211)</f>
        <v>3798749.9934749999</v>
      </c>
    </row>
    <row r="203" spans="1:15" ht="37.950000000000003" customHeight="1">
      <c r="A203" s="87" t="s">
        <v>49</v>
      </c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9"/>
    </row>
    <row r="204" spans="1:15" ht="19.95" customHeight="1">
      <c r="A204" s="61" t="s">
        <v>50</v>
      </c>
      <c r="B204" s="62"/>
      <c r="C204" s="65" t="s">
        <v>51</v>
      </c>
      <c r="D204" s="66"/>
      <c r="E204" s="67"/>
      <c r="F204" s="71" t="s">
        <v>52</v>
      </c>
      <c r="G204" s="72"/>
      <c r="H204" s="72"/>
      <c r="I204" s="72"/>
      <c r="J204" s="72"/>
      <c r="K204" s="72"/>
      <c r="L204" s="72"/>
      <c r="M204" s="72"/>
      <c r="N204" s="73"/>
      <c r="O204" s="74" t="s">
        <v>53</v>
      </c>
    </row>
    <row r="205" spans="1:15" ht="21" customHeight="1">
      <c r="A205" s="63"/>
      <c r="B205" s="64"/>
      <c r="C205" s="68"/>
      <c r="D205" s="69"/>
      <c r="E205" s="70"/>
      <c r="F205" s="76" t="s">
        <v>54</v>
      </c>
      <c r="G205" s="77"/>
      <c r="H205" s="71" t="s">
        <v>55</v>
      </c>
      <c r="I205" s="73"/>
      <c r="J205" s="94" t="s">
        <v>56</v>
      </c>
      <c r="K205" s="95"/>
      <c r="L205" s="96"/>
      <c r="M205" s="80" t="s">
        <v>57</v>
      </c>
      <c r="N205" s="82"/>
      <c r="O205" s="75"/>
    </row>
    <row r="206" spans="1:15" ht="60" customHeight="1">
      <c r="A206" s="30"/>
      <c r="B206" s="32"/>
      <c r="C206" s="49" t="s">
        <v>70</v>
      </c>
      <c r="D206" s="50"/>
      <c r="E206" s="51"/>
      <c r="F206" s="52">
        <v>5</v>
      </c>
      <c r="G206" s="53"/>
      <c r="H206" s="54" t="s">
        <v>71</v>
      </c>
      <c r="I206" s="55"/>
      <c r="J206" s="56">
        <v>59200</v>
      </c>
      <c r="K206" s="119"/>
      <c r="L206" s="57"/>
      <c r="M206" s="56">
        <v>0</v>
      </c>
      <c r="N206" s="57"/>
      <c r="O206" s="7">
        <f>F206*J206</f>
        <v>296000</v>
      </c>
    </row>
    <row r="207" spans="1:15" ht="70.95" customHeight="1">
      <c r="A207" s="30"/>
      <c r="B207" s="32"/>
      <c r="C207" s="49" t="s">
        <v>109</v>
      </c>
      <c r="D207" s="50"/>
      <c r="E207" s="51"/>
      <c r="F207" s="52">
        <v>5</v>
      </c>
      <c r="G207" s="53"/>
      <c r="H207" s="54" t="s">
        <v>73</v>
      </c>
      <c r="I207" s="55"/>
      <c r="J207" s="56">
        <v>64675</v>
      </c>
      <c r="K207" s="119"/>
      <c r="L207" s="57"/>
      <c r="M207" s="56">
        <v>0</v>
      </c>
      <c r="N207" s="57"/>
      <c r="O207" s="7">
        <f t="shared" ref="O207:O211" si="2">F207*J207</f>
        <v>323375</v>
      </c>
    </row>
    <row r="208" spans="1:15" ht="60" customHeight="1">
      <c r="A208" s="30"/>
      <c r="B208" s="32"/>
      <c r="C208" s="49" t="s">
        <v>110</v>
      </c>
      <c r="D208" s="50"/>
      <c r="E208" s="51"/>
      <c r="F208" s="52">
        <v>5</v>
      </c>
      <c r="G208" s="53"/>
      <c r="H208" s="54" t="s">
        <v>75</v>
      </c>
      <c r="I208" s="55"/>
      <c r="J208" s="56">
        <v>163750</v>
      </c>
      <c r="K208" s="119"/>
      <c r="L208" s="57"/>
      <c r="M208" s="56">
        <v>0</v>
      </c>
      <c r="N208" s="57"/>
      <c r="O208" s="7">
        <f t="shared" si="2"/>
        <v>818750</v>
      </c>
    </row>
    <row r="209" spans="1:15" ht="61.05" customHeight="1">
      <c r="A209" s="30"/>
      <c r="B209" s="32"/>
      <c r="C209" s="49" t="s">
        <v>74</v>
      </c>
      <c r="D209" s="50"/>
      <c r="E209" s="51"/>
      <c r="F209" s="52">
        <v>9</v>
      </c>
      <c r="G209" s="53"/>
      <c r="H209" s="54" t="s">
        <v>75</v>
      </c>
      <c r="I209" s="55"/>
      <c r="J209" s="56">
        <v>84200</v>
      </c>
      <c r="K209" s="119"/>
      <c r="L209" s="57"/>
      <c r="M209" s="56">
        <v>0</v>
      </c>
      <c r="N209" s="57"/>
      <c r="O209" s="7">
        <f t="shared" si="2"/>
        <v>757800</v>
      </c>
    </row>
    <row r="210" spans="1:15" ht="60" customHeight="1">
      <c r="A210" s="30"/>
      <c r="B210" s="32"/>
      <c r="C210" s="49" t="s">
        <v>111</v>
      </c>
      <c r="D210" s="50"/>
      <c r="E210" s="51"/>
      <c r="F210" s="52">
        <v>8</v>
      </c>
      <c r="G210" s="53"/>
      <c r="H210" s="54" t="s">
        <v>112</v>
      </c>
      <c r="I210" s="55"/>
      <c r="J210" s="56">
        <v>183350</v>
      </c>
      <c r="K210" s="119"/>
      <c r="L210" s="57"/>
      <c r="M210" s="56">
        <v>0</v>
      </c>
      <c r="N210" s="57"/>
      <c r="O210" s="7">
        <f t="shared" si="2"/>
        <v>1466800</v>
      </c>
    </row>
    <row r="211" spans="1:15" ht="70.95" customHeight="1">
      <c r="A211" s="30"/>
      <c r="B211" s="32"/>
      <c r="C211" s="49" t="s">
        <v>77</v>
      </c>
      <c r="D211" s="50"/>
      <c r="E211" s="51"/>
      <c r="F211" s="52">
        <v>3.0011030000000001</v>
      </c>
      <c r="G211" s="53"/>
      <c r="H211" s="54" t="s">
        <v>120</v>
      </c>
      <c r="I211" s="55"/>
      <c r="J211" s="56">
        <v>45325</v>
      </c>
      <c r="K211" s="119"/>
      <c r="L211" s="57"/>
      <c r="M211" s="56">
        <v>0</v>
      </c>
      <c r="N211" s="57"/>
      <c r="O211" s="7">
        <f t="shared" si="2"/>
        <v>136024.993475</v>
      </c>
    </row>
    <row r="212" spans="1:15" ht="30" customHeight="1">
      <c r="A212" s="30" t="s">
        <v>78</v>
      </c>
      <c r="B212" s="32"/>
      <c r="C212" s="46" t="s">
        <v>79</v>
      </c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8"/>
      <c r="O212" s="8">
        <v>7331750</v>
      </c>
    </row>
    <row r="213" spans="1:15" ht="31.05" customHeight="1">
      <c r="A213" s="40"/>
      <c r="B213" s="42"/>
      <c r="C213" s="30" t="s">
        <v>68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2"/>
      <c r="O213" s="8">
        <v>7331750</v>
      </c>
    </row>
    <row r="214" spans="1:15" ht="21" customHeight="1">
      <c r="A214" s="40"/>
      <c r="B214" s="42"/>
      <c r="C214" s="46" t="s">
        <v>119</v>
      </c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8"/>
      <c r="O214" s="8">
        <v>7331750</v>
      </c>
    </row>
    <row r="215" spans="1:15" ht="60" customHeight="1">
      <c r="A215" s="30"/>
      <c r="B215" s="32"/>
      <c r="C215" s="49" t="s">
        <v>80</v>
      </c>
      <c r="D215" s="50"/>
      <c r="E215" s="51"/>
      <c r="F215" s="52">
        <v>40</v>
      </c>
      <c r="G215" s="53"/>
      <c r="H215" s="54" t="s">
        <v>81</v>
      </c>
      <c r="I215" s="55"/>
      <c r="J215" s="56">
        <v>73450</v>
      </c>
      <c r="K215" s="119"/>
      <c r="L215" s="57"/>
      <c r="M215" s="56">
        <v>0</v>
      </c>
      <c r="N215" s="57"/>
      <c r="O215" s="7">
        <v>2938000</v>
      </c>
    </row>
    <row r="216" spans="1:15" ht="60" customHeight="1">
      <c r="A216" s="30"/>
      <c r="B216" s="32"/>
      <c r="C216" s="49" t="s">
        <v>82</v>
      </c>
      <c r="D216" s="50"/>
      <c r="E216" s="51"/>
      <c r="F216" s="52">
        <v>50</v>
      </c>
      <c r="G216" s="53"/>
      <c r="H216" s="54" t="s">
        <v>81</v>
      </c>
      <c r="I216" s="55"/>
      <c r="J216" s="56">
        <v>87875</v>
      </c>
      <c r="K216" s="119"/>
      <c r="L216" s="57"/>
      <c r="M216" s="56">
        <v>0</v>
      </c>
      <c r="N216" s="57"/>
      <c r="O216" s="7">
        <v>4393750</v>
      </c>
    </row>
    <row r="217" spans="1:15" ht="31.05" customHeight="1">
      <c r="A217" s="30" t="s">
        <v>121</v>
      </c>
      <c r="B217" s="32"/>
      <c r="C217" s="46" t="s">
        <v>122</v>
      </c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8"/>
      <c r="O217" s="8">
        <v>2200000</v>
      </c>
    </row>
    <row r="218" spans="1:15" ht="31.05" customHeight="1">
      <c r="A218" s="40"/>
      <c r="B218" s="42"/>
      <c r="C218" s="30" t="s">
        <v>123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2"/>
      <c r="O218" s="8">
        <v>2200000</v>
      </c>
    </row>
    <row r="219" spans="1:15" ht="19.95" customHeight="1">
      <c r="A219" s="40"/>
      <c r="B219" s="42"/>
      <c r="C219" s="46" t="s">
        <v>119</v>
      </c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8"/>
      <c r="O219" s="8">
        <v>2200000</v>
      </c>
    </row>
    <row r="220" spans="1:15" ht="60" customHeight="1">
      <c r="A220" s="30"/>
      <c r="B220" s="32"/>
      <c r="C220" s="49" t="s">
        <v>124</v>
      </c>
      <c r="D220" s="50"/>
      <c r="E220" s="51"/>
      <c r="F220" s="52">
        <v>220</v>
      </c>
      <c r="G220" s="53"/>
      <c r="H220" s="54" t="s">
        <v>73</v>
      </c>
      <c r="I220" s="55"/>
      <c r="J220" s="56">
        <v>10000</v>
      </c>
      <c r="K220" s="119"/>
      <c r="L220" s="57"/>
      <c r="M220" s="56">
        <v>0</v>
      </c>
      <c r="N220" s="57"/>
      <c r="O220" s="7">
        <v>2200000</v>
      </c>
    </row>
    <row r="221" spans="1:15" ht="31.05" customHeight="1">
      <c r="A221" s="30" t="s">
        <v>125</v>
      </c>
      <c r="B221" s="32"/>
      <c r="C221" s="46" t="s">
        <v>126</v>
      </c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8"/>
      <c r="O221" s="8">
        <v>5449500</v>
      </c>
    </row>
    <row r="222" spans="1:15" ht="31.05" customHeight="1">
      <c r="A222" s="40"/>
      <c r="B222" s="42"/>
      <c r="C222" s="30" t="s">
        <v>127</v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2"/>
      <c r="O222" s="8">
        <v>5449500</v>
      </c>
    </row>
    <row r="223" spans="1:15" ht="19.95" customHeight="1">
      <c r="A223" s="40"/>
      <c r="B223" s="42"/>
      <c r="C223" s="46" t="s">
        <v>119</v>
      </c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8"/>
      <c r="O223" s="8">
        <v>5449500</v>
      </c>
    </row>
    <row r="224" spans="1:15" ht="61.05" customHeight="1">
      <c r="A224" s="30"/>
      <c r="B224" s="32"/>
      <c r="C224" s="49" t="s">
        <v>128</v>
      </c>
      <c r="D224" s="50"/>
      <c r="E224" s="51"/>
      <c r="F224" s="52">
        <v>10</v>
      </c>
      <c r="G224" s="53"/>
      <c r="H224" s="54" t="s">
        <v>129</v>
      </c>
      <c r="I224" s="55"/>
      <c r="J224" s="56">
        <v>109800</v>
      </c>
      <c r="K224" s="119"/>
      <c r="L224" s="57"/>
      <c r="M224" s="56">
        <v>0</v>
      </c>
      <c r="N224" s="57"/>
      <c r="O224" s="7">
        <v>1098000</v>
      </c>
    </row>
    <row r="225" spans="1:15" ht="60" customHeight="1">
      <c r="A225" s="30"/>
      <c r="B225" s="32"/>
      <c r="C225" s="49" t="s">
        <v>130</v>
      </c>
      <c r="D225" s="50"/>
      <c r="E225" s="51"/>
      <c r="F225" s="52">
        <v>30</v>
      </c>
      <c r="G225" s="53"/>
      <c r="H225" s="54" t="s">
        <v>129</v>
      </c>
      <c r="I225" s="55"/>
      <c r="J225" s="56">
        <v>145050</v>
      </c>
      <c r="K225" s="119"/>
      <c r="L225" s="57"/>
      <c r="M225" s="56">
        <v>0</v>
      </c>
      <c r="N225" s="57"/>
      <c r="O225" s="7">
        <v>4351500</v>
      </c>
    </row>
    <row r="226" spans="1:15" ht="31.05" customHeight="1">
      <c r="A226" s="30" t="s">
        <v>83</v>
      </c>
      <c r="B226" s="32"/>
      <c r="C226" s="46" t="s">
        <v>84</v>
      </c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8"/>
      <c r="O226" s="8">
        <v>10890000</v>
      </c>
    </row>
    <row r="227" spans="1:15" ht="30" customHeight="1">
      <c r="A227" s="40"/>
      <c r="B227" s="42"/>
      <c r="C227" s="30" t="s">
        <v>131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2"/>
      <c r="O227" s="8">
        <v>10890000</v>
      </c>
    </row>
    <row r="228" spans="1:15" ht="20.7" customHeight="1">
      <c r="A228" s="40"/>
      <c r="B228" s="42"/>
      <c r="C228" s="46" t="s">
        <v>119</v>
      </c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8"/>
      <c r="O228" s="8">
        <v>10890000</v>
      </c>
    </row>
    <row r="229" spans="1:15" ht="37.950000000000003" customHeight="1">
      <c r="A229" s="87" t="s">
        <v>49</v>
      </c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9"/>
    </row>
    <row r="230" spans="1:15" ht="19.95" customHeight="1">
      <c r="A230" s="61" t="s">
        <v>50</v>
      </c>
      <c r="B230" s="62"/>
      <c r="C230" s="65" t="s">
        <v>51</v>
      </c>
      <c r="D230" s="66"/>
      <c r="E230" s="67"/>
      <c r="F230" s="71" t="s">
        <v>52</v>
      </c>
      <c r="G230" s="72"/>
      <c r="H230" s="72"/>
      <c r="I230" s="72"/>
      <c r="J230" s="72"/>
      <c r="K230" s="72"/>
      <c r="L230" s="72"/>
      <c r="M230" s="72"/>
      <c r="N230" s="73"/>
      <c r="O230" s="74" t="s">
        <v>53</v>
      </c>
    </row>
    <row r="231" spans="1:15" ht="21" customHeight="1">
      <c r="A231" s="63"/>
      <c r="B231" s="64"/>
      <c r="C231" s="68"/>
      <c r="D231" s="69"/>
      <c r="E231" s="70"/>
      <c r="F231" s="76" t="s">
        <v>54</v>
      </c>
      <c r="G231" s="77"/>
      <c r="H231" s="71" t="s">
        <v>55</v>
      </c>
      <c r="I231" s="73"/>
      <c r="J231" s="78" t="s">
        <v>56</v>
      </c>
      <c r="K231" s="79"/>
      <c r="L231" s="80" t="s">
        <v>57</v>
      </c>
      <c r="M231" s="81"/>
      <c r="N231" s="82"/>
      <c r="O231" s="75"/>
    </row>
    <row r="232" spans="1:15" ht="70.05" customHeight="1">
      <c r="A232" s="30"/>
      <c r="B232" s="32"/>
      <c r="C232" s="49" t="s">
        <v>86</v>
      </c>
      <c r="D232" s="50"/>
      <c r="E232" s="51"/>
      <c r="F232" s="52">
        <v>220</v>
      </c>
      <c r="G232" s="53"/>
      <c r="H232" s="54" t="s">
        <v>87</v>
      </c>
      <c r="I232" s="55"/>
      <c r="J232" s="56">
        <v>33000</v>
      </c>
      <c r="K232" s="57"/>
      <c r="L232" s="58">
        <v>0</v>
      </c>
      <c r="M232" s="59"/>
      <c r="N232" s="60"/>
      <c r="O232" s="9">
        <v>7260000</v>
      </c>
    </row>
    <row r="233" spans="1:15" ht="70.95" customHeight="1">
      <c r="A233" s="30"/>
      <c r="B233" s="32"/>
      <c r="C233" s="49" t="s">
        <v>88</v>
      </c>
      <c r="D233" s="50"/>
      <c r="E233" s="51"/>
      <c r="F233" s="52">
        <v>220</v>
      </c>
      <c r="G233" s="53"/>
      <c r="H233" s="54" t="s">
        <v>87</v>
      </c>
      <c r="I233" s="55"/>
      <c r="J233" s="56">
        <v>16500</v>
      </c>
      <c r="K233" s="57"/>
      <c r="L233" s="58">
        <v>0</v>
      </c>
      <c r="M233" s="59"/>
      <c r="N233" s="60"/>
      <c r="O233" s="9">
        <v>3630000</v>
      </c>
    </row>
    <row r="234" spans="1:15" ht="21" customHeight="1">
      <c r="A234" s="27" t="s">
        <v>89</v>
      </c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9"/>
      <c r="O234" s="6">
        <f>O199</f>
        <v>29669999.993474998</v>
      </c>
    </row>
    <row r="235" spans="1:15" ht="153" customHeight="1">
      <c r="A235" s="30"/>
      <c r="B235" s="31"/>
      <c r="C235" s="31"/>
      <c r="D235" s="31"/>
      <c r="E235" s="31"/>
      <c r="F235" s="31"/>
      <c r="G235" s="32"/>
      <c r="H235" s="33" t="s">
        <v>90</v>
      </c>
      <c r="I235" s="34"/>
      <c r="J235" s="34"/>
      <c r="K235" s="34"/>
      <c r="L235" s="34"/>
      <c r="M235" s="34"/>
      <c r="N235" s="34"/>
      <c r="O235" s="35"/>
    </row>
    <row r="236" spans="1:15" ht="20.55" customHeight="1">
      <c r="A236" s="1"/>
      <c r="B236" s="1"/>
      <c r="C236" s="1"/>
      <c r="D236" s="1"/>
      <c r="E236" s="1"/>
      <c r="F236" s="1"/>
      <c r="G236" s="1"/>
      <c r="H236" s="1"/>
      <c r="I236" s="1"/>
      <c r="J236" s="36"/>
      <c r="K236" s="36"/>
      <c r="L236" s="36"/>
      <c r="M236" s="36"/>
      <c r="N236" s="36"/>
      <c r="O236" s="5"/>
    </row>
    <row r="237" spans="1:15" ht="19.95" customHeight="1">
      <c r="A237" s="37" t="s">
        <v>91</v>
      </c>
      <c r="B237" s="38"/>
      <c r="C237" s="39"/>
      <c r="D237" s="2" t="s">
        <v>48</v>
      </c>
      <c r="E237" s="40"/>
      <c r="F237" s="41"/>
      <c r="G237" s="41"/>
      <c r="H237" s="41"/>
      <c r="I237" s="41"/>
      <c r="J237" s="41"/>
      <c r="K237" s="41"/>
      <c r="L237" s="41"/>
      <c r="M237" s="41"/>
      <c r="N237" s="41"/>
      <c r="O237" s="42"/>
    </row>
    <row r="238" spans="1:15" ht="21" customHeight="1">
      <c r="A238" s="37" t="s">
        <v>92</v>
      </c>
      <c r="B238" s="38"/>
      <c r="C238" s="39"/>
      <c r="D238" s="2" t="s">
        <v>48</v>
      </c>
      <c r="E238" s="40"/>
      <c r="F238" s="41"/>
      <c r="G238" s="41"/>
      <c r="H238" s="41"/>
      <c r="I238" s="41"/>
      <c r="J238" s="41"/>
      <c r="K238" s="41"/>
      <c r="L238" s="41"/>
      <c r="M238" s="41"/>
      <c r="N238" s="41"/>
      <c r="O238" s="42"/>
    </row>
    <row r="239" spans="1:15" ht="19.95" customHeight="1">
      <c r="A239" s="37" t="s">
        <v>93</v>
      </c>
      <c r="B239" s="38"/>
      <c r="C239" s="39"/>
      <c r="D239" s="2" t="s">
        <v>48</v>
      </c>
      <c r="E239" s="40"/>
      <c r="F239" s="41"/>
      <c r="G239" s="41"/>
      <c r="H239" s="41"/>
      <c r="I239" s="41"/>
      <c r="J239" s="41"/>
      <c r="K239" s="41"/>
      <c r="L239" s="41"/>
      <c r="M239" s="41"/>
      <c r="N239" s="41"/>
      <c r="O239" s="42"/>
    </row>
    <row r="240" spans="1:15" ht="21" customHeight="1">
      <c r="A240" s="43">
        <v>1</v>
      </c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5"/>
    </row>
    <row r="241" spans="1:15" ht="19.95" customHeight="1">
      <c r="A241" s="43">
        <v>2</v>
      </c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5"/>
    </row>
    <row r="242" spans="1:15" ht="19.5" customHeight="1">
      <c r="A242" s="37" t="s">
        <v>94</v>
      </c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9"/>
    </row>
    <row r="243" spans="1:15" ht="20.55" customHeight="1">
      <c r="A243" s="1"/>
      <c r="B243" s="1"/>
      <c r="C243" s="1"/>
      <c r="D243" s="1"/>
      <c r="E243" s="1"/>
      <c r="F243" s="1"/>
      <c r="G243" s="1"/>
      <c r="H243" s="1"/>
      <c r="I243" s="1"/>
      <c r="J243" s="36"/>
      <c r="K243" s="36"/>
      <c r="L243" s="36"/>
      <c r="M243" s="36"/>
      <c r="N243" s="36"/>
      <c r="O243" s="5"/>
    </row>
    <row r="244" spans="1:15" ht="22.05" customHeight="1">
      <c r="A244" s="18" t="s">
        <v>95</v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20"/>
    </row>
    <row r="245" spans="1:15" ht="21" customHeight="1">
      <c r="A245" s="3" t="s">
        <v>96</v>
      </c>
      <c r="B245" s="18" t="s">
        <v>97</v>
      </c>
      <c r="C245" s="19"/>
      <c r="D245" s="19"/>
      <c r="E245" s="19"/>
      <c r="F245" s="20"/>
      <c r="G245" s="18" t="s">
        <v>98</v>
      </c>
      <c r="H245" s="20"/>
      <c r="I245" s="18" t="s">
        <v>99</v>
      </c>
      <c r="J245" s="19"/>
      <c r="K245" s="20"/>
      <c r="L245" s="21" t="s">
        <v>100</v>
      </c>
      <c r="M245" s="22"/>
      <c r="N245" s="22"/>
      <c r="O245" s="23"/>
    </row>
    <row r="246" spans="1:15" ht="21.75" customHeight="1">
      <c r="A246" s="24" t="s">
        <v>101</v>
      </c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6"/>
    </row>
    <row r="247" spans="1:15" ht="64.05" customHeight="1">
      <c r="A247" s="106" t="s">
        <v>0</v>
      </c>
      <c r="B247" s="107"/>
      <c r="C247" s="107"/>
      <c r="D247" s="107"/>
      <c r="E247" s="107"/>
      <c r="F247" s="107"/>
      <c r="G247" s="107"/>
      <c r="H247" s="107"/>
      <c r="I247" s="107"/>
      <c r="J247" s="108"/>
      <c r="K247" s="109" t="s">
        <v>1</v>
      </c>
      <c r="L247" s="110"/>
      <c r="M247" s="110"/>
      <c r="N247" s="110"/>
      <c r="O247" s="111"/>
    </row>
    <row r="248" spans="1:15" ht="23.55" customHeight="1">
      <c r="A248" s="101" t="s">
        <v>674</v>
      </c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3"/>
    </row>
    <row r="249" spans="1:15" ht="20.55" customHeight="1">
      <c r="A249" s="93"/>
      <c r="B249" s="93"/>
      <c r="C249" s="1"/>
      <c r="D249" s="93"/>
      <c r="E249" s="93"/>
      <c r="F249" s="93"/>
      <c r="G249" s="93"/>
      <c r="H249" s="93"/>
      <c r="I249" s="93"/>
      <c r="J249" s="5"/>
      <c r="K249" s="36"/>
      <c r="L249" s="36"/>
      <c r="M249" s="5"/>
      <c r="N249" s="5"/>
      <c r="O249" s="5"/>
    </row>
    <row r="250" spans="1:15" ht="37.049999999999997" customHeight="1">
      <c r="A250" s="101" t="s">
        <v>2</v>
      </c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3"/>
    </row>
    <row r="251" spans="1:15" ht="21" customHeight="1">
      <c r="A251" s="37" t="s">
        <v>3</v>
      </c>
      <c r="B251" s="38"/>
      <c r="C251" s="39"/>
      <c r="D251" s="90" t="s">
        <v>4</v>
      </c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2"/>
    </row>
    <row r="252" spans="1:15" ht="22.05" customHeight="1">
      <c r="A252" s="37" t="s">
        <v>5</v>
      </c>
      <c r="B252" s="38"/>
      <c r="C252" s="39"/>
      <c r="D252" s="90" t="s">
        <v>6</v>
      </c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2"/>
    </row>
    <row r="253" spans="1:15" ht="22.05" customHeight="1">
      <c r="A253" s="37" t="s">
        <v>7</v>
      </c>
      <c r="B253" s="38"/>
      <c r="C253" s="39"/>
      <c r="D253" s="90" t="s">
        <v>8</v>
      </c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2"/>
    </row>
    <row r="254" spans="1:15" ht="21" customHeight="1">
      <c r="A254" s="37" t="s">
        <v>9</v>
      </c>
      <c r="B254" s="38"/>
      <c r="C254" s="39"/>
      <c r="D254" s="90" t="s">
        <v>10</v>
      </c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2"/>
    </row>
    <row r="255" spans="1:15" ht="22.05" customHeight="1">
      <c r="A255" s="37" t="s">
        <v>11</v>
      </c>
      <c r="B255" s="38"/>
      <c r="C255" s="39"/>
      <c r="D255" s="90" t="s">
        <v>12</v>
      </c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2"/>
    </row>
    <row r="256" spans="1:15" ht="22.05" customHeight="1">
      <c r="A256" s="37" t="s">
        <v>13</v>
      </c>
      <c r="B256" s="38"/>
      <c r="C256" s="39"/>
      <c r="D256" s="90" t="s">
        <v>14</v>
      </c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2"/>
    </row>
    <row r="257" spans="1:15" ht="21" customHeight="1">
      <c r="A257" s="37" t="s">
        <v>15</v>
      </c>
      <c r="B257" s="38"/>
      <c r="C257" s="39"/>
      <c r="D257" s="90" t="s">
        <v>132</v>
      </c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</row>
    <row r="258" spans="1:15" ht="22.05" customHeight="1">
      <c r="A258" s="37" t="s">
        <v>17</v>
      </c>
      <c r="B258" s="38"/>
      <c r="C258" s="39"/>
      <c r="D258" s="90" t="s">
        <v>10</v>
      </c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</row>
    <row r="259" spans="1:15" ht="22.05" customHeight="1">
      <c r="A259" s="37" t="s">
        <v>18</v>
      </c>
      <c r="B259" s="38"/>
      <c r="C259" s="39"/>
      <c r="D259" s="90" t="s">
        <v>10</v>
      </c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2"/>
    </row>
    <row r="260" spans="1:15" ht="22.05" customHeight="1">
      <c r="A260" s="37" t="s">
        <v>19</v>
      </c>
      <c r="B260" s="38"/>
      <c r="C260" s="39"/>
      <c r="D260" s="90" t="s">
        <v>20</v>
      </c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2"/>
    </row>
    <row r="261" spans="1:15" ht="21" customHeight="1">
      <c r="A261" s="37" t="s">
        <v>21</v>
      </c>
      <c r="B261" s="38"/>
      <c r="C261" s="39"/>
      <c r="D261" s="90" t="s">
        <v>22</v>
      </c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</row>
    <row r="262" spans="1:15" ht="22.05" customHeight="1">
      <c r="A262" s="37" t="s">
        <v>23</v>
      </c>
      <c r="B262" s="38"/>
      <c r="C262" s="39"/>
      <c r="D262" s="90" t="s">
        <v>24</v>
      </c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</row>
    <row r="263" spans="1:15" ht="22.05" customHeight="1">
      <c r="A263" s="37" t="s">
        <v>25</v>
      </c>
      <c r="B263" s="38"/>
      <c r="C263" s="39"/>
      <c r="D263" s="90" t="s">
        <v>26</v>
      </c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2"/>
    </row>
    <row r="264" spans="1:15" ht="21" customHeight="1">
      <c r="A264" s="37" t="s">
        <v>670</v>
      </c>
      <c r="B264" s="38"/>
      <c r="C264" s="39"/>
      <c r="D264" s="90" t="s">
        <v>27</v>
      </c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2"/>
    </row>
    <row r="265" spans="1:15" ht="22.05" customHeight="1">
      <c r="A265" s="37" t="s">
        <v>675</v>
      </c>
      <c r="B265" s="38"/>
      <c r="C265" s="39"/>
      <c r="D265" s="90" t="s">
        <v>133</v>
      </c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</row>
    <row r="266" spans="1:15" ht="21.45" customHeight="1">
      <c r="A266" s="37" t="s">
        <v>676</v>
      </c>
      <c r="B266" s="38"/>
      <c r="C266" s="39"/>
      <c r="D266" s="90" t="s">
        <v>134</v>
      </c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</row>
    <row r="267" spans="1:15" ht="20.55" customHeight="1">
      <c r="A267" s="93"/>
      <c r="B267" s="93"/>
      <c r="C267" s="1"/>
      <c r="D267" s="93"/>
      <c r="E267" s="93"/>
      <c r="F267" s="93"/>
      <c r="G267" s="93"/>
      <c r="H267" s="93"/>
      <c r="I267" s="93"/>
      <c r="J267" s="5"/>
      <c r="K267" s="36"/>
      <c r="L267" s="36"/>
      <c r="M267" s="5"/>
      <c r="N267" s="5"/>
      <c r="O267" s="5"/>
    </row>
    <row r="268" spans="1:15" ht="22.95" customHeight="1">
      <c r="A268" s="101" t="s">
        <v>29</v>
      </c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3"/>
    </row>
    <row r="269" spans="1:15" ht="24" customHeight="1">
      <c r="A269" s="101" t="s">
        <v>30</v>
      </c>
      <c r="B269" s="102"/>
      <c r="C269" s="103"/>
      <c r="D269" s="101" t="s">
        <v>31</v>
      </c>
      <c r="E269" s="102"/>
      <c r="F269" s="102"/>
      <c r="G269" s="102"/>
      <c r="H269" s="102"/>
      <c r="I269" s="102"/>
      <c r="J269" s="102"/>
      <c r="K269" s="102"/>
      <c r="L269" s="102"/>
      <c r="M269" s="103"/>
      <c r="N269" s="104" t="s">
        <v>32</v>
      </c>
      <c r="O269" s="105"/>
    </row>
    <row r="270" spans="1:15" ht="21" customHeight="1">
      <c r="A270" s="37" t="s">
        <v>33</v>
      </c>
      <c r="B270" s="38"/>
      <c r="C270" s="39"/>
      <c r="D270" s="37" t="s">
        <v>34</v>
      </c>
      <c r="E270" s="38"/>
      <c r="F270" s="38"/>
      <c r="G270" s="38"/>
      <c r="H270" s="38"/>
      <c r="I270" s="38"/>
      <c r="J270" s="38"/>
      <c r="K270" s="38"/>
      <c r="L270" s="38"/>
      <c r="M270" s="39"/>
      <c r="N270" s="97" t="s">
        <v>35</v>
      </c>
      <c r="O270" s="98"/>
    </row>
    <row r="271" spans="1:15" ht="19.95" customHeight="1">
      <c r="A271" s="37" t="s">
        <v>36</v>
      </c>
      <c r="B271" s="38"/>
      <c r="C271" s="39"/>
      <c r="D271" s="37" t="s">
        <v>37</v>
      </c>
      <c r="E271" s="38"/>
      <c r="F271" s="38"/>
      <c r="G271" s="38"/>
      <c r="H271" s="38"/>
      <c r="I271" s="38"/>
      <c r="J271" s="38"/>
      <c r="K271" s="38"/>
      <c r="L271" s="38"/>
      <c r="M271" s="39"/>
      <c r="N271" s="97">
        <f>O286</f>
        <v>35551000</v>
      </c>
      <c r="O271" s="98"/>
    </row>
    <row r="272" spans="1:15" ht="19.95" customHeight="1">
      <c r="A272" s="37" t="s">
        <v>38</v>
      </c>
      <c r="B272" s="38"/>
      <c r="C272" s="39"/>
      <c r="D272" s="37" t="s">
        <v>135</v>
      </c>
      <c r="E272" s="38"/>
      <c r="F272" s="38"/>
      <c r="G272" s="38"/>
      <c r="H272" s="38"/>
      <c r="I272" s="38"/>
      <c r="J272" s="38"/>
      <c r="K272" s="38"/>
      <c r="L272" s="38"/>
      <c r="M272" s="39"/>
      <c r="N272" s="97" t="s">
        <v>136</v>
      </c>
      <c r="O272" s="98"/>
    </row>
    <row r="273" spans="1:15" ht="20.55" customHeight="1">
      <c r="A273" s="37" t="s">
        <v>41</v>
      </c>
      <c r="B273" s="38"/>
      <c r="C273" s="39"/>
      <c r="D273" s="37" t="s">
        <v>42</v>
      </c>
      <c r="E273" s="38"/>
      <c r="F273" s="38"/>
      <c r="G273" s="38"/>
      <c r="H273" s="38"/>
      <c r="I273" s="38"/>
      <c r="J273" s="38"/>
      <c r="K273" s="38"/>
      <c r="L273" s="38"/>
      <c r="M273" s="39"/>
      <c r="N273" s="99">
        <v>1</v>
      </c>
      <c r="O273" s="100"/>
    </row>
    <row r="274" spans="1:15" ht="20.55" customHeight="1">
      <c r="A274" s="93"/>
      <c r="B274" s="93"/>
      <c r="C274" s="1"/>
      <c r="D274" s="93"/>
      <c r="E274" s="93"/>
      <c r="F274" s="93"/>
      <c r="G274" s="93"/>
      <c r="H274" s="93"/>
      <c r="I274" s="93"/>
      <c r="J274" s="5"/>
      <c r="K274" s="36"/>
      <c r="L274" s="36"/>
      <c r="M274" s="5"/>
      <c r="N274" s="5"/>
      <c r="O274" s="5"/>
    </row>
    <row r="275" spans="1:15" ht="37.049999999999997" customHeight="1">
      <c r="A275" s="101" t="s">
        <v>43</v>
      </c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3"/>
    </row>
    <row r="276" spans="1:15" ht="21" customHeight="1">
      <c r="A276" s="37" t="s">
        <v>15</v>
      </c>
      <c r="B276" s="38"/>
      <c r="C276" s="39"/>
      <c r="D276" s="127" t="s">
        <v>679</v>
      </c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2"/>
    </row>
    <row r="277" spans="1:15" ht="19.95" customHeight="1">
      <c r="A277" s="37" t="s">
        <v>19</v>
      </c>
      <c r="B277" s="38"/>
      <c r="C277" s="39"/>
      <c r="D277" s="90" t="s">
        <v>20</v>
      </c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2"/>
    </row>
    <row r="278" spans="1:15" ht="19.95" customHeight="1">
      <c r="A278" s="37" t="s">
        <v>21</v>
      </c>
      <c r="B278" s="38"/>
      <c r="C278" s="39"/>
      <c r="D278" s="90" t="s">
        <v>44</v>
      </c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2"/>
    </row>
    <row r="279" spans="1:15" ht="21" customHeight="1">
      <c r="A279" s="37" t="s">
        <v>45</v>
      </c>
      <c r="B279" s="38"/>
      <c r="C279" s="39"/>
      <c r="D279" s="90" t="s">
        <v>137</v>
      </c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2"/>
    </row>
    <row r="280" spans="1:15" ht="19.95" customHeight="1">
      <c r="A280" s="37" t="s">
        <v>23</v>
      </c>
      <c r="B280" s="38"/>
      <c r="C280" s="39"/>
      <c r="D280" s="90" t="s">
        <v>24</v>
      </c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2"/>
    </row>
    <row r="281" spans="1:15" ht="19.5" customHeight="1">
      <c r="A281" s="37" t="s">
        <v>47</v>
      </c>
      <c r="B281" s="38"/>
      <c r="C281" s="39"/>
      <c r="D281" s="90" t="s">
        <v>48</v>
      </c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2"/>
    </row>
    <row r="282" spans="1:15" ht="20.55" customHeight="1">
      <c r="A282" s="93"/>
      <c r="B282" s="93"/>
      <c r="C282" s="1"/>
      <c r="D282" s="93"/>
      <c r="E282" s="93"/>
      <c r="F282" s="93"/>
      <c r="G282" s="93"/>
      <c r="H282" s="93"/>
      <c r="I282" s="93"/>
      <c r="J282" s="5"/>
      <c r="K282" s="36"/>
      <c r="L282" s="36"/>
      <c r="M282" s="5"/>
      <c r="N282" s="5"/>
      <c r="O282" s="5"/>
    </row>
    <row r="283" spans="1:15" ht="37.950000000000003" customHeight="1">
      <c r="A283" s="87" t="s">
        <v>49</v>
      </c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9"/>
    </row>
    <row r="284" spans="1:15" ht="19.95" customHeight="1">
      <c r="A284" s="61" t="s">
        <v>50</v>
      </c>
      <c r="B284" s="62"/>
      <c r="C284" s="65" t="s">
        <v>51</v>
      </c>
      <c r="D284" s="66"/>
      <c r="E284" s="67"/>
      <c r="F284" s="71" t="s">
        <v>52</v>
      </c>
      <c r="G284" s="72"/>
      <c r="H284" s="72"/>
      <c r="I284" s="72"/>
      <c r="J284" s="72"/>
      <c r="K284" s="72"/>
      <c r="L284" s="72"/>
      <c r="M284" s="72"/>
      <c r="N284" s="73"/>
      <c r="O284" s="74" t="s">
        <v>53</v>
      </c>
    </row>
    <row r="285" spans="1:15" ht="21" customHeight="1">
      <c r="A285" s="63"/>
      <c r="B285" s="64"/>
      <c r="C285" s="68"/>
      <c r="D285" s="69"/>
      <c r="E285" s="70"/>
      <c r="F285" s="76" t="s">
        <v>54</v>
      </c>
      <c r="G285" s="77"/>
      <c r="H285" s="71" t="s">
        <v>55</v>
      </c>
      <c r="I285" s="73"/>
      <c r="J285" s="94" t="s">
        <v>56</v>
      </c>
      <c r="K285" s="95"/>
      <c r="L285" s="96"/>
      <c r="M285" s="80" t="s">
        <v>57</v>
      </c>
      <c r="N285" s="82"/>
      <c r="O285" s="75"/>
    </row>
    <row r="286" spans="1:15" ht="19.95" customHeight="1">
      <c r="A286" s="83">
        <v>5</v>
      </c>
      <c r="B286" s="84"/>
      <c r="C286" s="46" t="s">
        <v>58</v>
      </c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8"/>
      <c r="O286" s="6">
        <f>O287</f>
        <v>35551000</v>
      </c>
    </row>
    <row r="287" spans="1:15" ht="19.95" customHeight="1">
      <c r="A287" s="46" t="s">
        <v>59</v>
      </c>
      <c r="B287" s="48"/>
      <c r="C287" s="46" t="s">
        <v>60</v>
      </c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8"/>
      <c r="O287" s="6">
        <f>O288</f>
        <v>35551000</v>
      </c>
    </row>
    <row r="288" spans="1:15" ht="21" customHeight="1">
      <c r="A288" s="85">
        <v>37377</v>
      </c>
      <c r="B288" s="86"/>
      <c r="C288" s="46" t="s">
        <v>61</v>
      </c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8"/>
      <c r="O288" s="6">
        <f>O289+O299</f>
        <v>35551000</v>
      </c>
    </row>
    <row r="289" spans="1:15" ht="19.95" customHeight="1">
      <c r="A289" s="46" t="s">
        <v>62</v>
      </c>
      <c r="B289" s="48"/>
      <c r="C289" s="46" t="s">
        <v>63</v>
      </c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8"/>
      <c r="O289" s="6">
        <f>O290</f>
        <v>3080332</v>
      </c>
    </row>
    <row r="290" spans="1:15" ht="19.95" customHeight="1">
      <c r="A290" s="46" t="s">
        <v>64</v>
      </c>
      <c r="B290" s="48"/>
      <c r="C290" s="46" t="s">
        <v>65</v>
      </c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8"/>
      <c r="O290" s="6">
        <f>O291</f>
        <v>3080332</v>
      </c>
    </row>
    <row r="291" spans="1:15" ht="31.05" customHeight="1">
      <c r="A291" s="30" t="s">
        <v>78</v>
      </c>
      <c r="B291" s="32"/>
      <c r="C291" s="46" t="s">
        <v>79</v>
      </c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8"/>
      <c r="O291" s="6">
        <f>O292</f>
        <v>3080332</v>
      </c>
    </row>
    <row r="292" spans="1:15" ht="31.05" customHeight="1">
      <c r="A292" s="40"/>
      <c r="B292" s="42"/>
      <c r="C292" s="30" t="s">
        <v>68</v>
      </c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2"/>
      <c r="O292" s="6">
        <f>O293</f>
        <v>3080332</v>
      </c>
    </row>
    <row r="293" spans="1:15" ht="20.25" customHeight="1">
      <c r="A293" s="40"/>
      <c r="B293" s="42"/>
      <c r="C293" s="46" t="s">
        <v>69</v>
      </c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8"/>
      <c r="O293" s="6">
        <f>SUM(O297:O298)</f>
        <v>3080332</v>
      </c>
    </row>
    <row r="294" spans="1:15" ht="37.950000000000003" customHeight="1">
      <c r="A294" s="87" t="s">
        <v>49</v>
      </c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9"/>
    </row>
    <row r="295" spans="1:15" ht="19.95" customHeight="1">
      <c r="A295" s="61" t="s">
        <v>50</v>
      </c>
      <c r="B295" s="62"/>
      <c r="C295" s="65" t="s">
        <v>51</v>
      </c>
      <c r="D295" s="66"/>
      <c r="E295" s="67"/>
      <c r="F295" s="71" t="s">
        <v>52</v>
      </c>
      <c r="G295" s="72"/>
      <c r="H295" s="72"/>
      <c r="I295" s="72"/>
      <c r="J295" s="72"/>
      <c r="K295" s="72"/>
      <c r="L295" s="72"/>
      <c r="M295" s="72"/>
      <c r="N295" s="73"/>
      <c r="O295" s="74" t="s">
        <v>53</v>
      </c>
    </row>
    <row r="296" spans="1:15" ht="21" customHeight="1">
      <c r="A296" s="63"/>
      <c r="B296" s="64"/>
      <c r="C296" s="68"/>
      <c r="D296" s="69"/>
      <c r="E296" s="70"/>
      <c r="F296" s="76" t="s">
        <v>54</v>
      </c>
      <c r="G296" s="77"/>
      <c r="H296" s="71" t="s">
        <v>55</v>
      </c>
      <c r="I296" s="73"/>
      <c r="J296" s="94" t="s">
        <v>56</v>
      </c>
      <c r="K296" s="95"/>
      <c r="L296" s="96"/>
      <c r="M296" s="80" t="s">
        <v>57</v>
      </c>
      <c r="N296" s="82"/>
      <c r="O296" s="75"/>
    </row>
    <row r="297" spans="1:15" ht="60" customHeight="1">
      <c r="A297" s="30"/>
      <c r="B297" s="32"/>
      <c r="C297" s="49" t="s">
        <v>82</v>
      </c>
      <c r="D297" s="50"/>
      <c r="E297" s="51"/>
      <c r="F297" s="52">
        <v>20</v>
      </c>
      <c r="G297" s="53"/>
      <c r="H297" s="54" t="s">
        <v>81</v>
      </c>
      <c r="I297" s="55"/>
      <c r="J297" s="56">
        <v>87875</v>
      </c>
      <c r="K297" s="119"/>
      <c r="L297" s="57"/>
      <c r="M297" s="56">
        <v>0</v>
      </c>
      <c r="N297" s="57"/>
      <c r="O297" s="7">
        <f>F297*J297</f>
        <v>1757500</v>
      </c>
    </row>
    <row r="298" spans="1:15" ht="61.05" customHeight="1">
      <c r="A298" s="30"/>
      <c r="B298" s="32"/>
      <c r="C298" s="49" t="s">
        <v>80</v>
      </c>
      <c r="D298" s="50"/>
      <c r="E298" s="51"/>
      <c r="F298" s="52">
        <v>18.009965963240301</v>
      </c>
      <c r="G298" s="53"/>
      <c r="H298" s="54" t="s">
        <v>81</v>
      </c>
      <c r="I298" s="55"/>
      <c r="J298" s="56">
        <v>73450</v>
      </c>
      <c r="K298" s="119"/>
      <c r="L298" s="57"/>
      <c r="M298" s="56">
        <v>0</v>
      </c>
      <c r="N298" s="57"/>
      <c r="O298" s="7">
        <f>F298*J298</f>
        <v>1322832</v>
      </c>
    </row>
    <row r="299" spans="1:15" ht="19.95" customHeight="1">
      <c r="A299" s="46" t="s">
        <v>138</v>
      </c>
      <c r="B299" s="48"/>
      <c r="C299" s="46" t="s">
        <v>139</v>
      </c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8"/>
      <c r="O299" s="8">
        <v>32470668</v>
      </c>
    </row>
    <row r="300" spans="1:15" ht="19.95" customHeight="1">
      <c r="A300" s="46" t="s">
        <v>140</v>
      </c>
      <c r="B300" s="48"/>
      <c r="C300" s="46" t="s">
        <v>141</v>
      </c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8"/>
      <c r="O300" s="8">
        <v>30000000</v>
      </c>
    </row>
    <row r="301" spans="1:15" ht="31.05" customHeight="1">
      <c r="A301" s="30" t="s">
        <v>142</v>
      </c>
      <c r="B301" s="32"/>
      <c r="C301" s="46" t="s">
        <v>143</v>
      </c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8"/>
      <c r="O301" s="8">
        <v>30000000</v>
      </c>
    </row>
    <row r="302" spans="1:15" ht="31.05" customHeight="1">
      <c r="A302" s="40"/>
      <c r="B302" s="42"/>
      <c r="C302" s="30" t="s">
        <v>144</v>
      </c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2"/>
      <c r="O302" s="8">
        <v>30000000</v>
      </c>
    </row>
    <row r="303" spans="1:15" ht="19.95" customHeight="1">
      <c r="A303" s="40"/>
      <c r="B303" s="42"/>
      <c r="C303" s="46" t="s">
        <v>69</v>
      </c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8"/>
      <c r="O303" s="8">
        <v>30000000</v>
      </c>
    </row>
    <row r="304" spans="1:15" ht="81" customHeight="1">
      <c r="A304" s="30"/>
      <c r="B304" s="32"/>
      <c r="C304" s="49" t="s">
        <v>145</v>
      </c>
      <c r="D304" s="50"/>
      <c r="E304" s="51"/>
      <c r="F304" s="54" t="s">
        <v>146</v>
      </c>
      <c r="G304" s="55"/>
      <c r="H304" s="54" t="s">
        <v>147</v>
      </c>
      <c r="I304" s="55"/>
      <c r="J304" s="56">
        <v>2500000</v>
      </c>
      <c r="K304" s="119"/>
      <c r="L304" s="57"/>
      <c r="M304" s="56">
        <v>0</v>
      </c>
      <c r="N304" s="57"/>
      <c r="O304" s="7">
        <v>30000000</v>
      </c>
    </row>
    <row r="305" spans="1:15" ht="19.95" customHeight="1">
      <c r="A305" s="46" t="s">
        <v>148</v>
      </c>
      <c r="B305" s="48"/>
      <c r="C305" s="46" t="s">
        <v>149</v>
      </c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8"/>
      <c r="O305" s="8">
        <v>2470668</v>
      </c>
    </row>
    <row r="306" spans="1:15" ht="31.05" customHeight="1">
      <c r="A306" s="128" t="s">
        <v>680</v>
      </c>
      <c r="B306" s="32"/>
      <c r="C306" s="128" t="s">
        <v>681</v>
      </c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8"/>
      <c r="O306" s="8">
        <v>2341068</v>
      </c>
    </row>
    <row r="307" spans="1:15" ht="31.05" customHeight="1">
      <c r="A307" s="40"/>
      <c r="B307" s="42"/>
      <c r="C307" s="128" t="s">
        <v>684</v>
      </c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2"/>
      <c r="O307" s="8">
        <v>2341068</v>
      </c>
    </row>
    <row r="308" spans="1:15" ht="19.95" customHeight="1">
      <c r="A308" s="40"/>
      <c r="B308" s="42"/>
      <c r="C308" s="46" t="s">
        <v>69</v>
      </c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8"/>
      <c r="O308" s="8">
        <v>2341068</v>
      </c>
    </row>
    <row r="309" spans="1:15" ht="70.95" customHeight="1">
      <c r="A309" s="30"/>
      <c r="B309" s="32"/>
      <c r="C309" s="49" t="s">
        <v>153</v>
      </c>
      <c r="D309" s="50"/>
      <c r="E309" s="51"/>
      <c r="F309" s="54" t="s">
        <v>146</v>
      </c>
      <c r="G309" s="55"/>
      <c r="H309" s="54" t="s">
        <v>154</v>
      </c>
      <c r="I309" s="55"/>
      <c r="J309" s="56">
        <v>195089</v>
      </c>
      <c r="K309" s="119"/>
      <c r="L309" s="57"/>
      <c r="M309" s="56">
        <v>0</v>
      </c>
      <c r="N309" s="57"/>
      <c r="O309" s="7">
        <v>2341068</v>
      </c>
    </row>
    <row r="310" spans="1:15" ht="31.05" customHeight="1">
      <c r="A310" s="128" t="s">
        <v>682</v>
      </c>
      <c r="B310" s="32"/>
      <c r="C310" s="128" t="s">
        <v>683</v>
      </c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8"/>
      <c r="O310" s="8">
        <v>57600</v>
      </c>
    </row>
    <row r="311" spans="1:15" ht="30" customHeight="1">
      <c r="A311" s="40"/>
      <c r="B311" s="42"/>
      <c r="C311" s="128" t="s">
        <v>685</v>
      </c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2"/>
      <c r="O311" s="8">
        <v>57600</v>
      </c>
    </row>
    <row r="312" spans="1:15" ht="21" customHeight="1">
      <c r="A312" s="40"/>
      <c r="B312" s="42"/>
      <c r="C312" s="46" t="s">
        <v>69</v>
      </c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8"/>
      <c r="O312" s="8">
        <v>57600</v>
      </c>
    </row>
    <row r="313" spans="1:15" ht="70.05" customHeight="1">
      <c r="A313" s="30"/>
      <c r="B313" s="32"/>
      <c r="C313" s="49" t="s">
        <v>157</v>
      </c>
      <c r="D313" s="50"/>
      <c r="E313" s="51"/>
      <c r="F313" s="54" t="s">
        <v>146</v>
      </c>
      <c r="G313" s="55"/>
      <c r="H313" s="54" t="s">
        <v>154</v>
      </c>
      <c r="I313" s="55"/>
      <c r="J313" s="56">
        <v>4800</v>
      </c>
      <c r="K313" s="119"/>
      <c r="L313" s="57"/>
      <c r="M313" s="56">
        <v>0</v>
      </c>
      <c r="N313" s="57"/>
      <c r="O313" s="7">
        <v>57600</v>
      </c>
    </row>
    <row r="314" spans="1:15" ht="31.05" customHeight="1">
      <c r="A314" s="128" t="s">
        <v>687</v>
      </c>
      <c r="B314" s="32"/>
      <c r="C314" s="128" t="s">
        <v>688</v>
      </c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8"/>
      <c r="O314" s="8">
        <v>72000</v>
      </c>
    </row>
    <row r="315" spans="1:15" ht="31.05" customHeight="1">
      <c r="A315" s="40"/>
      <c r="B315" s="42"/>
      <c r="C315" s="128" t="s">
        <v>686</v>
      </c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2"/>
      <c r="O315" s="8">
        <v>72000</v>
      </c>
    </row>
    <row r="316" spans="1:15" ht="19.95" customHeight="1">
      <c r="A316" s="40"/>
      <c r="B316" s="42"/>
      <c r="C316" s="46" t="s">
        <v>69</v>
      </c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8"/>
      <c r="O316" s="8">
        <v>72000</v>
      </c>
    </row>
    <row r="317" spans="1:15" ht="70.95" customHeight="1">
      <c r="A317" s="30"/>
      <c r="B317" s="32"/>
      <c r="C317" s="49" t="s">
        <v>160</v>
      </c>
      <c r="D317" s="50"/>
      <c r="E317" s="51"/>
      <c r="F317" s="54" t="s">
        <v>146</v>
      </c>
      <c r="G317" s="55"/>
      <c r="H317" s="54" t="s">
        <v>154</v>
      </c>
      <c r="I317" s="55"/>
      <c r="J317" s="56">
        <v>6000</v>
      </c>
      <c r="K317" s="119"/>
      <c r="L317" s="57"/>
      <c r="M317" s="56">
        <v>0</v>
      </c>
      <c r="N317" s="57"/>
      <c r="O317" s="7">
        <v>72000</v>
      </c>
    </row>
    <row r="318" spans="1:15" ht="19.95" customHeight="1">
      <c r="A318" s="27" t="s">
        <v>89</v>
      </c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9"/>
      <c r="O318" s="8">
        <v>35550268</v>
      </c>
    </row>
    <row r="319" spans="1:15" ht="153" customHeight="1">
      <c r="A319" s="30"/>
      <c r="B319" s="31"/>
      <c r="C319" s="31"/>
      <c r="D319" s="31"/>
      <c r="E319" s="31"/>
      <c r="F319" s="31"/>
      <c r="G319" s="32"/>
      <c r="H319" s="33" t="s">
        <v>90</v>
      </c>
      <c r="I319" s="34"/>
      <c r="J319" s="34"/>
      <c r="K319" s="34"/>
      <c r="L319" s="34"/>
      <c r="M319" s="34"/>
      <c r="N319" s="34"/>
      <c r="O319" s="35"/>
    </row>
    <row r="320" spans="1:15" ht="21" customHeight="1">
      <c r="A320" s="37" t="s">
        <v>91</v>
      </c>
      <c r="B320" s="38"/>
      <c r="C320" s="39"/>
      <c r="D320" s="2" t="s">
        <v>48</v>
      </c>
      <c r="E320" s="40"/>
      <c r="F320" s="41"/>
      <c r="G320" s="41"/>
      <c r="H320" s="41"/>
      <c r="I320" s="41"/>
      <c r="J320" s="41"/>
      <c r="K320" s="41"/>
      <c r="L320" s="41"/>
      <c r="M320" s="41"/>
      <c r="N320" s="41"/>
      <c r="O320" s="42"/>
    </row>
    <row r="321" spans="1:15" ht="19.95" customHeight="1">
      <c r="A321" s="37" t="s">
        <v>92</v>
      </c>
      <c r="B321" s="38"/>
      <c r="C321" s="39"/>
      <c r="D321" s="2" t="s">
        <v>48</v>
      </c>
      <c r="E321" s="40"/>
      <c r="F321" s="41"/>
      <c r="G321" s="41"/>
      <c r="H321" s="41"/>
      <c r="I321" s="41"/>
      <c r="J321" s="41"/>
      <c r="K321" s="41"/>
      <c r="L321" s="41"/>
      <c r="M321" s="41"/>
      <c r="N321" s="41"/>
      <c r="O321" s="42"/>
    </row>
    <row r="322" spans="1:15" ht="19.95" customHeight="1">
      <c r="A322" s="37" t="s">
        <v>93</v>
      </c>
      <c r="B322" s="38"/>
      <c r="C322" s="39"/>
      <c r="D322" s="2" t="s">
        <v>48</v>
      </c>
      <c r="E322" s="40"/>
      <c r="F322" s="41"/>
      <c r="G322" s="41"/>
      <c r="H322" s="41"/>
      <c r="I322" s="41"/>
      <c r="J322" s="41"/>
      <c r="K322" s="41"/>
      <c r="L322" s="41"/>
      <c r="M322" s="41"/>
      <c r="N322" s="41"/>
      <c r="O322" s="42"/>
    </row>
    <row r="323" spans="1:15" ht="21" customHeight="1">
      <c r="A323" s="43">
        <v>1</v>
      </c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5"/>
    </row>
    <row r="324" spans="1:15" ht="19.95" customHeight="1">
      <c r="A324" s="43">
        <v>2</v>
      </c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5"/>
    </row>
    <row r="325" spans="1:15" ht="20.55" customHeight="1">
      <c r="A325" s="37" t="s">
        <v>94</v>
      </c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9"/>
    </row>
    <row r="326" spans="1:15" ht="20.55" customHeight="1">
      <c r="A326" s="1"/>
      <c r="B326" s="93"/>
      <c r="C326" s="93"/>
      <c r="D326" s="1"/>
      <c r="E326" s="93"/>
      <c r="F326" s="93"/>
      <c r="G326" s="93"/>
      <c r="H326" s="93"/>
      <c r="I326" s="93"/>
      <c r="J326" s="93"/>
      <c r="K326" s="93"/>
      <c r="L326" s="36"/>
      <c r="M326" s="36"/>
      <c r="N326" s="36"/>
      <c r="O326" s="36"/>
    </row>
    <row r="327" spans="1:15" ht="21" customHeight="1">
      <c r="A327" s="18" t="s">
        <v>95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20"/>
    </row>
    <row r="328" spans="1:15" ht="22.05" customHeight="1">
      <c r="A328" s="3" t="s">
        <v>96</v>
      </c>
      <c r="B328" s="18" t="s">
        <v>97</v>
      </c>
      <c r="C328" s="19"/>
      <c r="D328" s="19"/>
      <c r="E328" s="19"/>
      <c r="F328" s="20"/>
      <c r="G328" s="18" t="s">
        <v>98</v>
      </c>
      <c r="H328" s="20"/>
      <c r="I328" s="18" t="s">
        <v>99</v>
      </c>
      <c r="J328" s="19"/>
      <c r="K328" s="20"/>
      <c r="L328" s="21" t="s">
        <v>100</v>
      </c>
      <c r="M328" s="22"/>
      <c r="N328" s="22"/>
      <c r="O328" s="23"/>
    </row>
    <row r="329" spans="1:15" ht="21" customHeight="1">
      <c r="A329" s="24" t="s">
        <v>101</v>
      </c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6"/>
    </row>
    <row r="330" spans="1:15" ht="64.05" customHeight="1">
      <c r="A330" s="106" t="s">
        <v>0</v>
      </c>
      <c r="B330" s="107"/>
      <c r="C330" s="107"/>
      <c r="D330" s="107"/>
      <c r="E330" s="107"/>
      <c r="F330" s="107"/>
      <c r="G330" s="107"/>
      <c r="H330" s="107"/>
      <c r="I330" s="107"/>
      <c r="J330" s="108"/>
      <c r="K330" s="109" t="s">
        <v>1</v>
      </c>
      <c r="L330" s="110"/>
      <c r="M330" s="110"/>
      <c r="N330" s="110"/>
      <c r="O330" s="111"/>
    </row>
    <row r="331" spans="1:15" ht="23.55" customHeight="1">
      <c r="A331" s="101" t="s">
        <v>674</v>
      </c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3"/>
    </row>
    <row r="332" spans="1:15" ht="20.55" customHeight="1">
      <c r="A332" s="93"/>
      <c r="B332" s="93"/>
      <c r="C332" s="1"/>
      <c r="D332" s="93"/>
      <c r="E332" s="93"/>
      <c r="F332" s="93"/>
      <c r="G332" s="93"/>
      <c r="H332" s="93"/>
      <c r="I332" s="93"/>
      <c r="J332" s="5"/>
      <c r="K332" s="36"/>
      <c r="L332" s="36"/>
      <c r="M332" s="5"/>
      <c r="N332" s="5"/>
      <c r="O332" s="5"/>
    </row>
    <row r="333" spans="1:15" ht="37.049999999999997" customHeight="1">
      <c r="A333" s="101" t="s">
        <v>2</v>
      </c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3"/>
    </row>
    <row r="334" spans="1:15" ht="21" customHeight="1">
      <c r="A334" s="37" t="s">
        <v>3</v>
      </c>
      <c r="B334" s="38"/>
      <c r="C334" s="39"/>
      <c r="D334" s="90" t="s">
        <v>4</v>
      </c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2"/>
    </row>
    <row r="335" spans="1:15" ht="22.05" customHeight="1">
      <c r="A335" s="37" t="s">
        <v>5</v>
      </c>
      <c r="B335" s="38"/>
      <c r="C335" s="39"/>
      <c r="D335" s="90" t="s">
        <v>6</v>
      </c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2"/>
    </row>
    <row r="336" spans="1:15" ht="22.05" customHeight="1">
      <c r="A336" s="37" t="s">
        <v>7</v>
      </c>
      <c r="B336" s="38"/>
      <c r="C336" s="39"/>
      <c r="D336" s="90" t="s">
        <v>8</v>
      </c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2"/>
    </row>
    <row r="337" spans="1:15" ht="21" customHeight="1">
      <c r="A337" s="37" t="s">
        <v>9</v>
      </c>
      <c r="B337" s="38"/>
      <c r="C337" s="39"/>
      <c r="D337" s="90" t="s">
        <v>10</v>
      </c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2"/>
    </row>
    <row r="338" spans="1:15" ht="22.05" customHeight="1">
      <c r="A338" s="37" t="s">
        <v>11</v>
      </c>
      <c r="B338" s="38"/>
      <c r="C338" s="39"/>
      <c r="D338" s="90" t="s">
        <v>12</v>
      </c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</row>
    <row r="339" spans="1:15" ht="22.05" customHeight="1">
      <c r="A339" s="37" t="s">
        <v>13</v>
      </c>
      <c r="B339" s="38"/>
      <c r="C339" s="39"/>
      <c r="D339" s="90" t="s">
        <v>161</v>
      </c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</row>
    <row r="340" spans="1:15" ht="21" customHeight="1">
      <c r="A340" s="37" t="s">
        <v>15</v>
      </c>
      <c r="B340" s="38"/>
      <c r="C340" s="39"/>
      <c r="D340" s="90" t="s">
        <v>162</v>
      </c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2"/>
    </row>
    <row r="341" spans="1:15" ht="22.05" customHeight="1">
      <c r="A341" s="37" t="s">
        <v>17</v>
      </c>
      <c r="B341" s="38"/>
      <c r="C341" s="39"/>
      <c r="D341" s="90" t="s">
        <v>10</v>
      </c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2"/>
    </row>
    <row r="342" spans="1:15" ht="22.05" customHeight="1">
      <c r="A342" s="37" t="s">
        <v>18</v>
      </c>
      <c r="B342" s="38"/>
      <c r="C342" s="39"/>
      <c r="D342" s="90" t="s">
        <v>10</v>
      </c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2"/>
    </row>
    <row r="343" spans="1:15" ht="22.05" customHeight="1">
      <c r="A343" s="37" t="s">
        <v>19</v>
      </c>
      <c r="B343" s="38"/>
      <c r="C343" s="39"/>
      <c r="D343" s="90" t="s">
        <v>20</v>
      </c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2"/>
    </row>
    <row r="344" spans="1:15" ht="21" customHeight="1">
      <c r="A344" s="37" t="s">
        <v>21</v>
      </c>
      <c r="B344" s="38"/>
      <c r="C344" s="39"/>
      <c r="D344" s="90" t="s">
        <v>22</v>
      </c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</row>
    <row r="345" spans="1:15" ht="22.05" customHeight="1">
      <c r="A345" s="37" t="s">
        <v>23</v>
      </c>
      <c r="B345" s="38"/>
      <c r="C345" s="39"/>
      <c r="D345" s="90" t="s">
        <v>24</v>
      </c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</row>
    <row r="346" spans="1:15" ht="22.05" customHeight="1">
      <c r="A346" s="37" t="s">
        <v>25</v>
      </c>
      <c r="B346" s="38"/>
      <c r="C346" s="39"/>
      <c r="D346" s="90" t="s">
        <v>26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2"/>
    </row>
    <row r="347" spans="1:15" ht="21" customHeight="1">
      <c r="A347" s="37" t="s">
        <v>670</v>
      </c>
      <c r="B347" s="38"/>
      <c r="C347" s="39"/>
      <c r="D347" s="90" t="s">
        <v>27</v>
      </c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2"/>
    </row>
    <row r="348" spans="1:15" ht="22.05" customHeight="1">
      <c r="A348" s="37" t="s">
        <v>675</v>
      </c>
      <c r="B348" s="38"/>
      <c r="C348" s="39"/>
      <c r="D348" s="90" t="s">
        <v>163</v>
      </c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2"/>
    </row>
    <row r="349" spans="1:15" ht="21.45" customHeight="1">
      <c r="A349" s="37" t="s">
        <v>676</v>
      </c>
      <c r="B349" s="38"/>
      <c r="C349" s="39"/>
      <c r="D349" s="90" t="s">
        <v>164</v>
      </c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2"/>
    </row>
    <row r="350" spans="1:15" ht="20.55" customHeight="1">
      <c r="A350" s="93"/>
      <c r="B350" s="93"/>
      <c r="C350" s="1"/>
      <c r="D350" s="93"/>
      <c r="E350" s="93"/>
      <c r="F350" s="93"/>
      <c r="G350" s="93"/>
      <c r="H350" s="93"/>
      <c r="I350" s="93"/>
      <c r="J350" s="5"/>
      <c r="K350" s="36"/>
      <c r="L350" s="36"/>
      <c r="M350" s="5"/>
      <c r="N350" s="5"/>
      <c r="O350" s="5"/>
    </row>
    <row r="351" spans="1:15" ht="22.95" customHeight="1">
      <c r="A351" s="101" t="s">
        <v>29</v>
      </c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3"/>
    </row>
    <row r="352" spans="1:15" ht="24" customHeight="1">
      <c r="A352" s="101" t="s">
        <v>30</v>
      </c>
      <c r="B352" s="102"/>
      <c r="C352" s="103"/>
      <c r="D352" s="101" t="s">
        <v>31</v>
      </c>
      <c r="E352" s="102"/>
      <c r="F352" s="102"/>
      <c r="G352" s="102"/>
      <c r="H352" s="102"/>
      <c r="I352" s="102"/>
      <c r="J352" s="102"/>
      <c r="K352" s="102"/>
      <c r="L352" s="102"/>
      <c r="M352" s="103"/>
      <c r="N352" s="104" t="s">
        <v>32</v>
      </c>
      <c r="O352" s="105"/>
    </row>
    <row r="353" spans="1:15" ht="21" customHeight="1">
      <c r="A353" s="37" t="s">
        <v>33</v>
      </c>
      <c r="B353" s="38"/>
      <c r="C353" s="39"/>
      <c r="D353" s="37" t="s">
        <v>34</v>
      </c>
      <c r="E353" s="38"/>
      <c r="F353" s="38"/>
      <c r="G353" s="38"/>
      <c r="H353" s="38"/>
      <c r="I353" s="38"/>
      <c r="J353" s="38"/>
      <c r="K353" s="38"/>
      <c r="L353" s="38"/>
      <c r="M353" s="39"/>
      <c r="N353" s="97" t="s">
        <v>35</v>
      </c>
      <c r="O353" s="98"/>
    </row>
    <row r="354" spans="1:15" ht="19.95" customHeight="1">
      <c r="A354" s="37" t="s">
        <v>36</v>
      </c>
      <c r="B354" s="38"/>
      <c r="C354" s="39"/>
      <c r="D354" s="37" t="s">
        <v>37</v>
      </c>
      <c r="E354" s="38"/>
      <c r="F354" s="38"/>
      <c r="G354" s="38"/>
      <c r="H354" s="38"/>
      <c r="I354" s="38"/>
      <c r="J354" s="38"/>
      <c r="K354" s="38"/>
      <c r="L354" s="38"/>
      <c r="M354" s="39"/>
      <c r="N354" s="97">
        <v>63660668</v>
      </c>
      <c r="O354" s="98"/>
    </row>
    <row r="355" spans="1:15" ht="19.95" customHeight="1">
      <c r="A355" s="37" t="s">
        <v>38</v>
      </c>
      <c r="B355" s="38"/>
      <c r="C355" s="39"/>
      <c r="D355" s="37" t="s">
        <v>165</v>
      </c>
      <c r="E355" s="38"/>
      <c r="F355" s="38"/>
      <c r="G355" s="38"/>
      <c r="H355" s="38"/>
      <c r="I355" s="38"/>
      <c r="J355" s="38"/>
      <c r="K355" s="38"/>
      <c r="L355" s="38"/>
      <c r="M355" s="39"/>
      <c r="N355" s="97" t="s">
        <v>166</v>
      </c>
      <c r="O355" s="98"/>
    </row>
    <row r="356" spans="1:15" ht="20.55" customHeight="1">
      <c r="A356" s="37" t="s">
        <v>41</v>
      </c>
      <c r="B356" s="38"/>
      <c r="C356" s="39"/>
      <c r="D356" s="37" t="s">
        <v>167</v>
      </c>
      <c r="E356" s="38"/>
      <c r="F356" s="38"/>
      <c r="G356" s="38"/>
      <c r="H356" s="38"/>
      <c r="I356" s="38"/>
      <c r="J356" s="38"/>
      <c r="K356" s="38"/>
      <c r="L356" s="38"/>
      <c r="M356" s="39"/>
      <c r="N356" s="99">
        <v>0.87</v>
      </c>
      <c r="O356" s="100"/>
    </row>
    <row r="357" spans="1:15" ht="20.55" customHeight="1">
      <c r="A357" s="93"/>
      <c r="B357" s="93"/>
      <c r="C357" s="1"/>
      <c r="D357" s="93"/>
      <c r="E357" s="93"/>
      <c r="F357" s="93"/>
      <c r="G357" s="93"/>
      <c r="H357" s="93"/>
      <c r="I357" s="93"/>
      <c r="J357" s="5"/>
      <c r="K357" s="36"/>
      <c r="L357" s="36"/>
      <c r="M357" s="5"/>
      <c r="N357" s="5"/>
      <c r="O357" s="5"/>
    </row>
    <row r="358" spans="1:15" ht="37.049999999999997" customHeight="1">
      <c r="A358" s="101" t="s">
        <v>43</v>
      </c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3"/>
    </row>
    <row r="359" spans="1:15" ht="21" customHeight="1">
      <c r="A359" s="37" t="s">
        <v>15</v>
      </c>
      <c r="B359" s="38"/>
      <c r="C359" s="39"/>
      <c r="D359" s="127" t="s">
        <v>689</v>
      </c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2"/>
    </row>
    <row r="360" spans="1:15" ht="19.95" customHeight="1">
      <c r="A360" s="37" t="s">
        <v>19</v>
      </c>
      <c r="B360" s="38"/>
      <c r="C360" s="39"/>
      <c r="D360" s="90" t="s">
        <v>20</v>
      </c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2"/>
    </row>
    <row r="361" spans="1:15" ht="19.95" customHeight="1">
      <c r="A361" s="37" t="s">
        <v>21</v>
      </c>
      <c r="B361" s="38"/>
      <c r="C361" s="39"/>
      <c r="D361" s="90" t="s">
        <v>44</v>
      </c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2"/>
    </row>
    <row r="362" spans="1:15" ht="21" customHeight="1">
      <c r="A362" s="37" t="s">
        <v>45</v>
      </c>
      <c r="B362" s="38"/>
      <c r="C362" s="39"/>
      <c r="D362" s="90" t="s">
        <v>168</v>
      </c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2"/>
    </row>
    <row r="363" spans="1:15" ht="19.95" customHeight="1">
      <c r="A363" s="37" t="s">
        <v>23</v>
      </c>
      <c r="B363" s="38"/>
      <c r="C363" s="39"/>
      <c r="D363" s="90" t="s">
        <v>24</v>
      </c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2"/>
    </row>
    <row r="364" spans="1:15" ht="19.5" customHeight="1">
      <c r="A364" s="37" t="s">
        <v>47</v>
      </c>
      <c r="B364" s="38"/>
      <c r="C364" s="39"/>
      <c r="D364" s="90" t="s">
        <v>48</v>
      </c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</row>
    <row r="365" spans="1:15" ht="20.55" customHeight="1">
      <c r="A365" s="93"/>
      <c r="B365" s="93"/>
      <c r="C365" s="1"/>
      <c r="D365" s="93"/>
      <c r="E365" s="93"/>
      <c r="F365" s="93"/>
      <c r="G365" s="93"/>
      <c r="H365" s="93"/>
      <c r="I365" s="93"/>
      <c r="J365" s="5"/>
      <c r="K365" s="36"/>
      <c r="L365" s="36"/>
      <c r="M365" s="5"/>
      <c r="N365" s="5"/>
      <c r="O365" s="5"/>
    </row>
    <row r="366" spans="1:15" ht="37.950000000000003" customHeight="1">
      <c r="A366" s="87" t="s">
        <v>49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9"/>
    </row>
    <row r="367" spans="1:15" ht="19.95" customHeight="1">
      <c r="A367" s="61" t="s">
        <v>50</v>
      </c>
      <c r="B367" s="62"/>
      <c r="C367" s="65" t="s">
        <v>51</v>
      </c>
      <c r="D367" s="66"/>
      <c r="E367" s="67"/>
      <c r="F367" s="71" t="s">
        <v>52</v>
      </c>
      <c r="G367" s="72"/>
      <c r="H367" s="72"/>
      <c r="I367" s="72"/>
      <c r="J367" s="72"/>
      <c r="K367" s="72"/>
      <c r="L367" s="72"/>
      <c r="M367" s="72"/>
      <c r="N367" s="73"/>
      <c r="O367" s="74" t="s">
        <v>53</v>
      </c>
    </row>
    <row r="368" spans="1:15" ht="21" customHeight="1">
      <c r="A368" s="63"/>
      <c r="B368" s="64"/>
      <c r="C368" s="68"/>
      <c r="D368" s="69"/>
      <c r="E368" s="70"/>
      <c r="F368" s="76" t="s">
        <v>54</v>
      </c>
      <c r="G368" s="77"/>
      <c r="H368" s="71" t="s">
        <v>55</v>
      </c>
      <c r="I368" s="73"/>
      <c r="J368" s="94" t="s">
        <v>56</v>
      </c>
      <c r="K368" s="95"/>
      <c r="L368" s="96"/>
      <c r="M368" s="80" t="s">
        <v>57</v>
      </c>
      <c r="N368" s="82"/>
      <c r="O368" s="75"/>
    </row>
    <row r="369" spans="1:15" ht="19.95" customHeight="1">
      <c r="A369" s="83">
        <v>5</v>
      </c>
      <c r="B369" s="84"/>
      <c r="C369" s="46" t="s">
        <v>58</v>
      </c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8"/>
      <c r="O369" s="6">
        <f>O370</f>
        <v>63661000</v>
      </c>
    </row>
    <row r="370" spans="1:15" ht="19.95" customHeight="1">
      <c r="A370" s="46" t="s">
        <v>59</v>
      </c>
      <c r="B370" s="48"/>
      <c r="C370" s="46" t="s">
        <v>60</v>
      </c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8"/>
      <c r="O370" s="6">
        <f>O371</f>
        <v>63661000</v>
      </c>
    </row>
    <row r="371" spans="1:15" ht="21" customHeight="1">
      <c r="A371" s="85">
        <v>37377</v>
      </c>
      <c r="B371" s="86"/>
      <c r="C371" s="46" t="s">
        <v>61</v>
      </c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8"/>
      <c r="O371" s="6">
        <f>O372+O402+O419</f>
        <v>63661000</v>
      </c>
    </row>
    <row r="372" spans="1:15" ht="19.95" customHeight="1">
      <c r="A372" s="46" t="s">
        <v>62</v>
      </c>
      <c r="B372" s="48"/>
      <c r="C372" s="46" t="s">
        <v>63</v>
      </c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8"/>
      <c r="O372" s="6">
        <f>O373</f>
        <v>29490332</v>
      </c>
    </row>
    <row r="373" spans="1:15" ht="19.95" customHeight="1">
      <c r="A373" s="46" t="s">
        <v>64</v>
      </c>
      <c r="B373" s="48"/>
      <c r="C373" s="46" t="s">
        <v>65</v>
      </c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8"/>
      <c r="O373" s="6">
        <f>O374+O383+O388+O393+O397</f>
        <v>29490332</v>
      </c>
    </row>
    <row r="374" spans="1:15" ht="31.05" customHeight="1">
      <c r="A374" s="30" t="s">
        <v>66</v>
      </c>
      <c r="B374" s="32"/>
      <c r="C374" s="46" t="s">
        <v>690</v>
      </c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8"/>
      <c r="O374" s="6">
        <f>O375</f>
        <v>3698456.9999999995</v>
      </c>
    </row>
    <row r="375" spans="1:15" ht="31.05" customHeight="1">
      <c r="A375" s="40"/>
      <c r="B375" s="42"/>
      <c r="C375" s="30" t="s">
        <v>68</v>
      </c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2"/>
      <c r="O375" s="6">
        <f>O376</f>
        <v>3698456.9999999995</v>
      </c>
    </row>
    <row r="376" spans="1:15" ht="20.25" customHeight="1">
      <c r="A376" s="40"/>
      <c r="B376" s="42"/>
      <c r="C376" s="46" t="s">
        <v>69</v>
      </c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8"/>
      <c r="O376" s="6">
        <f>SUM(O380:O382)</f>
        <v>3698456.9999999995</v>
      </c>
    </row>
    <row r="377" spans="1:15" ht="37.950000000000003" customHeight="1">
      <c r="A377" s="87" t="s">
        <v>49</v>
      </c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9"/>
    </row>
    <row r="378" spans="1:15" ht="19.95" customHeight="1">
      <c r="A378" s="61" t="s">
        <v>50</v>
      </c>
      <c r="B378" s="62"/>
      <c r="C378" s="65" t="s">
        <v>51</v>
      </c>
      <c r="D378" s="66"/>
      <c r="E378" s="67"/>
      <c r="F378" s="71" t="s">
        <v>52</v>
      </c>
      <c r="G378" s="72"/>
      <c r="H378" s="72"/>
      <c r="I378" s="72"/>
      <c r="J378" s="72"/>
      <c r="K378" s="72"/>
      <c r="L378" s="72"/>
      <c r="M378" s="72"/>
      <c r="N378" s="73"/>
      <c r="O378" s="74" t="s">
        <v>53</v>
      </c>
    </row>
    <row r="379" spans="1:15" ht="21" customHeight="1">
      <c r="A379" s="63"/>
      <c r="B379" s="64"/>
      <c r="C379" s="68"/>
      <c r="D379" s="69"/>
      <c r="E379" s="70"/>
      <c r="F379" s="76" t="s">
        <v>54</v>
      </c>
      <c r="G379" s="77"/>
      <c r="H379" s="71" t="s">
        <v>55</v>
      </c>
      <c r="I379" s="73"/>
      <c r="J379" s="94" t="s">
        <v>56</v>
      </c>
      <c r="K379" s="95"/>
      <c r="L379" s="96"/>
      <c r="M379" s="80" t="s">
        <v>57</v>
      </c>
      <c r="N379" s="82"/>
      <c r="O379" s="75"/>
    </row>
    <row r="380" spans="1:15" ht="60" customHeight="1">
      <c r="A380" s="30"/>
      <c r="B380" s="32"/>
      <c r="C380" s="49" t="s">
        <v>70</v>
      </c>
      <c r="D380" s="50"/>
      <c r="E380" s="51"/>
      <c r="F380" s="52">
        <v>10.005608108108101</v>
      </c>
      <c r="G380" s="53"/>
      <c r="H380" s="54" t="s">
        <v>71</v>
      </c>
      <c r="I380" s="55"/>
      <c r="J380" s="56">
        <v>59200</v>
      </c>
      <c r="K380" s="119"/>
      <c r="L380" s="57"/>
      <c r="M380" s="56">
        <v>0</v>
      </c>
      <c r="N380" s="57"/>
      <c r="O380" s="7">
        <f>F380*J380</f>
        <v>592331.99999999953</v>
      </c>
    </row>
    <row r="381" spans="1:15" ht="61.05" customHeight="1">
      <c r="A381" s="30"/>
      <c r="B381" s="32"/>
      <c r="C381" s="49" t="s">
        <v>169</v>
      </c>
      <c r="D381" s="50"/>
      <c r="E381" s="51"/>
      <c r="F381" s="52">
        <v>5</v>
      </c>
      <c r="G381" s="53"/>
      <c r="H381" s="54" t="s">
        <v>71</v>
      </c>
      <c r="I381" s="55"/>
      <c r="J381" s="56">
        <v>293725</v>
      </c>
      <c r="K381" s="119"/>
      <c r="L381" s="57"/>
      <c r="M381" s="56">
        <v>0</v>
      </c>
      <c r="N381" s="57"/>
      <c r="O381" s="7">
        <f t="shared" ref="O381:O382" si="3">F381*J381</f>
        <v>1468625</v>
      </c>
    </row>
    <row r="382" spans="1:15" ht="60" customHeight="1">
      <c r="A382" s="30"/>
      <c r="B382" s="32"/>
      <c r="C382" s="49" t="s">
        <v>110</v>
      </c>
      <c r="D382" s="50"/>
      <c r="E382" s="51"/>
      <c r="F382" s="52">
        <v>10</v>
      </c>
      <c r="G382" s="53"/>
      <c r="H382" s="54" t="s">
        <v>75</v>
      </c>
      <c r="I382" s="55"/>
      <c r="J382" s="56">
        <v>163750</v>
      </c>
      <c r="K382" s="119"/>
      <c r="L382" s="57"/>
      <c r="M382" s="56">
        <v>0</v>
      </c>
      <c r="N382" s="57"/>
      <c r="O382" s="7">
        <f t="shared" si="3"/>
        <v>1637500</v>
      </c>
    </row>
    <row r="383" spans="1:15" ht="31.05" customHeight="1">
      <c r="A383" s="30" t="s">
        <v>78</v>
      </c>
      <c r="B383" s="32"/>
      <c r="C383" s="46" t="s">
        <v>79</v>
      </c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8"/>
      <c r="O383" s="8">
        <v>8872875</v>
      </c>
    </row>
    <row r="384" spans="1:15" ht="30" customHeight="1">
      <c r="A384" s="40"/>
      <c r="B384" s="42"/>
      <c r="C384" s="30" t="s">
        <v>68</v>
      </c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2"/>
      <c r="O384" s="8">
        <v>8872875</v>
      </c>
    </row>
    <row r="385" spans="1:15" ht="21" customHeight="1">
      <c r="A385" s="40"/>
      <c r="B385" s="42"/>
      <c r="C385" s="46" t="s">
        <v>69</v>
      </c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8"/>
      <c r="O385" s="8">
        <v>8872875</v>
      </c>
    </row>
    <row r="386" spans="1:15" ht="60" customHeight="1">
      <c r="A386" s="30"/>
      <c r="B386" s="32"/>
      <c r="C386" s="49" t="s">
        <v>82</v>
      </c>
      <c r="D386" s="50"/>
      <c r="E386" s="51"/>
      <c r="F386" s="52">
        <v>55</v>
      </c>
      <c r="G386" s="53"/>
      <c r="H386" s="54" t="s">
        <v>81</v>
      </c>
      <c r="I386" s="55"/>
      <c r="J386" s="56">
        <v>87875</v>
      </c>
      <c r="K386" s="119"/>
      <c r="L386" s="57"/>
      <c r="M386" s="56">
        <v>0</v>
      </c>
      <c r="N386" s="57"/>
      <c r="O386" s="7">
        <v>4833125</v>
      </c>
    </row>
    <row r="387" spans="1:15" ht="60" customHeight="1">
      <c r="A387" s="30"/>
      <c r="B387" s="32"/>
      <c r="C387" s="49" t="s">
        <v>80</v>
      </c>
      <c r="D387" s="50"/>
      <c r="E387" s="51"/>
      <c r="F387" s="52">
        <v>55</v>
      </c>
      <c r="G387" s="53"/>
      <c r="H387" s="54" t="s">
        <v>81</v>
      </c>
      <c r="I387" s="55"/>
      <c r="J387" s="56">
        <v>73450</v>
      </c>
      <c r="K387" s="119"/>
      <c r="L387" s="57"/>
      <c r="M387" s="56">
        <v>0</v>
      </c>
      <c r="N387" s="57"/>
      <c r="O387" s="7">
        <v>4039750</v>
      </c>
    </row>
    <row r="388" spans="1:15" ht="31.05" customHeight="1">
      <c r="A388" s="30" t="s">
        <v>170</v>
      </c>
      <c r="B388" s="32"/>
      <c r="C388" s="46" t="s">
        <v>171</v>
      </c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8"/>
      <c r="O388" s="8">
        <v>3029000</v>
      </c>
    </row>
    <row r="389" spans="1:15" ht="31.05" customHeight="1">
      <c r="A389" s="40"/>
      <c r="B389" s="42"/>
      <c r="C389" s="30" t="s">
        <v>68</v>
      </c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2"/>
      <c r="O389" s="8">
        <v>3029000</v>
      </c>
    </row>
    <row r="390" spans="1:15" ht="19.95" customHeight="1">
      <c r="A390" s="40"/>
      <c r="B390" s="42"/>
      <c r="C390" s="46" t="s">
        <v>172</v>
      </c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8"/>
      <c r="O390" s="8">
        <v>3029000</v>
      </c>
    </row>
    <row r="391" spans="1:15" ht="61.05" customHeight="1">
      <c r="A391" s="30"/>
      <c r="B391" s="32"/>
      <c r="C391" s="49" t="s">
        <v>173</v>
      </c>
      <c r="D391" s="50"/>
      <c r="E391" s="51"/>
      <c r="F391" s="52">
        <v>55</v>
      </c>
      <c r="G391" s="53"/>
      <c r="H391" s="54" t="s">
        <v>174</v>
      </c>
      <c r="I391" s="55"/>
      <c r="J391" s="56">
        <v>30800</v>
      </c>
      <c r="K391" s="119"/>
      <c r="L391" s="57"/>
      <c r="M391" s="56">
        <v>0</v>
      </c>
      <c r="N391" s="57"/>
      <c r="O391" s="7">
        <v>1694000</v>
      </c>
    </row>
    <row r="392" spans="1:15" ht="60" customHeight="1">
      <c r="A392" s="30"/>
      <c r="B392" s="32"/>
      <c r="C392" s="49" t="s">
        <v>175</v>
      </c>
      <c r="D392" s="50"/>
      <c r="E392" s="51"/>
      <c r="F392" s="52">
        <v>20</v>
      </c>
      <c r="G392" s="53"/>
      <c r="H392" s="54" t="s">
        <v>73</v>
      </c>
      <c r="I392" s="55"/>
      <c r="J392" s="56">
        <v>66750</v>
      </c>
      <c r="K392" s="119"/>
      <c r="L392" s="57"/>
      <c r="M392" s="56">
        <v>0</v>
      </c>
      <c r="N392" s="57"/>
      <c r="O392" s="7">
        <v>1335000</v>
      </c>
    </row>
    <row r="393" spans="1:15" ht="31.05" customHeight="1">
      <c r="A393" s="30" t="s">
        <v>121</v>
      </c>
      <c r="B393" s="32"/>
      <c r="C393" s="46" t="s">
        <v>122</v>
      </c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8"/>
      <c r="O393" s="8">
        <v>3000000</v>
      </c>
    </row>
    <row r="394" spans="1:15" ht="30" customHeight="1">
      <c r="A394" s="40"/>
      <c r="B394" s="42"/>
      <c r="C394" s="30" t="s">
        <v>68</v>
      </c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2"/>
      <c r="O394" s="8">
        <v>3000000</v>
      </c>
    </row>
    <row r="395" spans="1:15" ht="21" customHeight="1">
      <c r="A395" s="40"/>
      <c r="B395" s="42"/>
      <c r="C395" s="46" t="s">
        <v>69</v>
      </c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8"/>
      <c r="O395" s="8">
        <v>3000000</v>
      </c>
    </row>
    <row r="396" spans="1:15" ht="60" customHeight="1">
      <c r="A396" s="30"/>
      <c r="B396" s="32"/>
      <c r="C396" s="49" t="s">
        <v>124</v>
      </c>
      <c r="D396" s="50"/>
      <c r="E396" s="51"/>
      <c r="F396" s="52">
        <v>300</v>
      </c>
      <c r="G396" s="53"/>
      <c r="H396" s="54" t="s">
        <v>73</v>
      </c>
      <c r="I396" s="55"/>
      <c r="J396" s="56">
        <v>10000</v>
      </c>
      <c r="K396" s="119"/>
      <c r="L396" s="57"/>
      <c r="M396" s="56">
        <v>0</v>
      </c>
      <c r="N396" s="57"/>
      <c r="O396" s="7">
        <v>3000000</v>
      </c>
    </row>
    <row r="397" spans="1:15" ht="31.05" customHeight="1">
      <c r="A397" s="30" t="s">
        <v>83</v>
      </c>
      <c r="B397" s="32"/>
      <c r="C397" s="46" t="s">
        <v>84</v>
      </c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8"/>
      <c r="O397" s="8">
        <v>10890000</v>
      </c>
    </row>
    <row r="398" spans="1:15" ht="30" customHeight="1">
      <c r="A398" s="40"/>
      <c r="B398" s="42"/>
      <c r="C398" s="30" t="s">
        <v>85</v>
      </c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2"/>
      <c r="O398" s="8">
        <v>10890000</v>
      </c>
    </row>
    <row r="399" spans="1:15" ht="21" customHeight="1">
      <c r="A399" s="40"/>
      <c r="B399" s="42"/>
      <c r="C399" s="46" t="s">
        <v>69</v>
      </c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8"/>
      <c r="O399" s="8">
        <v>10890000</v>
      </c>
    </row>
    <row r="400" spans="1:15" ht="70.95" customHeight="1">
      <c r="A400" s="30"/>
      <c r="B400" s="32"/>
      <c r="C400" s="49" t="s">
        <v>86</v>
      </c>
      <c r="D400" s="50"/>
      <c r="E400" s="51"/>
      <c r="F400" s="52">
        <v>220</v>
      </c>
      <c r="G400" s="53"/>
      <c r="H400" s="54" t="s">
        <v>87</v>
      </c>
      <c r="I400" s="55"/>
      <c r="J400" s="56">
        <v>33000</v>
      </c>
      <c r="K400" s="119"/>
      <c r="L400" s="57"/>
      <c r="M400" s="56">
        <v>0</v>
      </c>
      <c r="N400" s="57"/>
      <c r="O400" s="7">
        <v>7260000</v>
      </c>
    </row>
    <row r="401" spans="1:15" ht="70.05" customHeight="1">
      <c r="A401" s="30"/>
      <c r="B401" s="32"/>
      <c r="C401" s="49" t="s">
        <v>88</v>
      </c>
      <c r="D401" s="50"/>
      <c r="E401" s="51"/>
      <c r="F401" s="52">
        <v>220</v>
      </c>
      <c r="G401" s="53"/>
      <c r="H401" s="54" t="s">
        <v>87</v>
      </c>
      <c r="I401" s="55"/>
      <c r="J401" s="56">
        <v>16500</v>
      </c>
      <c r="K401" s="119"/>
      <c r="L401" s="57"/>
      <c r="M401" s="56">
        <v>0</v>
      </c>
      <c r="N401" s="57"/>
      <c r="O401" s="7">
        <v>3630000</v>
      </c>
    </row>
    <row r="402" spans="1:15" ht="21" customHeight="1">
      <c r="A402" s="46" t="s">
        <v>138</v>
      </c>
      <c r="B402" s="48"/>
      <c r="C402" s="46" t="s">
        <v>139</v>
      </c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8"/>
      <c r="O402" s="8">
        <v>2470668</v>
      </c>
    </row>
    <row r="403" spans="1:15" ht="19.95" customHeight="1">
      <c r="A403" s="46" t="s">
        <v>148</v>
      </c>
      <c r="B403" s="48"/>
      <c r="C403" s="46" t="s">
        <v>149</v>
      </c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8"/>
      <c r="O403" s="8">
        <v>2470668</v>
      </c>
    </row>
    <row r="404" spans="1:15" ht="30.75" customHeight="1">
      <c r="A404" s="30" t="s">
        <v>150</v>
      </c>
      <c r="B404" s="32"/>
      <c r="C404" s="46" t="s">
        <v>151</v>
      </c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8"/>
      <c r="O404" s="8">
        <v>2341068</v>
      </c>
    </row>
    <row r="405" spans="1:15" ht="37.950000000000003" customHeight="1">
      <c r="A405" s="87" t="s">
        <v>49</v>
      </c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9"/>
    </row>
    <row r="406" spans="1:15" ht="19.95" customHeight="1">
      <c r="A406" s="61" t="s">
        <v>50</v>
      </c>
      <c r="B406" s="62"/>
      <c r="C406" s="65" t="s">
        <v>51</v>
      </c>
      <c r="D406" s="66"/>
      <c r="E406" s="67"/>
      <c r="F406" s="71" t="s">
        <v>52</v>
      </c>
      <c r="G406" s="72"/>
      <c r="H406" s="72"/>
      <c r="I406" s="72"/>
      <c r="J406" s="72"/>
      <c r="K406" s="72"/>
      <c r="L406" s="72"/>
      <c r="M406" s="72"/>
      <c r="N406" s="73"/>
      <c r="O406" s="74" t="s">
        <v>53</v>
      </c>
    </row>
    <row r="407" spans="1:15" ht="21" customHeight="1">
      <c r="A407" s="63"/>
      <c r="B407" s="64"/>
      <c r="C407" s="68"/>
      <c r="D407" s="69"/>
      <c r="E407" s="70"/>
      <c r="F407" s="76" t="s">
        <v>54</v>
      </c>
      <c r="G407" s="77"/>
      <c r="H407" s="71" t="s">
        <v>55</v>
      </c>
      <c r="I407" s="73"/>
      <c r="J407" s="94" t="s">
        <v>56</v>
      </c>
      <c r="K407" s="95"/>
      <c r="L407" s="96"/>
      <c r="M407" s="80" t="s">
        <v>57</v>
      </c>
      <c r="N407" s="82"/>
      <c r="O407" s="75"/>
    </row>
    <row r="408" spans="1:15" ht="30" customHeight="1">
      <c r="A408" s="40"/>
      <c r="B408" s="42"/>
      <c r="C408" s="30" t="s">
        <v>152</v>
      </c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2"/>
      <c r="O408" s="8">
        <v>2341068</v>
      </c>
    </row>
    <row r="409" spans="1:15" ht="21" customHeight="1">
      <c r="A409" s="40"/>
      <c r="B409" s="42"/>
      <c r="C409" s="46" t="s">
        <v>69</v>
      </c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8"/>
      <c r="O409" s="8">
        <v>2341068</v>
      </c>
    </row>
    <row r="410" spans="1:15" ht="70.95" customHeight="1">
      <c r="A410" s="30"/>
      <c r="B410" s="32"/>
      <c r="C410" s="49" t="s">
        <v>153</v>
      </c>
      <c r="D410" s="50"/>
      <c r="E410" s="51"/>
      <c r="F410" s="54" t="s">
        <v>146</v>
      </c>
      <c r="G410" s="55"/>
      <c r="H410" s="54" t="s">
        <v>154</v>
      </c>
      <c r="I410" s="55"/>
      <c r="J410" s="56">
        <v>195089</v>
      </c>
      <c r="K410" s="119"/>
      <c r="L410" s="57"/>
      <c r="M410" s="56">
        <v>0</v>
      </c>
      <c r="N410" s="57"/>
      <c r="O410" s="7">
        <v>2341068</v>
      </c>
    </row>
    <row r="411" spans="1:15" ht="30" customHeight="1">
      <c r="A411" s="30" t="s">
        <v>155</v>
      </c>
      <c r="B411" s="32"/>
      <c r="C411" s="46" t="s">
        <v>156</v>
      </c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8"/>
      <c r="O411" s="8">
        <v>57600</v>
      </c>
    </row>
    <row r="412" spans="1:15" ht="31.05" customHeight="1">
      <c r="A412" s="40"/>
      <c r="B412" s="42"/>
      <c r="C412" s="30" t="s">
        <v>152</v>
      </c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2"/>
      <c r="O412" s="8">
        <v>57600</v>
      </c>
    </row>
    <row r="413" spans="1:15" ht="19.95" customHeight="1">
      <c r="A413" s="40"/>
      <c r="B413" s="42"/>
      <c r="C413" s="46" t="s">
        <v>69</v>
      </c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8"/>
      <c r="O413" s="8">
        <v>57600</v>
      </c>
    </row>
    <row r="414" spans="1:15" ht="70.95" customHeight="1">
      <c r="A414" s="30"/>
      <c r="B414" s="32"/>
      <c r="C414" s="49" t="s">
        <v>157</v>
      </c>
      <c r="D414" s="50"/>
      <c r="E414" s="51"/>
      <c r="F414" s="54" t="s">
        <v>146</v>
      </c>
      <c r="G414" s="55"/>
      <c r="H414" s="54" t="s">
        <v>154</v>
      </c>
      <c r="I414" s="55"/>
      <c r="J414" s="56">
        <v>4800</v>
      </c>
      <c r="K414" s="119"/>
      <c r="L414" s="57"/>
      <c r="M414" s="56">
        <v>0</v>
      </c>
      <c r="N414" s="57"/>
      <c r="O414" s="7">
        <v>57600</v>
      </c>
    </row>
    <row r="415" spans="1:15" ht="31.05" customHeight="1">
      <c r="A415" s="30" t="s">
        <v>158</v>
      </c>
      <c r="B415" s="32"/>
      <c r="C415" s="46" t="s">
        <v>159</v>
      </c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8"/>
      <c r="O415" s="8">
        <v>72000</v>
      </c>
    </row>
    <row r="416" spans="1:15" ht="30" customHeight="1">
      <c r="A416" s="40"/>
      <c r="B416" s="42"/>
      <c r="C416" s="30" t="s">
        <v>152</v>
      </c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2"/>
      <c r="O416" s="8">
        <v>72000</v>
      </c>
    </row>
    <row r="417" spans="1:15" ht="21" customHeight="1">
      <c r="A417" s="40"/>
      <c r="B417" s="42"/>
      <c r="C417" s="46" t="s">
        <v>69</v>
      </c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8"/>
      <c r="O417" s="8">
        <v>72000</v>
      </c>
    </row>
    <row r="418" spans="1:15" ht="70.95" customHeight="1">
      <c r="A418" s="30"/>
      <c r="B418" s="32"/>
      <c r="C418" s="49" t="s">
        <v>160</v>
      </c>
      <c r="D418" s="50"/>
      <c r="E418" s="51"/>
      <c r="F418" s="54" t="s">
        <v>146</v>
      </c>
      <c r="G418" s="55"/>
      <c r="H418" s="54" t="s">
        <v>154</v>
      </c>
      <c r="I418" s="55"/>
      <c r="J418" s="56">
        <v>6000</v>
      </c>
      <c r="K418" s="119"/>
      <c r="L418" s="57"/>
      <c r="M418" s="56">
        <v>0</v>
      </c>
      <c r="N418" s="57"/>
      <c r="O418" s="7">
        <v>72000</v>
      </c>
    </row>
    <row r="419" spans="1:15" ht="19.95" customHeight="1">
      <c r="A419" s="46" t="s">
        <v>176</v>
      </c>
      <c r="B419" s="48"/>
      <c r="C419" s="46" t="s">
        <v>177</v>
      </c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8"/>
      <c r="O419" s="8">
        <v>31700000</v>
      </c>
    </row>
    <row r="420" spans="1:15" ht="19.95" customHeight="1">
      <c r="A420" s="46" t="s">
        <v>178</v>
      </c>
      <c r="B420" s="48"/>
      <c r="C420" s="46" t="s">
        <v>179</v>
      </c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8"/>
      <c r="O420" s="8">
        <v>31700000</v>
      </c>
    </row>
    <row r="421" spans="1:15" ht="31.05" customHeight="1">
      <c r="A421" s="30" t="s">
        <v>180</v>
      </c>
      <c r="B421" s="32"/>
      <c r="C421" s="46" t="s">
        <v>181</v>
      </c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8"/>
      <c r="O421" s="8">
        <v>31700000</v>
      </c>
    </row>
    <row r="422" spans="1:15" ht="31.05" customHeight="1">
      <c r="A422" s="40"/>
      <c r="B422" s="42"/>
      <c r="C422" s="30" t="s">
        <v>182</v>
      </c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2"/>
      <c r="O422" s="8">
        <v>31700000</v>
      </c>
    </row>
    <row r="423" spans="1:15" ht="19.95" customHeight="1">
      <c r="A423" s="40"/>
      <c r="B423" s="42"/>
      <c r="C423" s="46" t="s">
        <v>183</v>
      </c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8"/>
      <c r="O423" s="8">
        <v>6200000</v>
      </c>
    </row>
    <row r="424" spans="1:15" ht="81" customHeight="1">
      <c r="A424" s="30"/>
      <c r="B424" s="32"/>
      <c r="C424" s="49" t="s">
        <v>184</v>
      </c>
      <c r="D424" s="50"/>
      <c r="E424" s="51"/>
      <c r="F424" s="52">
        <v>1</v>
      </c>
      <c r="G424" s="53"/>
      <c r="H424" s="54" t="s">
        <v>185</v>
      </c>
      <c r="I424" s="55"/>
      <c r="J424" s="56">
        <v>180000</v>
      </c>
      <c r="K424" s="119"/>
      <c r="L424" s="57"/>
      <c r="M424" s="56">
        <v>0</v>
      </c>
      <c r="N424" s="57"/>
      <c r="O424" s="7">
        <v>180000</v>
      </c>
    </row>
    <row r="425" spans="1:15" ht="81" customHeight="1">
      <c r="A425" s="30"/>
      <c r="B425" s="32"/>
      <c r="C425" s="49" t="s">
        <v>186</v>
      </c>
      <c r="D425" s="50"/>
      <c r="E425" s="51"/>
      <c r="F425" s="52">
        <v>1</v>
      </c>
      <c r="G425" s="53"/>
      <c r="H425" s="54" t="s">
        <v>185</v>
      </c>
      <c r="I425" s="55"/>
      <c r="J425" s="56">
        <v>245000</v>
      </c>
      <c r="K425" s="119"/>
      <c r="L425" s="57"/>
      <c r="M425" s="56">
        <v>0</v>
      </c>
      <c r="N425" s="57"/>
      <c r="O425" s="7">
        <v>245000</v>
      </c>
    </row>
    <row r="426" spans="1:15" ht="81" customHeight="1">
      <c r="A426" s="30"/>
      <c r="B426" s="32"/>
      <c r="C426" s="49" t="s">
        <v>187</v>
      </c>
      <c r="D426" s="50"/>
      <c r="E426" s="51"/>
      <c r="F426" s="52">
        <v>1</v>
      </c>
      <c r="G426" s="53"/>
      <c r="H426" s="54" t="s">
        <v>185</v>
      </c>
      <c r="I426" s="55"/>
      <c r="J426" s="56">
        <v>130000</v>
      </c>
      <c r="K426" s="119"/>
      <c r="L426" s="57"/>
      <c r="M426" s="56">
        <v>0</v>
      </c>
      <c r="N426" s="57"/>
      <c r="O426" s="7">
        <v>130000</v>
      </c>
    </row>
    <row r="427" spans="1:15" ht="81" customHeight="1">
      <c r="A427" s="30"/>
      <c r="B427" s="32"/>
      <c r="C427" s="49" t="s">
        <v>188</v>
      </c>
      <c r="D427" s="50"/>
      <c r="E427" s="51"/>
      <c r="F427" s="52">
        <v>1</v>
      </c>
      <c r="G427" s="53"/>
      <c r="H427" s="54" t="s">
        <v>185</v>
      </c>
      <c r="I427" s="55"/>
      <c r="J427" s="56">
        <v>165000</v>
      </c>
      <c r="K427" s="119"/>
      <c r="L427" s="57"/>
      <c r="M427" s="56">
        <v>0</v>
      </c>
      <c r="N427" s="57"/>
      <c r="O427" s="7">
        <v>165000</v>
      </c>
    </row>
    <row r="428" spans="1:15" ht="81.3" customHeight="1">
      <c r="A428" s="30"/>
      <c r="B428" s="32"/>
      <c r="C428" s="49" t="s">
        <v>189</v>
      </c>
      <c r="D428" s="50"/>
      <c r="E428" s="51"/>
      <c r="F428" s="52">
        <v>1</v>
      </c>
      <c r="G428" s="53"/>
      <c r="H428" s="54" t="s">
        <v>185</v>
      </c>
      <c r="I428" s="55"/>
      <c r="J428" s="56">
        <v>140000</v>
      </c>
      <c r="K428" s="119"/>
      <c r="L428" s="57"/>
      <c r="M428" s="56">
        <v>0</v>
      </c>
      <c r="N428" s="57"/>
      <c r="O428" s="7">
        <v>140000</v>
      </c>
    </row>
    <row r="429" spans="1:15" ht="37.950000000000003" customHeight="1">
      <c r="A429" s="87" t="s">
        <v>49</v>
      </c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9"/>
    </row>
    <row r="430" spans="1:15" ht="19.95" customHeight="1">
      <c r="A430" s="61" t="s">
        <v>50</v>
      </c>
      <c r="B430" s="62"/>
      <c r="C430" s="65" t="s">
        <v>51</v>
      </c>
      <c r="D430" s="66"/>
      <c r="E430" s="67"/>
      <c r="F430" s="71" t="s">
        <v>52</v>
      </c>
      <c r="G430" s="72"/>
      <c r="H430" s="72"/>
      <c r="I430" s="72"/>
      <c r="J430" s="72"/>
      <c r="K430" s="72"/>
      <c r="L430" s="72"/>
      <c r="M430" s="72"/>
      <c r="N430" s="73"/>
      <c r="O430" s="74" t="s">
        <v>53</v>
      </c>
    </row>
    <row r="431" spans="1:15" ht="21" customHeight="1">
      <c r="A431" s="63"/>
      <c r="B431" s="64"/>
      <c r="C431" s="68"/>
      <c r="D431" s="69"/>
      <c r="E431" s="70"/>
      <c r="F431" s="76" t="s">
        <v>54</v>
      </c>
      <c r="G431" s="77"/>
      <c r="H431" s="71" t="s">
        <v>55</v>
      </c>
      <c r="I431" s="73"/>
      <c r="J431" s="94" t="s">
        <v>56</v>
      </c>
      <c r="K431" s="95"/>
      <c r="L431" s="96"/>
      <c r="M431" s="80" t="s">
        <v>57</v>
      </c>
      <c r="N431" s="82"/>
      <c r="O431" s="75"/>
    </row>
    <row r="432" spans="1:15" ht="81" customHeight="1">
      <c r="A432" s="30"/>
      <c r="B432" s="32"/>
      <c r="C432" s="49" t="s">
        <v>190</v>
      </c>
      <c r="D432" s="50"/>
      <c r="E432" s="51"/>
      <c r="F432" s="52">
        <v>1</v>
      </c>
      <c r="G432" s="53"/>
      <c r="H432" s="54" t="s">
        <v>185</v>
      </c>
      <c r="I432" s="55"/>
      <c r="J432" s="56">
        <v>210000</v>
      </c>
      <c r="K432" s="119"/>
      <c r="L432" s="57"/>
      <c r="M432" s="56">
        <v>0</v>
      </c>
      <c r="N432" s="57"/>
      <c r="O432" s="7">
        <v>210000</v>
      </c>
    </row>
    <row r="433" spans="1:15" ht="81" customHeight="1">
      <c r="A433" s="30"/>
      <c r="B433" s="32"/>
      <c r="C433" s="49" t="s">
        <v>191</v>
      </c>
      <c r="D433" s="50"/>
      <c r="E433" s="51"/>
      <c r="F433" s="52">
        <v>1</v>
      </c>
      <c r="G433" s="53"/>
      <c r="H433" s="54" t="s">
        <v>185</v>
      </c>
      <c r="I433" s="55"/>
      <c r="J433" s="56">
        <v>120000</v>
      </c>
      <c r="K433" s="119"/>
      <c r="L433" s="57"/>
      <c r="M433" s="56">
        <v>0</v>
      </c>
      <c r="N433" s="57"/>
      <c r="O433" s="7">
        <v>120000</v>
      </c>
    </row>
    <row r="434" spans="1:15" ht="81" customHeight="1">
      <c r="A434" s="30"/>
      <c r="B434" s="32"/>
      <c r="C434" s="49" t="s">
        <v>192</v>
      </c>
      <c r="D434" s="50"/>
      <c r="E434" s="51"/>
      <c r="F434" s="52">
        <v>1</v>
      </c>
      <c r="G434" s="53"/>
      <c r="H434" s="54" t="s">
        <v>185</v>
      </c>
      <c r="I434" s="55"/>
      <c r="J434" s="56">
        <v>220000</v>
      </c>
      <c r="K434" s="119"/>
      <c r="L434" s="57"/>
      <c r="M434" s="56">
        <v>0</v>
      </c>
      <c r="N434" s="57"/>
      <c r="O434" s="7">
        <v>220000</v>
      </c>
    </row>
    <row r="435" spans="1:15" ht="81" customHeight="1">
      <c r="A435" s="30"/>
      <c r="B435" s="32"/>
      <c r="C435" s="49" t="s">
        <v>193</v>
      </c>
      <c r="D435" s="50"/>
      <c r="E435" s="51"/>
      <c r="F435" s="52">
        <v>1</v>
      </c>
      <c r="G435" s="53"/>
      <c r="H435" s="54" t="s">
        <v>185</v>
      </c>
      <c r="I435" s="55"/>
      <c r="J435" s="56">
        <v>140000</v>
      </c>
      <c r="K435" s="119"/>
      <c r="L435" s="57"/>
      <c r="M435" s="56">
        <v>0</v>
      </c>
      <c r="N435" s="57"/>
      <c r="O435" s="7">
        <v>140000</v>
      </c>
    </row>
    <row r="436" spans="1:15" ht="81" customHeight="1">
      <c r="A436" s="30"/>
      <c r="B436" s="32"/>
      <c r="C436" s="49" t="s">
        <v>194</v>
      </c>
      <c r="D436" s="50"/>
      <c r="E436" s="51"/>
      <c r="F436" s="52">
        <v>1</v>
      </c>
      <c r="G436" s="53"/>
      <c r="H436" s="54" t="s">
        <v>185</v>
      </c>
      <c r="I436" s="55"/>
      <c r="J436" s="56">
        <v>185000</v>
      </c>
      <c r="K436" s="119"/>
      <c r="L436" s="57"/>
      <c r="M436" s="56">
        <v>0</v>
      </c>
      <c r="N436" s="57"/>
      <c r="O436" s="7">
        <v>185000</v>
      </c>
    </row>
    <row r="437" spans="1:15" ht="81" customHeight="1">
      <c r="A437" s="30"/>
      <c r="B437" s="32"/>
      <c r="C437" s="49" t="s">
        <v>195</v>
      </c>
      <c r="D437" s="50"/>
      <c r="E437" s="51"/>
      <c r="F437" s="52">
        <v>1</v>
      </c>
      <c r="G437" s="53"/>
      <c r="H437" s="54" t="s">
        <v>185</v>
      </c>
      <c r="I437" s="55"/>
      <c r="J437" s="56">
        <v>210000</v>
      </c>
      <c r="K437" s="119"/>
      <c r="L437" s="57"/>
      <c r="M437" s="56">
        <v>0</v>
      </c>
      <c r="N437" s="57"/>
      <c r="O437" s="7">
        <v>210000</v>
      </c>
    </row>
    <row r="438" spans="1:15" ht="81" customHeight="1">
      <c r="A438" s="30"/>
      <c r="B438" s="32"/>
      <c r="C438" s="49" t="s">
        <v>196</v>
      </c>
      <c r="D438" s="50"/>
      <c r="E438" s="51"/>
      <c r="F438" s="52">
        <v>1</v>
      </c>
      <c r="G438" s="53"/>
      <c r="H438" s="54" t="s">
        <v>185</v>
      </c>
      <c r="I438" s="55"/>
      <c r="J438" s="56">
        <v>145000</v>
      </c>
      <c r="K438" s="119"/>
      <c r="L438" s="57"/>
      <c r="M438" s="56">
        <v>0</v>
      </c>
      <c r="N438" s="57"/>
      <c r="O438" s="7">
        <v>145000</v>
      </c>
    </row>
    <row r="439" spans="1:15" ht="81" customHeight="1">
      <c r="A439" s="30"/>
      <c r="B439" s="32"/>
      <c r="C439" s="49" t="s">
        <v>197</v>
      </c>
      <c r="D439" s="50"/>
      <c r="E439" s="51"/>
      <c r="F439" s="52">
        <v>1</v>
      </c>
      <c r="G439" s="53"/>
      <c r="H439" s="54" t="s">
        <v>185</v>
      </c>
      <c r="I439" s="55"/>
      <c r="J439" s="56">
        <v>165000</v>
      </c>
      <c r="K439" s="119"/>
      <c r="L439" s="57"/>
      <c r="M439" s="56">
        <v>0</v>
      </c>
      <c r="N439" s="57"/>
      <c r="O439" s="7">
        <v>165000</v>
      </c>
    </row>
    <row r="440" spans="1:15" ht="82.05" customHeight="1">
      <c r="A440" s="30"/>
      <c r="B440" s="32"/>
      <c r="C440" s="49" t="s">
        <v>198</v>
      </c>
      <c r="D440" s="50"/>
      <c r="E440" s="51"/>
      <c r="F440" s="52">
        <v>1</v>
      </c>
      <c r="G440" s="53"/>
      <c r="H440" s="54" t="s">
        <v>185</v>
      </c>
      <c r="I440" s="55"/>
      <c r="J440" s="56">
        <v>135000</v>
      </c>
      <c r="K440" s="119"/>
      <c r="L440" s="57"/>
      <c r="M440" s="56">
        <v>0</v>
      </c>
      <c r="N440" s="57"/>
      <c r="O440" s="7">
        <v>135000</v>
      </c>
    </row>
    <row r="441" spans="1:15" ht="81" customHeight="1">
      <c r="A441" s="30"/>
      <c r="B441" s="32"/>
      <c r="C441" s="49" t="s">
        <v>199</v>
      </c>
      <c r="D441" s="50"/>
      <c r="E441" s="51"/>
      <c r="F441" s="52">
        <v>1</v>
      </c>
      <c r="G441" s="53"/>
      <c r="H441" s="54" t="s">
        <v>185</v>
      </c>
      <c r="I441" s="55"/>
      <c r="J441" s="56">
        <v>90000</v>
      </c>
      <c r="K441" s="119"/>
      <c r="L441" s="57"/>
      <c r="M441" s="56">
        <v>0</v>
      </c>
      <c r="N441" s="57"/>
      <c r="O441" s="7">
        <v>90000</v>
      </c>
    </row>
    <row r="442" spans="1:15" ht="81" customHeight="1">
      <c r="A442" s="30"/>
      <c r="B442" s="32"/>
      <c r="C442" s="49" t="s">
        <v>200</v>
      </c>
      <c r="D442" s="50"/>
      <c r="E442" s="51"/>
      <c r="F442" s="52">
        <v>1</v>
      </c>
      <c r="G442" s="53"/>
      <c r="H442" s="54" t="s">
        <v>185</v>
      </c>
      <c r="I442" s="55"/>
      <c r="J442" s="56">
        <v>185000</v>
      </c>
      <c r="K442" s="119"/>
      <c r="L442" s="57"/>
      <c r="M442" s="56">
        <v>0</v>
      </c>
      <c r="N442" s="57"/>
      <c r="O442" s="7">
        <v>185000</v>
      </c>
    </row>
    <row r="443" spans="1:15" ht="80.7" customHeight="1">
      <c r="A443" s="30"/>
      <c r="B443" s="32"/>
      <c r="C443" s="49" t="s">
        <v>201</v>
      </c>
      <c r="D443" s="50"/>
      <c r="E443" s="51"/>
      <c r="F443" s="52">
        <v>1</v>
      </c>
      <c r="G443" s="53"/>
      <c r="H443" s="54" t="s">
        <v>185</v>
      </c>
      <c r="I443" s="55"/>
      <c r="J443" s="56">
        <v>160000</v>
      </c>
      <c r="K443" s="119"/>
      <c r="L443" s="57"/>
      <c r="M443" s="56">
        <v>0</v>
      </c>
      <c r="N443" s="57"/>
      <c r="O443" s="7">
        <v>160000</v>
      </c>
    </row>
    <row r="444" spans="1:15" ht="37.950000000000003" customHeight="1">
      <c r="A444" s="87" t="s">
        <v>49</v>
      </c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9"/>
    </row>
    <row r="445" spans="1:15" ht="19.95" customHeight="1">
      <c r="A445" s="61" t="s">
        <v>50</v>
      </c>
      <c r="B445" s="62"/>
      <c r="C445" s="65" t="s">
        <v>51</v>
      </c>
      <c r="D445" s="66"/>
      <c r="E445" s="67"/>
      <c r="F445" s="71" t="s">
        <v>52</v>
      </c>
      <c r="G445" s="72"/>
      <c r="H445" s="72"/>
      <c r="I445" s="72"/>
      <c r="J445" s="72"/>
      <c r="K445" s="72"/>
      <c r="L445" s="72"/>
      <c r="M445" s="72"/>
      <c r="N445" s="73"/>
      <c r="O445" s="74" t="s">
        <v>53</v>
      </c>
    </row>
    <row r="446" spans="1:15" ht="21" customHeight="1">
      <c r="A446" s="63"/>
      <c r="B446" s="64"/>
      <c r="C446" s="68"/>
      <c r="D446" s="69"/>
      <c r="E446" s="70"/>
      <c r="F446" s="76" t="s">
        <v>54</v>
      </c>
      <c r="G446" s="77"/>
      <c r="H446" s="71" t="s">
        <v>55</v>
      </c>
      <c r="I446" s="73"/>
      <c r="J446" s="94" t="s">
        <v>56</v>
      </c>
      <c r="K446" s="95"/>
      <c r="L446" s="96"/>
      <c r="M446" s="80" t="s">
        <v>57</v>
      </c>
      <c r="N446" s="82"/>
      <c r="O446" s="75"/>
    </row>
    <row r="447" spans="1:15" ht="81" customHeight="1">
      <c r="A447" s="30"/>
      <c r="B447" s="32"/>
      <c r="C447" s="49" t="s">
        <v>202</v>
      </c>
      <c r="D447" s="50"/>
      <c r="E447" s="51"/>
      <c r="F447" s="52">
        <v>1</v>
      </c>
      <c r="G447" s="53"/>
      <c r="H447" s="54" t="s">
        <v>185</v>
      </c>
      <c r="I447" s="55"/>
      <c r="J447" s="56">
        <v>185000</v>
      </c>
      <c r="K447" s="119"/>
      <c r="L447" s="57"/>
      <c r="M447" s="56">
        <v>0</v>
      </c>
      <c r="N447" s="57"/>
      <c r="O447" s="7">
        <v>185000</v>
      </c>
    </row>
    <row r="448" spans="1:15" ht="81" customHeight="1">
      <c r="A448" s="30"/>
      <c r="B448" s="32"/>
      <c r="C448" s="49" t="s">
        <v>203</v>
      </c>
      <c r="D448" s="50"/>
      <c r="E448" s="51"/>
      <c r="F448" s="52">
        <v>1</v>
      </c>
      <c r="G448" s="53"/>
      <c r="H448" s="54" t="s">
        <v>185</v>
      </c>
      <c r="I448" s="55"/>
      <c r="J448" s="56">
        <v>160000</v>
      </c>
      <c r="K448" s="119"/>
      <c r="L448" s="57"/>
      <c r="M448" s="56">
        <v>0</v>
      </c>
      <c r="N448" s="57"/>
      <c r="O448" s="7">
        <v>160000</v>
      </c>
    </row>
    <row r="449" spans="1:15" ht="81" customHeight="1">
      <c r="A449" s="30"/>
      <c r="B449" s="32"/>
      <c r="C449" s="49" t="s">
        <v>204</v>
      </c>
      <c r="D449" s="50"/>
      <c r="E449" s="51"/>
      <c r="F449" s="52">
        <v>1</v>
      </c>
      <c r="G449" s="53"/>
      <c r="H449" s="54" t="s">
        <v>185</v>
      </c>
      <c r="I449" s="55"/>
      <c r="J449" s="56">
        <v>140000</v>
      </c>
      <c r="K449" s="119"/>
      <c r="L449" s="57"/>
      <c r="M449" s="56">
        <v>0</v>
      </c>
      <c r="N449" s="57"/>
      <c r="O449" s="7">
        <v>140000</v>
      </c>
    </row>
    <row r="450" spans="1:15" ht="81" customHeight="1">
      <c r="A450" s="30"/>
      <c r="B450" s="32"/>
      <c r="C450" s="49" t="s">
        <v>205</v>
      </c>
      <c r="D450" s="50"/>
      <c r="E450" s="51"/>
      <c r="F450" s="52">
        <v>1</v>
      </c>
      <c r="G450" s="53"/>
      <c r="H450" s="54" t="s">
        <v>185</v>
      </c>
      <c r="I450" s="55"/>
      <c r="J450" s="56">
        <v>125000</v>
      </c>
      <c r="K450" s="119"/>
      <c r="L450" s="57"/>
      <c r="M450" s="56">
        <v>0</v>
      </c>
      <c r="N450" s="57"/>
      <c r="O450" s="7">
        <v>125000</v>
      </c>
    </row>
    <row r="451" spans="1:15" ht="81" customHeight="1">
      <c r="A451" s="30"/>
      <c r="B451" s="32"/>
      <c r="C451" s="49" t="s">
        <v>206</v>
      </c>
      <c r="D451" s="50"/>
      <c r="E451" s="51"/>
      <c r="F451" s="52">
        <v>1</v>
      </c>
      <c r="G451" s="53"/>
      <c r="H451" s="54" t="s">
        <v>185</v>
      </c>
      <c r="I451" s="55"/>
      <c r="J451" s="56">
        <v>95000</v>
      </c>
      <c r="K451" s="119"/>
      <c r="L451" s="57"/>
      <c r="M451" s="56">
        <v>0</v>
      </c>
      <c r="N451" s="57"/>
      <c r="O451" s="7">
        <v>95000</v>
      </c>
    </row>
    <row r="452" spans="1:15" ht="81" customHeight="1">
      <c r="A452" s="30"/>
      <c r="B452" s="32"/>
      <c r="C452" s="49" t="s">
        <v>207</v>
      </c>
      <c r="D452" s="50"/>
      <c r="E452" s="51"/>
      <c r="F452" s="52">
        <v>1</v>
      </c>
      <c r="G452" s="53"/>
      <c r="H452" s="54" t="s">
        <v>185</v>
      </c>
      <c r="I452" s="55"/>
      <c r="J452" s="56">
        <v>135000</v>
      </c>
      <c r="K452" s="119"/>
      <c r="L452" s="57"/>
      <c r="M452" s="56">
        <v>0</v>
      </c>
      <c r="N452" s="57"/>
      <c r="O452" s="7">
        <v>135000</v>
      </c>
    </row>
    <row r="453" spans="1:15" ht="81" customHeight="1">
      <c r="A453" s="30"/>
      <c r="B453" s="32"/>
      <c r="C453" s="49" t="s">
        <v>208</v>
      </c>
      <c r="D453" s="50"/>
      <c r="E453" s="51"/>
      <c r="F453" s="52">
        <v>1</v>
      </c>
      <c r="G453" s="53"/>
      <c r="H453" s="54" t="s">
        <v>185</v>
      </c>
      <c r="I453" s="55"/>
      <c r="J453" s="56">
        <v>145000</v>
      </c>
      <c r="K453" s="119"/>
      <c r="L453" s="57"/>
      <c r="M453" s="56">
        <v>0</v>
      </c>
      <c r="N453" s="57"/>
      <c r="O453" s="7">
        <v>145000</v>
      </c>
    </row>
    <row r="454" spans="1:15" ht="81" customHeight="1">
      <c r="A454" s="30"/>
      <c r="B454" s="32"/>
      <c r="C454" s="49" t="s">
        <v>209</v>
      </c>
      <c r="D454" s="50"/>
      <c r="E454" s="51"/>
      <c r="F454" s="52">
        <v>1</v>
      </c>
      <c r="G454" s="53"/>
      <c r="H454" s="54" t="s">
        <v>185</v>
      </c>
      <c r="I454" s="55"/>
      <c r="J454" s="56">
        <v>115000</v>
      </c>
      <c r="K454" s="119"/>
      <c r="L454" s="57"/>
      <c r="M454" s="56">
        <v>0</v>
      </c>
      <c r="N454" s="57"/>
      <c r="O454" s="7">
        <v>115000</v>
      </c>
    </row>
    <row r="455" spans="1:15" ht="82.05" customHeight="1">
      <c r="A455" s="30"/>
      <c r="B455" s="32"/>
      <c r="C455" s="49" t="s">
        <v>210</v>
      </c>
      <c r="D455" s="50"/>
      <c r="E455" s="51"/>
      <c r="F455" s="52">
        <v>1</v>
      </c>
      <c r="G455" s="53"/>
      <c r="H455" s="54" t="s">
        <v>185</v>
      </c>
      <c r="I455" s="55"/>
      <c r="J455" s="56">
        <v>220000</v>
      </c>
      <c r="K455" s="119"/>
      <c r="L455" s="57"/>
      <c r="M455" s="56">
        <v>0</v>
      </c>
      <c r="N455" s="57"/>
      <c r="O455" s="7">
        <v>220000</v>
      </c>
    </row>
    <row r="456" spans="1:15" ht="81" customHeight="1">
      <c r="A456" s="30"/>
      <c r="B456" s="32"/>
      <c r="C456" s="49" t="s">
        <v>211</v>
      </c>
      <c r="D456" s="50"/>
      <c r="E456" s="51"/>
      <c r="F456" s="52">
        <v>1</v>
      </c>
      <c r="G456" s="53"/>
      <c r="H456" s="54" t="s">
        <v>185</v>
      </c>
      <c r="I456" s="55"/>
      <c r="J456" s="56">
        <v>160000</v>
      </c>
      <c r="K456" s="119"/>
      <c r="L456" s="57"/>
      <c r="M456" s="56">
        <v>0</v>
      </c>
      <c r="N456" s="57"/>
      <c r="O456" s="7">
        <v>160000</v>
      </c>
    </row>
    <row r="457" spans="1:15" ht="81" customHeight="1">
      <c r="A457" s="30"/>
      <c r="B457" s="32"/>
      <c r="C457" s="49" t="s">
        <v>212</v>
      </c>
      <c r="D457" s="50"/>
      <c r="E457" s="51"/>
      <c r="F457" s="52">
        <v>1</v>
      </c>
      <c r="G457" s="53"/>
      <c r="H457" s="54" t="s">
        <v>185</v>
      </c>
      <c r="I457" s="55"/>
      <c r="J457" s="56">
        <v>255000</v>
      </c>
      <c r="K457" s="119"/>
      <c r="L457" s="57"/>
      <c r="M457" s="56">
        <v>0</v>
      </c>
      <c r="N457" s="57"/>
      <c r="O457" s="7">
        <v>255000</v>
      </c>
    </row>
    <row r="458" spans="1:15" ht="80.7" customHeight="1">
      <c r="A458" s="30"/>
      <c r="B458" s="32"/>
      <c r="C458" s="49" t="s">
        <v>213</v>
      </c>
      <c r="D458" s="50"/>
      <c r="E458" s="51"/>
      <c r="F458" s="52">
        <v>1</v>
      </c>
      <c r="G458" s="53"/>
      <c r="H458" s="54" t="s">
        <v>185</v>
      </c>
      <c r="I458" s="55"/>
      <c r="J458" s="56">
        <v>210000</v>
      </c>
      <c r="K458" s="119"/>
      <c r="L458" s="57"/>
      <c r="M458" s="56">
        <v>0</v>
      </c>
      <c r="N458" s="57"/>
      <c r="O458" s="7">
        <v>210000</v>
      </c>
    </row>
    <row r="459" spans="1:15" ht="37.950000000000003" customHeight="1">
      <c r="A459" s="87" t="s">
        <v>49</v>
      </c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9"/>
    </row>
    <row r="460" spans="1:15" ht="19.95" customHeight="1">
      <c r="A460" s="61" t="s">
        <v>50</v>
      </c>
      <c r="B460" s="62"/>
      <c r="C460" s="65" t="s">
        <v>51</v>
      </c>
      <c r="D460" s="66"/>
      <c r="E460" s="67"/>
      <c r="F460" s="71" t="s">
        <v>52</v>
      </c>
      <c r="G460" s="72"/>
      <c r="H460" s="72"/>
      <c r="I460" s="72"/>
      <c r="J460" s="72"/>
      <c r="K460" s="72"/>
      <c r="L460" s="72"/>
      <c r="M460" s="72"/>
      <c r="N460" s="73"/>
      <c r="O460" s="74" t="s">
        <v>53</v>
      </c>
    </row>
    <row r="461" spans="1:15" ht="21" customHeight="1">
      <c r="A461" s="63"/>
      <c r="B461" s="64"/>
      <c r="C461" s="68"/>
      <c r="D461" s="69"/>
      <c r="E461" s="70"/>
      <c r="F461" s="76" t="s">
        <v>54</v>
      </c>
      <c r="G461" s="77"/>
      <c r="H461" s="71" t="s">
        <v>55</v>
      </c>
      <c r="I461" s="73"/>
      <c r="J461" s="94" t="s">
        <v>56</v>
      </c>
      <c r="K461" s="95"/>
      <c r="L461" s="96"/>
      <c r="M461" s="80" t="s">
        <v>57</v>
      </c>
      <c r="N461" s="82"/>
      <c r="O461" s="75"/>
    </row>
    <row r="462" spans="1:15" ht="81" customHeight="1">
      <c r="A462" s="30"/>
      <c r="B462" s="32"/>
      <c r="C462" s="49" t="s">
        <v>214</v>
      </c>
      <c r="D462" s="50"/>
      <c r="E462" s="51"/>
      <c r="F462" s="52">
        <v>1</v>
      </c>
      <c r="G462" s="53"/>
      <c r="H462" s="54" t="s">
        <v>185</v>
      </c>
      <c r="I462" s="55"/>
      <c r="J462" s="56">
        <v>125000</v>
      </c>
      <c r="K462" s="119"/>
      <c r="L462" s="57"/>
      <c r="M462" s="56">
        <v>0</v>
      </c>
      <c r="N462" s="57"/>
      <c r="O462" s="7">
        <v>125000</v>
      </c>
    </row>
    <row r="463" spans="1:15" ht="81" customHeight="1">
      <c r="A463" s="30"/>
      <c r="B463" s="32"/>
      <c r="C463" s="49" t="s">
        <v>215</v>
      </c>
      <c r="D463" s="50"/>
      <c r="E463" s="51"/>
      <c r="F463" s="52">
        <v>1</v>
      </c>
      <c r="G463" s="53"/>
      <c r="H463" s="54" t="s">
        <v>185</v>
      </c>
      <c r="I463" s="55"/>
      <c r="J463" s="56">
        <v>170000</v>
      </c>
      <c r="K463" s="119"/>
      <c r="L463" s="57"/>
      <c r="M463" s="56">
        <v>0</v>
      </c>
      <c r="N463" s="57"/>
      <c r="O463" s="7">
        <v>170000</v>
      </c>
    </row>
    <row r="464" spans="1:15" ht="81" customHeight="1">
      <c r="A464" s="30"/>
      <c r="B464" s="32"/>
      <c r="C464" s="49" t="s">
        <v>216</v>
      </c>
      <c r="D464" s="50"/>
      <c r="E464" s="51"/>
      <c r="F464" s="52">
        <v>1</v>
      </c>
      <c r="G464" s="53"/>
      <c r="H464" s="54" t="s">
        <v>185</v>
      </c>
      <c r="I464" s="55"/>
      <c r="J464" s="56">
        <v>255000</v>
      </c>
      <c r="K464" s="119"/>
      <c r="L464" s="57"/>
      <c r="M464" s="56">
        <v>0</v>
      </c>
      <c r="N464" s="57"/>
      <c r="O464" s="7">
        <v>255000</v>
      </c>
    </row>
    <row r="465" spans="1:15" ht="81" customHeight="1">
      <c r="A465" s="30"/>
      <c r="B465" s="32"/>
      <c r="C465" s="49" t="s">
        <v>217</v>
      </c>
      <c r="D465" s="50"/>
      <c r="E465" s="51"/>
      <c r="F465" s="52">
        <v>1</v>
      </c>
      <c r="G465" s="53"/>
      <c r="H465" s="54" t="s">
        <v>185</v>
      </c>
      <c r="I465" s="55"/>
      <c r="J465" s="56">
        <v>175000</v>
      </c>
      <c r="K465" s="119"/>
      <c r="L465" s="57"/>
      <c r="M465" s="56">
        <v>0</v>
      </c>
      <c r="N465" s="57"/>
      <c r="O465" s="7">
        <v>175000</v>
      </c>
    </row>
    <row r="466" spans="1:15" ht="81" customHeight="1">
      <c r="A466" s="30"/>
      <c r="B466" s="32"/>
      <c r="C466" s="49" t="s">
        <v>218</v>
      </c>
      <c r="D466" s="50"/>
      <c r="E466" s="51"/>
      <c r="F466" s="52">
        <v>1</v>
      </c>
      <c r="G466" s="53"/>
      <c r="H466" s="54" t="s">
        <v>185</v>
      </c>
      <c r="I466" s="55"/>
      <c r="J466" s="56">
        <v>120000</v>
      </c>
      <c r="K466" s="119"/>
      <c r="L466" s="57"/>
      <c r="M466" s="56">
        <v>0</v>
      </c>
      <c r="N466" s="57"/>
      <c r="O466" s="7">
        <v>120000</v>
      </c>
    </row>
    <row r="467" spans="1:15" ht="81" customHeight="1">
      <c r="A467" s="30"/>
      <c r="B467" s="32"/>
      <c r="C467" s="49" t="s">
        <v>219</v>
      </c>
      <c r="D467" s="50"/>
      <c r="E467" s="51"/>
      <c r="F467" s="52">
        <v>1</v>
      </c>
      <c r="G467" s="53"/>
      <c r="H467" s="54" t="s">
        <v>185</v>
      </c>
      <c r="I467" s="55"/>
      <c r="J467" s="56">
        <v>100000</v>
      </c>
      <c r="K467" s="119"/>
      <c r="L467" s="57"/>
      <c r="M467" s="56">
        <v>0</v>
      </c>
      <c r="N467" s="57"/>
      <c r="O467" s="7">
        <v>100000</v>
      </c>
    </row>
    <row r="468" spans="1:15" ht="81" customHeight="1">
      <c r="A468" s="30"/>
      <c r="B468" s="32"/>
      <c r="C468" s="49" t="s">
        <v>220</v>
      </c>
      <c r="D468" s="50"/>
      <c r="E468" s="51"/>
      <c r="F468" s="52">
        <v>1</v>
      </c>
      <c r="G468" s="53"/>
      <c r="H468" s="54" t="s">
        <v>185</v>
      </c>
      <c r="I468" s="55"/>
      <c r="J468" s="56">
        <v>165000</v>
      </c>
      <c r="K468" s="119"/>
      <c r="L468" s="57"/>
      <c r="M468" s="56">
        <v>0</v>
      </c>
      <c r="N468" s="57"/>
      <c r="O468" s="7">
        <v>165000</v>
      </c>
    </row>
    <row r="469" spans="1:15" ht="81" customHeight="1">
      <c r="A469" s="30"/>
      <c r="B469" s="32"/>
      <c r="C469" s="49" t="s">
        <v>221</v>
      </c>
      <c r="D469" s="50"/>
      <c r="E469" s="51"/>
      <c r="F469" s="52">
        <v>1</v>
      </c>
      <c r="G469" s="53"/>
      <c r="H469" s="54" t="s">
        <v>185</v>
      </c>
      <c r="I469" s="55"/>
      <c r="J469" s="56">
        <v>320000</v>
      </c>
      <c r="K469" s="119"/>
      <c r="L469" s="57"/>
      <c r="M469" s="56">
        <v>0</v>
      </c>
      <c r="N469" s="57"/>
      <c r="O469" s="7">
        <v>320000</v>
      </c>
    </row>
    <row r="470" spans="1:15" ht="21" customHeight="1">
      <c r="A470" s="40"/>
      <c r="B470" s="42"/>
      <c r="C470" s="46" t="s">
        <v>222</v>
      </c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8"/>
      <c r="O470" s="8">
        <v>25500000</v>
      </c>
    </row>
    <row r="471" spans="1:15" ht="70.95" customHeight="1">
      <c r="A471" s="30"/>
      <c r="B471" s="32"/>
      <c r="C471" s="49" t="s">
        <v>223</v>
      </c>
      <c r="D471" s="50"/>
      <c r="E471" s="51"/>
      <c r="F471" s="52">
        <v>150</v>
      </c>
      <c r="G471" s="53"/>
      <c r="H471" s="54" t="s">
        <v>224</v>
      </c>
      <c r="I471" s="55"/>
      <c r="J471" s="56">
        <v>170000</v>
      </c>
      <c r="K471" s="119"/>
      <c r="L471" s="57"/>
      <c r="M471" s="56">
        <v>0</v>
      </c>
      <c r="N471" s="57"/>
      <c r="O471" s="7">
        <v>25500000</v>
      </c>
    </row>
    <row r="472" spans="1:15" ht="19.95" customHeight="1">
      <c r="A472" s="27" t="s">
        <v>89</v>
      </c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9"/>
      <c r="O472" s="8">
        <v>63660668</v>
      </c>
    </row>
    <row r="473" spans="1:15" ht="153" customHeight="1">
      <c r="A473" s="30"/>
      <c r="B473" s="31"/>
      <c r="C473" s="31"/>
      <c r="D473" s="31"/>
      <c r="E473" s="31"/>
      <c r="F473" s="31"/>
      <c r="G473" s="32"/>
      <c r="H473" s="33" t="s">
        <v>90</v>
      </c>
      <c r="I473" s="34"/>
      <c r="J473" s="34"/>
      <c r="K473" s="34"/>
      <c r="L473" s="34"/>
      <c r="M473" s="34"/>
      <c r="N473" s="34"/>
      <c r="O473" s="35"/>
    </row>
    <row r="474" spans="1:15" ht="21" customHeight="1">
      <c r="A474" s="37" t="s">
        <v>91</v>
      </c>
      <c r="B474" s="38"/>
      <c r="C474" s="39"/>
      <c r="D474" s="2" t="s">
        <v>48</v>
      </c>
      <c r="E474" s="40"/>
      <c r="F474" s="41"/>
      <c r="G474" s="41"/>
      <c r="H474" s="41"/>
      <c r="I474" s="41"/>
      <c r="J474" s="41"/>
      <c r="K474" s="41"/>
      <c r="L474" s="41"/>
      <c r="M474" s="41"/>
      <c r="N474" s="41"/>
      <c r="O474" s="42"/>
    </row>
    <row r="475" spans="1:15" ht="19.95" customHeight="1">
      <c r="A475" s="37" t="s">
        <v>92</v>
      </c>
      <c r="B475" s="38"/>
      <c r="C475" s="39"/>
      <c r="D475" s="2" t="s">
        <v>48</v>
      </c>
      <c r="E475" s="40"/>
      <c r="F475" s="41"/>
      <c r="G475" s="41"/>
      <c r="H475" s="41"/>
      <c r="I475" s="41"/>
      <c r="J475" s="41"/>
      <c r="K475" s="41"/>
      <c r="L475" s="41"/>
      <c r="M475" s="41"/>
      <c r="N475" s="41"/>
      <c r="O475" s="42"/>
    </row>
    <row r="476" spans="1:15" ht="19.95" customHeight="1">
      <c r="A476" s="37" t="s">
        <v>93</v>
      </c>
      <c r="B476" s="38"/>
      <c r="C476" s="39"/>
      <c r="D476" s="2" t="s">
        <v>48</v>
      </c>
      <c r="E476" s="40"/>
      <c r="F476" s="41"/>
      <c r="G476" s="41"/>
      <c r="H476" s="41"/>
      <c r="I476" s="41"/>
      <c r="J476" s="41"/>
      <c r="K476" s="41"/>
      <c r="L476" s="41"/>
      <c r="M476" s="41"/>
      <c r="N476" s="41"/>
      <c r="O476" s="42"/>
    </row>
    <row r="477" spans="1:15" ht="21" customHeight="1">
      <c r="A477" s="43">
        <v>1</v>
      </c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5"/>
    </row>
    <row r="478" spans="1:15" ht="19.95" customHeight="1">
      <c r="A478" s="43">
        <v>2</v>
      </c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5"/>
    </row>
    <row r="479" spans="1:15" ht="20.55" customHeight="1">
      <c r="A479" s="37" t="s">
        <v>94</v>
      </c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9"/>
    </row>
    <row r="480" spans="1:15" ht="20.55" customHeight="1">
      <c r="A480" s="1"/>
      <c r="B480" s="93"/>
      <c r="C480" s="93"/>
      <c r="D480" s="1"/>
      <c r="E480" s="93"/>
      <c r="F480" s="93"/>
      <c r="G480" s="93"/>
      <c r="H480" s="93"/>
      <c r="I480" s="93"/>
      <c r="J480" s="93"/>
      <c r="K480" s="93"/>
      <c r="L480" s="36"/>
      <c r="M480" s="36"/>
      <c r="N480" s="36"/>
      <c r="O480" s="36"/>
    </row>
    <row r="481" spans="1:15" ht="21" customHeight="1">
      <c r="A481" s="18" t="s">
        <v>95</v>
      </c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20"/>
    </row>
    <row r="482" spans="1:15" ht="22.05" customHeight="1">
      <c r="A482" s="3" t="s">
        <v>96</v>
      </c>
      <c r="B482" s="18" t="s">
        <v>97</v>
      </c>
      <c r="C482" s="19"/>
      <c r="D482" s="19"/>
      <c r="E482" s="19"/>
      <c r="F482" s="20"/>
      <c r="G482" s="18" t="s">
        <v>98</v>
      </c>
      <c r="H482" s="20"/>
      <c r="I482" s="18" t="s">
        <v>99</v>
      </c>
      <c r="J482" s="19"/>
      <c r="K482" s="20"/>
      <c r="L482" s="21" t="s">
        <v>100</v>
      </c>
      <c r="M482" s="22"/>
      <c r="N482" s="22"/>
      <c r="O482" s="23"/>
    </row>
    <row r="483" spans="1:15" ht="21" customHeight="1">
      <c r="A483" s="24" t="s">
        <v>101</v>
      </c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6"/>
    </row>
    <row r="484" spans="1:15" ht="64.05" customHeight="1">
      <c r="A484" s="106" t="s">
        <v>0</v>
      </c>
      <c r="B484" s="107"/>
      <c r="C484" s="107"/>
      <c r="D484" s="107"/>
      <c r="E484" s="107"/>
      <c r="F484" s="107"/>
      <c r="G484" s="107"/>
      <c r="H484" s="107"/>
      <c r="I484" s="107"/>
      <c r="J484" s="108"/>
      <c r="K484" s="109" t="s">
        <v>1</v>
      </c>
      <c r="L484" s="110"/>
      <c r="M484" s="110"/>
      <c r="N484" s="110"/>
      <c r="O484" s="111"/>
    </row>
    <row r="485" spans="1:15" ht="23.55" customHeight="1">
      <c r="A485" s="101" t="s">
        <v>674</v>
      </c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3"/>
    </row>
    <row r="486" spans="1:15" ht="20.55" customHeight="1">
      <c r="A486" s="93"/>
      <c r="B486" s="93"/>
      <c r="C486" s="1"/>
      <c r="D486" s="93"/>
      <c r="E486" s="93"/>
      <c r="F486" s="93"/>
      <c r="G486" s="93"/>
      <c r="H486" s="93"/>
      <c r="I486" s="93"/>
      <c r="J486" s="5"/>
      <c r="K486" s="36"/>
      <c r="L486" s="36"/>
      <c r="M486" s="5"/>
      <c r="N486" s="5"/>
      <c r="O486" s="5"/>
    </row>
    <row r="487" spans="1:15" ht="37.049999999999997" customHeight="1">
      <c r="A487" s="101" t="s">
        <v>2</v>
      </c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3"/>
    </row>
    <row r="488" spans="1:15" ht="21" customHeight="1">
      <c r="A488" s="37" t="s">
        <v>3</v>
      </c>
      <c r="B488" s="38"/>
      <c r="C488" s="39"/>
      <c r="D488" s="90" t="s">
        <v>4</v>
      </c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2"/>
    </row>
    <row r="489" spans="1:15" ht="22.05" customHeight="1">
      <c r="A489" s="37" t="s">
        <v>5</v>
      </c>
      <c r="B489" s="38"/>
      <c r="C489" s="39"/>
      <c r="D489" s="90" t="s">
        <v>6</v>
      </c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2"/>
    </row>
    <row r="490" spans="1:15" ht="22.05" customHeight="1">
      <c r="A490" s="37" t="s">
        <v>7</v>
      </c>
      <c r="B490" s="38"/>
      <c r="C490" s="39"/>
      <c r="D490" s="90" t="s">
        <v>8</v>
      </c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</row>
    <row r="491" spans="1:15" ht="21" customHeight="1">
      <c r="A491" s="37" t="s">
        <v>9</v>
      </c>
      <c r="B491" s="38"/>
      <c r="C491" s="39"/>
      <c r="D491" s="90" t="s">
        <v>10</v>
      </c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</row>
    <row r="492" spans="1:15" ht="22.05" customHeight="1">
      <c r="A492" s="37" t="s">
        <v>11</v>
      </c>
      <c r="B492" s="38"/>
      <c r="C492" s="39"/>
      <c r="D492" s="90" t="s">
        <v>12</v>
      </c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2"/>
    </row>
    <row r="493" spans="1:15" ht="22.05" customHeight="1">
      <c r="A493" s="37" t="s">
        <v>13</v>
      </c>
      <c r="B493" s="38"/>
      <c r="C493" s="39"/>
      <c r="D493" s="90" t="s">
        <v>161</v>
      </c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2"/>
    </row>
    <row r="494" spans="1:15" ht="21" customHeight="1">
      <c r="A494" s="37" t="s">
        <v>15</v>
      </c>
      <c r="B494" s="38"/>
      <c r="C494" s="39"/>
      <c r="D494" s="127" t="s">
        <v>691</v>
      </c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</row>
    <row r="495" spans="1:15" ht="22.05" customHeight="1">
      <c r="A495" s="37" t="s">
        <v>17</v>
      </c>
      <c r="B495" s="38"/>
      <c r="C495" s="39"/>
      <c r="D495" s="90" t="s">
        <v>10</v>
      </c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</row>
    <row r="496" spans="1:15" ht="22.05" customHeight="1">
      <c r="A496" s="37" t="s">
        <v>18</v>
      </c>
      <c r="B496" s="38"/>
      <c r="C496" s="39"/>
      <c r="D496" s="90" t="s">
        <v>10</v>
      </c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2"/>
    </row>
    <row r="497" spans="1:15" ht="22.05" customHeight="1">
      <c r="A497" s="37" t="s">
        <v>19</v>
      </c>
      <c r="B497" s="38"/>
      <c r="C497" s="39"/>
      <c r="D497" s="90" t="s">
        <v>20</v>
      </c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2"/>
    </row>
    <row r="498" spans="1:15" ht="21" customHeight="1">
      <c r="A498" s="37" t="s">
        <v>21</v>
      </c>
      <c r="B498" s="38"/>
      <c r="C498" s="39"/>
      <c r="D498" s="90" t="s">
        <v>22</v>
      </c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2"/>
    </row>
    <row r="499" spans="1:15" ht="22.05" customHeight="1">
      <c r="A499" s="37" t="s">
        <v>23</v>
      </c>
      <c r="B499" s="38"/>
      <c r="C499" s="39"/>
      <c r="D499" s="90" t="s">
        <v>24</v>
      </c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</row>
    <row r="500" spans="1:15" ht="22.05" customHeight="1">
      <c r="A500" s="37" t="s">
        <v>25</v>
      </c>
      <c r="B500" s="38"/>
      <c r="C500" s="39"/>
      <c r="D500" s="90" t="s">
        <v>26</v>
      </c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</row>
    <row r="501" spans="1:15" ht="21" customHeight="1">
      <c r="A501" s="37" t="s">
        <v>670</v>
      </c>
      <c r="B501" s="38"/>
      <c r="C501" s="39"/>
      <c r="D501" s="90" t="s">
        <v>27</v>
      </c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2"/>
    </row>
    <row r="502" spans="1:15" ht="22.05" customHeight="1">
      <c r="A502" s="37" t="s">
        <v>675</v>
      </c>
      <c r="B502" s="38"/>
      <c r="C502" s="39"/>
      <c r="D502" s="90" t="s">
        <v>226</v>
      </c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2"/>
    </row>
    <row r="503" spans="1:15" ht="21.45" customHeight="1">
      <c r="A503" s="37" t="s">
        <v>676</v>
      </c>
      <c r="B503" s="38"/>
      <c r="C503" s="39"/>
      <c r="D503" s="90" t="s">
        <v>227</v>
      </c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2"/>
    </row>
    <row r="504" spans="1:15" ht="20.55" customHeight="1">
      <c r="A504" s="93"/>
      <c r="B504" s="93"/>
      <c r="C504" s="1"/>
      <c r="D504" s="93"/>
      <c r="E504" s="93"/>
      <c r="F504" s="93"/>
      <c r="G504" s="93"/>
      <c r="H504" s="93"/>
      <c r="I504" s="93"/>
      <c r="J504" s="5"/>
      <c r="K504" s="36"/>
      <c r="L504" s="36"/>
      <c r="M504" s="5"/>
      <c r="N504" s="5"/>
      <c r="O504" s="5"/>
    </row>
    <row r="505" spans="1:15" ht="22.95" customHeight="1">
      <c r="A505" s="101" t="s">
        <v>29</v>
      </c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3"/>
    </row>
    <row r="506" spans="1:15" ht="24" customHeight="1">
      <c r="A506" s="101" t="s">
        <v>30</v>
      </c>
      <c r="B506" s="102"/>
      <c r="C506" s="103"/>
      <c r="D506" s="101" t="s">
        <v>31</v>
      </c>
      <c r="E506" s="102"/>
      <c r="F506" s="102"/>
      <c r="G506" s="102"/>
      <c r="H506" s="102"/>
      <c r="I506" s="102"/>
      <c r="J506" s="102"/>
      <c r="K506" s="102"/>
      <c r="L506" s="102"/>
      <c r="M506" s="103"/>
      <c r="N506" s="104" t="s">
        <v>32</v>
      </c>
      <c r="O506" s="105"/>
    </row>
    <row r="507" spans="1:15" ht="21" customHeight="1">
      <c r="A507" s="37" t="s">
        <v>33</v>
      </c>
      <c r="B507" s="38"/>
      <c r="C507" s="39"/>
      <c r="D507" s="37" t="s">
        <v>34</v>
      </c>
      <c r="E507" s="38"/>
      <c r="F507" s="38"/>
      <c r="G507" s="38"/>
      <c r="H507" s="38"/>
      <c r="I507" s="38"/>
      <c r="J507" s="38"/>
      <c r="K507" s="38"/>
      <c r="L507" s="38"/>
      <c r="M507" s="39"/>
      <c r="N507" s="97" t="s">
        <v>35</v>
      </c>
      <c r="O507" s="98"/>
    </row>
    <row r="508" spans="1:15" ht="19.95" customHeight="1">
      <c r="A508" s="37" t="s">
        <v>36</v>
      </c>
      <c r="B508" s="38"/>
      <c r="C508" s="39"/>
      <c r="D508" s="37" t="s">
        <v>37</v>
      </c>
      <c r="E508" s="38"/>
      <c r="F508" s="38"/>
      <c r="G508" s="38"/>
      <c r="H508" s="38"/>
      <c r="I508" s="38"/>
      <c r="J508" s="38"/>
      <c r="K508" s="38"/>
      <c r="L508" s="38"/>
      <c r="M508" s="39"/>
      <c r="N508" s="97">
        <v>32190000</v>
      </c>
      <c r="O508" s="98"/>
    </row>
    <row r="509" spans="1:15" ht="19.95" customHeight="1">
      <c r="A509" s="37" t="s">
        <v>38</v>
      </c>
      <c r="B509" s="38"/>
      <c r="C509" s="39"/>
      <c r="D509" s="37" t="s">
        <v>228</v>
      </c>
      <c r="E509" s="38"/>
      <c r="F509" s="38"/>
      <c r="G509" s="38"/>
      <c r="H509" s="38"/>
      <c r="I509" s="38"/>
      <c r="J509" s="38"/>
      <c r="K509" s="38"/>
      <c r="L509" s="38"/>
      <c r="M509" s="39"/>
      <c r="N509" s="97" t="s">
        <v>229</v>
      </c>
      <c r="O509" s="98"/>
    </row>
    <row r="510" spans="1:15" ht="20.55" customHeight="1">
      <c r="A510" s="37" t="s">
        <v>41</v>
      </c>
      <c r="B510" s="38"/>
      <c r="C510" s="39"/>
      <c r="D510" s="37" t="s">
        <v>167</v>
      </c>
      <c r="E510" s="38"/>
      <c r="F510" s="38"/>
      <c r="G510" s="38"/>
      <c r="H510" s="38"/>
      <c r="I510" s="38"/>
      <c r="J510" s="38"/>
      <c r="K510" s="38"/>
      <c r="L510" s="38"/>
      <c r="M510" s="39"/>
      <c r="N510" s="99">
        <v>0.87</v>
      </c>
      <c r="O510" s="100"/>
    </row>
    <row r="511" spans="1:15" ht="20.55" customHeight="1">
      <c r="A511" s="93"/>
      <c r="B511" s="93"/>
      <c r="C511" s="1"/>
      <c r="D511" s="93"/>
      <c r="E511" s="93"/>
      <c r="F511" s="93"/>
      <c r="G511" s="93"/>
      <c r="H511" s="93"/>
      <c r="I511" s="93"/>
      <c r="J511" s="5"/>
      <c r="K511" s="36"/>
      <c r="L511" s="36"/>
      <c r="M511" s="5"/>
      <c r="N511" s="5"/>
      <c r="O511" s="5"/>
    </row>
    <row r="512" spans="1:15" ht="37.049999999999997" customHeight="1">
      <c r="A512" s="101" t="s">
        <v>43</v>
      </c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3"/>
    </row>
    <row r="513" spans="1:15" ht="21" customHeight="1">
      <c r="A513" s="37" t="s">
        <v>15</v>
      </c>
      <c r="B513" s="38"/>
      <c r="C513" s="39"/>
      <c r="D513" s="90" t="s">
        <v>225</v>
      </c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2"/>
    </row>
    <row r="514" spans="1:15" ht="19.95" customHeight="1">
      <c r="A514" s="37" t="s">
        <v>19</v>
      </c>
      <c r="B514" s="38"/>
      <c r="C514" s="39"/>
      <c r="D514" s="90" t="s">
        <v>20</v>
      </c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2"/>
    </row>
    <row r="515" spans="1:15" ht="19.95" customHeight="1">
      <c r="A515" s="37" t="s">
        <v>21</v>
      </c>
      <c r="B515" s="38"/>
      <c r="C515" s="39"/>
      <c r="D515" s="90" t="s">
        <v>44</v>
      </c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2"/>
    </row>
    <row r="516" spans="1:15" ht="21" customHeight="1">
      <c r="A516" s="37" t="s">
        <v>45</v>
      </c>
      <c r="B516" s="38"/>
      <c r="C516" s="39"/>
      <c r="D516" s="90" t="s">
        <v>230</v>
      </c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2"/>
    </row>
    <row r="517" spans="1:15" ht="19.95" customHeight="1">
      <c r="A517" s="37" t="s">
        <v>23</v>
      </c>
      <c r="B517" s="38"/>
      <c r="C517" s="39"/>
      <c r="D517" s="90" t="s">
        <v>24</v>
      </c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2"/>
    </row>
    <row r="518" spans="1:15" ht="19.5" customHeight="1">
      <c r="A518" s="37" t="s">
        <v>47</v>
      </c>
      <c r="B518" s="38"/>
      <c r="C518" s="39"/>
      <c r="D518" s="90" t="s">
        <v>48</v>
      </c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2"/>
    </row>
    <row r="519" spans="1:15" ht="20.55" customHeight="1">
      <c r="A519" s="93"/>
      <c r="B519" s="93"/>
      <c r="C519" s="1"/>
      <c r="D519" s="93"/>
      <c r="E519" s="93"/>
      <c r="F519" s="93"/>
      <c r="G519" s="93"/>
      <c r="H519" s="93"/>
      <c r="I519" s="93"/>
      <c r="J519" s="5"/>
      <c r="K519" s="36"/>
      <c r="L519" s="36"/>
      <c r="M519" s="5"/>
      <c r="N519" s="5"/>
      <c r="O519" s="5"/>
    </row>
    <row r="520" spans="1:15" ht="37.950000000000003" customHeight="1">
      <c r="A520" s="87" t="s">
        <v>49</v>
      </c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9"/>
    </row>
    <row r="521" spans="1:15" ht="19.95" customHeight="1">
      <c r="A521" s="61" t="s">
        <v>50</v>
      </c>
      <c r="B521" s="62"/>
      <c r="C521" s="65" t="s">
        <v>51</v>
      </c>
      <c r="D521" s="66"/>
      <c r="E521" s="67"/>
      <c r="F521" s="71" t="s">
        <v>52</v>
      </c>
      <c r="G521" s="72"/>
      <c r="H521" s="72"/>
      <c r="I521" s="72"/>
      <c r="J521" s="72"/>
      <c r="K521" s="72"/>
      <c r="L521" s="72"/>
      <c r="M521" s="72"/>
      <c r="N521" s="73"/>
      <c r="O521" s="74" t="s">
        <v>53</v>
      </c>
    </row>
    <row r="522" spans="1:15" ht="21" customHeight="1">
      <c r="A522" s="63"/>
      <c r="B522" s="64"/>
      <c r="C522" s="68"/>
      <c r="D522" s="69"/>
      <c r="E522" s="70"/>
      <c r="F522" s="76" t="s">
        <v>54</v>
      </c>
      <c r="G522" s="77"/>
      <c r="H522" s="71" t="s">
        <v>55</v>
      </c>
      <c r="I522" s="73"/>
      <c r="J522" s="94" t="s">
        <v>56</v>
      </c>
      <c r="K522" s="95"/>
      <c r="L522" s="96"/>
      <c r="M522" s="80" t="s">
        <v>57</v>
      </c>
      <c r="N522" s="82"/>
      <c r="O522" s="75"/>
    </row>
    <row r="523" spans="1:15" ht="19.95" customHeight="1">
      <c r="A523" s="83">
        <v>5</v>
      </c>
      <c r="B523" s="84"/>
      <c r="C523" s="46" t="s">
        <v>58</v>
      </c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8"/>
      <c r="O523" s="6">
        <f>O524</f>
        <v>32190000</v>
      </c>
    </row>
    <row r="524" spans="1:15" ht="19.95" customHeight="1">
      <c r="A524" s="46" t="s">
        <v>59</v>
      </c>
      <c r="B524" s="48"/>
      <c r="C524" s="46" t="s">
        <v>60</v>
      </c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8"/>
      <c r="O524" s="6">
        <f>O525</f>
        <v>32190000</v>
      </c>
    </row>
    <row r="525" spans="1:15" ht="21" customHeight="1">
      <c r="A525" s="85">
        <v>37377</v>
      </c>
      <c r="B525" s="86"/>
      <c r="C525" s="46" t="s">
        <v>61</v>
      </c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8"/>
      <c r="O525" s="6">
        <f>O526+O536</f>
        <v>32190000</v>
      </c>
    </row>
    <row r="526" spans="1:15" ht="19.95" customHeight="1">
      <c r="A526" s="46" t="s">
        <v>62</v>
      </c>
      <c r="B526" s="48"/>
      <c r="C526" s="46" t="s">
        <v>63</v>
      </c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8"/>
      <c r="O526" s="6">
        <v>16335000</v>
      </c>
    </row>
    <row r="527" spans="1:15" ht="19.95" customHeight="1">
      <c r="A527" s="46" t="s">
        <v>64</v>
      </c>
      <c r="B527" s="48"/>
      <c r="C527" s="46" t="s">
        <v>65</v>
      </c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8"/>
      <c r="O527" s="6">
        <v>16335000</v>
      </c>
    </row>
    <row r="528" spans="1:15" ht="31.05" customHeight="1">
      <c r="A528" s="30" t="s">
        <v>83</v>
      </c>
      <c r="B528" s="32"/>
      <c r="C528" s="46" t="s">
        <v>84</v>
      </c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8"/>
      <c r="O528" s="6">
        <v>16335000</v>
      </c>
    </row>
    <row r="529" spans="1:15" ht="31.05" customHeight="1">
      <c r="A529" s="40"/>
      <c r="B529" s="42"/>
      <c r="C529" s="30" t="s">
        <v>85</v>
      </c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2"/>
      <c r="O529" s="6">
        <v>16335000</v>
      </c>
    </row>
    <row r="530" spans="1:15" ht="20.25" customHeight="1">
      <c r="A530" s="40"/>
      <c r="B530" s="42"/>
      <c r="C530" s="46" t="s">
        <v>69</v>
      </c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8"/>
      <c r="O530" s="6">
        <v>16335000</v>
      </c>
    </row>
    <row r="531" spans="1:15" ht="37.950000000000003" customHeight="1">
      <c r="A531" s="87" t="s">
        <v>49</v>
      </c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9"/>
    </row>
    <row r="532" spans="1:15" ht="19.95" customHeight="1">
      <c r="A532" s="61" t="s">
        <v>50</v>
      </c>
      <c r="B532" s="62"/>
      <c r="C532" s="65" t="s">
        <v>51</v>
      </c>
      <c r="D532" s="66"/>
      <c r="E532" s="67"/>
      <c r="F532" s="71" t="s">
        <v>52</v>
      </c>
      <c r="G532" s="72"/>
      <c r="H532" s="72"/>
      <c r="I532" s="72"/>
      <c r="J532" s="72"/>
      <c r="K532" s="72"/>
      <c r="L532" s="72"/>
      <c r="M532" s="72"/>
      <c r="N532" s="73"/>
      <c r="O532" s="74" t="s">
        <v>53</v>
      </c>
    </row>
    <row r="533" spans="1:15" ht="21" customHeight="1">
      <c r="A533" s="63"/>
      <c r="B533" s="64"/>
      <c r="C533" s="68"/>
      <c r="D533" s="69"/>
      <c r="E533" s="70"/>
      <c r="F533" s="76" t="s">
        <v>54</v>
      </c>
      <c r="G533" s="77"/>
      <c r="H533" s="71" t="s">
        <v>55</v>
      </c>
      <c r="I533" s="73"/>
      <c r="J533" s="94" t="s">
        <v>56</v>
      </c>
      <c r="K533" s="95"/>
      <c r="L533" s="96"/>
      <c r="M533" s="80" t="s">
        <v>57</v>
      </c>
      <c r="N533" s="82"/>
      <c r="O533" s="75"/>
    </row>
    <row r="534" spans="1:15" ht="70.05" customHeight="1">
      <c r="A534" s="30"/>
      <c r="B534" s="32"/>
      <c r="C534" s="49" t="s">
        <v>86</v>
      </c>
      <c r="D534" s="50"/>
      <c r="E534" s="51"/>
      <c r="F534" s="52">
        <v>330</v>
      </c>
      <c r="G534" s="53"/>
      <c r="H534" s="54" t="s">
        <v>87</v>
      </c>
      <c r="I534" s="55"/>
      <c r="J534" s="56">
        <v>33000</v>
      </c>
      <c r="K534" s="119"/>
      <c r="L534" s="57"/>
      <c r="M534" s="56">
        <v>0</v>
      </c>
      <c r="N534" s="57"/>
      <c r="O534" s="7">
        <v>10890000</v>
      </c>
    </row>
    <row r="535" spans="1:15" ht="70.95" customHeight="1">
      <c r="A535" s="30"/>
      <c r="B535" s="32"/>
      <c r="C535" s="49" t="s">
        <v>88</v>
      </c>
      <c r="D535" s="50"/>
      <c r="E535" s="51"/>
      <c r="F535" s="52">
        <v>330</v>
      </c>
      <c r="G535" s="53"/>
      <c r="H535" s="54" t="s">
        <v>87</v>
      </c>
      <c r="I535" s="55"/>
      <c r="J535" s="56">
        <v>16500</v>
      </c>
      <c r="K535" s="119"/>
      <c r="L535" s="57"/>
      <c r="M535" s="56">
        <v>0</v>
      </c>
      <c r="N535" s="57"/>
      <c r="O535" s="7">
        <v>5445000</v>
      </c>
    </row>
    <row r="536" spans="1:15" ht="21" customHeight="1">
      <c r="A536" s="46" t="s">
        <v>176</v>
      </c>
      <c r="B536" s="48"/>
      <c r="C536" s="46" t="s">
        <v>177</v>
      </c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8"/>
      <c r="O536" s="8">
        <v>15855000</v>
      </c>
    </row>
    <row r="537" spans="1:15" ht="19.95" customHeight="1">
      <c r="A537" s="46" t="s">
        <v>178</v>
      </c>
      <c r="B537" s="48"/>
      <c r="C537" s="46" t="s">
        <v>179</v>
      </c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8"/>
      <c r="O537" s="8">
        <v>15855000</v>
      </c>
    </row>
    <row r="538" spans="1:15" ht="31.05" customHeight="1">
      <c r="A538" s="30" t="s">
        <v>180</v>
      </c>
      <c r="B538" s="32"/>
      <c r="C538" s="46" t="s">
        <v>181</v>
      </c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8"/>
      <c r="O538" s="8">
        <v>15855000</v>
      </c>
    </row>
    <row r="539" spans="1:15" ht="30" customHeight="1">
      <c r="A539" s="40"/>
      <c r="B539" s="42"/>
      <c r="C539" s="30" t="s">
        <v>231</v>
      </c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2"/>
      <c r="O539" s="8">
        <v>15855000</v>
      </c>
    </row>
    <row r="540" spans="1:15" ht="21" customHeight="1">
      <c r="A540" s="40"/>
      <c r="B540" s="42"/>
      <c r="C540" s="46" t="s">
        <v>183</v>
      </c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8"/>
      <c r="O540" s="8">
        <v>4805000</v>
      </c>
    </row>
    <row r="541" spans="1:15" ht="81" customHeight="1">
      <c r="A541" s="30"/>
      <c r="B541" s="32"/>
      <c r="C541" s="49" t="s">
        <v>186</v>
      </c>
      <c r="D541" s="50"/>
      <c r="E541" s="51"/>
      <c r="F541" s="52">
        <v>2</v>
      </c>
      <c r="G541" s="53"/>
      <c r="H541" s="54" t="s">
        <v>185</v>
      </c>
      <c r="I541" s="55"/>
      <c r="J541" s="56">
        <v>245000</v>
      </c>
      <c r="K541" s="119"/>
      <c r="L541" s="57"/>
      <c r="M541" s="56">
        <v>0</v>
      </c>
      <c r="N541" s="57"/>
      <c r="O541" s="7">
        <v>490000</v>
      </c>
    </row>
    <row r="542" spans="1:15" ht="81" customHeight="1">
      <c r="A542" s="30"/>
      <c r="B542" s="32"/>
      <c r="C542" s="49" t="s">
        <v>188</v>
      </c>
      <c r="D542" s="50"/>
      <c r="E542" s="51"/>
      <c r="F542" s="52">
        <v>1</v>
      </c>
      <c r="G542" s="53"/>
      <c r="H542" s="54" t="s">
        <v>185</v>
      </c>
      <c r="I542" s="55"/>
      <c r="J542" s="56">
        <v>165000</v>
      </c>
      <c r="K542" s="119"/>
      <c r="L542" s="57"/>
      <c r="M542" s="56">
        <v>0</v>
      </c>
      <c r="N542" s="57"/>
      <c r="O542" s="7">
        <v>165000</v>
      </c>
    </row>
    <row r="543" spans="1:15" ht="81" customHeight="1">
      <c r="A543" s="30"/>
      <c r="B543" s="32"/>
      <c r="C543" s="49" t="s">
        <v>195</v>
      </c>
      <c r="D543" s="50"/>
      <c r="E543" s="51"/>
      <c r="F543" s="52">
        <v>3</v>
      </c>
      <c r="G543" s="53"/>
      <c r="H543" s="54" t="s">
        <v>185</v>
      </c>
      <c r="I543" s="55"/>
      <c r="J543" s="56">
        <v>210000</v>
      </c>
      <c r="K543" s="119"/>
      <c r="L543" s="57"/>
      <c r="M543" s="56">
        <v>0</v>
      </c>
      <c r="N543" s="57"/>
      <c r="O543" s="7">
        <v>630000</v>
      </c>
    </row>
    <row r="544" spans="1:15" ht="81" customHeight="1">
      <c r="A544" s="30"/>
      <c r="B544" s="32"/>
      <c r="C544" s="49" t="s">
        <v>184</v>
      </c>
      <c r="D544" s="50"/>
      <c r="E544" s="51"/>
      <c r="F544" s="52">
        <v>3</v>
      </c>
      <c r="G544" s="53"/>
      <c r="H544" s="54" t="s">
        <v>185</v>
      </c>
      <c r="I544" s="55"/>
      <c r="J544" s="56">
        <v>180000</v>
      </c>
      <c r="K544" s="119"/>
      <c r="L544" s="57"/>
      <c r="M544" s="56">
        <v>0</v>
      </c>
      <c r="N544" s="57"/>
      <c r="O544" s="7">
        <v>540000</v>
      </c>
    </row>
    <row r="545" spans="1:15" ht="81" customHeight="1">
      <c r="A545" s="30"/>
      <c r="B545" s="32"/>
      <c r="C545" s="49" t="s">
        <v>221</v>
      </c>
      <c r="D545" s="50"/>
      <c r="E545" s="51"/>
      <c r="F545" s="52">
        <v>2</v>
      </c>
      <c r="G545" s="53"/>
      <c r="H545" s="54" t="s">
        <v>185</v>
      </c>
      <c r="I545" s="55"/>
      <c r="J545" s="56">
        <v>320000</v>
      </c>
      <c r="K545" s="119"/>
      <c r="L545" s="57"/>
      <c r="M545" s="56">
        <v>0</v>
      </c>
      <c r="N545" s="57"/>
      <c r="O545" s="7">
        <v>640000</v>
      </c>
    </row>
    <row r="546" spans="1:15" ht="81" customHeight="1">
      <c r="A546" s="30"/>
      <c r="B546" s="32"/>
      <c r="C546" s="49" t="s">
        <v>204</v>
      </c>
      <c r="D546" s="50"/>
      <c r="E546" s="51"/>
      <c r="F546" s="52">
        <v>2</v>
      </c>
      <c r="G546" s="53"/>
      <c r="H546" s="54" t="s">
        <v>185</v>
      </c>
      <c r="I546" s="55"/>
      <c r="J546" s="56">
        <v>140000</v>
      </c>
      <c r="K546" s="119"/>
      <c r="L546" s="57"/>
      <c r="M546" s="56">
        <v>0</v>
      </c>
      <c r="N546" s="57"/>
      <c r="O546" s="7">
        <v>280000</v>
      </c>
    </row>
    <row r="547" spans="1:15" ht="81" customHeight="1">
      <c r="A547" s="30"/>
      <c r="B547" s="32"/>
      <c r="C547" s="49" t="s">
        <v>211</v>
      </c>
      <c r="D547" s="50"/>
      <c r="E547" s="51"/>
      <c r="F547" s="52">
        <v>2</v>
      </c>
      <c r="G547" s="53"/>
      <c r="H547" s="54" t="s">
        <v>185</v>
      </c>
      <c r="I547" s="55"/>
      <c r="J547" s="56">
        <v>160000</v>
      </c>
      <c r="K547" s="119"/>
      <c r="L547" s="57"/>
      <c r="M547" s="56">
        <v>0</v>
      </c>
      <c r="N547" s="57"/>
      <c r="O547" s="7">
        <v>320000</v>
      </c>
    </row>
    <row r="548" spans="1:15" ht="81" customHeight="1">
      <c r="A548" s="30"/>
      <c r="B548" s="32"/>
      <c r="C548" s="49" t="s">
        <v>202</v>
      </c>
      <c r="D548" s="50"/>
      <c r="E548" s="51"/>
      <c r="F548" s="52">
        <v>2</v>
      </c>
      <c r="G548" s="53"/>
      <c r="H548" s="54" t="s">
        <v>185</v>
      </c>
      <c r="I548" s="55"/>
      <c r="J548" s="56">
        <v>185000</v>
      </c>
      <c r="K548" s="119"/>
      <c r="L548" s="57"/>
      <c r="M548" s="56">
        <v>0</v>
      </c>
      <c r="N548" s="57"/>
      <c r="O548" s="7">
        <v>370000</v>
      </c>
    </row>
    <row r="549" spans="1:15" ht="81.45" customHeight="1">
      <c r="A549" s="30"/>
      <c r="B549" s="32"/>
      <c r="C549" s="49" t="s">
        <v>213</v>
      </c>
      <c r="D549" s="50"/>
      <c r="E549" s="51"/>
      <c r="F549" s="52">
        <v>2</v>
      </c>
      <c r="G549" s="53"/>
      <c r="H549" s="54" t="s">
        <v>185</v>
      </c>
      <c r="I549" s="55"/>
      <c r="J549" s="56">
        <v>210000</v>
      </c>
      <c r="K549" s="119"/>
      <c r="L549" s="57"/>
      <c r="M549" s="56">
        <v>0</v>
      </c>
      <c r="N549" s="57"/>
      <c r="O549" s="7">
        <v>420000</v>
      </c>
    </row>
    <row r="550" spans="1:15" ht="37.950000000000003" customHeight="1">
      <c r="A550" s="87" t="s">
        <v>49</v>
      </c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9"/>
    </row>
    <row r="551" spans="1:15" ht="19.95" customHeight="1">
      <c r="A551" s="61" t="s">
        <v>50</v>
      </c>
      <c r="B551" s="62"/>
      <c r="C551" s="65" t="s">
        <v>51</v>
      </c>
      <c r="D551" s="66"/>
      <c r="E551" s="67"/>
      <c r="F551" s="71" t="s">
        <v>52</v>
      </c>
      <c r="G551" s="72"/>
      <c r="H551" s="72"/>
      <c r="I551" s="72"/>
      <c r="J551" s="72"/>
      <c r="K551" s="72"/>
      <c r="L551" s="72"/>
      <c r="M551" s="72"/>
      <c r="N551" s="73"/>
      <c r="O551" s="74" t="s">
        <v>53</v>
      </c>
    </row>
    <row r="552" spans="1:15" ht="21" customHeight="1">
      <c r="A552" s="63"/>
      <c r="B552" s="64"/>
      <c r="C552" s="68"/>
      <c r="D552" s="69"/>
      <c r="E552" s="70"/>
      <c r="F552" s="76" t="s">
        <v>54</v>
      </c>
      <c r="G552" s="77"/>
      <c r="H552" s="71" t="s">
        <v>55</v>
      </c>
      <c r="I552" s="73"/>
      <c r="J552" s="78" t="s">
        <v>56</v>
      </c>
      <c r="K552" s="79"/>
      <c r="L552" s="80" t="s">
        <v>57</v>
      </c>
      <c r="M552" s="81"/>
      <c r="N552" s="82"/>
      <c r="O552" s="75"/>
    </row>
    <row r="553" spans="1:15" ht="81" customHeight="1">
      <c r="A553" s="30"/>
      <c r="B553" s="32"/>
      <c r="C553" s="49" t="s">
        <v>210</v>
      </c>
      <c r="D553" s="50"/>
      <c r="E553" s="51"/>
      <c r="F553" s="52">
        <v>2</v>
      </c>
      <c r="G553" s="53"/>
      <c r="H553" s="54" t="s">
        <v>185</v>
      </c>
      <c r="I553" s="55"/>
      <c r="J553" s="56">
        <v>220000</v>
      </c>
      <c r="K553" s="57"/>
      <c r="L553" s="58">
        <v>0</v>
      </c>
      <c r="M553" s="59"/>
      <c r="N553" s="60"/>
      <c r="O553" s="7">
        <v>440000</v>
      </c>
    </row>
    <row r="554" spans="1:15" ht="81" customHeight="1">
      <c r="A554" s="30"/>
      <c r="B554" s="32"/>
      <c r="C554" s="49" t="s">
        <v>216</v>
      </c>
      <c r="D554" s="50"/>
      <c r="E554" s="51"/>
      <c r="F554" s="52">
        <v>2</v>
      </c>
      <c r="G554" s="53"/>
      <c r="H554" s="54" t="s">
        <v>185</v>
      </c>
      <c r="I554" s="55"/>
      <c r="J554" s="56">
        <v>255000</v>
      </c>
      <c r="K554" s="57"/>
      <c r="L554" s="58">
        <v>0</v>
      </c>
      <c r="M554" s="59"/>
      <c r="N554" s="60"/>
      <c r="O554" s="7">
        <v>510000</v>
      </c>
    </row>
    <row r="555" spans="1:15" ht="19.95" customHeight="1">
      <c r="A555" s="40"/>
      <c r="B555" s="42"/>
      <c r="C555" s="46" t="s">
        <v>222</v>
      </c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8"/>
      <c r="O555" s="8">
        <v>11050000</v>
      </c>
    </row>
    <row r="556" spans="1:15" ht="70.95" customHeight="1">
      <c r="A556" s="30"/>
      <c r="B556" s="32"/>
      <c r="C556" s="49" t="s">
        <v>223</v>
      </c>
      <c r="D556" s="50"/>
      <c r="E556" s="51"/>
      <c r="F556" s="52">
        <v>65</v>
      </c>
      <c r="G556" s="53"/>
      <c r="H556" s="54" t="s">
        <v>224</v>
      </c>
      <c r="I556" s="55"/>
      <c r="J556" s="56">
        <v>170000</v>
      </c>
      <c r="K556" s="57"/>
      <c r="L556" s="58">
        <v>0</v>
      </c>
      <c r="M556" s="59"/>
      <c r="N556" s="60"/>
      <c r="O556" s="7">
        <v>11050000</v>
      </c>
    </row>
    <row r="557" spans="1:15" ht="19.95" customHeight="1">
      <c r="A557" s="27" t="s">
        <v>89</v>
      </c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9"/>
      <c r="O557" s="8">
        <v>32190000</v>
      </c>
    </row>
    <row r="558" spans="1:15" ht="153" customHeight="1">
      <c r="A558" s="30"/>
      <c r="B558" s="31"/>
      <c r="C558" s="31"/>
      <c r="D558" s="31"/>
      <c r="E558" s="31"/>
      <c r="F558" s="31"/>
      <c r="G558" s="32"/>
      <c r="H558" s="33" t="s">
        <v>90</v>
      </c>
      <c r="I558" s="34"/>
      <c r="J558" s="34"/>
      <c r="K558" s="34"/>
      <c r="L558" s="34"/>
      <c r="M558" s="34"/>
      <c r="N558" s="34"/>
      <c r="O558" s="35"/>
    </row>
    <row r="559" spans="1:15" ht="20.55" customHeight="1">
      <c r="A559" s="1"/>
      <c r="B559" s="1"/>
      <c r="C559" s="1"/>
      <c r="D559" s="1"/>
      <c r="E559" s="1"/>
      <c r="F559" s="1"/>
      <c r="G559" s="1"/>
      <c r="H559" s="1"/>
      <c r="I559" s="1"/>
      <c r="J559" s="36"/>
      <c r="K559" s="36"/>
      <c r="L559" s="36"/>
      <c r="M559" s="36"/>
      <c r="N559" s="36"/>
      <c r="O559" s="5"/>
    </row>
    <row r="560" spans="1:15" ht="19.95" customHeight="1">
      <c r="A560" s="37" t="s">
        <v>91</v>
      </c>
      <c r="B560" s="38"/>
      <c r="C560" s="39"/>
      <c r="D560" s="2" t="s">
        <v>48</v>
      </c>
      <c r="E560" s="40"/>
      <c r="F560" s="41"/>
      <c r="G560" s="41"/>
      <c r="H560" s="41"/>
      <c r="I560" s="41"/>
      <c r="J560" s="41"/>
      <c r="K560" s="41"/>
      <c r="L560" s="41"/>
      <c r="M560" s="41"/>
      <c r="N560" s="41"/>
      <c r="O560" s="42"/>
    </row>
    <row r="561" spans="1:15" ht="21" customHeight="1">
      <c r="A561" s="37" t="s">
        <v>92</v>
      </c>
      <c r="B561" s="38"/>
      <c r="C561" s="39"/>
      <c r="D561" s="2" t="s">
        <v>48</v>
      </c>
      <c r="E561" s="40"/>
      <c r="F561" s="41"/>
      <c r="G561" s="41"/>
      <c r="H561" s="41"/>
      <c r="I561" s="41"/>
      <c r="J561" s="41"/>
      <c r="K561" s="41"/>
      <c r="L561" s="41"/>
      <c r="M561" s="41"/>
      <c r="N561" s="41"/>
      <c r="O561" s="42"/>
    </row>
    <row r="562" spans="1:15" ht="19.95" customHeight="1">
      <c r="A562" s="37" t="s">
        <v>93</v>
      </c>
      <c r="B562" s="38"/>
      <c r="C562" s="39"/>
      <c r="D562" s="2" t="s">
        <v>48</v>
      </c>
      <c r="E562" s="40"/>
      <c r="F562" s="41"/>
      <c r="G562" s="41"/>
      <c r="H562" s="41"/>
      <c r="I562" s="41"/>
      <c r="J562" s="41"/>
      <c r="K562" s="41"/>
      <c r="L562" s="41"/>
      <c r="M562" s="41"/>
      <c r="N562" s="41"/>
      <c r="O562" s="42"/>
    </row>
    <row r="563" spans="1:15" ht="19.95" customHeight="1">
      <c r="A563" s="43">
        <v>1</v>
      </c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5"/>
    </row>
    <row r="564" spans="1:15" ht="21" customHeight="1">
      <c r="A564" s="43">
        <v>2</v>
      </c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5"/>
    </row>
    <row r="565" spans="1:15" ht="19.5" customHeight="1">
      <c r="A565" s="37" t="s">
        <v>94</v>
      </c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9"/>
    </row>
    <row r="566" spans="1:15" ht="20.55" customHeight="1">
      <c r="A566" s="1"/>
      <c r="B566" s="1"/>
      <c r="C566" s="1"/>
      <c r="D566" s="1"/>
      <c r="E566" s="1"/>
      <c r="F566" s="1"/>
      <c r="G566" s="1"/>
      <c r="H566" s="1"/>
      <c r="I566" s="1"/>
      <c r="J566" s="36"/>
      <c r="K566" s="36"/>
      <c r="L566" s="36"/>
      <c r="M566" s="36"/>
      <c r="N566" s="36"/>
      <c r="O566" s="5"/>
    </row>
    <row r="567" spans="1:15" ht="22.05" customHeight="1">
      <c r="A567" s="18" t="s">
        <v>95</v>
      </c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20"/>
    </row>
    <row r="568" spans="1:15" ht="21" customHeight="1">
      <c r="A568" s="3" t="s">
        <v>96</v>
      </c>
      <c r="B568" s="18" t="s">
        <v>97</v>
      </c>
      <c r="C568" s="19"/>
      <c r="D568" s="19"/>
      <c r="E568" s="19"/>
      <c r="F568" s="20"/>
      <c r="G568" s="18" t="s">
        <v>98</v>
      </c>
      <c r="H568" s="20"/>
      <c r="I568" s="18" t="s">
        <v>99</v>
      </c>
      <c r="J568" s="19"/>
      <c r="K568" s="20"/>
      <c r="L568" s="21" t="s">
        <v>100</v>
      </c>
      <c r="M568" s="22"/>
      <c r="N568" s="22"/>
      <c r="O568" s="23"/>
    </row>
    <row r="569" spans="1:15" ht="21.45" customHeight="1">
      <c r="A569" s="24" t="s">
        <v>101</v>
      </c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6"/>
    </row>
    <row r="570" spans="1:15" ht="64.05" customHeight="1">
      <c r="A570" s="106" t="s">
        <v>0</v>
      </c>
      <c r="B570" s="107"/>
      <c r="C570" s="107"/>
      <c r="D570" s="107"/>
      <c r="E570" s="107"/>
      <c r="F570" s="107"/>
      <c r="G570" s="107"/>
      <c r="H570" s="107"/>
      <c r="I570" s="107"/>
      <c r="J570" s="108"/>
      <c r="K570" s="109" t="s">
        <v>1</v>
      </c>
      <c r="L570" s="110"/>
      <c r="M570" s="110"/>
      <c r="N570" s="110"/>
      <c r="O570" s="111"/>
    </row>
    <row r="571" spans="1:15" ht="23.55" customHeight="1">
      <c r="A571" s="101" t="s">
        <v>674</v>
      </c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3"/>
    </row>
    <row r="572" spans="1:15" ht="20.55" customHeight="1">
      <c r="A572" s="93"/>
      <c r="B572" s="93"/>
      <c r="C572" s="1"/>
      <c r="D572" s="93"/>
      <c r="E572" s="93"/>
      <c r="F572" s="93"/>
      <c r="G572" s="93"/>
      <c r="H572" s="93"/>
      <c r="I572" s="93"/>
      <c r="J572" s="5"/>
      <c r="K572" s="36"/>
      <c r="L572" s="36"/>
      <c r="M572" s="5"/>
      <c r="N572" s="5"/>
      <c r="O572" s="5"/>
    </row>
    <row r="573" spans="1:15" ht="37.049999999999997" customHeight="1">
      <c r="A573" s="101" t="s">
        <v>2</v>
      </c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3"/>
    </row>
    <row r="574" spans="1:15" ht="21" customHeight="1">
      <c r="A574" s="37" t="s">
        <v>3</v>
      </c>
      <c r="B574" s="38"/>
      <c r="C574" s="39"/>
      <c r="D574" s="90" t="s">
        <v>4</v>
      </c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2"/>
    </row>
    <row r="575" spans="1:15" ht="22.05" customHeight="1">
      <c r="A575" s="37" t="s">
        <v>5</v>
      </c>
      <c r="B575" s="38"/>
      <c r="C575" s="39"/>
      <c r="D575" s="90" t="s">
        <v>6</v>
      </c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2"/>
    </row>
    <row r="576" spans="1:15" ht="22.05" customHeight="1">
      <c r="A576" s="37" t="s">
        <v>7</v>
      </c>
      <c r="B576" s="38"/>
      <c r="C576" s="39"/>
      <c r="D576" s="90" t="s">
        <v>8</v>
      </c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2"/>
    </row>
    <row r="577" spans="1:15" ht="21" customHeight="1">
      <c r="A577" s="37" t="s">
        <v>9</v>
      </c>
      <c r="B577" s="38"/>
      <c r="C577" s="39"/>
      <c r="D577" s="90" t="s">
        <v>10</v>
      </c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2"/>
    </row>
    <row r="578" spans="1:15" ht="22.05" customHeight="1">
      <c r="A578" s="37" t="s">
        <v>11</v>
      </c>
      <c r="B578" s="38"/>
      <c r="C578" s="39"/>
      <c r="D578" s="90" t="s">
        <v>12</v>
      </c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2"/>
    </row>
    <row r="579" spans="1:15" ht="22.05" customHeight="1">
      <c r="A579" s="37" t="s">
        <v>13</v>
      </c>
      <c r="B579" s="38"/>
      <c r="C579" s="39"/>
      <c r="D579" s="90" t="s">
        <v>161</v>
      </c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2"/>
    </row>
    <row r="580" spans="1:15" ht="21" customHeight="1">
      <c r="A580" s="37" t="s">
        <v>15</v>
      </c>
      <c r="B580" s="38"/>
      <c r="C580" s="39"/>
      <c r="D580" s="127" t="s">
        <v>692</v>
      </c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2"/>
    </row>
    <row r="581" spans="1:15" ht="22.05" customHeight="1">
      <c r="A581" s="37" t="s">
        <v>17</v>
      </c>
      <c r="B581" s="38"/>
      <c r="C581" s="39"/>
      <c r="D581" s="90" t="s">
        <v>10</v>
      </c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2"/>
    </row>
    <row r="582" spans="1:15" ht="22.05" customHeight="1">
      <c r="A582" s="37" t="s">
        <v>18</v>
      </c>
      <c r="B582" s="38"/>
      <c r="C582" s="39"/>
      <c r="D582" s="90" t="s">
        <v>10</v>
      </c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2"/>
    </row>
    <row r="583" spans="1:15" ht="22.05" customHeight="1">
      <c r="A583" s="37" t="s">
        <v>19</v>
      </c>
      <c r="B583" s="38"/>
      <c r="C583" s="39"/>
      <c r="D583" s="90" t="s">
        <v>20</v>
      </c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2"/>
    </row>
    <row r="584" spans="1:15" ht="21" customHeight="1">
      <c r="A584" s="37" t="s">
        <v>21</v>
      </c>
      <c r="B584" s="38"/>
      <c r="C584" s="39"/>
      <c r="D584" s="90" t="s">
        <v>22</v>
      </c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2"/>
    </row>
    <row r="585" spans="1:15" ht="22.05" customHeight="1">
      <c r="A585" s="37" t="s">
        <v>23</v>
      </c>
      <c r="B585" s="38"/>
      <c r="C585" s="39"/>
      <c r="D585" s="90" t="s">
        <v>24</v>
      </c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2"/>
    </row>
    <row r="586" spans="1:15" ht="22.05" customHeight="1">
      <c r="A586" s="37" t="s">
        <v>25</v>
      </c>
      <c r="B586" s="38"/>
      <c r="C586" s="39"/>
      <c r="D586" s="90" t="s">
        <v>26</v>
      </c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2"/>
    </row>
    <row r="587" spans="1:15" ht="21" customHeight="1">
      <c r="A587" s="37" t="s">
        <v>670</v>
      </c>
      <c r="B587" s="38"/>
      <c r="C587" s="39"/>
      <c r="D587" s="90" t="s">
        <v>27</v>
      </c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2"/>
    </row>
    <row r="588" spans="1:15" ht="22.05" customHeight="1">
      <c r="A588" s="37" t="s">
        <v>675</v>
      </c>
      <c r="B588" s="38"/>
      <c r="C588" s="39"/>
      <c r="D588" s="90" t="s">
        <v>233</v>
      </c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2"/>
    </row>
    <row r="589" spans="1:15" ht="21.45" customHeight="1">
      <c r="A589" s="37" t="s">
        <v>676</v>
      </c>
      <c r="B589" s="38"/>
      <c r="C589" s="39"/>
      <c r="D589" s="90" t="s">
        <v>234</v>
      </c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2"/>
    </row>
    <row r="590" spans="1:15" ht="20.55" customHeight="1">
      <c r="A590" s="93"/>
      <c r="B590" s="93"/>
      <c r="C590" s="1"/>
      <c r="D590" s="93"/>
      <c r="E590" s="93"/>
      <c r="F590" s="93"/>
      <c r="G590" s="93"/>
      <c r="H590" s="93"/>
      <c r="I590" s="93"/>
      <c r="J590" s="5"/>
      <c r="K590" s="36"/>
      <c r="L590" s="36"/>
      <c r="M590" s="5"/>
      <c r="N590" s="5"/>
      <c r="O590" s="5"/>
    </row>
    <row r="591" spans="1:15" ht="22.95" customHeight="1">
      <c r="A591" s="101" t="s">
        <v>29</v>
      </c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3"/>
    </row>
    <row r="592" spans="1:15" ht="24" customHeight="1">
      <c r="A592" s="101" t="s">
        <v>30</v>
      </c>
      <c r="B592" s="102"/>
      <c r="C592" s="103"/>
      <c r="D592" s="101" t="s">
        <v>31</v>
      </c>
      <c r="E592" s="102"/>
      <c r="F592" s="102"/>
      <c r="G592" s="102"/>
      <c r="H592" s="102"/>
      <c r="I592" s="102"/>
      <c r="J592" s="102"/>
      <c r="K592" s="102"/>
      <c r="L592" s="102"/>
      <c r="M592" s="103"/>
      <c r="N592" s="104" t="s">
        <v>32</v>
      </c>
      <c r="O592" s="105"/>
    </row>
    <row r="593" spans="1:15" ht="21" customHeight="1">
      <c r="A593" s="37" t="s">
        <v>33</v>
      </c>
      <c r="B593" s="38"/>
      <c r="C593" s="39"/>
      <c r="D593" s="37" t="s">
        <v>34</v>
      </c>
      <c r="E593" s="38"/>
      <c r="F593" s="38"/>
      <c r="G593" s="38"/>
      <c r="H593" s="38"/>
      <c r="I593" s="38"/>
      <c r="J593" s="38"/>
      <c r="K593" s="38"/>
      <c r="L593" s="38"/>
      <c r="M593" s="39"/>
      <c r="N593" s="97" t="s">
        <v>35</v>
      </c>
      <c r="O593" s="98"/>
    </row>
    <row r="594" spans="1:15" ht="19.95" customHeight="1">
      <c r="A594" s="37" t="s">
        <v>36</v>
      </c>
      <c r="B594" s="38"/>
      <c r="C594" s="39"/>
      <c r="D594" s="37" t="s">
        <v>37</v>
      </c>
      <c r="E594" s="38"/>
      <c r="F594" s="38"/>
      <c r="G594" s="38"/>
      <c r="H594" s="38"/>
      <c r="I594" s="38"/>
      <c r="J594" s="38"/>
      <c r="K594" s="38"/>
      <c r="L594" s="38"/>
      <c r="M594" s="39"/>
      <c r="N594" s="97">
        <v>44000000</v>
      </c>
      <c r="O594" s="98"/>
    </row>
    <row r="595" spans="1:15" ht="19.95" customHeight="1">
      <c r="A595" s="37" t="s">
        <v>38</v>
      </c>
      <c r="B595" s="38"/>
      <c r="C595" s="39"/>
      <c r="D595" s="37" t="s">
        <v>235</v>
      </c>
      <c r="E595" s="38"/>
      <c r="F595" s="38"/>
      <c r="G595" s="38"/>
      <c r="H595" s="38"/>
      <c r="I595" s="38"/>
      <c r="J595" s="38"/>
      <c r="K595" s="38"/>
      <c r="L595" s="38"/>
      <c r="M595" s="39"/>
      <c r="N595" s="97" t="s">
        <v>236</v>
      </c>
      <c r="O595" s="98"/>
    </row>
    <row r="596" spans="1:15" ht="20.55" customHeight="1">
      <c r="A596" s="37" t="s">
        <v>41</v>
      </c>
      <c r="B596" s="38"/>
      <c r="C596" s="39"/>
      <c r="D596" s="37" t="s">
        <v>167</v>
      </c>
      <c r="E596" s="38"/>
      <c r="F596" s="38"/>
      <c r="G596" s="38"/>
      <c r="H596" s="38"/>
      <c r="I596" s="38"/>
      <c r="J596" s="38"/>
      <c r="K596" s="38"/>
      <c r="L596" s="38"/>
      <c r="M596" s="39"/>
      <c r="N596" s="99">
        <v>0.87</v>
      </c>
      <c r="O596" s="100"/>
    </row>
    <row r="597" spans="1:15" ht="20.55" customHeight="1">
      <c r="A597" s="93"/>
      <c r="B597" s="93"/>
      <c r="C597" s="1"/>
      <c r="D597" s="93"/>
      <c r="E597" s="93"/>
      <c r="F597" s="93"/>
      <c r="G597" s="93"/>
      <c r="H597" s="93"/>
      <c r="I597" s="93"/>
      <c r="J597" s="5"/>
      <c r="K597" s="36"/>
      <c r="L597" s="36"/>
      <c r="M597" s="5"/>
      <c r="N597" s="5"/>
      <c r="O597" s="5"/>
    </row>
    <row r="598" spans="1:15" ht="37.049999999999997" customHeight="1">
      <c r="A598" s="101" t="s">
        <v>43</v>
      </c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3"/>
    </row>
    <row r="599" spans="1:15" ht="21" customHeight="1">
      <c r="A599" s="37" t="s">
        <v>15</v>
      </c>
      <c r="B599" s="38"/>
      <c r="C599" s="39"/>
      <c r="D599" s="90" t="s">
        <v>232</v>
      </c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2"/>
    </row>
    <row r="600" spans="1:15" ht="19.95" customHeight="1">
      <c r="A600" s="37" t="s">
        <v>19</v>
      </c>
      <c r="B600" s="38"/>
      <c r="C600" s="39"/>
      <c r="D600" s="90" t="s">
        <v>20</v>
      </c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2"/>
    </row>
    <row r="601" spans="1:15" ht="19.95" customHeight="1">
      <c r="A601" s="37" t="s">
        <v>21</v>
      </c>
      <c r="B601" s="38"/>
      <c r="C601" s="39"/>
      <c r="D601" s="90" t="s">
        <v>44</v>
      </c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2"/>
    </row>
    <row r="602" spans="1:15" ht="21" customHeight="1">
      <c r="A602" s="37" t="s">
        <v>45</v>
      </c>
      <c r="B602" s="38"/>
      <c r="C602" s="39"/>
      <c r="D602" s="90" t="s">
        <v>237</v>
      </c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2"/>
    </row>
    <row r="603" spans="1:15" ht="19.95" customHeight="1">
      <c r="A603" s="37" t="s">
        <v>23</v>
      </c>
      <c r="B603" s="38"/>
      <c r="C603" s="39"/>
      <c r="D603" s="90" t="s">
        <v>24</v>
      </c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2"/>
    </row>
    <row r="604" spans="1:15" ht="19.5" customHeight="1">
      <c r="A604" s="37" t="s">
        <v>47</v>
      </c>
      <c r="B604" s="38"/>
      <c r="C604" s="39"/>
      <c r="D604" s="90" t="s">
        <v>48</v>
      </c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2"/>
    </row>
    <row r="605" spans="1:15" ht="20.55" customHeight="1">
      <c r="A605" s="93"/>
      <c r="B605" s="93"/>
      <c r="C605" s="1"/>
      <c r="D605" s="93"/>
      <c r="E605" s="93"/>
      <c r="F605" s="93"/>
      <c r="G605" s="93"/>
      <c r="H605" s="93"/>
      <c r="I605" s="93"/>
      <c r="J605" s="5"/>
      <c r="K605" s="36"/>
      <c r="L605" s="36"/>
      <c r="M605" s="5"/>
      <c r="N605" s="5"/>
      <c r="O605" s="5"/>
    </row>
    <row r="606" spans="1:15" ht="37.950000000000003" customHeight="1">
      <c r="A606" s="87" t="s">
        <v>49</v>
      </c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9"/>
    </row>
    <row r="607" spans="1:15" ht="19.95" customHeight="1">
      <c r="A607" s="61" t="s">
        <v>50</v>
      </c>
      <c r="B607" s="62"/>
      <c r="C607" s="65" t="s">
        <v>51</v>
      </c>
      <c r="D607" s="66"/>
      <c r="E607" s="67"/>
      <c r="F607" s="71" t="s">
        <v>52</v>
      </c>
      <c r="G607" s="72"/>
      <c r="H607" s="72"/>
      <c r="I607" s="72"/>
      <c r="J607" s="72"/>
      <c r="K607" s="72"/>
      <c r="L607" s="72"/>
      <c r="M607" s="72"/>
      <c r="N607" s="73"/>
      <c r="O607" s="74" t="s">
        <v>53</v>
      </c>
    </row>
    <row r="608" spans="1:15" ht="21" customHeight="1">
      <c r="A608" s="63"/>
      <c r="B608" s="64"/>
      <c r="C608" s="68"/>
      <c r="D608" s="69"/>
      <c r="E608" s="70"/>
      <c r="F608" s="76" t="s">
        <v>54</v>
      </c>
      <c r="G608" s="77"/>
      <c r="H608" s="71" t="s">
        <v>55</v>
      </c>
      <c r="I608" s="73"/>
      <c r="J608" s="94" t="s">
        <v>56</v>
      </c>
      <c r="K608" s="95"/>
      <c r="L608" s="96"/>
      <c r="M608" s="80" t="s">
        <v>57</v>
      </c>
      <c r="N608" s="82"/>
      <c r="O608" s="75"/>
    </row>
    <row r="609" spans="1:15" ht="19.95" customHeight="1">
      <c r="A609" s="83">
        <v>5</v>
      </c>
      <c r="B609" s="84"/>
      <c r="C609" s="46" t="s">
        <v>58</v>
      </c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8"/>
      <c r="O609" s="6">
        <v>44000000</v>
      </c>
    </row>
    <row r="610" spans="1:15" ht="19.95" customHeight="1">
      <c r="A610" s="46" t="s">
        <v>59</v>
      </c>
      <c r="B610" s="48"/>
      <c r="C610" s="46" t="s">
        <v>60</v>
      </c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8"/>
      <c r="O610" s="6">
        <v>44000000</v>
      </c>
    </row>
    <row r="611" spans="1:15" ht="21" customHeight="1">
      <c r="A611" s="85">
        <v>37377</v>
      </c>
      <c r="B611" s="86"/>
      <c r="C611" s="46" t="s">
        <v>61</v>
      </c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8"/>
      <c r="O611" s="6">
        <v>44000000</v>
      </c>
    </row>
    <row r="612" spans="1:15" ht="19.95" customHeight="1">
      <c r="A612" s="46" t="s">
        <v>138</v>
      </c>
      <c r="B612" s="48"/>
      <c r="C612" s="46" t="s">
        <v>139</v>
      </c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8"/>
      <c r="O612" s="6">
        <v>44000000</v>
      </c>
    </row>
    <row r="613" spans="1:15" ht="19.95" customHeight="1">
      <c r="A613" s="46" t="s">
        <v>238</v>
      </c>
      <c r="B613" s="48"/>
      <c r="C613" s="46" t="s">
        <v>239</v>
      </c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8"/>
      <c r="O613" s="6">
        <v>44000000</v>
      </c>
    </row>
    <row r="614" spans="1:15" ht="31.05" customHeight="1">
      <c r="A614" s="30" t="s">
        <v>240</v>
      </c>
      <c r="B614" s="32"/>
      <c r="C614" s="46" t="s">
        <v>241</v>
      </c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8"/>
      <c r="O614" s="6">
        <v>44000000</v>
      </c>
    </row>
    <row r="615" spans="1:15" ht="31.05" customHeight="1">
      <c r="A615" s="40"/>
      <c r="B615" s="42"/>
      <c r="C615" s="30" t="s">
        <v>242</v>
      </c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2"/>
      <c r="O615" s="6">
        <v>44000000</v>
      </c>
    </row>
    <row r="616" spans="1:15" ht="20.25" customHeight="1">
      <c r="A616" s="40"/>
      <c r="B616" s="42"/>
      <c r="C616" s="46" t="s">
        <v>243</v>
      </c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8"/>
      <c r="O616" s="6">
        <v>44000000</v>
      </c>
    </row>
    <row r="617" spans="1:15" ht="37.950000000000003" customHeight="1">
      <c r="A617" s="87" t="s">
        <v>49</v>
      </c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9"/>
    </row>
    <row r="618" spans="1:15" ht="19.95" customHeight="1">
      <c r="A618" s="61" t="s">
        <v>50</v>
      </c>
      <c r="B618" s="62"/>
      <c r="C618" s="65" t="s">
        <v>51</v>
      </c>
      <c r="D618" s="66"/>
      <c r="E618" s="67"/>
      <c r="F618" s="71" t="s">
        <v>52</v>
      </c>
      <c r="G618" s="72"/>
      <c r="H618" s="72"/>
      <c r="I618" s="72"/>
      <c r="J618" s="72"/>
      <c r="K618" s="72"/>
      <c r="L618" s="72"/>
      <c r="M618" s="72"/>
      <c r="N618" s="73"/>
      <c r="O618" s="74" t="s">
        <v>53</v>
      </c>
    </row>
    <row r="619" spans="1:15" ht="21" customHeight="1">
      <c r="A619" s="63"/>
      <c r="B619" s="64"/>
      <c r="C619" s="68"/>
      <c r="D619" s="69"/>
      <c r="E619" s="70"/>
      <c r="F619" s="76" t="s">
        <v>54</v>
      </c>
      <c r="G619" s="77"/>
      <c r="H619" s="71" t="s">
        <v>55</v>
      </c>
      <c r="I619" s="73"/>
      <c r="J619" s="78" t="s">
        <v>56</v>
      </c>
      <c r="K619" s="79"/>
      <c r="L619" s="80" t="s">
        <v>57</v>
      </c>
      <c r="M619" s="81"/>
      <c r="N619" s="82"/>
      <c r="O619" s="75"/>
    </row>
    <row r="620" spans="1:15" ht="70.05" customHeight="1">
      <c r="A620" s="30"/>
      <c r="B620" s="32"/>
      <c r="C620" s="49" t="s">
        <v>244</v>
      </c>
      <c r="D620" s="50"/>
      <c r="E620" s="51"/>
      <c r="F620" s="52">
        <v>8</v>
      </c>
      <c r="G620" s="53"/>
      <c r="H620" s="54" t="s">
        <v>245</v>
      </c>
      <c r="I620" s="55"/>
      <c r="J620" s="56">
        <v>3000000</v>
      </c>
      <c r="K620" s="57"/>
      <c r="L620" s="58">
        <v>0</v>
      </c>
      <c r="M620" s="59"/>
      <c r="N620" s="60"/>
      <c r="O620" s="9">
        <v>24000000</v>
      </c>
    </row>
    <row r="621" spans="1:15" ht="70.95" customHeight="1">
      <c r="A621" s="30"/>
      <c r="B621" s="32"/>
      <c r="C621" s="49" t="s">
        <v>244</v>
      </c>
      <c r="D621" s="50"/>
      <c r="E621" s="51"/>
      <c r="F621" s="52">
        <v>4</v>
      </c>
      <c r="G621" s="53"/>
      <c r="H621" s="54" t="s">
        <v>245</v>
      </c>
      <c r="I621" s="55"/>
      <c r="J621" s="56">
        <v>5000000</v>
      </c>
      <c r="K621" s="57"/>
      <c r="L621" s="58">
        <v>0</v>
      </c>
      <c r="M621" s="59"/>
      <c r="N621" s="60"/>
      <c r="O621" s="9">
        <v>20000000</v>
      </c>
    </row>
    <row r="622" spans="1:15" ht="21" customHeight="1">
      <c r="A622" s="27" t="s">
        <v>89</v>
      </c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9"/>
      <c r="O622" s="6">
        <v>44000000</v>
      </c>
    </row>
    <row r="623" spans="1:15" ht="153" customHeight="1">
      <c r="A623" s="30"/>
      <c r="B623" s="31"/>
      <c r="C623" s="31"/>
      <c r="D623" s="31"/>
      <c r="E623" s="31"/>
      <c r="F623" s="31"/>
      <c r="G623" s="32"/>
      <c r="H623" s="33" t="s">
        <v>90</v>
      </c>
      <c r="I623" s="34"/>
      <c r="J623" s="34"/>
      <c r="K623" s="34"/>
      <c r="L623" s="34"/>
      <c r="M623" s="34"/>
      <c r="N623" s="34"/>
      <c r="O623" s="35"/>
    </row>
    <row r="624" spans="1:15" ht="20.55" customHeight="1">
      <c r="A624" s="1"/>
      <c r="B624" s="1"/>
      <c r="C624" s="1"/>
      <c r="D624" s="1"/>
      <c r="E624" s="1"/>
      <c r="F624" s="1"/>
      <c r="G624" s="1"/>
      <c r="H624" s="1"/>
      <c r="I624" s="1"/>
      <c r="J624" s="36"/>
      <c r="K624" s="36"/>
      <c r="L624" s="36"/>
      <c r="M624" s="36"/>
      <c r="N624" s="36"/>
      <c r="O624" s="5"/>
    </row>
    <row r="625" spans="1:15" ht="19.95" customHeight="1">
      <c r="A625" s="37" t="s">
        <v>91</v>
      </c>
      <c r="B625" s="38"/>
      <c r="C625" s="39"/>
      <c r="D625" s="2" t="s">
        <v>48</v>
      </c>
      <c r="E625" s="40"/>
      <c r="F625" s="41"/>
      <c r="G625" s="41"/>
      <c r="H625" s="41"/>
      <c r="I625" s="41"/>
      <c r="J625" s="41"/>
      <c r="K625" s="41"/>
      <c r="L625" s="41"/>
      <c r="M625" s="41"/>
      <c r="N625" s="41"/>
      <c r="O625" s="42"/>
    </row>
    <row r="626" spans="1:15" ht="21" customHeight="1">
      <c r="A626" s="37" t="s">
        <v>92</v>
      </c>
      <c r="B626" s="38"/>
      <c r="C626" s="39"/>
      <c r="D626" s="2" t="s">
        <v>48</v>
      </c>
      <c r="E626" s="40"/>
      <c r="F626" s="41"/>
      <c r="G626" s="41"/>
      <c r="H626" s="41"/>
      <c r="I626" s="41"/>
      <c r="J626" s="41"/>
      <c r="K626" s="41"/>
      <c r="L626" s="41"/>
      <c r="M626" s="41"/>
      <c r="N626" s="41"/>
      <c r="O626" s="42"/>
    </row>
    <row r="627" spans="1:15" ht="19.95" customHeight="1">
      <c r="A627" s="37" t="s">
        <v>93</v>
      </c>
      <c r="B627" s="38"/>
      <c r="C627" s="39"/>
      <c r="D627" s="2" t="s">
        <v>48</v>
      </c>
      <c r="E627" s="40"/>
      <c r="F627" s="41"/>
      <c r="G627" s="41"/>
      <c r="H627" s="41"/>
      <c r="I627" s="41"/>
      <c r="J627" s="41"/>
      <c r="K627" s="41"/>
      <c r="L627" s="41"/>
      <c r="M627" s="41"/>
      <c r="N627" s="41"/>
      <c r="O627" s="42"/>
    </row>
    <row r="628" spans="1:15" ht="21" customHeight="1">
      <c r="A628" s="43">
        <v>1</v>
      </c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5"/>
    </row>
    <row r="629" spans="1:15" ht="19.95" customHeight="1">
      <c r="A629" s="43">
        <v>2</v>
      </c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5"/>
    </row>
    <row r="630" spans="1:15" ht="19.5" customHeight="1">
      <c r="A630" s="37" t="s">
        <v>94</v>
      </c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9"/>
    </row>
    <row r="631" spans="1:15" ht="20.55" customHeight="1">
      <c r="A631" s="1"/>
      <c r="B631" s="1"/>
      <c r="C631" s="1"/>
      <c r="D631" s="1"/>
      <c r="E631" s="1"/>
      <c r="F631" s="1"/>
      <c r="G631" s="1"/>
      <c r="H631" s="1"/>
      <c r="I631" s="1"/>
      <c r="J631" s="36"/>
      <c r="K631" s="36"/>
      <c r="L631" s="36"/>
      <c r="M631" s="36"/>
      <c r="N631" s="36"/>
      <c r="O631" s="5"/>
    </row>
    <row r="632" spans="1:15" ht="22.05" customHeight="1">
      <c r="A632" s="18" t="s">
        <v>95</v>
      </c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20"/>
    </row>
    <row r="633" spans="1:15" ht="21" customHeight="1">
      <c r="A633" s="3" t="s">
        <v>96</v>
      </c>
      <c r="B633" s="18" t="s">
        <v>97</v>
      </c>
      <c r="C633" s="19"/>
      <c r="D633" s="19"/>
      <c r="E633" s="19"/>
      <c r="F633" s="20"/>
      <c r="G633" s="18" t="s">
        <v>98</v>
      </c>
      <c r="H633" s="20"/>
      <c r="I633" s="18" t="s">
        <v>99</v>
      </c>
      <c r="J633" s="19"/>
      <c r="K633" s="20"/>
      <c r="L633" s="21" t="s">
        <v>100</v>
      </c>
      <c r="M633" s="22"/>
      <c r="N633" s="22"/>
      <c r="O633" s="23"/>
    </row>
    <row r="634" spans="1:15" ht="21.75" customHeight="1">
      <c r="A634" s="24" t="s">
        <v>101</v>
      </c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6"/>
    </row>
    <row r="635" spans="1:15" ht="64.05" customHeight="1">
      <c r="A635" s="106" t="s">
        <v>0</v>
      </c>
      <c r="B635" s="107"/>
      <c r="C635" s="107"/>
      <c r="D635" s="107"/>
      <c r="E635" s="107"/>
      <c r="F635" s="107"/>
      <c r="G635" s="107"/>
      <c r="H635" s="107"/>
      <c r="I635" s="107"/>
      <c r="J635" s="108"/>
      <c r="K635" s="109" t="s">
        <v>1</v>
      </c>
      <c r="L635" s="110"/>
      <c r="M635" s="110"/>
      <c r="N635" s="110"/>
      <c r="O635" s="111"/>
    </row>
    <row r="636" spans="1:15" ht="23.55" customHeight="1">
      <c r="A636" s="101" t="s">
        <v>674</v>
      </c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3"/>
    </row>
    <row r="637" spans="1:15" ht="20.5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36"/>
      <c r="L637" s="36"/>
      <c r="M637" s="36"/>
      <c r="N637" s="36"/>
      <c r="O637" s="36"/>
    </row>
    <row r="638" spans="1:15" ht="37.049999999999997" customHeight="1">
      <c r="A638" s="101" t="s">
        <v>2</v>
      </c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3"/>
    </row>
    <row r="639" spans="1:15" ht="21" customHeight="1">
      <c r="A639" s="37" t="s">
        <v>3</v>
      </c>
      <c r="B639" s="38"/>
      <c r="C639" s="39"/>
      <c r="D639" s="90" t="s">
        <v>4</v>
      </c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2"/>
    </row>
    <row r="640" spans="1:15" ht="22.05" customHeight="1">
      <c r="A640" s="37" t="s">
        <v>5</v>
      </c>
      <c r="B640" s="38"/>
      <c r="C640" s="39"/>
      <c r="D640" s="90" t="s">
        <v>6</v>
      </c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2"/>
    </row>
    <row r="641" spans="1:15" ht="22.05" customHeight="1">
      <c r="A641" s="37" t="s">
        <v>7</v>
      </c>
      <c r="B641" s="38"/>
      <c r="C641" s="39"/>
      <c r="D641" s="90" t="s">
        <v>8</v>
      </c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2"/>
    </row>
    <row r="642" spans="1:15" ht="21" customHeight="1">
      <c r="A642" s="37" t="s">
        <v>9</v>
      </c>
      <c r="B642" s="38"/>
      <c r="C642" s="39"/>
      <c r="D642" s="90" t="s">
        <v>10</v>
      </c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2"/>
    </row>
    <row r="643" spans="1:15" ht="22.05" customHeight="1">
      <c r="A643" s="37" t="s">
        <v>11</v>
      </c>
      <c r="B643" s="38"/>
      <c r="C643" s="39"/>
      <c r="D643" s="90" t="s">
        <v>12</v>
      </c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2"/>
    </row>
    <row r="644" spans="1:15" ht="22.05" customHeight="1">
      <c r="A644" s="37" t="s">
        <v>13</v>
      </c>
      <c r="B644" s="38"/>
      <c r="C644" s="39"/>
      <c r="D644" s="90" t="s">
        <v>246</v>
      </c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2"/>
    </row>
    <row r="645" spans="1:15" ht="42" customHeight="1">
      <c r="A645" s="37" t="s">
        <v>15</v>
      </c>
      <c r="B645" s="38"/>
      <c r="C645" s="39"/>
      <c r="D645" s="131" t="s">
        <v>693</v>
      </c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2"/>
    </row>
    <row r="646" spans="1:15" ht="22.05" customHeight="1">
      <c r="A646" s="37" t="s">
        <v>17</v>
      </c>
      <c r="B646" s="38"/>
      <c r="C646" s="39"/>
      <c r="D646" s="90" t="s">
        <v>10</v>
      </c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2"/>
    </row>
    <row r="647" spans="1:15" ht="22.05" customHeight="1">
      <c r="A647" s="37" t="s">
        <v>18</v>
      </c>
      <c r="B647" s="38"/>
      <c r="C647" s="39"/>
      <c r="D647" s="90" t="s">
        <v>10</v>
      </c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2"/>
    </row>
    <row r="648" spans="1:15" ht="21" customHeight="1">
      <c r="A648" s="37" t="s">
        <v>19</v>
      </c>
      <c r="B648" s="38"/>
      <c r="C648" s="39"/>
      <c r="D648" s="90" t="s">
        <v>20</v>
      </c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2"/>
    </row>
    <row r="649" spans="1:15" ht="22.05" customHeight="1">
      <c r="A649" s="37" t="s">
        <v>21</v>
      </c>
      <c r="B649" s="38"/>
      <c r="C649" s="39"/>
      <c r="D649" s="90" t="s">
        <v>22</v>
      </c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2"/>
    </row>
    <row r="650" spans="1:15" ht="22.05" customHeight="1">
      <c r="A650" s="37" t="s">
        <v>23</v>
      </c>
      <c r="B650" s="38"/>
      <c r="C650" s="39"/>
      <c r="D650" s="90" t="s">
        <v>24</v>
      </c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2"/>
    </row>
    <row r="651" spans="1:15" ht="21" customHeight="1">
      <c r="A651" s="37" t="s">
        <v>25</v>
      </c>
      <c r="B651" s="38"/>
      <c r="C651" s="39"/>
      <c r="D651" s="90" t="s">
        <v>26</v>
      </c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2"/>
    </row>
    <row r="652" spans="1:15" ht="22.05" customHeight="1">
      <c r="A652" s="37" t="s">
        <v>670</v>
      </c>
      <c r="B652" s="38"/>
      <c r="C652" s="39"/>
      <c r="D652" s="90" t="s">
        <v>27</v>
      </c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2"/>
    </row>
    <row r="653" spans="1:15" ht="22.05" customHeight="1">
      <c r="A653" s="37" t="s">
        <v>675</v>
      </c>
      <c r="B653" s="38"/>
      <c r="C653" s="39"/>
      <c r="D653" s="90" t="s">
        <v>248</v>
      </c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2"/>
    </row>
    <row r="654" spans="1:15" ht="20.55" customHeight="1">
      <c r="A654" s="37" t="s">
        <v>676</v>
      </c>
      <c r="B654" s="38"/>
      <c r="C654" s="39"/>
      <c r="D654" s="90" t="s">
        <v>249</v>
      </c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2"/>
    </row>
    <row r="655" spans="1:15" ht="20.5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36"/>
      <c r="L655" s="36"/>
      <c r="M655" s="36"/>
      <c r="N655" s="36"/>
      <c r="O655" s="36"/>
    </row>
    <row r="656" spans="1:15" ht="24" customHeight="1">
      <c r="A656" s="101" t="s">
        <v>29</v>
      </c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3"/>
    </row>
    <row r="657" spans="1:15" ht="24" customHeight="1">
      <c r="A657" s="101" t="s">
        <v>30</v>
      </c>
      <c r="B657" s="102"/>
      <c r="C657" s="103"/>
      <c r="D657" s="101" t="s">
        <v>31</v>
      </c>
      <c r="E657" s="102"/>
      <c r="F657" s="102"/>
      <c r="G657" s="102"/>
      <c r="H657" s="102"/>
      <c r="I657" s="102"/>
      <c r="J657" s="102"/>
      <c r="K657" s="102"/>
      <c r="L657" s="102"/>
      <c r="M657" s="103"/>
      <c r="N657" s="104" t="s">
        <v>32</v>
      </c>
      <c r="O657" s="105"/>
    </row>
    <row r="658" spans="1:15" ht="19.95" customHeight="1">
      <c r="A658" s="37" t="s">
        <v>33</v>
      </c>
      <c r="B658" s="38"/>
      <c r="C658" s="39"/>
      <c r="D658" s="37" t="s">
        <v>34</v>
      </c>
      <c r="E658" s="38"/>
      <c r="F658" s="38"/>
      <c r="G658" s="38"/>
      <c r="H658" s="38"/>
      <c r="I658" s="38"/>
      <c r="J658" s="38"/>
      <c r="K658" s="38"/>
      <c r="L658" s="38"/>
      <c r="M658" s="39"/>
      <c r="N658" s="97" t="s">
        <v>35</v>
      </c>
      <c r="O658" s="98"/>
    </row>
    <row r="659" spans="1:15" ht="21" customHeight="1">
      <c r="A659" s="37" t="s">
        <v>36</v>
      </c>
      <c r="B659" s="38"/>
      <c r="C659" s="39"/>
      <c r="D659" s="37" t="s">
        <v>37</v>
      </c>
      <c r="E659" s="38"/>
      <c r="F659" s="38"/>
      <c r="G659" s="38"/>
      <c r="H659" s="38"/>
      <c r="I659" s="38"/>
      <c r="J659" s="38"/>
      <c r="K659" s="38"/>
      <c r="L659" s="38"/>
      <c r="M659" s="39"/>
      <c r="N659" s="97">
        <f>O673</f>
        <v>50304000</v>
      </c>
      <c r="O659" s="98"/>
    </row>
    <row r="660" spans="1:15" ht="19.95" customHeight="1">
      <c r="A660" s="37" t="s">
        <v>38</v>
      </c>
      <c r="B660" s="38"/>
      <c r="C660" s="39"/>
      <c r="D660" s="37" t="s">
        <v>250</v>
      </c>
      <c r="E660" s="38"/>
      <c r="F660" s="38"/>
      <c r="G660" s="38"/>
      <c r="H660" s="38"/>
      <c r="I660" s="38"/>
      <c r="J660" s="38"/>
      <c r="K660" s="38"/>
      <c r="L660" s="38"/>
      <c r="M660" s="39"/>
      <c r="N660" s="97" t="s">
        <v>251</v>
      </c>
      <c r="O660" s="98"/>
    </row>
    <row r="661" spans="1:15" ht="19.5" customHeight="1">
      <c r="A661" s="37" t="s">
        <v>41</v>
      </c>
      <c r="B661" s="38"/>
      <c r="C661" s="39"/>
      <c r="D661" s="37" t="s">
        <v>252</v>
      </c>
      <c r="E661" s="38"/>
      <c r="F661" s="38"/>
      <c r="G661" s="38"/>
      <c r="H661" s="38"/>
      <c r="I661" s="38"/>
      <c r="J661" s="38"/>
      <c r="K661" s="38"/>
      <c r="L661" s="38"/>
      <c r="M661" s="39"/>
      <c r="N661" s="99">
        <v>0.97</v>
      </c>
      <c r="O661" s="100"/>
    </row>
    <row r="662" spans="1:15" ht="20.5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36"/>
      <c r="L662" s="36"/>
      <c r="M662" s="36"/>
      <c r="N662" s="36"/>
      <c r="O662" s="36"/>
    </row>
    <row r="663" spans="1:15" ht="37.950000000000003" customHeight="1">
      <c r="A663" s="101" t="s">
        <v>43</v>
      </c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3"/>
    </row>
    <row r="664" spans="1:15" ht="40.950000000000003" customHeight="1">
      <c r="A664" s="37" t="s">
        <v>15</v>
      </c>
      <c r="B664" s="38"/>
      <c r="C664" s="39"/>
      <c r="D664" s="30" t="s">
        <v>247</v>
      </c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2"/>
    </row>
    <row r="665" spans="1:15" ht="19.95" customHeight="1">
      <c r="A665" s="37" t="s">
        <v>19</v>
      </c>
      <c r="B665" s="38"/>
      <c r="C665" s="39"/>
      <c r="D665" s="90" t="s">
        <v>20</v>
      </c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2"/>
    </row>
    <row r="666" spans="1:15" ht="21" customHeight="1">
      <c r="A666" s="37" t="s">
        <v>21</v>
      </c>
      <c r="B666" s="38"/>
      <c r="C666" s="39"/>
      <c r="D666" s="90" t="s">
        <v>44</v>
      </c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2"/>
    </row>
    <row r="667" spans="1:15" ht="19.95" customHeight="1">
      <c r="A667" s="37" t="s">
        <v>45</v>
      </c>
      <c r="B667" s="38"/>
      <c r="C667" s="39"/>
      <c r="D667" s="90" t="s">
        <v>253</v>
      </c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2"/>
    </row>
    <row r="668" spans="1:15" ht="19.95" customHeight="1">
      <c r="A668" s="37" t="s">
        <v>23</v>
      </c>
      <c r="B668" s="38"/>
      <c r="C668" s="39"/>
      <c r="D668" s="90" t="s">
        <v>24</v>
      </c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2"/>
    </row>
    <row r="669" spans="1:15" ht="20.7" customHeight="1">
      <c r="A669" s="37" t="s">
        <v>47</v>
      </c>
      <c r="B669" s="38"/>
      <c r="C669" s="39"/>
      <c r="D669" s="90" t="s">
        <v>48</v>
      </c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2"/>
    </row>
    <row r="670" spans="1:15" ht="37.950000000000003" customHeight="1">
      <c r="A670" s="87" t="s">
        <v>49</v>
      </c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9"/>
    </row>
    <row r="671" spans="1:15" ht="19.95" customHeight="1">
      <c r="A671" s="61" t="s">
        <v>50</v>
      </c>
      <c r="B671" s="62"/>
      <c r="C671" s="65" t="s">
        <v>51</v>
      </c>
      <c r="D671" s="66"/>
      <c r="E671" s="67"/>
      <c r="F671" s="71" t="s">
        <v>52</v>
      </c>
      <c r="G671" s="72"/>
      <c r="H671" s="72"/>
      <c r="I671" s="72"/>
      <c r="J671" s="72"/>
      <c r="K671" s="72"/>
      <c r="L671" s="72"/>
      <c r="M671" s="72"/>
      <c r="N671" s="73"/>
      <c r="O671" s="74" t="s">
        <v>53</v>
      </c>
    </row>
    <row r="672" spans="1:15" ht="21" customHeight="1">
      <c r="A672" s="63"/>
      <c r="B672" s="64"/>
      <c r="C672" s="68"/>
      <c r="D672" s="69"/>
      <c r="E672" s="70"/>
      <c r="F672" s="76" t="s">
        <v>54</v>
      </c>
      <c r="G672" s="77"/>
      <c r="H672" s="71" t="s">
        <v>55</v>
      </c>
      <c r="I672" s="73"/>
      <c r="J672" s="94" t="s">
        <v>56</v>
      </c>
      <c r="K672" s="95"/>
      <c r="L672" s="96"/>
      <c r="M672" s="80" t="s">
        <v>57</v>
      </c>
      <c r="N672" s="82"/>
      <c r="O672" s="75"/>
    </row>
    <row r="673" spans="1:15" ht="19.95" customHeight="1">
      <c r="A673" s="83">
        <v>5</v>
      </c>
      <c r="B673" s="84"/>
      <c r="C673" s="46" t="s">
        <v>58</v>
      </c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8"/>
      <c r="O673" s="8">
        <f>O674</f>
        <v>50304000</v>
      </c>
    </row>
    <row r="674" spans="1:15" ht="19.95" customHeight="1">
      <c r="A674" s="46" t="s">
        <v>59</v>
      </c>
      <c r="B674" s="48"/>
      <c r="C674" s="46" t="s">
        <v>60</v>
      </c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8"/>
      <c r="O674" s="8">
        <f>O675</f>
        <v>50304000</v>
      </c>
    </row>
    <row r="675" spans="1:15" ht="21" customHeight="1">
      <c r="A675" s="85">
        <v>37377</v>
      </c>
      <c r="B675" s="86"/>
      <c r="C675" s="46" t="s">
        <v>61</v>
      </c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8"/>
      <c r="O675" s="8">
        <f>O676</f>
        <v>50304000</v>
      </c>
    </row>
    <row r="676" spans="1:15" ht="19.95" customHeight="1">
      <c r="A676" s="46" t="s">
        <v>62</v>
      </c>
      <c r="B676" s="48"/>
      <c r="C676" s="46" t="s">
        <v>63</v>
      </c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8"/>
      <c r="O676" s="8">
        <f>O679+O687+O692</f>
        <v>50304000</v>
      </c>
    </row>
    <row r="677" spans="1:15" ht="19.95" customHeight="1">
      <c r="A677" s="46" t="s">
        <v>64</v>
      </c>
      <c r="B677" s="48"/>
      <c r="C677" s="46" t="s">
        <v>65</v>
      </c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8"/>
      <c r="O677" s="8">
        <v>50303975</v>
      </c>
    </row>
    <row r="678" spans="1:15" ht="31.05" customHeight="1">
      <c r="A678" s="30" t="s">
        <v>66</v>
      </c>
      <c r="B678" s="32"/>
      <c r="C678" s="46" t="s">
        <v>67</v>
      </c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8"/>
      <c r="O678" s="8">
        <v>2323050</v>
      </c>
    </row>
    <row r="679" spans="1:15" ht="31.05" customHeight="1">
      <c r="A679" s="40"/>
      <c r="B679" s="42"/>
      <c r="C679" s="30" t="s">
        <v>68</v>
      </c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2"/>
      <c r="O679" s="8">
        <v>2323050</v>
      </c>
    </row>
    <row r="680" spans="1:15" ht="19.95" customHeight="1">
      <c r="A680" s="40"/>
      <c r="B680" s="42"/>
      <c r="C680" s="46" t="s">
        <v>69</v>
      </c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8"/>
      <c r="O680" s="8">
        <v>2323050</v>
      </c>
    </row>
    <row r="681" spans="1:15" ht="61.05" customHeight="1">
      <c r="A681" s="30"/>
      <c r="B681" s="32"/>
      <c r="C681" s="49" t="s">
        <v>108</v>
      </c>
      <c r="D681" s="50"/>
      <c r="E681" s="51"/>
      <c r="F681" s="52">
        <v>4</v>
      </c>
      <c r="G681" s="53"/>
      <c r="H681" s="54" t="s">
        <v>71</v>
      </c>
      <c r="I681" s="55"/>
      <c r="J681" s="56">
        <v>58550</v>
      </c>
      <c r="K681" s="119"/>
      <c r="L681" s="57"/>
      <c r="M681" s="56">
        <v>0</v>
      </c>
      <c r="N681" s="57"/>
      <c r="O681" s="7">
        <v>234200</v>
      </c>
    </row>
    <row r="682" spans="1:15" ht="60" customHeight="1">
      <c r="A682" s="30"/>
      <c r="B682" s="32"/>
      <c r="C682" s="49" t="s">
        <v>110</v>
      </c>
      <c r="D682" s="50"/>
      <c r="E682" s="51"/>
      <c r="F682" s="52">
        <v>4</v>
      </c>
      <c r="G682" s="53"/>
      <c r="H682" s="54" t="s">
        <v>75</v>
      </c>
      <c r="I682" s="55"/>
      <c r="J682" s="56">
        <v>163750</v>
      </c>
      <c r="K682" s="119"/>
      <c r="L682" s="57"/>
      <c r="M682" s="56">
        <v>0</v>
      </c>
      <c r="N682" s="57"/>
      <c r="O682" s="7">
        <v>655000</v>
      </c>
    </row>
    <row r="683" spans="1:15" ht="60" customHeight="1">
      <c r="A683" s="30"/>
      <c r="B683" s="32"/>
      <c r="C683" s="49" t="s">
        <v>74</v>
      </c>
      <c r="D683" s="50"/>
      <c r="E683" s="51"/>
      <c r="F683" s="52">
        <v>4</v>
      </c>
      <c r="G683" s="53"/>
      <c r="H683" s="54" t="s">
        <v>75</v>
      </c>
      <c r="I683" s="55"/>
      <c r="J683" s="56">
        <v>84200</v>
      </c>
      <c r="K683" s="119"/>
      <c r="L683" s="57"/>
      <c r="M683" s="56">
        <v>0</v>
      </c>
      <c r="N683" s="57"/>
      <c r="O683" s="7">
        <v>336800</v>
      </c>
    </row>
    <row r="684" spans="1:15" ht="70.95" customHeight="1">
      <c r="A684" s="30"/>
      <c r="B684" s="32"/>
      <c r="C684" s="49" t="s">
        <v>109</v>
      </c>
      <c r="D684" s="50"/>
      <c r="E684" s="51"/>
      <c r="F684" s="52">
        <v>4</v>
      </c>
      <c r="G684" s="53"/>
      <c r="H684" s="54" t="s">
        <v>73</v>
      </c>
      <c r="I684" s="55"/>
      <c r="J684" s="56">
        <v>64675</v>
      </c>
      <c r="K684" s="119"/>
      <c r="L684" s="57"/>
      <c r="M684" s="56">
        <v>0</v>
      </c>
      <c r="N684" s="57"/>
      <c r="O684" s="7">
        <v>258700</v>
      </c>
    </row>
    <row r="685" spans="1:15" ht="61.05" customHeight="1">
      <c r="A685" s="30"/>
      <c r="B685" s="32"/>
      <c r="C685" s="49" t="s">
        <v>111</v>
      </c>
      <c r="D685" s="50"/>
      <c r="E685" s="51"/>
      <c r="F685" s="52">
        <v>3</v>
      </c>
      <c r="G685" s="53"/>
      <c r="H685" s="54" t="s">
        <v>112</v>
      </c>
      <c r="I685" s="55"/>
      <c r="J685" s="56">
        <v>183350</v>
      </c>
      <c r="K685" s="119"/>
      <c r="L685" s="57"/>
      <c r="M685" s="56">
        <v>0</v>
      </c>
      <c r="N685" s="57"/>
      <c r="O685" s="7">
        <v>550050</v>
      </c>
    </row>
    <row r="686" spans="1:15" ht="60" customHeight="1">
      <c r="A686" s="30"/>
      <c r="B686" s="32"/>
      <c r="C686" s="49" t="s">
        <v>254</v>
      </c>
      <c r="D686" s="50"/>
      <c r="E686" s="51"/>
      <c r="F686" s="52">
        <v>4</v>
      </c>
      <c r="G686" s="53"/>
      <c r="H686" s="54" t="s">
        <v>120</v>
      </c>
      <c r="I686" s="55"/>
      <c r="J686" s="56">
        <v>72075</v>
      </c>
      <c r="K686" s="119"/>
      <c r="L686" s="57"/>
      <c r="M686" s="56">
        <v>0</v>
      </c>
      <c r="N686" s="57"/>
      <c r="O686" s="7">
        <v>288300</v>
      </c>
    </row>
    <row r="687" spans="1:15" ht="31.05" customHeight="1">
      <c r="A687" s="30" t="s">
        <v>78</v>
      </c>
      <c r="B687" s="32"/>
      <c r="C687" s="46" t="s">
        <v>79</v>
      </c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8"/>
      <c r="O687" s="8">
        <v>9679500</v>
      </c>
    </row>
    <row r="688" spans="1:15" ht="30" customHeight="1">
      <c r="A688" s="40"/>
      <c r="B688" s="42"/>
      <c r="C688" s="30" t="s">
        <v>68</v>
      </c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2"/>
      <c r="O688" s="8">
        <v>9679500</v>
      </c>
    </row>
    <row r="689" spans="1:15" ht="21" customHeight="1">
      <c r="A689" s="40"/>
      <c r="B689" s="42"/>
      <c r="C689" s="46" t="s">
        <v>69</v>
      </c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8"/>
      <c r="O689" s="8">
        <v>9679500</v>
      </c>
    </row>
    <row r="690" spans="1:15" ht="60" customHeight="1">
      <c r="A690" s="30"/>
      <c r="B690" s="32"/>
      <c r="C690" s="49" t="s">
        <v>82</v>
      </c>
      <c r="D690" s="50"/>
      <c r="E690" s="51"/>
      <c r="F690" s="52">
        <v>60</v>
      </c>
      <c r="G690" s="53"/>
      <c r="H690" s="54" t="s">
        <v>81</v>
      </c>
      <c r="I690" s="55"/>
      <c r="J690" s="56">
        <v>87875</v>
      </c>
      <c r="K690" s="119"/>
      <c r="L690" s="57"/>
      <c r="M690" s="56">
        <v>0</v>
      </c>
      <c r="N690" s="57"/>
      <c r="O690" s="7">
        <v>5272500</v>
      </c>
    </row>
    <row r="691" spans="1:15" ht="60" customHeight="1">
      <c r="A691" s="30"/>
      <c r="B691" s="32"/>
      <c r="C691" s="49" t="s">
        <v>80</v>
      </c>
      <c r="D691" s="50"/>
      <c r="E691" s="51"/>
      <c r="F691" s="52">
        <v>60</v>
      </c>
      <c r="G691" s="53"/>
      <c r="H691" s="54" t="s">
        <v>81</v>
      </c>
      <c r="I691" s="55"/>
      <c r="J691" s="56">
        <v>73450</v>
      </c>
      <c r="K691" s="119"/>
      <c r="L691" s="57"/>
      <c r="M691" s="56">
        <v>0</v>
      </c>
      <c r="N691" s="57"/>
      <c r="O691" s="7">
        <v>4407000</v>
      </c>
    </row>
    <row r="692" spans="1:15" ht="31.05" customHeight="1">
      <c r="A692" s="30" t="s">
        <v>255</v>
      </c>
      <c r="B692" s="32"/>
      <c r="C692" s="46" t="s">
        <v>256</v>
      </c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8"/>
      <c r="O692" s="8">
        <f>O693</f>
        <v>38301450</v>
      </c>
    </row>
    <row r="693" spans="1:15" ht="31.05" customHeight="1">
      <c r="A693" s="40"/>
      <c r="B693" s="42"/>
      <c r="C693" s="30" t="s">
        <v>257</v>
      </c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2"/>
      <c r="O693" s="8">
        <f>O694</f>
        <v>38301450</v>
      </c>
    </row>
    <row r="694" spans="1:15" ht="19.95" customHeight="1">
      <c r="A694" s="40"/>
      <c r="B694" s="42"/>
      <c r="C694" s="46" t="s">
        <v>69</v>
      </c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8"/>
      <c r="O694" s="8">
        <f>SUM(O695:O703)</f>
        <v>38301450</v>
      </c>
    </row>
    <row r="695" spans="1:15" ht="61.05" customHeight="1">
      <c r="A695" s="30"/>
      <c r="B695" s="32"/>
      <c r="C695" s="49" t="s">
        <v>258</v>
      </c>
      <c r="D695" s="50"/>
      <c r="E695" s="51"/>
      <c r="F695" s="52">
        <v>87</v>
      </c>
      <c r="G695" s="53"/>
      <c r="H695" s="54" t="s">
        <v>75</v>
      </c>
      <c r="I695" s="55"/>
      <c r="J695" s="56">
        <v>50675</v>
      </c>
      <c r="K695" s="119"/>
      <c r="L695" s="57"/>
      <c r="M695" s="56">
        <v>0</v>
      </c>
      <c r="N695" s="57"/>
      <c r="O695" s="7">
        <f>F695*J695</f>
        <v>4408725</v>
      </c>
    </row>
    <row r="696" spans="1:15" ht="60" customHeight="1">
      <c r="A696" s="30"/>
      <c r="B696" s="32"/>
      <c r="C696" s="49" t="s">
        <v>259</v>
      </c>
      <c r="D696" s="50"/>
      <c r="E696" s="51"/>
      <c r="F696" s="52">
        <v>90.000452284034395</v>
      </c>
      <c r="G696" s="53"/>
      <c r="H696" s="54" t="s">
        <v>73</v>
      </c>
      <c r="I696" s="55"/>
      <c r="J696" s="56">
        <v>55275</v>
      </c>
      <c r="K696" s="119"/>
      <c r="L696" s="57"/>
      <c r="M696" s="56">
        <v>0</v>
      </c>
      <c r="N696" s="57"/>
      <c r="O696" s="7">
        <f t="shared" ref="O696:O703" si="4">F696*J696</f>
        <v>4974775.0000000009</v>
      </c>
    </row>
    <row r="697" spans="1:15" ht="60.3" customHeight="1">
      <c r="A697" s="30"/>
      <c r="B697" s="32"/>
      <c r="C697" s="49" t="s">
        <v>260</v>
      </c>
      <c r="D697" s="50"/>
      <c r="E697" s="51"/>
      <c r="F697" s="52">
        <v>15</v>
      </c>
      <c r="G697" s="53"/>
      <c r="H697" s="54" t="s">
        <v>73</v>
      </c>
      <c r="I697" s="55"/>
      <c r="J697" s="56">
        <v>125400</v>
      </c>
      <c r="K697" s="119"/>
      <c r="L697" s="57"/>
      <c r="M697" s="56">
        <v>0</v>
      </c>
      <c r="N697" s="57"/>
      <c r="O697" s="7">
        <f t="shared" si="4"/>
        <v>1881000</v>
      </c>
    </row>
    <row r="698" spans="1:15" ht="60" customHeight="1">
      <c r="A698" s="30"/>
      <c r="B698" s="32"/>
      <c r="C698" s="49" t="s">
        <v>261</v>
      </c>
      <c r="D698" s="50"/>
      <c r="E698" s="51"/>
      <c r="F698" s="52">
        <v>10</v>
      </c>
      <c r="G698" s="53"/>
      <c r="H698" s="54" t="s">
        <v>73</v>
      </c>
      <c r="I698" s="55"/>
      <c r="J698" s="56">
        <v>173325</v>
      </c>
      <c r="K698" s="57"/>
      <c r="L698" s="58">
        <v>0</v>
      </c>
      <c r="M698" s="59"/>
      <c r="N698" s="60"/>
      <c r="O698" s="7">
        <f t="shared" si="4"/>
        <v>1733250</v>
      </c>
    </row>
    <row r="699" spans="1:15" ht="61.05" customHeight="1">
      <c r="A699" s="30"/>
      <c r="B699" s="32"/>
      <c r="C699" s="49" t="s">
        <v>262</v>
      </c>
      <c r="D699" s="50"/>
      <c r="E699" s="51"/>
      <c r="F699" s="52">
        <v>10</v>
      </c>
      <c r="G699" s="53"/>
      <c r="H699" s="54" t="s">
        <v>73</v>
      </c>
      <c r="I699" s="55"/>
      <c r="J699" s="56">
        <v>100200</v>
      </c>
      <c r="K699" s="57"/>
      <c r="L699" s="58">
        <v>0</v>
      </c>
      <c r="M699" s="59"/>
      <c r="N699" s="60"/>
      <c r="O699" s="7">
        <f t="shared" si="4"/>
        <v>1002000</v>
      </c>
    </row>
    <row r="700" spans="1:15" ht="60" customHeight="1">
      <c r="A700" s="30"/>
      <c r="B700" s="32"/>
      <c r="C700" s="49" t="s">
        <v>263</v>
      </c>
      <c r="D700" s="50"/>
      <c r="E700" s="51"/>
      <c r="F700" s="52">
        <v>130</v>
      </c>
      <c r="G700" s="53"/>
      <c r="H700" s="54" t="s">
        <v>75</v>
      </c>
      <c r="I700" s="55"/>
      <c r="J700" s="56">
        <v>53425</v>
      </c>
      <c r="K700" s="57"/>
      <c r="L700" s="58">
        <v>0</v>
      </c>
      <c r="M700" s="59"/>
      <c r="N700" s="60"/>
      <c r="O700" s="7">
        <f t="shared" si="4"/>
        <v>6945250</v>
      </c>
    </row>
    <row r="701" spans="1:15" ht="60" customHeight="1">
      <c r="A701" s="30"/>
      <c r="B701" s="32"/>
      <c r="C701" s="49" t="s">
        <v>264</v>
      </c>
      <c r="D701" s="50"/>
      <c r="E701" s="51"/>
      <c r="F701" s="52">
        <v>75</v>
      </c>
      <c r="G701" s="53"/>
      <c r="H701" s="54" t="s">
        <v>73</v>
      </c>
      <c r="I701" s="55"/>
      <c r="J701" s="56">
        <v>49100</v>
      </c>
      <c r="K701" s="57"/>
      <c r="L701" s="58">
        <v>0</v>
      </c>
      <c r="M701" s="59"/>
      <c r="N701" s="60"/>
      <c r="O701" s="7">
        <f t="shared" si="4"/>
        <v>3682500</v>
      </c>
    </row>
    <row r="702" spans="1:15" ht="61.05" customHeight="1">
      <c r="A702" s="30"/>
      <c r="B702" s="32"/>
      <c r="C702" s="49" t="s">
        <v>265</v>
      </c>
      <c r="D702" s="50"/>
      <c r="E702" s="51"/>
      <c r="F702" s="52">
        <v>82</v>
      </c>
      <c r="G702" s="53"/>
      <c r="H702" s="54" t="s">
        <v>73</v>
      </c>
      <c r="I702" s="55"/>
      <c r="J702" s="56">
        <v>59875</v>
      </c>
      <c r="K702" s="57"/>
      <c r="L702" s="58">
        <v>0</v>
      </c>
      <c r="M702" s="59"/>
      <c r="N702" s="60"/>
      <c r="O702" s="7">
        <f t="shared" si="4"/>
        <v>4909750</v>
      </c>
    </row>
    <row r="703" spans="1:15" ht="60" customHeight="1">
      <c r="A703" s="30"/>
      <c r="B703" s="32"/>
      <c r="C703" s="49" t="s">
        <v>266</v>
      </c>
      <c r="D703" s="50"/>
      <c r="E703" s="51"/>
      <c r="F703" s="52">
        <v>12</v>
      </c>
      <c r="G703" s="53"/>
      <c r="H703" s="54" t="s">
        <v>73</v>
      </c>
      <c r="I703" s="55"/>
      <c r="J703" s="56">
        <v>730350</v>
      </c>
      <c r="K703" s="57"/>
      <c r="L703" s="58">
        <v>0</v>
      </c>
      <c r="M703" s="59"/>
      <c r="N703" s="60"/>
      <c r="O703" s="7">
        <f t="shared" si="4"/>
        <v>8764200</v>
      </c>
    </row>
    <row r="704" spans="1:15" ht="19.95" customHeight="1">
      <c r="A704" s="27" t="s">
        <v>89</v>
      </c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9"/>
      <c r="O704" s="6">
        <v>50303975</v>
      </c>
    </row>
    <row r="705" spans="1:15" ht="153" customHeight="1">
      <c r="A705" s="30"/>
      <c r="B705" s="31"/>
      <c r="C705" s="31"/>
      <c r="D705" s="31"/>
      <c r="E705" s="31"/>
      <c r="F705" s="31"/>
      <c r="G705" s="32"/>
      <c r="H705" s="33" t="s">
        <v>90</v>
      </c>
      <c r="I705" s="34"/>
      <c r="J705" s="34"/>
      <c r="K705" s="34"/>
      <c r="L705" s="34"/>
      <c r="M705" s="34"/>
      <c r="N705" s="34"/>
      <c r="O705" s="35"/>
    </row>
    <row r="706" spans="1:15" ht="20.55" customHeight="1">
      <c r="A706" s="1"/>
      <c r="B706" s="1"/>
      <c r="C706" s="1"/>
      <c r="D706" s="1"/>
      <c r="E706" s="1"/>
      <c r="F706" s="1"/>
      <c r="G706" s="1"/>
      <c r="H706" s="1"/>
      <c r="I706" s="1"/>
      <c r="J706" s="36"/>
      <c r="K706" s="36"/>
      <c r="L706" s="36"/>
      <c r="M706" s="36"/>
      <c r="N706" s="36"/>
      <c r="O706" s="5"/>
    </row>
    <row r="707" spans="1:15" ht="19.95" customHeight="1">
      <c r="A707" s="37" t="s">
        <v>91</v>
      </c>
      <c r="B707" s="38"/>
      <c r="C707" s="39"/>
      <c r="D707" s="2" t="s">
        <v>48</v>
      </c>
      <c r="E707" s="40"/>
      <c r="F707" s="41"/>
      <c r="G707" s="41"/>
      <c r="H707" s="41"/>
      <c r="I707" s="41"/>
      <c r="J707" s="41"/>
      <c r="K707" s="41"/>
      <c r="L707" s="41"/>
      <c r="M707" s="41"/>
      <c r="N707" s="41"/>
      <c r="O707" s="42"/>
    </row>
    <row r="708" spans="1:15" ht="21" customHeight="1">
      <c r="A708" s="37" t="s">
        <v>92</v>
      </c>
      <c r="B708" s="38"/>
      <c r="C708" s="39"/>
      <c r="D708" s="2" t="s">
        <v>48</v>
      </c>
      <c r="E708" s="40"/>
      <c r="F708" s="41"/>
      <c r="G708" s="41"/>
      <c r="H708" s="41"/>
      <c r="I708" s="41"/>
      <c r="J708" s="41"/>
      <c r="K708" s="41"/>
      <c r="L708" s="41"/>
      <c r="M708" s="41"/>
      <c r="N708" s="41"/>
      <c r="O708" s="42"/>
    </row>
    <row r="709" spans="1:15" ht="19.95" customHeight="1">
      <c r="A709" s="37" t="s">
        <v>93</v>
      </c>
      <c r="B709" s="38"/>
      <c r="C709" s="39"/>
      <c r="D709" s="2" t="s">
        <v>48</v>
      </c>
      <c r="E709" s="40"/>
      <c r="F709" s="41"/>
      <c r="G709" s="41"/>
      <c r="H709" s="41"/>
      <c r="I709" s="41"/>
      <c r="J709" s="41"/>
      <c r="K709" s="41"/>
      <c r="L709" s="41"/>
      <c r="M709" s="41"/>
      <c r="N709" s="41"/>
      <c r="O709" s="42"/>
    </row>
    <row r="710" spans="1:15" ht="19.95" customHeight="1">
      <c r="A710" s="43">
        <v>1</v>
      </c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5"/>
    </row>
    <row r="711" spans="1:15" ht="21" customHeight="1">
      <c r="A711" s="43">
        <v>2</v>
      </c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5"/>
    </row>
    <row r="712" spans="1:15" ht="19.5" customHeight="1">
      <c r="A712" s="37" t="s">
        <v>94</v>
      </c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9"/>
    </row>
    <row r="713" spans="1:15" ht="20.55" customHeight="1">
      <c r="A713" s="1"/>
      <c r="B713" s="1"/>
      <c r="C713" s="1"/>
      <c r="D713" s="1"/>
      <c r="E713" s="1"/>
      <c r="F713" s="1"/>
      <c r="G713" s="1"/>
      <c r="H713" s="1"/>
      <c r="I713" s="1"/>
      <c r="J713" s="36"/>
      <c r="K713" s="36"/>
      <c r="L713" s="36"/>
      <c r="M713" s="36"/>
      <c r="N713" s="36"/>
      <c r="O713" s="5"/>
    </row>
    <row r="714" spans="1:15" ht="22.05" customHeight="1">
      <c r="A714" s="18" t="s">
        <v>95</v>
      </c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20"/>
    </row>
    <row r="715" spans="1:15" ht="21" customHeight="1">
      <c r="A715" s="3" t="s">
        <v>96</v>
      </c>
      <c r="B715" s="18" t="s">
        <v>97</v>
      </c>
      <c r="C715" s="19"/>
      <c r="D715" s="19"/>
      <c r="E715" s="19"/>
      <c r="F715" s="20"/>
      <c r="G715" s="18" t="s">
        <v>98</v>
      </c>
      <c r="H715" s="20"/>
      <c r="I715" s="18" t="s">
        <v>99</v>
      </c>
      <c r="J715" s="19"/>
      <c r="K715" s="20"/>
      <c r="L715" s="21" t="s">
        <v>100</v>
      </c>
      <c r="M715" s="22"/>
      <c r="N715" s="22"/>
      <c r="O715" s="23"/>
    </row>
    <row r="716" spans="1:15" ht="21.45" customHeight="1">
      <c r="A716" s="24" t="s">
        <v>101</v>
      </c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6"/>
    </row>
    <row r="717" spans="1:15" ht="64.05" customHeight="1">
      <c r="A717" s="106" t="s">
        <v>0</v>
      </c>
      <c r="B717" s="107"/>
      <c r="C717" s="107"/>
      <c r="D717" s="107"/>
      <c r="E717" s="107"/>
      <c r="F717" s="107"/>
      <c r="G717" s="107"/>
      <c r="H717" s="107"/>
      <c r="I717" s="107"/>
      <c r="J717" s="108"/>
      <c r="K717" s="109" t="s">
        <v>1</v>
      </c>
      <c r="L717" s="110"/>
      <c r="M717" s="110"/>
      <c r="N717" s="110"/>
      <c r="O717" s="111"/>
    </row>
    <row r="718" spans="1:15" ht="23.55" customHeight="1">
      <c r="A718" s="101" t="s">
        <v>674</v>
      </c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3"/>
    </row>
    <row r="719" spans="1:15" ht="20.55" customHeight="1">
      <c r="A719" s="93"/>
      <c r="B719" s="93"/>
      <c r="C719" s="1"/>
      <c r="D719" s="93"/>
      <c r="E719" s="93"/>
      <c r="F719" s="93"/>
      <c r="G719" s="93"/>
      <c r="H719" s="93"/>
      <c r="I719" s="93"/>
      <c r="J719" s="5"/>
      <c r="K719" s="36"/>
      <c r="L719" s="36"/>
      <c r="M719" s="5"/>
      <c r="N719" s="5"/>
      <c r="O719" s="5"/>
    </row>
    <row r="720" spans="1:15" ht="37.049999999999997" customHeight="1">
      <c r="A720" s="101" t="s">
        <v>2</v>
      </c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3"/>
    </row>
    <row r="721" spans="1:15" ht="21" customHeight="1">
      <c r="A721" s="37" t="s">
        <v>3</v>
      </c>
      <c r="B721" s="38"/>
      <c r="C721" s="39"/>
      <c r="D721" s="90" t="s">
        <v>4</v>
      </c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2"/>
    </row>
    <row r="722" spans="1:15" ht="22.05" customHeight="1">
      <c r="A722" s="37" t="s">
        <v>5</v>
      </c>
      <c r="B722" s="38"/>
      <c r="C722" s="39"/>
      <c r="D722" s="90" t="s">
        <v>6</v>
      </c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2"/>
    </row>
    <row r="723" spans="1:15" ht="22.05" customHeight="1">
      <c r="A723" s="37" t="s">
        <v>7</v>
      </c>
      <c r="B723" s="38"/>
      <c r="C723" s="39"/>
      <c r="D723" s="90" t="s">
        <v>8</v>
      </c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2"/>
    </row>
    <row r="724" spans="1:15" ht="21" customHeight="1">
      <c r="A724" s="37" t="s">
        <v>9</v>
      </c>
      <c r="B724" s="38"/>
      <c r="C724" s="39"/>
      <c r="D724" s="90" t="s">
        <v>10</v>
      </c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2"/>
    </row>
    <row r="725" spans="1:15" ht="22.05" customHeight="1">
      <c r="A725" s="37" t="s">
        <v>11</v>
      </c>
      <c r="B725" s="38"/>
      <c r="C725" s="39"/>
      <c r="D725" s="90" t="s">
        <v>12</v>
      </c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2"/>
    </row>
    <row r="726" spans="1:15" ht="22.05" customHeight="1">
      <c r="A726" s="37" t="s">
        <v>13</v>
      </c>
      <c r="B726" s="38"/>
      <c r="C726" s="39"/>
      <c r="D726" s="90" t="s">
        <v>246</v>
      </c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2"/>
    </row>
    <row r="727" spans="1:15" ht="21" customHeight="1">
      <c r="A727" s="37" t="s">
        <v>15</v>
      </c>
      <c r="B727" s="38"/>
      <c r="C727" s="39"/>
      <c r="D727" s="127" t="s">
        <v>694</v>
      </c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2"/>
    </row>
    <row r="728" spans="1:15" ht="22.05" customHeight="1">
      <c r="A728" s="37" t="s">
        <v>17</v>
      </c>
      <c r="B728" s="38"/>
      <c r="C728" s="39"/>
      <c r="D728" s="90" t="s">
        <v>10</v>
      </c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2"/>
    </row>
    <row r="729" spans="1:15" ht="22.05" customHeight="1">
      <c r="A729" s="37" t="s">
        <v>18</v>
      </c>
      <c r="B729" s="38"/>
      <c r="C729" s="39"/>
      <c r="D729" s="90" t="s">
        <v>10</v>
      </c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2"/>
    </row>
    <row r="730" spans="1:15" ht="22.05" customHeight="1">
      <c r="A730" s="37" t="s">
        <v>19</v>
      </c>
      <c r="B730" s="38"/>
      <c r="C730" s="39"/>
      <c r="D730" s="90" t="s">
        <v>20</v>
      </c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2"/>
    </row>
    <row r="731" spans="1:15" ht="21" customHeight="1">
      <c r="A731" s="37" t="s">
        <v>21</v>
      </c>
      <c r="B731" s="38"/>
      <c r="C731" s="39"/>
      <c r="D731" s="90" t="s">
        <v>22</v>
      </c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2"/>
    </row>
    <row r="732" spans="1:15" ht="22.05" customHeight="1">
      <c r="A732" s="37" t="s">
        <v>23</v>
      </c>
      <c r="B732" s="38"/>
      <c r="C732" s="39"/>
      <c r="D732" s="90" t="s">
        <v>24</v>
      </c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2"/>
    </row>
    <row r="733" spans="1:15" ht="22.05" customHeight="1">
      <c r="A733" s="37" t="s">
        <v>25</v>
      </c>
      <c r="B733" s="38"/>
      <c r="C733" s="39"/>
      <c r="D733" s="90" t="s">
        <v>26</v>
      </c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2"/>
    </row>
    <row r="734" spans="1:15" ht="21" customHeight="1">
      <c r="A734" s="37" t="s">
        <v>670</v>
      </c>
      <c r="B734" s="38"/>
      <c r="C734" s="39"/>
      <c r="D734" s="90" t="s">
        <v>27</v>
      </c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2"/>
    </row>
    <row r="735" spans="1:15" ht="22.05" customHeight="1">
      <c r="A735" s="37" t="s">
        <v>675</v>
      </c>
      <c r="B735" s="38"/>
      <c r="C735" s="39"/>
      <c r="D735" s="90" t="s">
        <v>267</v>
      </c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2"/>
    </row>
    <row r="736" spans="1:15" ht="21.45" customHeight="1">
      <c r="A736" s="37" t="s">
        <v>676</v>
      </c>
      <c r="B736" s="38"/>
      <c r="C736" s="39"/>
      <c r="D736" s="90" t="s">
        <v>268</v>
      </c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2"/>
    </row>
    <row r="737" spans="1:15" ht="20.55" customHeight="1">
      <c r="A737" s="93"/>
      <c r="B737" s="93"/>
      <c r="C737" s="1"/>
      <c r="D737" s="93"/>
      <c r="E737" s="93"/>
      <c r="F737" s="93"/>
      <c r="G737" s="93"/>
      <c r="H737" s="93"/>
      <c r="I737" s="93"/>
      <c r="J737" s="5"/>
      <c r="K737" s="36"/>
      <c r="L737" s="36"/>
      <c r="M737" s="5"/>
      <c r="N737" s="5"/>
      <c r="O737" s="5"/>
    </row>
    <row r="738" spans="1:15" ht="22.95" customHeight="1">
      <c r="A738" s="101" t="s">
        <v>29</v>
      </c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3"/>
    </row>
    <row r="739" spans="1:15" ht="24" customHeight="1">
      <c r="A739" s="101" t="s">
        <v>30</v>
      </c>
      <c r="B739" s="102"/>
      <c r="C739" s="103"/>
      <c r="D739" s="101" t="s">
        <v>31</v>
      </c>
      <c r="E739" s="102"/>
      <c r="F739" s="102"/>
      <c r="G739" s="102"/>
      <c r="H739" s="102"/>
      <c r="I739" s="102"/>
      <c r="J739" s="102"/>
      <c r="K739" s="102"/>
      <c r="L739" s="102"/>
      <c r="M739" s="103"/>
      <c r="N739" s="104" t="s">
        <v>32</v>
      </c>
      <c r="O739" s="105"/>
    </row>
    <row r="740" spans="1:15" ht="21" customHeight="1">
      <c r="A740" s="37" t="s">
        <v>33</v>
      </c>
      <c r="B740" s="38"/>
      <c r="C740" s="39"/>
      <c r="D740" s="37" t="s">
        <v>34</v>
      </c>
      <c r="E740" s="38"/>
      <c r="F740" s="38"/>
      <c r="G740" s="38"/>
      <c r="H740" s="38"/>
      <c r="I740" s="38"/>
      <c r="J740" s="38"/>
      <c r="K740" s="38"/>
      <c r="L740" s="38"/>
      <c r="M740" s="39"/>
      <c r="N740" s="97" t="s">
        <v>35</v>
      </c>
      <c r="O740" s="98"/>
    </row>
    <row r="741" spans="1:15" ht="19.95" customHeight="1">
      <c r="A741" s="37" t="s">
        <v>36</v>
      </c>
      <c r="B741" s="38"/>
      <c r="C741" s="39"/>
      <c r="D741" s="37" t="s">
        <v>37</v>
      </c>
      <c r="E741" s="38"/>
      <c r="F741" s="38"/>
      <c r="G741" s="38"/>
      <c r="H741" s="38"/>
      <c r="I741" s="38"/>
      <c r="J741" s="38"/>
      <c r="K741" s="38"/>
      <c r="L741" s="38"/>
      <c r="M741" s="39"/>
      <c r="N741" s="97">
        <f>O756</f>
        <v>606934000.0000118</v>
      </c>
      <c r="O741" s="98"/>
    </row>
    <row r="742" spans="1:15" ht="19.95" customHeight="1">
      <c r="A742" s="37" t="s">
        <v>38</v>
      </c>
      <c r="B742" s="38"/>
      <c r="C742" s="39"/>
      <c r="D742" s="37" t="s">
        <v>269</v>
      </c>
      <c r="E742" s="38"/>
      <c r="F742" s="38"/>
      <c r="G742" s="38"/>
      <c r="H742" s="38"/>
      <c r="I742" s="38"/>
      <c r="J742" s="38"/>
      <c r="K742" s="38"/>
      <c r="L742" s="38"/>
      <c r="M742" s="39"/>
      <c r="N742" s="97" t="s">
        <v>270</v>
      </c>
      <c r="O742" s="98"/>
    </row>
    <row r="743" spans="1:15" ht="20.55" customHeight="1">
      <c r="A743" s="37" t="s">
        <v>41</v>
      </c>
      <c r="B743" s="38"/>
      <c r="C743" s="39"/>
      <c r="D743" s="37" t="s">
        <v>252</v>
      </c>
      <c r="E743" s="38"/>
      <c r="F743" s="38"/>
      <c r="G743" s="38"/>
      <c r="H743" s="38"/>
      <c r="I743" s="38"/>
      <c r="J743" s="38"/>
      <c r="K743" s="38"/>
      <c r="L743" s="38"/>
      <c r="M743" s="39"/>
      <c r="N743" s="99">
        <v>0.97</v>
      </c>
      <c r="O743" s="100"/>
    </row>
    <row r="744" spans="1:15" ht="20.55" customHeight="1">
      <c r="A744" s="93"/>
      <c r="B744" s="93"/>
      <c r="C744" s="1"/>
      <c r="D744" s="93"/>
      <c r="E744" s="93"/>
      <c r="F744" s="93"/>
      <c r="G744" s="93"/>
      <c r="H744" s="93"/>
      <c r="I744" s="93"/>
      <c r="J744" s="5"/>
      <c r="K744" s="36"/>
      <c r="L744" s="36"/>
      <c r="M744" s="5"/>
      <c r="N744" s="5"/>
      <c r="O744" s="5"/>
    </row>
    <row r="745" spans="1:15" ht="37.049999999999997" customHeight="1">
      <c r="A745" s="101" t="s">
        <v>43</v>
      </c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3"/>
    </row>
    <row r="746" spans="1:15" ht="21" customHeight="1">
      <c r="A746" s="37" t="s">
        <v>15</v>
      </c>
      <c r="B746" s="38"/>
      <c r="C746" s="39"/>
      <c r="D746" s="127" t="s">
        <v>694</v>
      </c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2"/>
    </row>
    <row r="747" spans="1:15" ht="19.95" customHeight="1">
      <c r="A747" s="37" t="s">
        <v>19</v>
      </c>
      <c r="B747" s="38"/>
      <c r="C747" s="39"/>
      <c r="D747" s="90" t="s">
        <v>20</v>
      </c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2"/>
    </row>
    <row r="748" spans="1:15" ht="19.95" customHeight="1">
      <c r="A748" s="37" t="s">
        <v>21</v>
      </c>
      <c r="B748" s="38"/>
      <c r="C748" s="39"/>
      <c r="D748" s="90" t="s">
        <v>44</v>
      </c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2"/>
    </row>
    <row r="749" spans="1:15" ht="21" customHeight="1">
      <c r="A749" s="37" t="s">
        <v>45</v>
      </c>
      <c r="B749" s="38"/>
      <c r="C749" s="39"/>
      <c r="D749" s="90" t="s">
        <v>271</v>
      </c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2"/>
    </row>
    <row r="750" spans="1:15" ht="19.95" customHeight="1">
      <c r="A750" s="37" t="s">
        <v>23</v>
      </c>
      <c r="B750" s="38"/>
      <c r="C750" s="39"/>
      <c r="D750" s="90" t="s">
        <v>24</v>
      </c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2"/>
    </row>
    <row r="751" spans="1:15" ht="19.5" customHeight="1">
      <c r="A751" s="37" t="s">
        <v>47</v>
      </c>
      <c r="B751" s="38"/>
      <c r="C751" s="39"/>
      <c r="D751" s="90" t="s">
        <v>48</v>
      </c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2"/>
    </row>
    <row r="752" spans="1:15" ht="20.55" customHeight="1">
      <c r="A752" s="93"/>
      <c r="B752" s="93"/>
      <c r="C752" s="1"/>
      <c r="D752" s="93"/>
      <c r="E752" s="93"/>
      <c r="F752" s="93"/>
      <c r="G752" s="93"/>
      <c r="H752" s="93"/>
      <c r="I752" s="93"/>
      <c r="J752" s="5"/>
      <c r="K752" s="36"/>
      <c r="L752" s="36"/>
      <c r="M752" s="5"/>
      <c r="N752" s="5"/>
      <c r="O752" s="5"/>
    </row>
    <row r="753" spans="1:15" ht="37.950000000000003" customHeight="1">
      <c r="A753" s="87" t="s">
        <v>49</v>
      </c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9"/>
    </row>
    <row r="754" spans="1:15" ht="19.95" customHeight="1">
      <c r="A754" s="61" t="s">
        <v>50</v>
      </c>
      <c r="B754" s="62"/>
      <c r="C754" s="65" t="s">
        <v>51</v>
      </c>
      <c r="D754" s="66"/>
      <c r="E754" s="67"/>
      <c r="F754" s="71" t="s">
        <v>52</v>
      </c>
      <c r="G754" s="72"/>
      <c r="H754" s="72"/>
      <c r="I754" s="72"/>
      <c r="J754" s="72"/>
      <c r="K754" s="72"/>
      <c r="L754" s="72"/>
      <c r="M754" s="72"/>
      <c r="N754" s="73"/>
      <c r="O754" s="74" t="s">
        <v>53</v>
      </c>
    </row>
    <row r="755" spans="1:15" ht="21" customHeight="1">
      <c r="A755" s="63"/>
      <c r="B755" s="64"/>
      <c r="C755" s="68"/>
      <c r="D755" s="69"/>
      <c r="E755" s="70"/>
      <c r="F755" s="76" t="s">
        <v>54</v>
      </c>
      <c r="G755" s="77"/>
      <c r="H755" s="71" t="s">
        <v>55</v>
      </c>
      <c r="I755" s="73"/>
      <c r="J755" s="94" t="s">
        <v>56</v>
      </c>
      <c r="K755" s="95"/>
      <c r="L755" s="96"/>
      <c r="M755" s="80" t="s">
        <v>57</v>
      </c>
      <c r="N755" s="82"/>
      <c r="O755" s="75"/>
    </row>
    <row r="756" spans="1:15" ht="30" customHeight="1">
      <c r="A756" s="83">
        <v>5</v>
      </c>
      <c r="B756" s="84"/>
      <c r="C756" s="46" t="s">
        <v>58</v>
      </c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8"/>
      <c r="O756" s="10">
        <f>O757</f>
        <v>606934000.0000118</v>
      </c>
    </row>
    <row r="757" spans="1:15" ht="21" customHeight="1">
      <c r="A757" s="46" t="s">
        <v>59</v>
      </c>
      <c r="B757" s="48"/>
      <c r="C757" s="46" t="s">
        <v>60</v>
      </c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8"/>
      <c r="O757" s="8">
        <f>O758</f>
        <v>606934000.0000118</v>
      </c>
    </row>
    <row r="758" spans="1:15" ht="19.95" customHeight="1">
      <c r="A758" s="85">
        <v>37377</v>
      </c>
      <c r="B758" s="86"/>
      <c r="C758" s="46" t="s">
        <v>61</v>
      </c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8"/>
      <c r="O758" s="8">
        <f>O759+O768</f>
        <v>606934000.0000118</v>
      </c>
    </row>
    <row r="759" spans="1:15" ht="19.95" customHeight="1">
      <c r="A759" s="46" t="s">
        <v>62</v>
      </c>
      <c r="B759" s="48"/>
      <c r="C759" s="46" t="s">
        <v>63</v>
      </c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8"/>
      <c r="O759" s="8">
        <v>3000000</v>
      </c>
    </row>
    <row r="760" spans="1:15" ht="21" customHeight="1">
      <c r="A760" s="46" t="s">
        <v>64</v>
      </c>
      <c r="B760" s="48"/>
      <c r="C760" s="46" t="s">
        <v>65</v>
      </c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8"/>
      <c r="O760" s="8">
        <v>3000000</v>
      </c>
    </row>
    <row r="761" spans="1:15" ht="30" customHeight="1">
      <c r="A761" s="30" t="s">
        <v>121</v>
      </c>
      <c r="B761" s="32"/>
      <c r="C761" s="46" t="s">
        <v>122</v>
      </c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8"/>
      <c r="O761" s="8">
        <v>3000000</v>
      </c>
    </row>
    <row r="762" spans="1:15" ht="31.05" customHeight="1">
      <c r="A762" s="40"/>
      <c r="B762" s="42"/>
      <c r="C762" s="30" t="s">
        <v>68</v>
      </c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2"/>
      <c r="O762" s="8">
        <v>3000000</v>
      </c>
    </row>
    <row r="763" spans="1:15" ht="20.55" customHeight="1">
      <c r="A763" s="40"/>
      <c r="B763" s="42"/>
      <c r="C763" s="46" t="s">
        <v>69</v>
      </c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8"/>
      <c r="O763" s="8">
        <v>3000000</v>
      </c>
    </row>
    <row r="764" spans="1:15" ht="37.950000000000003" customHeight="1">
      <c r="A764" s="87" t="s">
        <v>49</v>
      </c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9"/>
    </row>
    <row r="765" spans="1:15" ht="19.95" customHeight="1">
      <c r="A765" s="61" t="s">
        <v>50</v>
      </c>
      <c r="B765" s="62"/>
      <c r="C765" s="65" t="s">
        <v>51</v>
      </c>
      <c r="D765" s="66"/>
      <c r="E765" s="67"/>
      <c r="F765" s="71" t="s">
        <v>52</v>
      </c>
      <c r="G765" s="72"/>
      <c r="H765" s="72"/>
      <c r="I765" s="72"/>
      <c r="J765" s="72"/>
      <c r="K765" s="72"/>
      <c r="L765" s="72"/>
      <c r="M765" s="72"/>
      <c r="N765" s="73"/>
      <c r="O765" s="74" t="s">
        <v>53</v>
      </c>
    </row>
    <row r="766" spans="1:15" ht="21" customHeight="1">
      <c r="A766" s="63"/>
      <c r="B766" s="64"/>
      <c r="C766" s="68"/>
      <c r="D766" s="69"/>
      <c r="E766" s="70"/>
      <c r="F766" s="76" t="s">
        <v>54</v>
      </c>
      <c r="G766" s="77"/>
      <c r="H766" s="71" t="s">
        <v>55</v>
      </c>
      <c r="I766" s="73"/>
      <c r="J766" s="94" t="s">
        <v>56</v>
      </c>
      <c r="K766" s="95"/>
      <c r="L766" s="96"/>
      <c r="M766" s="80" t="s">
        <v>57</v>
      </c>
      <c r="N766" s="82"/>
      <c r="O766" s="75"/>
    </row>
    <row r="767" spans="1:15" ht="60" customHeight="1">
      <c r="A767" s="30"/>
      <c r="B767" s="32"/>
      <c r="C767" s="49" t="s">
        <v>124</v>
      </c>
      <c r="D767" s="50"/>
      <c r="E767" s="51"/>
      <c r="F767" s="52">
        <v>300</v>
      </c>
      <c r="G767" s="53"/>
      <c r="H767" s="54" t="s">
        <v>73</v>
      </c>
      <c r="I767" s="55"/>
      <c r="J767" s="56">
        <v>10000</v>
      </c>
      <c r="K767" s="119"/>
      <c r="L767" s="57"/>
      <c r="M767" s="56">
        <v>0</v>
      </c>
      <c r="N767" s="57"/>
      <c r="O767" s="9">
        <v>3000000</v>
      </c>
    </row>
    <row r="768" spans="1:15" ht="31.05" customHeight="1">
      <c r="A768" s="46" t="s">
        <v>272</v>
      </c>
      <c r="B768" s="48"/>
      <c r="C768" s="46" t="s">
        <v>273</v>
      </c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8"/>
      <c r="O768" s="10">
        <f>O769+O776+O782</f>
        <v>603934000.0000118</v>
      </c>
    </row>
    <row r="769" spans="1:15" ht="31.05" customHeight="1">
      <c r="A769" s="85">
        <v>37378</v>
      </c>
      <c r="B769" s="86"/>
      <c r="C769" s="46" t="s">
        <v>274</v>
      </c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8"/>
      <c r="O769" s="10">
        <f t="shared" ref="O769:O774" si="5">O770</f>
        <v>500000000.00001174</v>
      </c>
    </row>
    <row r="770" spans="1:15" ht="30" customHeight="1">
      <c r="A770" s="46" t="s">
        <v>275</v>
      </c>
      <c r="B770" s="48"/>
      <c r="C770" s="46" t="s">
        <v>276</v>
      </c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8"/>
      <c r="O770" s="10">
        <f t="shared" si="5"/>
        <v>500000000.00001174</v>
      </c>
    </row>
    <row r="771" spans="1:15" ht="31.05" customHeight="1">
      <c r="A771" s="128" t="s">
        <v>698</v>
      </c>
      <c r="B771" s="48"/>
      <c r="C771" s="46" t="s">
        <v>278</v>
      </c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8"/>
      <c r="O771" s="10">
        <f t="shared" si="5"/>
        <v>500000000.00001174</v>
      </c>
    </row>
    <row r="772" spans="1:15" ht="31.05" customHeight="1">
      <c r="A772" s="128" t="s">
        <v>699</v>
      </c>
      <c r="B772" s="32"/>
      <c r="C772" s="128" t="s">
        <v>700</v>
      </c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8"/>
      <c r="O772" s="10">
        <f t="shared" si="5"/>
        <v>500000000.00001174</v>
      </c>
    </row>
    <row r="773" spans="1:15" ht="30" customHeight="1">
      <c r="A773" s="40"/>
      <c r="B773" s="42"/>
      <c r="C773" s="30" t="s">
        <v>279</v>
      </c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2"/>
      <c r="O773" s="10">
        <f t="shared" si="5"/>
        <v>500000000.00001174</v>
      </c>
    </row>
    <row r="774" spans="1:15" ht="31.05" customHeight="1">
      <c r="A774" s="40"/>
      <c r="B774" s="42"/>
      <c r="C774" s="128" t="s">
        <v>695</v>
      </c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8"/>
      <c r="O774" s="10">
        <f t="shared" si="5"/>
        <v>500000000.00001174</v>
      </c>
    </row>
    <row r="775" spans="1:15" ht="60" customHeight="1">
      <c r="A775" s="30"/>
      <c r="B775" s="32"/>
      <c r="C775" s="129" t="s">
        <v>696</v>
      </c>
      <c r="D775" s="50"/>
      <c r="E775" s="51"/>
      <c r="F775" s="130">
        <v>11.506052528812001</v>
      </c>
      <c r="G775" s="55"/>
      <c r="H775" s="130" t="s">
        <v>697</v>
      </c>
      <c r="I775" s="55"/>
      <c r="J775" s="56">
        <v>39149000</v>
      </c>
      <c r="K775" s="119"/>
      <c r="L775" s="57"/>
      <c r="M775" s="56">
        <v>11</v>
      </c>
      <c r="N775" s="57"/>
      <c r="O775" s="11">
        <f>F775*J775+(F775*J775)*11%</f>
        <v>500000000.00001174</v>
      </c>
    </row>
    <row r="776" spans="1:15" ht="21" customHeight="1">
      <c r="A776" s="46" t="s">
        <v>281</v>
      </c>
      <c r="B776" s="48"/>
      <c r="C776" s="46" t="s">
        <v>282</v>
      </c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8"/>
      <c r="O776" s="6">
        <f>O777</f>
        <v>23305400.000000071</v>
      </c>
    </row>
    <row r="777" spans="1:15" ht="19.95" customHeight="1">
      <c r="A777" s="46" t="s">
        <v>283</v>
      </c>
      <c r="B777" s="48"/>
      <c r="C777" s="46" t="s">
        <v>284</v>
      </c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8"/>
      <c r="O777" s="6">
        <f>O778</f>
        <v>23305400.000000071</v>
      </c>
    </row>
    <row r="778" spans="1:15" ht="31.05" customHeight="1">
      <c r="A778" s="30" t="s">
        <v>285</v>
      </c>
      <c r="B778" s="32"/>
      <c r="C778" s="46" t="s">
        <v>286</v>
      </c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8"/>
      <c r="O778" s="6">
        <f>O779</f>
        <v>23305400.000000071</v>
      </c>
    </row>
    <row r="779" spans="1:15" ht="31.05" customHeight="1">
      <c r="A779" s="40"/>
      <c r="B779" s="42"/>
      <c r="C779" s="30" t="s">
        <v>287</v>
      </c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2"/>
      <c r="O779" s="6">
        <f>O780</f>
        <v>23305400.000000071</v>
      </c>
    </row>
    <row r="780" spans="1:15" ht="19.95" customHeight="1">
      <c r="A780" s="40"/>
      <c r="B780" s="42"/>
      <c r="C780" s="46" t="s">
        <v>69</v>
      </c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8"/>
      <c r="O780" s="6">
        <f>O781</f>
        <v>23305400.000000071</v>
      </c>
    </row>
    <row r="781" spans="1:15" ht="60" customHeight="1">
      <c r="A781" s="30"/>
      <c r="B781" s="32"/>
      <c r="C781" s="49" t="s">
        <v>288</v>
      </c>
      <c r="D781" s="50"/>
      <c r="E781" s="51"/>
      <c r="F781" s="52">
        <v>1.00001287271885</v>
      </c>
      <c r="G781" s="53"/>
      <c r="H781" s="54" t="s">
        <v>289</v>
      </c>
      <c r="I781" s="55"/>
      <c r="J781" s="56">
        <v>23305100</v>
      </c>
      <c r="K781" s="119"/>
      <c r="L781" s="57"/>
      <c r="M781" s="56">
        <v>0</v>
      </c>
      <c r="N781" s="57"/>
      <c r="O781" s="9">
        <f>F781*J781</f>
        <v>23305400.000000071</v>
      </c>
    </row>
    <row r="782" spans="1:15" ht="21" customHeight="1">
      <c r="A782" s="46" t="s">
        <v>290</v>
      </c>
      <c r="B782" s="48"/>
      <c r="C782" s="46" t="s">
        <v>291</v>
      </c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8"/>
      <c r="O782" s="6">
        <v>80628600</v>
      </c>
    </row>
    <row r="783" spans="1:15" ht="19.95" customHeight="1">
      <c r="A783" s="46" t="s">
        <v>292</v>
      </c>
      <c r="B783" s="48"/>
      <c r="C783" s="46" t="s">
        <v>293</v>
      </c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8"/>
      <c r="O783" s="6">
        <v>73108950</v>
      </c>
    </row>
    <row r="784" spans="1:15" ht="31.05" customHeight="1">
      <c r="A784" s="30" t="s">
        <v>294</v>
      </c>
      <c r="B784" s="32"/>
      <c r="C784" s="46" t="s">
        <v>295</v>
      </c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8"/>
      <c r="O784" s="6">
        <v>73108950</v>
      </c>
    </row>
    <row r="785" spans="1:15" ht="30" customHeight="1">
      <c r="A785" s="40"/>
      <c r="B785" s="42"/>
      <c r="C785" s="30" t="s">
        <v>296</v>
      </c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2"/>
      <c r="O785" s="6">
        <v>73108950</v>
      </c>
    </row>
    <row r="786" spans="1:15" ht="21" customHeight="1">
      <c r="A786" s="40"/>
      <c r="B786" s="42"/>
      <c r="C786" s="46" t="s">
        <v>69</v>
      </c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8"/>
      <c r="O786" s="6">
        <v>41603150</v>
      </c>
    </row>
    <row r="787" spans="1:15" ht="70.05" customHeight="1">
      <c r="A787" s="30"/>
      <c r="B787" s="32"/>
      <c r="C787" s="49" t="s">
        <v>297</v>
      </c>
      <c r="D787" s="50"/>
      <c r="E787" s="51"/>
      <c r="F787" s="52">
        <v>2</v>
      </c>
      <c r="G787" s="53"/>
      <c r="H787" s="54" t="s">
        <v>289</v>
      </c>
      <c r="I787" s="55"/>
      <c r="J787" s="56">
        <v>20801575</v>
      </c>
      <c r="K787" s="119"/>
      <c r="L787" s="57"/>
      <c r="M787" s="56">
        <v>0</v>
      </c>
      <c r="N787" s="57"/>
      <c r="O787" s="9">
        <v>41603150</v>
      </c>
    </row>
    <row r="788" spans="1:15" ht="21" customHeight="1">
      <c r="A788" s="40"/>
      <c r="B788" s="42"/>
      <c r="C788" s="46" t="s">
        <v>298</v>
      </c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8"/>
      <c r="O788" s="6">
        <v>31505800</v>
      </c>
    </row>
    <row r="789" spans="1:15" ht="70.95" customHeight="1">
      <c r="A789" s="30"/>
      <c r="B789" s="32"/>
      <c r="C789" s="49" t="s">
        <v>299</v>
      </c>
      <c r="D789" s="50"/>
      <c r="E789" s="51"/>
      <c r="F789" s="52">
        <v>1</v>
      </c>
      <c r="G789" s="53"/>
      <c r="H789" s="54" t="s">
        <v>289</v>
      </c>
      <c r="I789" s="55"/>
      <c r="J789" s="56">
        <v>31505800</v>
      </c>
      <c r="K789" s="119"/>
      <c r="L789" s="57"/>
      <c r="M789" s="56">
        <v>0</v>
      </c>
      <c r="N789" s="57"/>
      <c r="O789" s="9">
        <v>31505800</v>
      </c>
    </row>
    <row r="790" spans="1:15" ht="19.95" customHeight="1">
      <c r="A790" s="46" t="s">
        <v>300</v>
      </c>
      <c r="B790" s="48"/>
      <c r="C790" s="46" t="s">
        <v>301</v>
      </c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8"/>
      <c r="O790" s="6">
        <v>7519650</v>
      </c>
    </row>
    <row r="791" spans="1:15" ht="31.05" customHeight="1">
      <c r="A791" s="30" t="s">
        <v>302</v>
      </c>
      <c r="B791" s="32"/>
      <c r="C791" s="46" t="s">
        <v>303</v>
      </c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8"/>
      <c r="O791" s="6">
        <v>7519650</v>
      </c>
    </row>
    <row r="792" spans="1:15" ht="30" customHeight="1">
      <c r="A792" s="40"/>
      <c r="B792" s="42"/>
      <c r="C792" s="30" t="s">
        <v>304</v>
      </c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2"/>
      <c r="O792" s="6">
        <v>7519650</v>
      </c>
    </row>
    <row r="793" spans="1:15" ht="21" customHeight="1">
      <c r="A793" s="40"/>
      <c r="B793" s="42"/>
      <c r="C793" s="46" t="s">
        <v>69</v>
      </c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8"/>
      <c r="O793" s="6">
        <v>3122700</v>
      </c>
    </row>
    <row r="794" spans="1:15" ht="70.05" customHeight="1">
      <c r="A794" s="30"/>
      <c r="B794" s="32"/>
      <c r="C794" s="49" t="s">
        <v>305</v>
      </c>
      <c r="D794" s="50"/>
      <c r="E794" s="51"/>
      <c r="F794" s="52">
        <v>1</v>
      </c>
      <c r="G794" s="53"/>
      <c r="H794" s="54" t="s">
        <v>289</v>
      </c>
      <c r="I794" s="55"/>
      <c r="J794" s="56">
        <v>3122700</v>
      </c>
      <c r="K794" s="119"/>
      <c r="L794" s="57"/>
      <c r="M794" s="56">
        <v>0</v>
      </c>
      <c r="N794" s="57"/>
      <c r="O794" s="9">
        <v>3122700</v>
      </c>
    </row>
    <row r="795" spans="1:15" ht="20.7" customHeight="1">
      <c r="A795" s="40"/>
      <c r="B795" s="42"/>
      <c r="C795" s="46" t="s">
        <v>298</v>
      </c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8"/>
      <c r="O795" s="6">
        <v>4396950</v>
      </c>
    </row>
    <row r="796" spans="1:15" ht="37.950000000000003" customHeight="1">
      <c r="A796" s="87" t="s">
        <v>49</v>
      </c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9"/>
    </row>
    <row r="797" spans="1:15" ht="19.95" customHeight="1">
      <c r="A797" s="61" t="s">
        <v>50</v>
      </c>
      <c r="B797" s="62"/>
      <c r="C797" s="65" t="s">
        <v>51</v>
      </c>
      <c r="D797" s="66"/>
      <c r="E797" s="67"/>
      <c r="F797" s="71" t="s">
        <v>52</v>
      </c>
      <c r="G797" s="72"/>
      <c r="H797" s="72"/>
      <c r="I797" s="72"/>
      <c r="J797" s="72"/>
      <c r="K797" s="72"/>
      <c r="L797" s="72"/>
      <c r="M797" s="72"/>
      <c r="N797" s="73"/>
      <c r="O797" s="74" t="s">
        <v>53</v>
      </c>
    </row>
    <row r="798" spans="1:15" ht="21" customHeight="1">
      <c r="A798" s="63"/>
      <c r="B798" s="64"/>
      <c r="C798" s="68"/>
      <c r="D798" s="69"/>
      <c r="E798" s="70"/>
      <c r="F798" s="76" t="s">
        <v>54</v>
      </c>
      <c r="G798" s="77"/>
      <c r="H798" s="71" t="s">
        <v>55</v>
      </c>
      <c r="I798" s="73"/>
      <c r="J798" s="78" t="s">
        <v>56</v>
      </c>
      <c r="K798" s="79"/>
      <c r="L798" s="80" t="s">
        <v>57</v>
      </c>
      <c r="M798" s="81"/>
      <c r="N798" s="82"/>
      <c r="O798" s="75"/>
    </row>
    <row r="799" spans="1:15" ht="60" customHeight="1">
      <c r="A799" s="30"/>
      <c r="B799" s="32"/>
      <c r="C799" s="49" t="s">
        <v>306</v>
      </c>
      <c r="D799" s="50"/>
      <c r="E799" s="51"/>
      <c r="F799" s="52">
        <v>1</v>
      </c>
      <c r="G799" s="53"/>
      <c r="H799" s="54" t="s">
        <v>289</v>
      </c>
      <c r="I799" s="55"/>
      <c r="J799" s="56">
        <v>4396950</v>
      </c>
      <c r="K799" s="57"/>
      <c r="L799" s="58">
        <v>0</v>
      </c>
      <c r="M799" s="59"/>
      <c r="N799" s="60"/>
      <c r="O799" s="12">
        <v>4396950</v>
      </c>
    </row>
    <row r="800" spans="1:15" ht="31.05" customHeight="1">
      <c r="A800" s="27" t="s">
        <v>89</v>
      </c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9"/>
      <c r="O800" s="10">
        <v>2106933700</v>
      </c>
    </row>
    <row r="801" spans="1:15" ht="153" customHeight="1">
      <c r="A801" s="30"/>
      <c r="B801" s="31"/>
      <c r="C801" s="31"/>
      <c r="D801" s="31"/>
      <c r="E801" s="31"/>
      <c r="F801" s="31"/>
      <c r="G801" s="32"/>
      <c r="H801" s="33" t="s">
        <v>90</v>
      </c>
      <c r="I801" s="34"/>
      <c r="J801" s="34"/>
      <c r="K801" s="34"/>
      <c r="L801" s="34"/>
      <c r="M801" s="34"/>
      <c r="N801" s="34"/>
      <c r="O801" s="35"/>
    </row>
    <row r="802" spans="1:15" ht="20.55" customHeight="1">
      <c r="A802" s="1"/>
      <c r="B802" s="1"/>
      <c r="C802" s="1"/>
      <c r="D802" s="1"/>
      <c r="E802" s="1"/>
      <c r="F802" s="1"/>
      <c r="G802" s="1"/>
      <c r="H802" s="1"/>
      <c r="I802" s="1"/>
      <c r="J802" s="36"/>
      <c r="K802" s="36"/>
      <c r="L802" s="36"/>
      <c r="M802" s="36"/>
      <c r="N802" s="36"/>
      <c r="O802" s="5"/>
    </row>
    <row r="803" spans="1:15" ht="21" customHeight="1">
      <c r="A803" s="37" t="s">
        <v>91</v>
      </c>
      <c r="B803" s="38"/>
      <c r="C803" s="39"/>
      <c r="D803" s="2" t="s">
        <v>48</v>
      </c>
      <c r="E803" s="40"/>
      <c r="F803" s="41"/>
      <c r="G803" s="41"/>
      <c r="H803" s="41"/>
      <c r="I803" s="41"/>
      <c r="J803" s="41"/>
      <c r="K803" s="41"/>
      <c r="L803" s="41"/>
      <c r="M803" s="41"/>
      <c r="N803" s="41"/>
      <c r="O803" s="42"/>
    </row>
    <row r="804" spans="1:15" ht="19.95" customHeight="1">
      <c r="A804" s="37" t="s">
        <v>92</v>
      </c>
      <c r="B804" s="38"/>
      <c r="C804" s="39"/>
      <c r="D804" s="2" t="s">
        <v>48</v>
      </c>
      <c r="E804" s="40"/>
      <c r="F804" s="41"/>
      <c r="G804" s="41"/>
      <c r="H804" s="41"/>
      <c r="I804" s="41"/>
      <c r="J804" s="41"/>
      <c r="K804" s="41"/>
      <c r="L804" s="41"/>
      <c r="M804" s="41"/>
      <c r="N804" s="41"/>
      <c r="O804" s="42"/>
    </row>
    <row r="805" spans="1:15" ht="19.95" customHeight="1">
      <c r="A805" s="37" t="s">
        <v>93</v>
      </c>
      <c r="B805" s="38"/>
      <c r="C805" s="39"/>
      <c r="D805" s="2" t="s">
        <v>48</v>
      </c>
      <c r="E805" s="40"/>
      <c r="F805" s="41"/>
      <c r="G805" s="41"/>
      <c r="H805" s="41"/>
      <c r="I805" s="41"/>
      <c r="J805" s="41"/>
      <c r="K805" s="41"/>
      <c r="L805" s="41"/>
      <c r="M805" s="41"/>
      <c r="N805" s="41"/>
      <c r="O805" s="42"/>
    </row>
    <row r="806" spans="1:15" ht="21" customHeight="1">
      <c r="A806" s="43">
        <v>1</v>
      </c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5"/>
    </row>
    <row r="807" spans="1:15" ht="19.95" customHeight="1">
      <c r="A807" s="43">
        <v>2</v>
      </c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5"/>
    </row>
    <row r="808" spans="1:15" ht="19.5" customHeight="1">
      <c r="A808" s="37" t="s">
        <v>94</v>
      </c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9"/>
    </row>
    <row r="809" spans="1:15" ht="20.55" customHeight="1">
      <c r="A809" s="1"/>
      <c r="B809" s="1"/>
      <c r="C809" s="1"/>
      <c r="D809" s="1"/>
      <c r="E809" s="1"/>
      <c r="F809" s="1"/>
      <c r="G809" s="1"/>
      <c r="H809" s="1"/>
      <c r="I809" s="1"/>
      <c r="J809" s="36"/>
      <c r="K809" s="36"/>
      <c r="L809" s="36"/>
      <c r="M809" s="36"/>
      <c r="N809" s="36"/>
      <c r="O809" s="5"/>
    </row>
    <row r="810" spans="1:15" ht="22.05" customHeight="1">
      <c r="A810" s="18" t="s">
        <v>95</v>
      </c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20"/>
    </row>
    <row r="811" spans="1:15" ht="21" customHeight="1">
      <c r="A811" s="3" t="s">
        <v>96</v>
      </c>
      <c r="B811" s="18" t="s">
        <v>97</v>
      </c>
      <c r="C811" s="19"/>
      <c r="D811" s="19"/>
      <c r="E811" s="19"/>
      <c r="F811" s="20"/>
      <c r="G811" s="18" t="s">
        <v>98</v>
      </c>
      <c r="H811" s="20"/>
      <c r="I811" s="18" t="s">
        <v>99</v>
      </c>
      <c r="J811" s="19"/>
      <c r="K811" s="20"/>
      <c r="L811" s="21" t="s">
        <v>100</v>
      </c>
      <c r="M811" s="22"/>
      <c r="N811" s="22"/>
      <c r="O811" s="23"/>
    </row>
    <row r="812" spans="1:15" ht="22.05" customHeight="1">
      <c r="A812" s="24" t="s">
        <v>101</v>
      </c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6"/>
    </row>
    <row r="813" spans="1:15" ht="64.05" customHeight="1">
      <c r="A813" s="106" t="s">
        <v>0</v>
      </c>
      <c r="B813" s="107"/>
      <c r="C813" s="107"/>
      <c r="D813" s="107"/>
      <c r="E813" s="107"/>
      <c r="F813" s="107"/>
      <c r="G813" s="107"/>
      <c r="H813" s="107"/>
      <c r="I813" s="107"/>
      <c r="J813" s="108"/>
      <c r="K813" s="109" t="s">
        <v>1</v>
      </c>
      <c r="L813" s="110"/>
      <c r="M813" s="110"/>
      <c r="N813" s="110"/>
      <c r="O813" s="111"/>
    </row>
    <row r="814" spans="1:15" ht="23.55" customHeight="1">
      <c r="A814" s="101" t="s">
        <v>674</v>
      </c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3"/>
    </row>
    <row r="815" spans="1:15" ht="20.55" customHeight="1">
      <c r="A815" s="93"/>
      <c r="B815" s="93"/>
      <c r="C815" s="1"/>
      <c r="D815" s="93"/>
      <c r="E815" s="93"/>
      <c r="F815" s="93"/>
      <c r="G815" s="93"/>
      <c r="H815" s="93"/>
      <c r="I815" s="93"/>
      <c r="J815" s="5"/>
      <c r="K815" s="36"/>
      <c r="L815" s="36"/>
      <c r="M815" s="5"/>
      <c r="N815" s="5"/>
      <c r="O815" s="5"/>
    </row>
    <row r="816" spans="1:15" ht="37.049999999999997" customHeight="1">
      <c r="A816" s="101" t="s">
        <v>2</v>
      </c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3"/>
    </row>
    <row r="817" spans="1:15" ht="21" customHeight="1">
      <c r="A817" s="37" t="s">
        <v>3</v>
      </c>
      <c r="B817" s="38"/>
      <c r="C817" s="39"/>
      <c r="D817" s="90" t="s">
        <v>4</v>
      </c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2"/>
    </row>
    <row r="818" spans="1:15" ht="22.05" customHeight="1">
      <c r="A818" s="37" t="s">
        <v>5</v>
      </c>
      <c r="B818" s="38"/>
      <c r="C818" s="39"/>
      <c r="D818" s="90" t="s">
        <v>6</v>
      </c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2"/>
    </row>
    <row r="819" spans="1:15" ht="22.05" customHeight="1">
      <c r="A819" s="37" t="s">
        <v>7</v>
      </c>
      <c r="B819" s="38"/>
      <c r="C819" s="39"/>
      <c r="D819" s="90" t="s">
        <v>8</v>
      </c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2"/>
    </row>
    <row r="820" spans="1:15" ht="21" customHeight="1">
      <c r="A820" s="37" t="s">
        <v>9</v>
      </c>
      <c r="B820" s="38"/>
      <c r="C820" s="39"/>
      <c r="D820" s="90" t="s">
        <v>10</v>
      </c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2"/>
    </row>
    <row r="821" spans="1:15" ht="22.05" customHeight="1">
      <c r="A821" s="37" t="s">
        <v>11</v>
      </c>
      <c r="B821" s="38"/>
      <c r="C821" s="39"/>
      <c r="D821" s="90" t="s">
        <v>12</v>
      </c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2"/>
    </row>
    <row r="822" spans="1:15" ht="22.05" customHeight="1">
      <c r="A822" s="37" t="s">
        <v>13</v>
      </c>
      <c r="B822" s="38"/>
      <c r="C822" s="39"/>
      <c r="D822" s="90" t="s">
        <v>246</v>
      </c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2"/>
    </row>
    <row r="823" spans="1:15" ht="21" customHeight="1">
      <c r="A823" s="37" t="s">
        <v>15</v>
      </c>
      <c r="B823" s="38"/>
      <c r="C823" s="39"/>
      <c r="D823" s="90" t="s">
        <v>307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2"/>
    </row>
    <row r="824" spans="1:15" ht="22.05" customHeight="1">
      <c r="A824" s="37" t="s">
        <v>17</v>
      </c>
      <c r="B824" s="38"/>
      <c r="C824" s="39"/>
      <c r="D824" s="90" t="s">
        <v>10</v>
      </c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2"/>
    </row>
    <row r="825" spans="1:15" ht="22.05" customHeight="1">
      <c r="A825" s="37" t="s">
        <v>18</v>
      </c>
      <c r="B825" s="38"/>
      <c r="C825" s="39"/>
      <c r="D825" s="90" t="s">
        <v>10</v>
      </c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2"/>
    </row>
    <row r="826" spans="1:15" ht="22.05" customHeight="1">
      <c r="A826" s="37" t="s">
        <v>19</v>
      </c>
      <c r="B826" s="38"/>
      <c r="C826" s="39"/>
      <c r="D826" s="90" t="s">
        <v>20</v>
      </c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2"/>
    </row>
    <row r="827" spans="1:15" ht="21" customHeight="1">
      <c r="A827" s="37" t="s">
        <v>21</v>
      </c>
      <c r="B827" s="38"/>
      <c r="C827" s="39"/>
      <c r="D827" s="90" t="s">
        <v>22</v>
      </c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2"/>
    </row>
    <row r="828" spans="1:15" ht="22.05" customHeight="1">
      <c r="A828" s="37" t="s">
        <v>23</v>
      </c>
      <c r="B828" s="38"/>
      <c r="C828" s="39"/>
      <c r="D828" s="90" t="s">
        <v>24</v>
      </c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2"/>
    </row>
    <row r="829" spans="1:15" ht="22.05" customHeight="1">
      <c r="A829" s="37" t="s">
        <v>25</v>
      </c>
      <c r="B829" s="38"/>
      <c r="C829" s="39"/>
      <c r="D829" s="90" t="s">
        <v>26</v>
      </c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2"/>
    </row>
    <row r="830" spans="1:15" ht="21" customHeight="1">
      <c r="A830" s="37" t="s">
        <v>670</v>
      </c>
      <c r="B830" s="38"/>
      <c r="C830" s="39"/>
      <c r="D830" s="90" t="s">
        <v>27</v>
      </c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2"/>
    </row>
    <row r="831" spans="1:15" ht="22.05" customHeight="1">
      <c r="A831" s="37" t="s">
        <v>675</v>
      </c>
      <c r="B831" s="38"/>
      <c r="C831" s="39"/>
      <c r="D831" s="90" t="s">
        <v>308</v>
      </c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2"/>
    </row>
    <row r="832" spans="1:15" ht="21.45" customHeight="1">
      <c r="A832" s="37" t="s">
        <v>676</v>
      </c>
      <c r="B832" s="38"/>
      <c r="C832" s="39"/>
      <c r="D832" s="90" t="s">
        <v>309</v>
      </c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2"/>
    </row>
    <row r="833" spans="1:15" ht="20.55" customHeight="1">
      <c r="A833" s="93"/>
      <c r="B833" s="93"/>
      <c r="C833" s="1"/>
      <c r="D833" s="93"/>
      <c r="E833" s="93"/>
      <c r="F833" s="93"/>
      <c r="G833" s="93"/>
      <c r="H833" s="93"/>
      <c r="I833" s="93"/>
      <c r="J833" s="5"/>
      <c r="K833" s="36"/>
      <c r="L833" s="36"/>
      <c r="M833" s="5"/>
      <c r="N833" s="5"/>
      <c r="O833" s="5"/>
    </row>
    <row r="834" spans="1:15" ht="22.95" customHeight="1">
      <c r="A834" s="101" t="s">
        <v>29</v>
      </c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3"/>
    </row>
    <row r="835" spans="1:15" ht="24" customHeight="1">
      <c r="A835" s="101" t="s">
        <v>30</v>
      </c>
      <c r="B835" s="102"/>
      <c r="C835" s="103"/>
      <c r="D835" s="101" t="s">
        <v>31</v>
      </c>
      <c r="E835" s="102"/>
      <c r="F835" s="102"/>
      <c r="G835" s="102"/>
      <c r="H835" s="102"/>
      <c r="I835" s="102"/>
      <c r="J835" s="102"/>
      <c r="K835" s="102"/>
      <c r="L835" s="102"/>
      <c r="M835" s="103"/>
      <c r="N835" s="104" t="s">
        <v>32</v>
      </c>
      <c r="O835" s="105"/>
    </row>
    <row r="836" spans="1:15" ht="21" customHeight="1">
      <c r="A836" s="37" t="s">
        <v>33</v>
      </c>
      <c r="B836" s="38"/>
      <c r="C836" s="39"/>
      <c r="D836" s="37" t="s">
        <v>34</v>
      </c>
      <c r="E836" s="38"/>
      <c r="F836" s="38"/>
      <c r="G836" s="38"/>
      <c r="H836" s="38"/>
      <c r="I836" s="38"/>
      <c r="J836" s="38"/>
      <c r="K836" s="38"/>
      <c r="L836" s="38"/>
      <c r="M836" s="39"/>
      <c r="N836" s="97" t="s">
        <v>35</v>
      </c>
      <c r="O836" s="98"/>
    </row>
    <row r="837" spans="1:15" ht="19.95" customHeight="1">
      <c r="A837" s="37" t="s">
        <v>36</v>
      </c>
      <c r="B837" s="38"/>
      <c r="C837" s="39"/>
      <c r="D837" s="37" t="s">
        <v>37</v>
      </c>
      <c r="E837" s="38"/>
      <c r="F837" s="38"/>
      <c r="G837" s="38"/>
      <c r="H837" s="38"/>
      <c r="I837" s="38"/>
      <c r="J837" s="38"/>
      <c r="K837" s="38"/>
      <c r="L837" s="38"/>
      <c r="M837" s="39"/>
      <c r="N837" s="97">
        <f>O852</f>
        <v>190273000</v>
      </c>
      <c r="O837" s="98"/>
    </row>
    <row r="838" spans="1:15" ht="19.95" customHeight="1">
      <c r="A838" s="37" t="s">
        <v>38</v>
      </c>
      <c r="B838" s="38"/>
      <c r="C838" s="39"/>
      <c r="D838" s="37" t="s">
        <v>310</v>
      </c>
      <c r="E838" s="38"/>
      <c r="F838" s="38"/>
      <c r="G838" s="38"/>
      <c r="H838" s="38"/>
      <c r="I838" s="38"/>
      <c r="J838" s="38"/>
      <c r="K838" s="38"/>
      <c r="L838" s="38"/>
      <c r="M838" s="39"/>
      <c r="N838" s="97" t="s">
        <v>311</v>
      </c>
      <c r="O838" s="98"/>
    </row>
    <row r="839" spans="1:15" ht="20.55" customHeight="1">
      <c r="A839" s="37" t="s">
        <v>41</v>
      </c>
      <c r="B839" s="38"/>
      <c r="C839" s="39"/>
      <c r="D839" s="37" t="s">
        <v>252</v>
      </c>
      <c r="E839" s="38"/>
      <c r="F839" s="38"/>
      <c r="G839" s="38"/>
      <c r="H839" s="38"/>
      <c r="I839" s="38"/>
      <c r="J839" s="38"/>
      <c r="K839" s="38"/>
      <c r="L839" s="38"/>
      <c r="M839" s="39"/>
      <c r="N839" s="99">
        <v>0.97</v>
      </c>
      <c r="O839" s="100"/>
    </row>
    <row r="840" spans="1:15" ht="20.55" customHeight="1">
      <c r="A840" s="93"/>
      <c r="B840" s="93"/>
      <c r="C840" s="1"/>
      <c r="D840" s="93"/>
      <c r="E840" s="93"/>
      <c r="F840" s="93"/>
      <c r="G840" s="93"/>
      <c r="H840" s="93"/>
      <c r="I840" s="93"/>
      <c r="J840" s="5"/>
      <c r="K840" s="36"/>
      <c r="L840" s="36"/>
      <c r="M840" s="5"/>
      <c r="N840" s="5"/>
      <c r="O840" s="5"/>
    </row>
    <row r="841" spans="1:15" ht="37.049999999999997" customHeight="1">
      <c r="A841" s="101" t="s">
        <v>43</v>
      </c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3"/>
    </row>
    <row r="842" spans="1:15" ht="21" customHeight="1">
      <c r="A842" s="37" t="s">
        <v>15</v>
      </c>
      <c r="B842" s="38"/>
      <c r="C842" s="39"/>
      <c r="D842" s="90" t="s">
        <v>307</v>
      </c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2"/>
    </row>
    <row r="843" spans="1:15" ht="19.95" customHeight="1">
      <c r="A843" s="37" t="s">
        <v>19</v>
      </c>
      <c r="B843" s="38"/>
      <c r="C843" s="39"/>
      <c r="D843" s="90" t="s">
        <v>20</v>
      </c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2"/>
    </row>
    <row r="844" spans="1:15" ht="19.95" customHeight="1">
      <c r="A844" s="37" t="s">
        <v>21</v>
      </c>
      <c r="B844" s="38"/>
      <c r="C844" s="39"/>
      <c r="D844" s="90" t="s">
        <v>44</v>
      </c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2"/>
    </row>
    <row r="845" spans="1:15" ht="21" customHeight="1">
      <c r="A845" s="37" t="s">
        <v>45</v>
      </c>
      <c r="B845" s="38"/>
      <c r="C845" s="39"/>
      <c r="D845" s="90" t="s">
        <v>312</v>
      </c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2"/>
    </row>
    <row r="846" spans="1:15" ht="19.95" customHeight="1">
      <c r="A846" s="37" t="s">
        <v>23</v>
      </c>
      <c r="B846" s="38"/>
      <c r="C846" s="39"/>
      <c r="D846" s="90" t="s">
        <v>24</v>
      </c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2"/>
    </row>
    <row r="847" spans="1:15" ht="19.5" customHeight="1">
      <c r="A847" s="37" t="s">
        <v>47</v>
      </c>
      <c r="B847" s="38"/>
      <c r="C847" s="39"/>
      <c r="D847" s="90" t="s">
        <v>48</v>
      </c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2"/>
    </row>
    <row r="848" spans="1:15" ht="20.55" customHeight="1">
      <c r="A848" s="93"/>
      <c r="B848" s="93"/>
      <c r="C848" s="1"/>
      <c r="D848" s="93"/>
      <c r="E848" s="93"/>
      <c r="F848" s="93"/>
      <c r="G848" s="93"/>
      <c r="H848" s="93"/>
      <c r="I848" s="93"/>
      <c r="J848" s="5"/>
      <c r="K848" s="36"/>
      <c r="L848" s="36"/>
      <c r="M848" s="5"/>
      <c r="N848" s="5"/>
      <c r="O848" s="5"/>
    </row>
    <row r="849" spans="1:15" ht="37.950000000000003" customHeight="1">
      <c r="A849" s="87" t="s">
        <v>49</v>
      </c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9"/>
    </row>
    <row r="850" spans="1:15" ht="19.95" customHeight="1">
      <c r="A850" s="61" t="s">
        <v>50</v>
      </c>
      <c r="B850" s="62"/>
      <c r="C850" s="65" t="s">
        <v>51</v>
      </c>
      <c r="D850" s="66"/>
      <c r="E850" s="67"/>
      <c r="F850" s="71" t="s">
        <v>52</v>
      </c>
      <c r="G850" s="72"/>
      <c r="H850" s="72"/>
      <c r="I850" s="72"/>
      <c r="J850" s="72"/>
      <c r="K850" s="72"/>
      <c r="L850" s="72"/>
      <c r="M850" s="72"/>
      <c r="N850" s="73"/>
      <c r="O850" s="74" t="s">
        <v>53</v>
      </c>
    </row>
    <row r="851" spans="1:15" ht="21" customHeight="1">
      <c r="A851" s="63"/>
      <c r="B851" s="64"/>
      <c r="C851" s="68"/>
      <c r="D851" s="69"/>
      <c r="E851" s="70"/>
      <c r="F851" s="76" t="s">
        <v>54</v>
      </c>
      <c r="G851" s="77"/>
      <c r="H851" s="71" t="s">
        <v>55</v>
      </c>
      <c r="I851" s="73"/>
      <c r="J851" s="94" t="s">
        <v>56</v>
      </c>
      <c r="K851" s="95"/>
      <c r="L851" s="96"/>
      <c r="M851" s="80" t="s">
        <v>57</v>
      </c>
      <c r="N851" s="82"/>
      <c r="O851" s="75"/>
    </row>
    <row r="852" spans="1:15" ht="30" customHeight="1">
      <c r="A852" s="83">
        <v>5</v>
      </c>
      <c r="B852" s="84"/>
      <c r="C852" s="46" t="s">
        <v>58</v>
      </c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8"/>
      <c r="O852" s="13">
        <f>O853</f>
        <v>190273000</v>
      </c>
    </row>
    <row r="853" spans="1:15" ht="31.05" customHeight="1">
      <c r="A853" s="46" t="s">
        <v>59</v>
      </c>
      <c r="B853" s="48"/>
      <c r="C853" s="46" t="s">
        <v>60</v>
      </c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8"/>
      <c r="O853" s="13">
        <f>O854</f>
        <v>190273000</v>
      </c>
    </row>
    <row r="854" spans="1:15" ht="31.05" customHeight="1">
      <c r="A854" s="85">
        <v>37377</v>
      </c>
      <c r="B854" s="86"/>
      <c r="C854" s="46" t="s">
        <v>61</v>
      </c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8"/>
      <c r="O854" s="13">
        <f>O855</f>
        <v>190273000</v>
      </c>
    </row>
    <row r="855" spans="1:15" ht="30" customHeight="1">
      <c r="A855" s="46" t="s">
        <v>62</v>
      </c>
      <c r="B855" s="48"/>
      <c r="C855" s="46" t="s">
        <v>63</v>
      </c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8"/>
      <c r="O855" s="13">
        <f>O856</f>
        <v>190273000</v>
      </c>
    </row>
    <row r="856" spans="1:15" ht="31.05" customHeight="1">
      <c r="A856" s="46" t="s">
        <v>64</v>
      </c>
      <c r="B856" s="48"/>
      <c r="C856" s="46" t="s">
        <v>65</v>
      </c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8"/>
      <c r="O856" s="13">
        <f>O857</f>
        <v>190273000</v>
      </c>
    </row>
    <row r="857" spans="1:15" ht="30.75" customHeight="1">
      <c r="A857" s="30" t="s">
        <v>313</v>
      </c>
      <c r="B857" s="32"/>
      <c r="C857" s="46" t="s">
        <v>314</v>
      </c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8"/>
      <c r="O857" s="13">
        <f>O861</f>
        <v>190273000</v>
      </c>
    </row>
    <row r="858" spans="1:15" ht="37.950000000000003" customHeight="1">
      <c r="A858" s="87" t="s">
        <v>49</v>
      </c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9"/>
    </row>
    <row r="859" spans="1:15" ht="19.95" customHeight="1">
      <c r="A859" s="61" t="s">
        <v>50</v>
      </c>
      <c r="B859" s="62"/>
      <c r="C859" s="65" t="s">
        <v>51</v>
      </c>
      <c r="D859" s="66"/>
      <c r="E859" s="67"/>
      <c r="F859" s="71" t="s">
        <v>52</v>
      </c>
      <c r="G859" s="72"/>
      <c r="H859" s="72"/>
      <c r="I859" s="72"/>
      <c r="J859" s="72"/>
      <c r="K859" s="72"/>
      <c r="L859" s="72"/>
      <c r="M859" s="72"/>
      <c r="N859" s="73"/>
      <c r="O859" s="74" t="s">
        <v>53</v>
      </c>
    </row>
    <row r="860" spans="1:15" ht="21" customHeight="1">
      <c r="A860" s="63"/>
      <c r="B860" s="64"/>
      <c r="C860" s="68"/>
      <c r="D860" s="69"/>
      <c r="E860" s="70"/>
      <c r="F860" s="76" t="s">
        <v>54</v>
      </c>
      <c r="G860" s="77"/>
      <c r="H860" s="71" t="s">
        <v>55</v>
      </c>
      <c r="I860" s="73"/>
      <c r="J860" s="94" t="s">
        <v>56</v>
      </c>
      <c r="K860" s="95"/>
      <c r="L860" s="96"/>
      <c r="M860" s="80" t="s">
        <v>57</v>
      </c>
      <c r="N860" s="82"/>
      <c r="O860" s="75"/>
    </row>
    <row r="861" spans="1:15" ht="30" customHeight="1">
      <c r="A861" s="40"/>
      <c r="B861" s="42"/>
      <c r="C861" s="30" t="s">
        <v>315</v>
      </c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2"/>
      <c r="O861" s="13">
        <f>O862+O881</f>
        <v>190273000</v>
      </c>
    </row>
    <row r="862" spans="1:15" ht="31.05" customHeight="1">
      <c r="A862" s="40"/>
      <c r="B862" s="42"/>
      <c r="C862" s="46" t="s">
        <v>69</v>
      </c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8"/>
      <c r="O862" s="13">
        <f>SUM(O863:O880)</f>
        <v>123957100</v>
      </c>
    </row>
    <row r="863" spans="1:15" ht="70.95" customHeight="1">
      <c r="A863" s="30"/>
      <c r="B863" s="32"/>
      <c r="C863" s="49" t="s">
        <v>316</v>
      </c>
      <c r="D863" s="50"/>
      <c r="E863" s="51"/>
      <c r="F863" s="54" t="s">
        <v>317</v>
      </c>
      <c r="G863" s="55"/>
      <c r="H863" s="54" t="s">
        <v>318</v>
      </c>
      <c r="I863" s="55"/>
      <c r="J863" s="56">
        <v>129525</v>
      </c>
      <c r="K863" s="119"/>
      <c r="L863" s="57"/>
      <c r="M863" s="56">
        <v>0.11</v>
      </c>
      <c r="N863" s="57"/>
      <c r="O863" s="7">
        <v>1437728</v>
      </c>
    </row>
    <row r="864" spans="1:15" ht="60" customHeight="1">
      <c r="A864" s="30"/>
      <c r="B864" s="32"/>
      <c r="C864" s="49" t="s">
        <v>319</v>
      </c>
      <c r="D864" s="50"/>
      <c r="E864" s="51"/>
      <c r="F864" s="52">
        <v>60</v>
      </c>
      <c r="G864" s="53"/>
      <c r="H864" s="54" t="s">
        <v>75</v>
      </c>
      <c r="I864" s="55"/>
      <c r="J864" s="56">
        <v>73075</v>
      </c>
      <c r="K864" s="119"/>
      <c r="L864" s="57"/>
      <c r="M864" s="56">
        <v>0.11</v>
      </c>
      <c r="N864" s="57"/>
      <c r="O864" s="7">
        <v>4866795</v>
      </c>
    </row>
    <row r="865" spans="1:15" ht="61.05" customHeight="1">
      <c r="A865" s="30"/>
      <c r="B865" s="32"/>
      <c r="C865" s="49" t="s">
        <v>320</v>
      </c>
      <c r="D865" s="50"/>
      <c r="E865" s="51"/>
      <c r="F865" s="52">
        <v>70</v>
      </c>
      <c r="G865" s="53"/>
      <c r="H865" s="54" t="s">
        <v>73</v>
      </c>
      <c r="I865" s="55"/>
      <c r="J865" s="56">
        <v>37325</v>
      </c>
      <c r="K865" s="119"/>
      <c r="L865" s="57"/>
      <c r="M865" s="56">
        <v>0.11</v>
      </c>
      <c r="N865" s="57"/>
      <c r="O865" s="7">
        <v>2900152.5</v>
      </c>
    </row>
    <row r="866" spans="1:15" ht="60" customHeight="1">
      <c r="A866" s="30"/>
      <c r="B866" s="32"/>
      <c r="C866" s="49" t="s">
        <v>321</v>
      </c>
      <c r="D866" s="50"/>
      <c r="E866" s="51"/>
      <c r="F866" s="52">
        <v>40</v>
      </c>
      <c r="G866" s="53"/>
      <c r="H866" s="54" t="s">
        <v>73</v>
      </c>
      <c r="I866" s="55"/>
      <c r="J866" s="56">
        <v>147100</v>
      </c>
      <c r="K866" s="119"/>
      <c r="L866" s="57"/>
      <c r="M866" s="56">
        <v>0.11</v>
      </c>
      <c r="N866" s="57"/>
      <c r="O866" s="7">
        <v>6531240</v>
      </c>
    </row>
    <row r="867" spans="1:15" ht="60" customHeight="1">
      <c r="A867" s="30"/>
      <c r="B867" s="32"/>
      <c r="C867" s="49" t="s">
        <v>322</v>
      </c>
      <c r="D867" s="50"/>
      <c r="E867" s="51"/>
      <c r="F867" s="52">
        <v>45</v>
      </c>
      <c r="G867" s="53"/>
      <c r="H867" s="54" t="s">
        <v>73</v>
      </c>
      <c r="I867" s="55"/>
      <c r="J867" s="56">
        <v>80875</v>
      </c>
      <c r="K867" s="119"/>
      <c r="L867" s="57"/>
      <c r="M867" s="56">
        <v>0</v>
      </c>
      <c r="N867" s="57"/>
      <c r="O867" s="7">
        <v>3639375</v>
      </c>
    </row>
    <row r="868" spans="1:15" ht="61.05" customHeight="1">
      <c r="A868" s="30"/>
      <c r="B868" s="32"/>
      <c r="C868" s="49" t="s">
        <v>323</v>
      </c>
      <c r="D868" s="50"/>
      <c r="E868" s="51"/>
      <c r="F868" s="52">
        <v>75</v>
      </c>
      <c r="G868" s="53"/>
      <c r="H868" s="54" t="s">
        <v>129</v>
      </c>
      <c r="I868" s="55"/>
      <c r="J868" s="56">
        <v>28950</v>
      </c>
      <c r="K868" s="119"/>
      <c r="L868" s="57"/>
      <c r="M868" s="56">
        <v>0</v>
      </c>
      <c r="N868" s="57"/>
      <c r="O868" s="7">
        <v>2171250</v>
      </c>
    </row>
    <row r="869" spans="1:15" ht="60" customHeight="1">
      <c r="A869" s="30"/>
      <c r="B869" s="32"/>
      <c r="C869" s="49" t="s">
        <v>324</v>
      </c>
      <c r="D869" s="50"/>
      <c r="E869" s="51"/>
      <c r="F869" s="52">
        <v>300</v>
      </c>
      <c r="G869" s="53"/>
      <c r="H869" s="54" t="s">
        <v>129</v>
      </c>
      <c r="I869" s="55"/>
      <c r="J869" s="56">
        <v>29600</v>
      </c>
      <c r="K869" s="119"/>
      <c r="L869" s="57"/>
      <c r="M869" s="56">
        <v>0.11</v>
      </c>
      <c r="N869" s="57"/>
      <c r="O869" s="7">
        <v>9856800</v>
      </c>
    </row>
    <row r="870" spans="1:15" ht="61.05" customHeight="1">
      <c r="A870" s="30"/>
      <c r="B870" s="32"/>
      <c r="C870" s="49" t="s">
        <v>325</v>
      </c>
      <c r="D870" s="50"/>
      <c r="E870" s="51"/>
      <c r="F870" s="52">
        <v>20</v>
      </c>
      <c r="G870" s="53"/>
      <c r="H870" s="54" t="s">
        <v>73</v>
      </c>
      <c r="I870" s="55"/>
      <c r="J870" s="56">
        <v>25900</v>
      </c>
      <c r="K870" s="119"/>
      <c r="L870" s="57"/>
      <c r="M870" s="56">
        <v>0.11</v>
      </c>
      <c r="N870" s="57"/>
      <c r="O870" s="7">
        <v>574980</v>
      </c>
    </row>
    <row r="871" spans="1:15" ht="60" customHeight="1">
      <c r="A871" s="30"/>
      <c r="B871" s="32"/>
      <c r="C871" s="49" t="s">
        <v>326</v>
      </c>
      <c r="D871" s="50"/>
      <c r="E871" s="51"/>
      <c r="F871" s="52">
        <v>200</v>
      </c>
      <c r="G871" s="53"/>
      <c r="H871" s="54" t="s">
        <v>129</v>
      </c>
      <c r="I871" s="55"/>
      <c r="J871" s="56">
        <v>44400</v>
      </c>
      <c r="K871" s="119"/>
      <c r="L871" s="57"/>
      <c r="M871" s="56">
        <v>0.11</v>
      </c>
      <c r="N871" s="57"/>
      <c r="O871" s="7">
        <v>9856800</v>
      </c>
    </row>
    <row r="872" spans="1:15" ht="60" customHeight="1">
      <c r="A872" s="30"/>
      <c r="B872" s="32"/>
      <c r="C872" s="49" t="s">
        <v>327</v>
      </c>
      <c r="D872" s="50"/>
      <c r="E872" s="51"/>
      <c r="F872" s="52">
        <v>400</v>
      </c>
      <c r="G872" s="53"/>
      <c r="H872" s="54" t="s">
        <v>73</v>
      </c>
      <c r="I872" s="55"/>
      <c r="J872" s="56">
        <v>18875</v>
      </c>
      <c r="K872" s="119"/>
      <c r="L872" s="57"/>
      <c r="M872" s="56">
        <v>0.11</v>
      </c>
      <c r="N872" s="57"/>
      <c r="O872" s="7">
        <v>8380500</v>
      </c>
    </row>
    <row r="873" spans="1:15" ht="61.05" customHeight="1">
      <c r="A873" s="30"/>
      <c r="B873" s="32"/>
      <c r="C873" s="49" t="s">
        <v>328</v>
      </c>
      <c r="D873" s="50"/>
      <c r="E873" s="51"/>
      <c r="F873" s="52">
        <v>200</v>
      </c>
      <c r="G873" s="53"/>
      <c r="H873" s="54" t="s">
        <v>329</v>
      </c>
      <c r="I873" s="55"/>
      <c r="J873" s="56">
        <v>45175</v>
      </c>
      <c r="K873" s="119"/>
      <c r="L873" s="57"/>
      <c r="M873" s="56">
        <v>0.11</v>
      </c>
      <c r="N873" s="57"/>
      <c r="O873" s="7">
        <v>10028850</v>
      </c>
    </row>
    <row r="874" spans="1:15" ht="60" customHeight="1">
      <c r="A874" s="30"/>
      <c r="B874" s="32"/>
      <c r="C874" s="49" t="s">
        <v>330</v>
      </c>
      <c r="D874" s="50"/>
      <c r="E874" s="51"/>
      <c r="F874" s="52">
        <v>100</v>
      </c>
      <c r="G874" s="53"/>
      <c r="H874" s="54" t="s">
        <v>73</v>
      </c>
      <c r="I874" s="55"/>
      <c r="J874" s="56">
        <v>53650</v>
      </c>
      <c r="K874" s="119"/>
      <c r="L874" s="57"/>
      <c r="M874" s="56">
        <v>0.11</v>
      </c>
      <c r="N874" s="57"/>
      <c r="O874" s="7">
        <v>5955150</v>
      </c>
    </row>
    <row r="875" spans="1:15" ht="61.05" customHeight="1">
      <c r="A875" s="30"/>
      <c r="B875" s="32"/>
      <c r="C875" s="49" t="s">
        <v>331</v>
      </c>
      <c r="D875" s="50"/>
      <c r="E875" s="51"/>
      <c r="F875" s="52">
        <v>111.00044736842101</v>
      </c>
      <c r="G875" s="53"/>
      <c r="H875" s="54" t="s">
        <v>73</v>
      </c>
      <c r="I875" s="55"/>
      <c r="J875" s="56">
        <v>38000</v>
      </c>
      <c r="K875" s="119"/>
      <c r="L875" s="57"/>
      <c r="M875" s="56">
        <v>0.11</v>
      </c>
      <c r="N875" s="57"/>
      <c r="O875" s="7">
        <f>F875*J875</f>
        <v>4218016.9999999981</v>
      </c>
    </row>
    <row r="876" spans="1:15" ht="60" customHeight="1">
      <c r="A876" s="30"/>
      <c r="B876" s="32"/>
      <c r="C876" s="49" t="s">
        <v>332</v>
      </c>
      <c r="D876" s="50"/>
      <c r="E876" s="51"/>
      <c r="F876" s="52">
        <v>30</v>
      </c>
      <c r="G876" s="53"/>
      <c r="H876" s="54" t="s">
        <v>73</v>
      </c>
      <c r="I876" s="55"/>
      <c r="J876" s="56">
        <v>38925</v>
      </c>
      <c r="K876" s="119"/>
      <c r="L876" s="57"/>
      <c r="M876" s="56">
        <v>0.11</v>
      </c>
      <c r="N876" s="57"/>
      <c r="O876" s="7">
        <v>1296202.5</v>
      </c>
    </row>
    <row r="877" spans="1:15" ht="70.5" customHeight="1">
      <c r="A877" s="30"/>
      <c r="B877" s="32"/>
      <c r="C877" s="49" t="s">
        <v>333</v>
      </c>
      <c r="D877" s="50"/>
      <c r="E877" s="51"/>
      <c r="F877" s="54" t="s">
        <v>334</v>
      </c>
      <c r="G877" s="55"/>
      <c r="H877" s="54" t="s">
        <v>289</v>
      </c>
      <c r="I877" s="55"/>
      <c r="J877" s="56">
        <v>410750</v>
      </c>
      <c r="K877" s="119"/>
      <c r="L877" s="57"/>
      <c r="M877" s="56">
        <v>0.11</v>
      </c>
      <c r="N877" s="57"/>
      <c r="O877" s="7">
        <v>0</v>
      </c>
    </row>
    <row r="878" spans="1:15" ht="70.05" customHeight="1">
      <c r="A878" s="30"/>
      <c r="B878" s="32"/>
      <c r="C878" s="49" t="s">
        <v>335</v>
      </c>
      <c r="D878" s="50"/>
      <c r="E878" s="51"/>
      <c r="F878" s="52">
        <v>20</v>
      </c>
      <c r="G878" s="53"/>
      <c r="H878" s="54" t="s">
        <v>73</v>
      </c>
      <c r="I878" s="55"/>
      <c r="J878" s="56">
        <v>755800</v>
      </c>
      <c r="K878" s="119"/>
      <c r="L878" s="57"/>
      <c r="M878" s="56">
        <v>0.11</v>
      </c>
      <c r="N878" s="57"/>
      <c r="O878" s="7">
        <v>16778760</v>
      </c>
    </row>
    <row r="879" spans="1:15" ht="61.05" customHeight="1">
      <c r="A879" s="30"/>
      <c r="B879" s="32"/>
      <c r="C879" s="49" t="s">
        <v>336</v>
      </c>
      <c r="D879" s="50"/>
      <c r="E879" s="51"/>
      <c r="F879" s="52">
        <v>300</v>
      </c>
      <c r="G879" s="53"/>
      <c r="H879" s="54" t="s">
        <v>73</v>
      </c>
      <c r="I879" s="55"/>
      <c r="J879" s="56">
        <v>48900</v>
      </c>
      <c r="K879" s="119"/>
      <c r="L879" s="57"/>
      <c r="M879" s="56">
        <v>0.11</v>
      </c>
      <c r="N879" s="57"/>
      <c r="O879" s="7">
        <v>16283700</v>
      </c>
    </row>
    <row r="880" spans="1:15" ht="60" customHeight="1">
      <c r="A880" s="30"/>
      <c r="B880" s="32"/>
      <c r="C880" s="49" t="s">
        <v>337</v>
      </c>
      <c r="D880" s="50"/>
      <c r="E880" s="51"/>
      <c r="F880" s="52">
        <v>800</v>
      </c>
      <c r="G880" s="53"/>
      <c r="H880" s="54" t="s">
        <v>73</v>
      </c>
      <c r="I880" s="55"/>
      <c r="J880" s="56">
        <v>21600</v>
      </c>
      <c r="K880" s="119"/>
      <c r="L880" s="57"/>
      <c r="M880" s="56">
        <v>0.11</v>
      </c>
      <c r="N880" s="57"/>
      <c r="O880" s="7">
        <v>19180800</v>
      </c>
    </row>
    <row r="881" spans="1:15" ht="21" customHeight="1">
      <c r="A881" s="40"/>
      <c r="B881" s="42"/>
      <c r="C881" s="46" t="s">
        <v>338</v>
      </c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8"/>
      <c r="O881" s="8">
        <v>66315900</v>
      </c>
    </row>
    <row r="882" spans="1:15" ht="60" customHeight="1">
      <c r="A882" s="30"/>
      <c r="B882" s="32"/>
      <c r="C882" s="49" t="s">
        <v>339</v>
      </c>
      <c r="D882" s="50"/>
      <c r="E882" s="51"/>
      <c r="F882" s="52">
        <v>4</v>
      </c>
      <c r="G882" s="53"/>
      <c r="H882" s="54" t="s">
        <v>112</v>
      </c>
      <c r="I882" s="55"/>
      <c r="J882" s="56">
        <v>253475</v>
      </c>
      <c r="K882" s="119"/>
      <c r="L882" s="57"/>
      <c r="M882" s="56">
        <v>0</v>
      </c>
      <c r="N882" s="57"/>
      <c r="O882" s="7">
        <v>1013900</v>
      </c>
    </row>
    <row r="883" spans="1:15" ht="60" customHeight="1">
      <c r="A883" s="30"/>
      <c r="B883" s="32"/>
      <c r="C883" s="49" t="s">
        <v>340</v>
      </c>
      <c r="D883" s="50"/>
      <c r="E883" s="51"/>
      <c r="F883" s="52">
        <v>200</v>
      </c>
      <c r="G883" s="53"/>
      <c r="H883" s="54" t="s">
        <v>75</v>
      </c>
      <c r="I883" s="55"/>
      <c r="J883" s="56">
        <v>35790</v>
      </c>
      <c r="K883" s="119"/>
      <c r="L883" s="57"/>
      <c r="M883" s="56">
        <v>0</v>
      </c>
      <c r="N883" s="57"/>
      <c r="O883" s="7">
        <v>7158000</v>
      </c>
    </row>
    <row r="884" spans="1:15" ht="70.95" customHeight="1">
      <c r="A884" s="30"/>
      <c r="B884" s="32"/>
      <c r="C884" s="49" t="s">
        <v>341</v>
      </c>
      <c r="D884" s="50"/>
      <c r="E884" s="51"/>
      <c r="F884" s="52">
        <v>200</v>
      </c>
      <c r="G884" s="53"/>
      <c r="H884" s="54" t="s">
        <v>73</v>
      </c>
      <c r="I884" s="55"/>
      <c r="J884" s="56">
        <v>267350</v>
      </c>
      <c r="K884" s="119"/>
      <c r="L884" s="57"/>
      <c r="M884" s="56">
        <v>0</v>
      </c>
      <c r="N884" s="57"/>
      <c r="O884" s="7">
        <v>53470000</v>
      </c>
    </row>
    <row r="885" spans="1:15" ht="60" customHeight="1">
      <c r="A885" s="30"/>
      <c r="B885" s="32"/>
      <c r="C885" s="49" t="s">
        <v>320</v>
      </c>
      <c r="D885" s="50"/>
      <c r="E885" s="51"/>
      <c r="F885" s="52">
        <v>20</v>
      </c>
      <c r="G885" s="53"/>
      <c r="H885" s="54" t="s">
        <v>73</v>
      </c>
      <c r="I885" s="55"/>
      <c r="J885" s="56">
        <v>37325</v>
      </c>
      <c r="K885" s="119"/>
      <c r="L885" s="57"/>
      <c r="M885" s="56">
        <v>0</v>
      </c>
      <c r="N885" s="57"/>
      <c r="O885" s="7">
        <v>746500</v>
      </c>
    </row>
    <row r="886" spans="1:15" ht="82.05" customHeight="1">
      <c r="A886" s="30"/>
      <c r="B886" s="32"/>
      <c r="C886" s="49" t="s">
        <v>342</v>
      </c>
      <c r="D886" s="50"/>
      <c r="E886" s="51"/>
      <c r="F886" s="52">
        <v>5</v>
      </c>
      <c r="G886" s="53"/>
      <c r="H886" s="54" t="s">
        <v>75</v>
      </c>
      <c r="I886" s="55"/>
      <c r="J886" s="56">
        <v>37850</v>
      </c>
      <c r="K886" s="119"/>
      <c r="L886" s="57"/>
      <c r="M886" s="56">
        <v>0</v>
      </c>
      <c r="N886" s="57"/>
      <c r="O886" s="7">
        <v>189250</v>
      </c>
    </row>
    <row r="887" spans="1:15" ht="81" customHeight="1">
      <c r="A887" s="30"/>
      <c r="B887" s="32"/>
      <c r="C887" s="49" t="s">
        <v>343</v>
      </c>
      <c r="D887" s="50"/>
      <c r="E887" s="51"/>
      <c r="F887" s="52">
        <v>10</v>
      </c>
      <c r="G887" s="53"/>
      <c r="H887" s="54" t="s">
        <v>75</v>
      </c>
      <c r="I887" s="55"/>
      <c r="J887" s="56">
        <v>29650</v>
      </c>
      <c r="K887" s="119"/>
      <c r="L887" s="57"/>
      <c r="M887" s="56">
        <v>0</v>
      </c>
      <c r="N887" s="57"/>
      <c r="O887" s="7">
        <v>296500</v>
      </c>
    </row>
    <row r="888" spans="1:15" ht="60" customHeight="1">
      <c r="A888" s="30"/>
      <c r="B888" s="32"/>
      <c r="C888" s="49" t="s">
        <v>344</v>
      </c>
      <c r="D888" s="50"/>
      <c r="E888" s="51"/>
      <c r="F888" s="52">
        <v>1</v>
      </c>
      <c r="G888" s="53"/>
      <c r="H888" s="54" t="s">
        <v>73</v>
      </c>
      <c r="I888" s="55"/>
      <c r="J888" s="56">
        <v>3113850</v>
      </c>
      <c r="K888" s="119"/>
      <c r="L888" s="57"/>
      <c r="M888" s="56">
        <v>0</v>
      </c>
      <c r="N888" s="57"/>
      <c r="O888" s="7">
        <v>3113850</v>
      </c>
    </row>
    <row r="889" spans="1:15" ht="60" customHeight="1">
      <c r="A889" s="30"/>
      <c r="B889" s="32"/>
      <c r="C889" s="49" t="s">
        <v>345</v>
      </c>
      <c r="D889" s="50"/>
      <c r="E889" s="51"/>
      <c r="F889" s="52">
        <v>6</v>
      </c>
      <c r="G889" s="53"/>
      <c r="H889" s="54" t="s">
        <v>75</v>
      </c>
      <c r="I889" s="55"/>
      <c r="J889" s="56">
        <v>54650</v>
      </c>
      <c r="K889" s="119"/>
      <c r="L889" s="57"/>
      <c r="M889" s="56">
        <v>0</v>
      </c>
      <c r="N889" s="57"/>
      <c r="O889" s="7">
        <v>327900</v>
      </c>
    </row>
    <row r="890" spans="1:15" ht="31.05" customHeight="1">
      <c r="A890" s="27" t="s">
        <v>89</v>
      </c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9"/>
      <c r="O890" s="13">
        <f>O861</f>
        <v>190273000</v>
      </c>
    </row>
    <row r="891" spans="1:15" ht="153" customHeight="1">
      <c r="A891" s="30"/>
      <c r="B891" s="31"/>
      <c r="C891" s="31"/>
      <c r="D891" s="31"/>
      <c r="E891" s="31"/>
      <c r="F891" s="31"/>
      <c r="G891" s="32"/>
      <c r="H891" s="33" t="s">
        <v>90</v>
      </c>
      <c r="I891" s="34"/>
      <c r="J891" s="34"/>
      <c r="K891" s="34"/>
      <c r="L891" s="34"/>
      <c r="M891" s="34"/>
      <c r="N891" s="34"/>
      <c r="O891" s="35"/>
    </row>
    <row r="892" spans="1:15" ht="21" customHeight="1">
      <c r="A892" s="37" t="s">
        <v>91</v>
      </c>
      <c r="B892" s="38"/>
      <c r="C892" s="39"/>
      <c r="D892" s="2" t="s">
        <v>48</v>
      </c>
      <c r="E892" s="40"/>
      <c r="F892" s="41"/>
      <c r="G892" s="41"/>
      <c r="H892" s="41"/>
      <c r="I892" s="41"/>
      <c r="J892" s="41"/>
      <c r="K892" s="41"/>
      <c r="L892" s="41"/>
      <c r="M892" s="41"/>
      <c r="N892" s="41"/>
      <c r="O892" s="42"/>
    </row>
    <row r="893" spans="1:15" ht="19.95" customHeight="1">
      <c r="A893" s="37" t="s">
        <v>92</v>
      </c>
      <c r="B893" s="38"/>
      <c r="C893" s="39"/>
      <c r="D893" s="2" t="s">
        <v>48</v>
      </c>
      <c r="E893" s="40"/>
      <c r="F893" s="41"/>
      <c r="G893" s="41"/>
      <c r="H893" s="41"/>
      <c r="I893" s="41"/>
      <c r="J893" s="41"/>
      <c r="K893" s="41"/>
      <c r="L893" s="41"/>
      <c r="M893" s="41"/>
      <c r="N893" s="41"/>
      <c r="O893" s="42"/>
    </row>
    <row r="894" spans="1:15" ht="19.95" customHeight="1">
      <c r="A894" s="37" t="s">
        <v>93</v>
      </c>
      <c r="B894" s="38"/>
      <c r="C894" s="39"/>
      <c r="D894" s="2" t="s">
        <v>48</v>
      </c>
      <c r="E894" s="40"/>
      <c r="F894" s="41"/>
      <c r="G894" s="41"/>
      <c r="H894" s="41"/>
      <c r="I894" s="41"/>
      <c r="J894" s="41"/>
      <c r="K894" s="41"/>
      <c r="L894" s="41"/>
      <c r="M894" s="41"/>
      <c r="N894" s="41"/>
      <c r="O894" s="42"/>
    </row>
    <row r="895" spans="1:15" ht="21" customHeight="1">
      <c r="A895" s="43">
        <v>1</v>
      </c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5"/>
    </row>
    <row r="896" spans="1:15" ht="19.95" customHeight="1">
      <c r="A896" s="43">
        <v>2</v>
      </c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5"/>
    </row>
    <row r="897" spans="1:15" ht="20.55" customHeight="1">
      <c r="A897" s="37" t="s">
        <v>94</v>
      </c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9"/>
    </row>
    <row r="898" spans="1:15" ht="20.55" customHeight="1">
      <c r="A898" s="1"/>
      <c r="B898" s="93"/>
      <c r="C898" s="93"/>
      <c r="D898" s="1"/>
      <c r="E898" s="93"/>
      <c r="F898" s="93"/>
      <c r="G898" s="93"/>
      <c r="H898" s="93"/>
      <c r="I898" s="93"/>
      <c r="J898" s="93"/>
      <c r="K898" s="93"/>
      <c r="L898" s="36"/>
      <c r="M898" s="36"/>
      <c r="N898" s="36"/>
      <c r="O898" s="36"/>
    </row>
    <row r="899" spans="1:15" ht="21" customHeight="1">
      <c r="A899" s="18" t="s">
        <v>95</v>
      </c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20"/>
    </row>
    <row r="900" spans="1:15" ht="22.05" customHeight="1">
      <c r="A900" s="3" t="s">
        <v>96</v>
      </c>
      <c r="B900" s="18" t="s">
        <v>97</v>
      </c>
      <c r="C900" s="19"/>
      <c r="D900" s="19"/>
      <c r="E900" s="19"/>
      <c r="F900" s="20"/>
      <c r="G900" s="18" t="s">
        <v>98</v>
      </c>
      <c r="H900" s="20"/>
      <c r="I900" s="18" t="s">
        <v>99</v>
      </c>
      <c r="J900" s="19"/>
      <c r="K900" s="20"/>
      <c r="L900" s="21" t="s">
        <v>100</v>
      </c>
      <c r="M900" s="22"/>
      <c r="N900" s="22"/>
      <c r="O900" s="23"/>
    </row>
    <row r="901" spans="1:15" ht="21" customHeight="1">
      <c r="A901" s="24" t="s">
        <v>101</v>
      </c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6"/>
    </row>
    <row r="902" spans="1:15" ht="64.05" customHeight="1">
      <c r="A902" s="106" t="s">
        <v>0</v>
      </c>
      <c r="B902" s="107"/>
      <c r="C902" s="107"/>
      <c r="D902" s="107"/>
      <c r="E902" s="107"/>
      <c r="F902" s="107"/>
      <c r="G902" s="107"/>
      <c r="H902" s="107"/>
      <c r="I902" s="107"/>
      <c r="J902" s="108"/>
      <c r="K902" s="109" t="s">
        <v>1</v>
      </c>
      <c r="L902" s="110"/>
      <c r="M902" s="110"/>
      <c r="N902" s="110"/>
      <c r="O902" s="111"/>
    </row>
    <row r="903" spans="1:15" ht="23.55" customHeight="1">
      <c r="A903" s="101" t="s">
        <v>674</v>
      </c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3"/>
    </row>
    <row r="904" spans="1:15" ht="20.55" customHeight="1">
      <c r="A904" s="93"/>
      <c r="B904" s="93"/>
      <c r="C904" s="1"/>
      <c r="D904" s="93"/>
      <c r="E904" s="93"/>
      <c r="F904" s="93"/>
      <c r="G904" s="93"/>
      <c r="H904" s="93"/>
      <c r="I904" s="93"/>
      <c r="J904" s="5"/>
      <c r="K904" s="36"/>
      <c r="L904" s="36"/>
      <c r="M904" s="5"/>
      <c r="N904" s="5"/>
      <c r="O904" s="5"/>
    </row>
    <row r="905" spans="1:15" ht="37.049999999999997" customHeight="1">
      <c r="A905" s="101" t="s">
        <v>2</v>
      </c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3"/>
    </row>
    <row r="906" spans="1:15" ht="21" customHeight="1">
      <c r="A906" s="37" t="s">
        <v>3</v>
      </c>
      <c r="B906" s="38"/>
      <c r="C906" s="39"/>
      <c r="D906" s="90" t="s">
        <v>4</v>
      </c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2"/>
    </row>
    <row r="907" spans="1:15" ht="22.05" customHeight="1">
      <c r="A907" s="37" t="s">
        <v>5</v>
      </c>
      <c r="B907" s="38"/>
      <c r="C907" s="39"/>
      <c r="D907" s="90" t="s">
        <v>6</v>
      </c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2"/>
    </row>
    <row r="908" spans="1:15" ht="22.05" customHeight="1">
      <c r="A908" s="37" t="s">
        <v>7</v>
      </c>
      <c r="B908" s="38"/>
      <c r="C908" s="39"/>
      <c r="D908" s="90" t="s">
        <v>8</v>
      </c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2"/>
    </row>
    <row r="909" spans="1:15" ht="21" customHeight="1">
      <c r="A909" s="37" t="s">
        <v>9</v>
      </c>
      <c r="B909" s="38"/>
      <c r="C909" s="39"/>
      <c r="D909" s="90" t="s">
        <v>10</v>
      </c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2"/>
    </row>
    <row r="910" spans="1:15" ht="22.05" customHeight="1">
      <c r="A910" s="37" t="s">
        <v>11</v>
      </c>
      <c r="B910" s="38"/>
      <c r="C910" s="39"/>
      <c r="D910" s="90" t="s">
        <v>12</v>
      </c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2"/>
    </row>
    <row r="911" spans="1:15" ht="22.05" customHeight="1">
      <c r="A911" s="37" t="s">
        <v>13</v>
      </c>
      <c r="B911" s="38"/>
      <c r="C911" s="39"/>
      <c r="D911" s="90" t="s">
        <v>246</v>
      </c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2"/>
    </row>
    <row r="912" spans="1:15" ht="21" customHeight="1">
      <c r="A912" s="37" t="s">
        <v>15</v>
      </c>
      <c r="B912" s="38"/>
      <c r="C912" s="39"/>
      <c r="D912" s="90" t="s">
        <v>346</v>
      </c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2"/>
    </row>
    <row r="913" spans="1:15" ht="22.05" customHeight="1">
      <c r="A913" s="37" t="s">
        <v>17</v>
      </c>
      <c r="B913" s="38"/>
      <c r="C913" s="39"/>
      <c r="D913" s="90" t="s">
        <v>10</v>
      </c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2"/>
    </row>
    <row r="914" spans="1:15" ht="22.05" customHeight="1">
      <c r="A914" s="37" t="s">
        <v>18</v>
      </c>
      <c r="B914" s="38"/>
      <c r="C914" s="39"/>
      <c r="D914" s="90" t="s">
        <v>10</v>
      </c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2"/>
    </row>
    <row r="915" spans="1:15" ht="22.05" customHeight="1">
      <c r="A915" s="37" t="s">
        <v>19</v>
      </c>
      <c r="B915" s="38"/>
      <c r="C915" s="39"/>
      <c r="D915" s="90" t="s">
        <v>20</v>
      </c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2"/>
    </row>
    <row r="916" spans="1:15" ht="21" customHeight="1">
      <c r="A916" s="37" t="s">
        <v>21</v>
      </c>
      <c r="B916" s="38"/>
      <c r="C916" s="39"/>
      <c r="D916" s="90" t="s">
        <v>22</v>
      </c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2"/>
    </row>
    <row r="917" spans="1:15" ht="22.05" customHeight="1">
      <c r="A917" s="37" t="s">
        <v>23</v>
      </c>
      <c r="B917" s="38"/>
      <c r="C917" s="39"/>
      <c r="D917" s="90" t="s">
        <v>24</v>
      </c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2"/>
    </row>
    <row r="918" spans="1:15" ht="22.05" customHeight="1">
      <c r="A918" s="37" t="s">
        <v>25</v>
      </c>
      <c r="B918" s="38"/>
      <c r="C918" s="39"/>
      <c r="D918" s="90" t="s">
        <v>26</v>
      </c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2"/>
    </row>
    <row r="919" spans="1:15" ht="21" customHeight="1">
      <c r="A919" s="37" t="s">
        <v>670</v>
      </c>
      <c r="B919" s="38"/>
      <c r="C919" s="39"/>
      <c r="D919" s="90" t="s">
        <v>27</v>
      </c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2"/>
    </row>
    <row r="920" spans="1:15" ht="22.05" customHeight="1">
      <c r="A920" s="37" t="s">
        <v>675</v>
      </c>
      <c r="B920" s="38"/>
      <c r="C920" s="39"/>
      <c r="D920" s="90" t="s">
        <v>347</v>
      </c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2"/>
    </row>
    <row r="921" spans="1:15" ht="21.45" customHeight="1">
      <c r="A921" s="37" t="s">
        <v>676</v>
      </c>
      <c r="B921" s="38"/>
      <c r="C921" s="39"/>
      <c r="D921" s="90" t="s">
        <v>348</v>
      </c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2"/>
    </row>
    <row r="922" spans="1:15" ht="20.55" customHeight="1">
      <c r="A922" s="93"/>
      <c r="B922" s="93"/>
      <c r="C922" s="1"/>
      <c r="D922" s="93"/>
      <c r="E922" s="93"/>
      <c r="F922" s="93"/>
      <c r="G922" s="93"/>
      <c r="H922" s="93"/>
      <c r="I922" s="93"/>
      <c r="J922" s="5"/>
      <c r="K922" s="36"/>
      <c r="L922" s="36"/>
      <c r="M922" s="5"/>
      <c r="N922" s="5"/>
      <c r="O922" s="5"/>
    </row>
    <row r="923" spans="1:15" ht="22.95" customHeight="1">
      <c r="A923" s="101" t="s">
        <v>29</v>
      </c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3"/>
    </row>
    <row r="924" spans="1:15" ht="24" customHeight="1">
      <c r="A924" s="101" t="s">
        <v>30</v>
      </c>
      <c r="B924" s="102"/>
      <c r="C924" s="103"/>
      <c r="D924" s="101" t="s">
        <v>31</v>
      </c>
      <c r="E924" s="102"/>
      <c r="F924" s="102"/>
      <c r="G924" s="102"/>
      <c r="H924" s="102"/>
      <c r="I924" s="102"/>
      <c r="J924" s="102"/>
      <c r="K924" s="102"/>
      <c r="L924" s="102"/>
      <c r="M924" s="103"/>
      <c r="N924" s="104" t="s">
        <v>32</v>
      </c>
      <c r="O924" s="105"/>
    </row>
    <row r="925" spans="1:15" ht="21" customHeight="1">
      <c r="A925" s="37" t="s">
        <v>33</v>
      </c>
      <c r="B925" s="38"/>
      <c r="C925" s="39"/>
      <c r="D925" s="37" t="s">
        <v>34</v>
      </c>
      <c r="E925" s="38"/>
      <c r="F925" s="38"/>
      <c r="G925" s="38"/>
      <c r="H925" s="38"/>
      <c r="I925" s="38"/>
      <c r="J925" s="38"/>
      <c r="K925" s="38"/>
      <c r="L925" s="38"/>
      <c r="M925" s="39"/>
      <c r="N925" s="97" t="s">
        <v>35</v>
      </c>
      <c r="O925" s="98"/>
    </row>
    <row r="926" spans="1:15" ht="19.95" customHeight="1">
      <c r="A926" s="37" t="s">
        <v>36</v>
      </c>
      <c r="B926" s="38"/>
      <c r="C926" s="39"/>
      <c r="D926" s="37" t="s">
        <v>37</v>
      </c>
      <c r="E926" s="38"/>
      <c r="F926" s="38"/>
      <c r="G926" s="38"/>
      <c r="H926" s="38"/>
      <c r="I926" s="38"/>
      <c r="J926" s="38"/>
      <c r="K926" s="38"/>
      <c r="L926" s="38"/>
      <c r="M926" s="39"/>
      <c r="N926" s="97">
        <f>O941</f>
        <v>107879000</v>
      </c>
      <c r="O926" s="98"/>
    </row>
    <row r="927" spans="1:15" ht="19.95" customHeight="1">
      <c r="A927" s="37" t="s">
        <v>38</v>
      </c>
      <c r="B927" s="38"/>
      <c r="C927" s="39"/>
      <c r="D927" s="37" t="s">
        <v>349</v>
      </c>
      <c r="E927" s="38"/>
      <c r="F927" s="38"/>
      <c r="G927" s="38"/>
      <c r="H927" s="38"/>
      <c r="I927" s="38"/>
      <c r="J927" s="38"/>
      <c r="K927" s="38"/>
      <c r="L927" s="38"/>
      <c r="M927" s="39"/>
      <c r="N927" s="97" t="s">
        <v>251</v>
      </c>
      <c r="O927" s="98"/>
    </row>
    <row r="928" spans="1:15" ht="20.55" customHeight="1">
      <c r="A928" s="37" t="s">
        <v>41</v>
      </c>
      <c r="B928" s="38"/>
      <c r="C928" s="39"/>
      <c r="D928" s="37" t="s">
        <v>252</v>
      </c>
      <c r="E928" s="38"/>
      <c r="F928" s="38"/>
      <c r="G928" s="38"/>
      <c r="H928" s="38"/>
      <c r="I928" s="38"/>
      <c r="J928" s="38"/>
      <c r="K928" s="38"/>
      <c r="L928" s="38"/>
      <c r="M928" s="39"/>
      <c r="N928" s="99">
        <v>0.97</v>
      </c>
      <c r="O928" s="100"/>
    </row>
    <row r="929" spans="1:15" ht="20.55" customHeight="1">
      <c r="A929" s="93"/>
      <c r="B929" s="93"/>
      <c r="C929" s="1"/>
      <c r="D929" s="93"/>
      <c r="E929" s="93"/>
      <c r="F929" s="93"/>
      <c r="G929" s="93"/>
      <c r="H929" s="93"/>
      <c r="I929" s="93"/>
      <c r="J929" s="5"/>
      <c r="K929" s="36"/>
      <c r="L929" s="36"/>
      <c r="M929" s="5"/>
      <c r="N929" s="5"/>
      <c r="O929" s="5"/>
    </row>
    <row r="930" spans="1:15" ht="37.049999999999997" customHeight="1">
      <c r="A930" s="101" t="s">
        <v>43</v>
      </c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3"/>
    </row>
    <row r="931" spans="1:15" ht="21" customHeight="1">
      <c r="A931" s="37" t="s">
        <v>15</v>
      </c>
      <c r="B931" s="38"/>
      <c r="C931" s="39"/>
      <c r="D931" s="127" t="s">
        <v>701</v>
      </c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2"/>
    </row>
    <row r="932" spans="1:15" ht="19.95" customHeight="1">
      <c r="A932" s="37" t="s">
        <v>19</v>
      </c>
      <c r="B932" s="38"/>
      <c r="C932" s="39"/>
      <c r="D932" s="90" t="s">
        <v>20</v>
      </c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2"/>
    </row>
    <row r="933" spans="1:15" ht="19.95" customHeight="1">
      <c r="A933" s="37" t="s">
        <v>21</v>
      </c>
      <c r="B933" s="38"/>
      <c r="C933" s="39"/>
      <c r="D933" s="90" t="s">
        <v>44</v>
      </c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2"/>
    </row>
    <row r="934" spans="1:15" ht="21" customHeight="1">
      <c r="A934" s="37" t="s">
        <v>45</v>
      </c>
      <c r="B934" s="38"/>
      <c r="C934" s="39"/>
      <c r="D934" s="90" t="s">
        <v>350</v>
      </c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2"/>
    </row>
    <row r="935" spans="1:15" ht="19.95" customHeight="1">
      <c r="A935" s="37" t="s">
        <v>23</v>
      </c>
      <c r="B935" s="38"/>
      <c r="C935" s="39"/>
      <c r="D935" s="90" t="s">
        <v>24</v>
      </c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2"/>
    </row>
    <row r="936" spans="1:15" ht="19.5" customHeight="1">
      <c r="A936" s="37" t="s">
        <v>47</v>
      </c>
      <c r="B936" s="38"/>
      <c r="C936" s="39"/>
      <c r="D936" s="90" t="s">
        <v>48</v>
      </c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2"/>
    </row>
    <row r="937" spans="1:15" ht="20.55" customHeight="1">
      <c r="A937" s="93"/>
      <c r="B937" s="93"/>
      <c r="C937" s="1"/>
      <c r="D937" s="93"/>
      <c r="E937" s="93"/>
      <c r="F937" s="93"/>
      <c r="G937" s="93"/>
      <c r="H937" s="93"/>
      <c r="I937" s="93"/>
      <c r="J937" s="5"/>
      <c r="K937" s="36"/>
      <c r="L937" s="36"/>
      <c r="M937" s="5"/>
      <c r="N937" s="5"/>
      <c r="O937" s="5"/>
    </row>
    <row r="938" spans="1:15" ht="37.950000000000003" customHeight="1">
      <c r="A938" s="87" t="s">
        <v>49</v>
      </c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9"/>
    </row>
    <row r="939" spans="1:15" ht="19.95" customHeight="1">
      <c r="A939" s="61" t="s">
        <v>50</v>
      </c>
      <c r="B939" s="62"/>
      <c r="C939" s="65" t="s">
        <v>51</v>
      </c>
      <c r="D939" s="66"/>
      <c r="E939" s="67"/>
      <c r="F939" s="71" t="s">
        <v>52</v>
      </c>
      <c r="G939" s="72"/>
      <c r="H939" s="72"/>
      <c r="I939" s="72"/>
      <c r="J939" s="72"/>
      <c r="K939" s="72"/>
      <c r="L939" s="72"/>
      <c r="M939" s="72"/>
      <c r="N939" s="73"/>
      <c r="O939" s="74" t="s">
        <v>53</v>
      </c>
    </row>
    <row r="940" spans="1:15" ht="21" customHeight="1">
      <c r="A940" s="63"/>
      <c r="B940" s="64"/>
      <c r="C940" s="68"/>
      <c r="D940" s="69"/>
      <c r="E940" s="70"/>
      <c r="F940" s="76" t="s">
        <v>54</v>
      </c>
      <c r="G940" s="77"/>
      <c r="H940" s="71" t="s">
        <v>55</v>
      </c>
      <c r="I940" s="73"/>
      <c r="J940" s="94" t="s">
        <v>56</v>
      </c>
      <c r="K940" s="95"/>
      <c r="L940" s="96"/>
      <c r="M940" s="80" t="s">
        <v>57</v>
      </c>
      <c r="N940" s="82"/>
      <c r="O940" s="75"/>
    </row>
    <row r="941" spans="1:15" ht="30" customHeight="1">
      <c r="A941" s="83">
        <v>5</v>
      </c>
      <c r="B941" s="84"/>
      <c r="C941" s="46" t="s">
        <v>58</v>
      </c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8"/>
      <c r="O941" s="13">
        <f>O942</f>
        <v>107879000</v>
      </c>
    </row>
    <row r="942" spans="1:15" ht="31.05" customHeight="1">
      <c r="A942" s="46" t="s">
        <v>59</v>
      </c>
      <c r="B942" s="48"/>
      <c r="C942" s="46" t="s">
        <v>60</v>
      </c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8"/>
      <c r="O942" s="13">
        <f>O943</f>
        <v>107879000</v>
      </c>
    </row>
    <row r="943" spans="1:15" ht="31.05" customHeight="1">
      <c r="A943" s="85">
        <v>37377</v>
      </c>
      <c r="B943" s="86"/>
      <c r="C943" s="46" t="s">
        <v>61</v>
      </c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8"/>
      <c r="O943" s="13">
        <f>O944</f>
        <v>107879000</v>
      </c>
    </row>
    <row r="944" spans="1:15" ht="30" customHeight="1">
      <c r="A944" s="46" t="s">
        <v>62</v>
      </c>
      <c r="B944" s="48"/>
      <c r="C944" s="46" t="s">
        <v>63</v>
      </c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8"/>
      <c r="O944" s="13">
        <f>O945</f>
        <v>107879000</v>
      </c>
    </row>
    <row r="945" spans="1:15" ht="31.05" customHeight="1">
      <c r="A945" s="46" t="s">
        <v>64</v>
      </c>
      <c r="B945" s="48"/>
      <c r="C945" s="46" t="s">
        <v>65</v>
      </c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8"/>
      <c r="O945" s="13">
        <f>O946+O954+O958</f>
        <v>107879000</v>
      </c>
    </row>
    <row r="946" spans="1:15" ht="30.75" customHeight="1">
      <c r="A946" s="30" t="s">
        <v>351</v>
      </c>
      <c r="B946" s="32"/>
      <c r="C946" s="46" t="s">
        <v>352</v>
      </c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8"/>
      <c r="O946" s="14">
        <v>25942700</v>
      </c>
    </row>
    <row r="947" spans="1:15" ht="37.950000000000003" customHeight="1">
      <c r="A947" s="87" t="s">
        <v>49</v>
      </c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9"/>
    </row>
    <row r="948" spans="1:15" ht="19.95" customHeight="1">
      <c r="A948" s="61" t="s">
        <v>50</v>
      </c>
      <c r="B948" s="62"/>
      <c r="C948" s="65" t="s">
        <v>51</v>
      </c>
      <c r="D948" s="66"/>
      <c r="E948" s="67"/>
      <c r="F948" s="71" t="s">
        <v>52</v>
      </c>
      <c r="G948" s="72"/>
      <c r="H948" s="72"/>
      <c r="I948" s="72"/>
      <c r="J948" s="72"/>
      <c r="K948" s="72"/>
      <c r="L948" s="72"/>
      <c r="M948" s="72"/>
      <c r="N948" s="73"/>
      <c r="O948" s="74" t="s">
        <v>53</v>
      </c>
    </row>
    <row r="949" spans="1:15" ht="21" customHeight="1">
      <c r="A949" s="63"/>
      <c r="B949" s="64"/>
      <c r="C949" s="68"/>
      <c r="D949" s="69"/>
      <c r="E949" s="70"/>
      <c r="F949" s="76" t="s">
        <v>54</v>
      </c>
      <c r="G949" s="77"/>
      <c r="H949" s="71" t="s">
        <v>55</v>
      </c>
      <c r="I949" s="73"/>
      <c r="J949" s="94" t="s">
        <v>56</v>
      </c>
      <c r="K949" s="95"/>
      <c r="L949" s="96"/>
      <c r="M949" s="80" t="s">
        <v>57</v>
      </c>
      <c r="N949" s="82"/>
      <c r="O949" s="75"/>
    </row>
    <row r="950" spans="1:15" ht="30" customHeight="1">
      <c r="A950" s="40"/>
      <c r="B950" s="42"/>
      <c r="C950" s="30" t="s">
        <v>353</v>
      </c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2"/>
      <c r="O950" s="6">
        <v>25942700</v>
      </c>
    </row>
    <row r="951" spans="1:15" ht="21" customHeight="1">
      <c r="A951" s="40"/>
      <c r="B951" s="42"/>
      <c r="C951" s="46" t="s">
        <v>69</v>
      </c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8"/>
      <c r="O951" s="6">
        <v>25942700</v>
      </c>
    </row>
    <row r="952" spans="1:15" ht="70.95" customHeight="1">
      <c r="A952" s="30"/>
      <c r="B952" s="32"/>
      <c r="C952" s="49" t="s">
        <v>671</v>
      </c>
      <c r="D952" s="50"/>
      <c r="E952" s="51"/>
      <c r="F952" s="52">
        <v>298</v>
      </c>
      <c r="G952" s="53"/>
      <c r="H952" s="54" t="s">
        <v>329</v>
      </c>
      <c r="I952" s="55"/>
      <c r="J952" s="56">
        <v>13650</v>
      </c>
      <c r="K952" s="119"/>
      <c r="L952" s="57"/>
      <c r="M952" s="56">
        <v>0</v>
      </c>
      <c r="N952" s="57"/>
      <c r="O952" s="9">
        <v>4067700</v>
      </c>
    </row>
    <row r="953" spans="1:15" ht="70.05" customHeight="1">
      <c r="A953" s="30"/>
      <c r="B953" s="32"/>
      <c r="C953" s="49" t="s">
        <v>672</v>
      </c>
      <c r="D953" s="50"/>
      <c r="E953" s="51"/>
      <c r="F953" s="52">
        <v>1750</v>
      </c>
      <c r="G953" s="53"/>
      <c r="H953" s="54" t="s">
        <v>329</v>
      </c>
      <c r="I953" s="55"/>
      <c r="J953" s="56">
        <v>12500</v>
      </c>
      <c r="K953" s="119"/>
      <c r="L953" s="57"/>
      <c r="M953" s="56">
        <v>0</v>
      </c>
      <c r="N953" s="57"/>
      <c r="O953" s="9">
        <v>21875000</v>
      </c>
    </row>
    <row r="954" spans="1:15" ht="31.05" customHeight="1">
      <c r="A954" s="30" t="s">
        <v>354</v>
      </c>
      <c r="B954" s="32"/>
      <c r="C954" s="46" t="s">
        <v>355</v>
      </c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8"/>
      <c r="O954" s="6">
        <v>5748080</v>
      </c>
    </row>
    <row r="955" spans="1:15" ht="31.05" customHeight="1">
      <c r="A955" s="40"/>
      <c r="B955" s="42"/>
      <c r="C955" s="30" t="s">
        <v>356</v>
      </c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2"/>
      <c r="O955" s="6">
        <v>5748080</v>
      </c>
    </row>
    <row r="956" spans="1:15" ht="19.95" customHeight="1">
      <c r="A956" s="40"/>
      <c r="B956" s="42"/>
      <c r="C956" s="46" t="s">
        <v>69</v>
      </c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8"/>
      <c r="O956" s="6">
        <v>5748080</v>
      </c>
    </row>
    <row r="957" spans="1:15" ht="60" customHeight="1">
      <c r="A957" s="30"/>
      <c r="B957" s="32"/>
      <c r="C957" s="49" t="s">
        <v>357</v>
      </c>
      <c r="D957" s="50"/>
      <c r="E957" s="51"/>
      <c r="F957" s="52">
        <v>52</v>
      </c>
      <c r="G957" s="53"/>
      <c r="H957" s="54" t="s">
        <v>358</v>
      </c>
      <c r="I957" s="55"/>
      <c r="J957" s="56">
        <v>110540</v>
      </c>
      <c r="K957" s="119"/>
      <c r="L957" s="57"/>
      <c r="M957" s="56">
        <v>0</v>
      </c>
      <c r="N957" s="57"/>
      <c r="O957" s="9">
        <v>5748080</v>
      </c>
    </row>
    <row r="958" spans="1:15" ht="31.05" customHeight="1">
      <c r="A958" s="30" t="s">
        <v>359</v>
      </c>
      <c r="B958" s="32"/>
      <c r="C958" s="46" t="s">
        <v>360</v>
      </c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8"/>
      <c r="O958" s="6">
        <f>O959</f>
        <v>76188220</v>
      </c>
    </row>
    <row r="959" spans="1:15" ht="31.05" customHeight="1">
      <c r="A959" s="40"/>
      <c r="B959" s="42"/>
      <c r="C959" s="30" t="s">
        <v>361</v>
      </c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2"/>
      <c r="O959" s="6">
        <f>O960</f>
        <v>76188220</v>
      </c>
    </row>
    <row r="960" spans="1:15" ht="19.95" customHeight="1">
      <c r="A960" s="40"/>
      <c r="B960" s="42"/>
      <c r="C960" s="46" t="s">
        <v>69</v>
      </c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8"/>
      <c r="O960" s="6">
        <f>SUM(O961:O969)</f>
        <v>76188220</v>
      </c>
    </row>
    <row r="961" spans="1:15" ht="61.05" customHeight="1">
      <c r="A961" s="30"/>
      <c r="B961" s="32"/>
      <c r="C961" s="49" t="s">
        <v>362</v>
      </c>
      <c r="D961" s="50"/>
      <c r="E961" s="51"/>
      <c r="F961" s="52">
        <v>52</v>
      </c>
      <c r="G961" s="53"/>
      <c r="H961" s="54" t="s">
        <v>112</v>
      </c>
      <c r="I961" s="55"/>
      <c r="J961" s="56">
        <v>47400</v>
      </c>
      <c r="K961" s="119"/>
      <c r="L961" s="57"/>
      <c r="M961" s="56">
        <v>0.11</v>
      </c>
      <c r="N961" s="57"/>
      <c r="O961" s="9">
        <v>2735928</v>
      </c>
    </row>
    <row r="962" spans="1:15" ht="60" customHeight="1">
      <c r="A962" s="30"/>
      <c r="B962" s="32"/>
      <c r="C962" s="49" t="s">
        <v>363</v>
      </c>
      <c r="D962" s="50"/>
      <c r="E962" s="51"/>
      <c r="F962" s="52">
        <v>52</v>
      </c>
      <c r="G962" s="53"/>
      <c r="H962" s="54" t="s">
        <v>75</v>
      </c>
      <c r="I962" s="55"/>
      <c r="J962" s="56">
        <v>18500</v>
      </c>
      <c r="K962" s="119"/>
      <c r="L962" s="57"/>
      <c r="M962" s="56">
        <v>0.11</v>
      </c>
      <c r="N962" s="57"/>
      <c r="O962" s="9">
        <v>1067820</v>
      </c>
    </row>
    <row r="963" spans="1:15" ht="60" customHeight="1">
      <c r="A963" s="30"/>
      <c r="B963" s="32"/>
      <c r="C963" s="49" t="s">
        <v>364</v>
      </c>
      <c r="D963" s="50"/>
      <c r="E963" s="51"/>
      <c r="F963" s="52">
        <v>52</v>
      </c>
      <c r="G963" s="53"/>
      <c r="H963" s="54" t="s">
        <v>75</v>
      </c>
      <c r="I963" s="55"/>
      <c r="J963" s="56">
        <v>23125</v>
      </c>
      <c r="K963" s="119"/>
      <c r="L963" s="57"/>
      <c r="M963" s="56">
        <v>0.11</v>
      </c>
      <c r="N963" s="57"/>
      <c r="O963" s="9">
        <v>1334775</v>
      </c>
    </row>
    <row r="964" spans="1:15" ht="61.05" customHeight="1">
      <c r="A964" s="30"/>
      <c r="B964" s="32"/>
      <c r="C964" s="49" t="s">
        <v>365</v>
      </c>
      <c r="D964" s="50"/>
      <c r="E964" s="51"/>
      <c r="F964" s="52">
        <v>52</v>
      </c>
      <c r="G964" s="53"/>
      <c r="H964" s="54" t="s">
        <v>75</v>
      </c>
      <c r="I964" s="55"/>
      <c r="J964" s="56">
        <v>39325</v>
      </c>
      <c r="K964" s="119"/>
      <c r="L964" s="57"/>
      <c r="M964" s="56">
        <v>0</v>
      </c>
      <c r="N964" s="57"/>
      <c r="O964" s="9">
        <v>2044900</v>
      </c>
    </row>
    <row r="965" spans="1:15" ht="60" customHeight="1">
      <c r="A965" s="30"/>
      <c r="B965" s="32"/>
      <c r="C965" s="49" t="s">
        <v>366</v>
      </c>
      <c r="D965" s="50"/>
      <c r="E965" s="51"/>
      <c r="F965" s="52">
        <v>100</v>
      </c>
      <c r="G965" s="53"/>
      <c r="H965" s="54" t="s">
        <v>112</v>
      </c>
      <c r="I965" s="55"/>
      <c r="J965" s="56">
        <v>67075</v>
      </c>
      <c r="K965" s="119"/>
      <c r="L965" s="57"/>
      <c r="M965" s="56">
        <v>0.11</v>
      </c>
      <c r="N965" s="57"/>
      <c r="O965" s="9">
        <v>7445325</v>
      </c>
    </row>
    <row r="966" spans="1:15" ht="60" customHeight="1">
      <c r="A966" s="30"/>
      <c r="B966" s="32"/>
      <c r="C966" s="49" t="s">
        <v>367</v>
      </c>
      <c r="D966" s="50"/>
      <c r="E966" s="51"/>
      <c r="F966" s="52">
        <v>100</v>
      </c>
      <c r="G966" s="53"/>
      <c r="H966" s="54" t="s">
        <v>112</v>
      </c>
      <c r="I966" s="55"/>
      <c r="J966" s="56">
        <v>37000</v>
      </c>
      <c r="K966" s="119"/>
      <c r="L966" s="57"/>
      <c r="M966" s="56">
        <v>0.11</v>
      </c>
      <c r="N966" s="57"/>
      <c r="O966" s="9">
        <v>4107000</v>
      </c>
    </row>
    <row r="967" spans="1:15" ht="61.05" customHeight="1">
      <c r="A967" s="30"/>
      <c r="B967" s="32"/>
      <c r="C967" s="49" t="s">
        <v>368</v>
      </c>
      <c r="D967" s="50"/>
      <c r="E967" s="51"/>
      <c r="F967" s="52">
        <v>2250</v>
      </c>
      <c r="G967" s="53"/>
      <c r="H967" s="54" t="s">
        <v>369</v>
      </c>
      <c r="I967" s="55"/>
      <c r="J967" s="56">
        <v>21800</v>
      </c>
      <c r="K967" s="119"/>
      <c r="L967" s="57"/>
      <c r="M967" s="56">
        <v>0.11</v>
      </c>
      <c r="N967" s="57"/>
      <c r="O967" s="9">
        <v>54445500</v>
      </c>
    </row>
    <row r="968" spans="1:15" ht="60.3" customHeight="1">
      <c r="A968" s="30"/>
      <c r="B968" s="32"/>
      <c r="C968" s="49" t="s">
        <v>370</v>
      </c>
      <c r="D968" s="50"/>
      <c r="E968" s="51"/>
      <c r="F968" s="52">
        <v>5.0012999173781303</v>
      </c>
      <c r="G968" s="53"/>
      <c r="H968" s="54" t="s">
        <v>75</v>
      </c>
      <c r="I968" s="55"/>
      <c r="J968" s="56">
        <v>363100</v>
      </c>
      <c r="K968" s="119"/>
      <c r="L968" s="57"/>
      <c r="M968" s="56">
        <v>0</v>
      </c>
      <c r="N968" s="57"/>
      <c r="O968" s="9">
        <f>F968*J968</f>
        <v>1815971.9999999991</v>
      </c>
    </row>
    <row r="969" spans="1:15" ht="60" customHeight="1">
      <c r="A969" s="30"/>
      <c r="B969" s="32"/>
      <c r="C969" s="116" t="s">
        <v>371</v>
      </c>
      <c r="D969" s="117"/>
      <c r="E969" s="118"/>
      <c r="F969" s="52">
        <v>5</v>
      </c>
      <c r="G969" s="53"/>
      <c r="H969" s="54" t="s">
        <v>75</v>
      </c>
      <c r="I969" s="55"/>
      <c r="J969" s="56">
        <v>238200</v>
      </c>
      <c r="K969" s="57"/>
      <c r="L969" s="58">
        <v>0</v>
      </c>
      <c r="M969" s="59"/>
      <c r="N969" s="60"/>
      <c r="O969" s="12">
        <v>1191000</v>
      </c>
    </row>
    <row r="970" spans="1:15" ht="31.05" customHeight="1">
      <c r="A970" s="27" t="s">
        <v>89</v>
      </c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9"/>
      <c r="O970" s="13">
        <v>107878528</v>
      </c>
    </row>
    <row r="971" spans="1:15" ht="153" customHeight="1">
      <c r="A971" s="30"/>
      <c r="B971" s="31"/>
      <c r="C971" s="31"/>
      <c r="D971" s="31"/>
      <c r="E971" s="31"/>
      <c r="F971" s="31"/>
      <c r="G971" s="32"/>
      <c r="H971" s="33" t="s">
        <v>90</v>
      </c>
      <c r="I971" s="34"/>
      <c r="J971" s="34"/>
      <c r="K971" s="34"/>
      <c r="L971" s="34"/>
      <c r="M971" s="34"/>
      <c r="N971" s="34"/>
      <c r="O971" s="35"/>
    </row>
    <row r="972" spans="1:15" ht="20.55" customHeight="1">
      <c r="A972" s="1"/>
      <c r="B972" s="1"/>
      <c r="C972" s="1"/>
      <c r="D972" s="1"/>
      <c r="E972" s="1"/>
      <c r="F972" s="1"/>
      <c r="G972" s="1"/>
      <c r="H972" s="1"/>
      <c r="I972" s="1"/>
      <c r="J972" s="36"/>
      <c r="K972" s="36"/>
      <c r="L972" s="36"/>
      <c r="M972" s="36"/>
      <c r="N972" s="36"/>
      <c r="O972" s="5"/>
    </row>
    <row r="973" spans="1:15" ht="21" customHeight="1">
      <c r="A973" s="37" t="s">
        <v>91</v>
      </c>
      <c r="B973" s="38"/>
      <c r="C973" s="39"/>
      <c r="D973" s="2" t="s">
        <v>48</v>
      </c>
      <c r="E973" s="40"/>
      <c r="F973" s="41"/>
      <c r="G973" s="41"/>
      <c r="H973" s="41"/>
      <c r="I973" s="41"/>
      <c r="J973" s="41"/>
      <c r="K973" s="41"/>
      <c r="L973" s="41"/>
      <c r="M973" s="41"/>
      <c r="N973" s="41"/>
      <c r="O973" s="42"/>
    </row>
    <row r="974" spans="1:15" ht="19.95" customHeight="1">
      <c r="A974" s="37" t="s">
        <v>92</v>
      </c>
      <c r="B974" s="38"/>
      <c r="C974" s="39"/>
      <c r="D974" s="2" t="s">
        <v>48</v>
      </c>
      <c r="E974" s="40"/>
      <c r="F974" s="41"/>
      <c r="G974" s="41"/>
      <c r="H974" s="41"/>
      <c r="I974" s="41"/>
      <c r="J974" s="41"/>
      <c r="K974" s="41"/>
      <c r="L974" s="41"/>
      <c r="M974" s="41"/>
      <c r="N974" s="41"/>
      <c r="O974" s="42"/>
    </row>
    <row r="975" spans="1:15" ht="19.95" customHeight="1">
      <c r="A975" s="37" t="s">
        <v>93</v>
      </c>
      <c r="B975" s="38"/>
      <c r="C975" s="39"/>
      <c r="D975" s="2" t="s">
        <v>48</v>
      </c>
      <c r="E975" s="40"/>
      <c r="F975" s="41"/>
      <c r="G975" s="41"/>
      <c r="H975" s="41"/>
      <c r="I975" s="41"/>
      <c r="J975" s="41"/>
      <c r="K975" s="41"/>
      <c r="L975" s="41"/>
      <c r="M975" s="41"/>
      <c r="N975" s="41"/>
      <c r="O975" s="42"/>
    </row>
    <row r="976" spans="1:15" ht="21" customHeight="1">
      <c r="A976" s="43">
        <v>1</v>
      </c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5"/>
    </row>
    <row r="977" spans="1:15" ht="19.95" customHeight="1">
      <c r="A977" s="43">
        <v>2</v>
      </c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5"/>
    </row>
    <row r="978" spans="1:15" ht="19.5" customHeight="1">
      <c r="A978" s="37" t="s">
        <v>94</v>
      </c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9"/>
    </row>
    <row r="979" spans="1:15" ht="20.55" customHeight="1">
      <c r="A979" s="1"/>
      <c r="B979" s="1"/>
      <c r="C979" s="1"/>
      <c r="D979" s="1"/>
      <c r="E979" s="1"/>
      <c r="F979" s="1"/>
      <c r="G979" s="1"/>
      <c r="H979" s="1"/>
      <c r="I979" s="1"/>
      <c r="J979" s="36"/>
      <c r="K979" s="36"/>
      <c r="L979" s="36"/>
      <c r="M979" s="36"/>
      <c r="N979" s="36"/>
      <c r="O979" s="5"/>
    </row>
    <row r="980" spans="1:15" ht="22.05" customHeight="1">
      <c r="A980" s="18" t="s">
        <v>95</v>
      </c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20"/>
    </row>
    <row r="981" spans="1:15" ht="21" customHeight="1">
      <c r="A981" s="3" t="s">
        <v>96</v>
      </c>
      <c r="B981" s="18" t="s">
        <v>97</v>
      </c>
      <c r="C981" s="19"/>
      <c r="D981" s="19"/>
      <c r="E981" s="19"/>
      <c r="F981" s="20"/>
      <c r="G981" s="18" t="s">
        <v>98</v>
      </c>
      <c r="H981" s="20"/>
      <c r="I981" s="18" t="s">
        <v>99</v>
      </c>
      <c r="J981" s="19"/>
      <c r="K981" s="20"/>
      <c r="L981" s="21" t="s">
        <v>100</v>
      </c>
      <c r="M981" s="22"/>
      <c r="N981" s="22"/>
      <c r="O981" s="23"/>
    </row>
    <row r="982" spans="1:15" ht="22.05" customHeight="1">
      <c r="A982" s="24" t="s">
        <v>101</v>
      </c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6"/>
    </row>
    <row r="983" spans="1:15" ht="64.05" customHeight="1">
      <c r="A983" s="106" t="s">
        <v>0</v>
      </c>
      <c r="B983" s="107"/>
      <c r="C983" s="107"/>
      <c r="D983" s="107"/>
      <c r="E983" s="107"/>
      <c r="F983" s="107"/>
      <c r="G983" s="107"/>
      <c r="H983" s="107"/>
      <c r="I983" s="107"/>
      <c r="J983" s="108"/>
      <c r="K983" s="109" t="s">
        <v>1</v>
      </c>
      <c r="L983" s="110"/>
      <c r="M983" s="110"/>
      <c r="N983" s="110"/>
      <c r="O983" s="111"/>
    </row>
    <row r="984" spans="1:15" ht="23.55" customHeight="1">
      <c r="A984" s="101" t="s">
        <v>674</v>
      </c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3"/>
    </row>
    <row r="985" spans="1:15" ht="20.55" customHeight="1">
      <c r="A985" s="93"/>
      <c r="B985" s="93"/>
      <c r="C985" s="1"/>
      <c r="D985" s="93"/>
      <c r="E985" s="93"/>
      <c r="F985" s="93"/>
      <c r="G985" s="93"/>
      <c r="H985" s="93"/>
      <c r="I985" s="93"/>
      <c r="J985" s="5"/>
      <c r="K985" s="36"/>
      <c r="L985" s="36"/>
      <c r="M985" s="5"/>
      <c r="N985" s="5"/>
      <c r="O985" s="5"/>
    </row>
    <row r="986" spans="1:15" ht="37.049999999999997" customHeight="1">
      <c r="A986" s="101" t="s">
        <v>2</v>
      </c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3"/>
    </row>
    <row r="987" spans="1:15" ht="21" customHeight="1">
      <c r="A987" s="37" t="s">
        <v>3</v>
      </c>
      <c r="B987" s="38"/>
      <c r="C987" s="39"/>
      <c r="D987" s="90" t="s">
        <v>4</v>
      </c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2"/>
    </row>
    <row r="988" spans="1:15" ht="22.05" customHeight="1">
      <c r="A988" s="37" t="s">
        <v>5</v>
      </c>
      <c r="B988" s="38"/>
      <c r="C988" s="39"/>
      <c r="D988" s="90" t="s">
        <v>6</v>
      </c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2"/>
    </row>
    <row r="989" spans="1:15" ht="22.05" customHeight="1">
      <c r="A989" s="37" t="s">
        <v>7</v>
      </c>
      <c r="B989" s="38"/>
      <c r="C989" s="39"/>
      <c r="D989" s="90" t="s">
        <v>8</v>
      </c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2"/>
    </row>
    <row r="990" spans="1:15" ht="21" customHeight="1">
      <c r="A990" s="37" t="s">
        <v>9</v>
      </c>
      <c r="B990" s="38"/>
      <c r="C990" s="39"/>
      <c r="D990" s="90" t="s">
        <v>10</v>
      </c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2"/>
    </row>
    <row r="991" spans="1:15" ht="22.05" customHeight="1">
      <c r="A991" s="37" t="s">
        <v>11</v>
      </c>
      <c r="B991" s="38"/>
      <c r="C991" s="39"/>
      <c r="D991" s="90" t="s">
        <v>12</v>
      </c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2"/>
    </row>
    <row r="992" spans="1:15" ht="22.05" customHeight="1">
      <c r="A992" s="37" t="s">
        <v>13</v>
      </c>
      <c r="B992" s="38"/>
      <c r="C992" s="39"/>
      <c r="D992" s="90" t="s">
        <v>246</v>
      </c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2"/>
    </row>
    <row r="993" spans="1:15" ht="21" customHeight="1">
      <c r="A993" s="37" t="s">
        <v>15</v>
      </c>
      <c r="B993" s="38"/>
      <c r="C993" s="39"/>
      <c r="D993" s="90" t="s">
        <v>372</v>
      </c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2"/>
    </row>
    <row r="994" spans="1:15" ht="22.05" customHeight="1">
      <c r="A994" s="37" t="s">
        <v>17</v>
      </c>
      <c r="B994" s="38"/>
      <c r="C994" s="39"/>
      <c r="D994" s="90" t="s">
        <v>10</v>
      </c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2"/>
    </row>
    <row r="995" spans="1:15" ht="22.05" customHeight="1">
      <c r="A995" s="37" t="s">
        <v>18</v>
      </c>
      <c r="B995" s="38"/>
      <c r="C995" s="39"/>
      <c r="D995" s="90" t="s">
        <v>10</v>
      </c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2"/>
    </row>
    <row r="996" spans="1:15" ht="22.05" customHeight="1">
      <c r="A996" s="37" t="s">
        <v>19</v>
      </c>
      <c r="B996" s="38"/>
      <c r="C996" s="39"/>
      <c r="D996" s="90" t="s">
        <v>20</v>
      </c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2"/>
    </row>
    <row r="997" spans="1:15" ht="21" customHeight="1">
      <c r="A997" s="37" t="s">
        <v>21</v>
      </c>
      <c r="B997" s="38"/>
      <c r="C997" s="39"/>
      <c r="D997" s="90" t="s">
        <v>22</v>
      </c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2"/>
    </row>
    <row r="998" spans="1:15" ht="22.05" customHeight="1">
      <c r="A998" s="37" t="s">
        <v>23</v>
      </c>
      <c r="B998" s="38"/>
      <c r="C998" s="39"/>
      <c r="D998" s="90" t="s">
        <v>24</v>
      </c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2"/>
    </row>
    <row r="999" spans="1:15" ht="22.05" customHeight="1">
      <c r="A999" s="37" t="s">
        <v>25</v>
      </c>
      <c r="B999" s="38"/>
      <c r="C999" s="39"/>
      <c r="D999" s="90" t="s">
        <v>26</v>
      </c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2"/>
    </row>
    <row r="1000" spans="1:15" ht="21" customHeight="1">
      <c r="A1000" s="37" t="s">
        <v>670</v>
      </c>
      <c r="B1000" s="38"/>
      <c r="C1000" s="39"/>
      <c r="D1000" s="90" t="s">
        <v>27</v>
      </c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2"/>
    </row>
    <row r="1001" spans="1:15" ht="22.05" customHeight="1">
      <c r="A1001" s="37" t="s">
        <v>675</v>
      </c>
      <c r="B1001" s="38"/>
      <c r="C1001" s="39"/>
      <c r="D1001" s="90" t="s">
        <v>373</v>
      </c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2"/>
    </row>
    <row r="1002" spans="1:15" ht="21.45" customHeight="1">
      <c r="A1002" s="37" t="s">
        <v>676</v>
      </c>
      <c r="B1002" s="38"/>
      <c r="C1002" s="39"/>
      <c r="D1002" s="90" t="s">
        <v>374</v>
      </c>
      <c r="E1002" s="91"/>
      <c r="F1002" s="91"/>
      <c r="G1002" s="91"/>
      <c r="H1002" s="91"/>
      <c r="I1002" s="91"/>
      <c r="J1002" s="91"/>
      <c r="K1002" s="91"/>
      <c r="L1002" s="91"/>
      <c r="M1002" s="91"/>
      <c r="N1002" s="91"/>
      <c r="O1002" s="92"/>
    </row>
    <row r="1003" spans="1:15" ht="20.55" customHeight="1">
      <c r="A1003" s="93"/>
      <c r="B1003" s="93"/>
      <c r="C1003" s="1"/>
      <c r="D1003" s="93"/>
      <c r="E1003" s="93"/>
      <c r="F1003" s="93"/>
      <c r="G1003" s="93"/>
      <c r="H1003" s="93"/>
      <c r="I1003" s="93"/>
      <c r="J1003" s="5"/>
      <c r="K1003" s="36"/>
      <c r="L1003" s="36"/>
      <c r="M1003" s="5"/>
      <c r="N1003" s="5"/>
      <c r="O1003" s="5"/>
    </row>
    <row r="1004" spans="1:15" ht="22.95" customHeight="1">
      <c r="A1004" s="101" t="s">
        <v>29</v>
      </c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3"/>
    </row>
    <row r="1005" spans="1:15" ht="24" customHeight="1">
      <c r="A1005" s="101" t="s">
        <v>30</v>
      </c>
      <c r="B1005" s="102"/>
      <c r="C1005" s="103"/>
      <c r="D1005" s="101" t="s">
        <v>31</v>
      </c>
      <c r="E1005" s="102"/>
      <c r="F1005" s="102"/>
      <c r="G1005" s="102"/>
      <c r="H1005" s="102"/>
      <c r="I1005" s="102"/>
      <c r="J1005" s="102"/>
      <c r="K1005" s="102"/>
      <c r="L1005" s="102"/>
      <c r="M1005" s="103"/>
      <c r="N1005" s="104" t="s">
        <v>32</v>
      </c>
      <c r="O1005" s="105"/>
    </row>
    <row r="1006" spans="1:15" ht="21" customHeight="1">
      <c r="A1006" s="37" t="s">
        <v>33</v>
      </c>
      <c r="B1006" s="38"/>
      <c r="C1006" s="39"/>
      <c r="D1006" s="37" t="s">
        <v>34</v>
      </c>
      <c r="E1006" s="38"/>
      <c r="F1006" s="38"/>
      <c r="G1006" s="38"/>
      <c r="H1006" s="38"/>
      <c r="I1006" s="38"/>
      <c r="J1006" s="38"/>
      <c r="K1006" s="38"/>
      <c r="L1006" s="38"/>
      <c r="M1006" s="39"/>
      <c r="N1006" s="97" t="s">
        <v>35</v>
      </c>
      <c r="O1006" s="98"/>
    </row>
    <row r="1007" spans="1:15" ht="19.95" customHeight="1">
      <c r="A1007" s="37" t="s">
        <v>36</v>
      </c>
      <c r="B1007" s="38"/>
      <c r="C1007" s="39"/>
      <c r="D1007" s="37" t="s">
        <v>37</v>
      </c>
      <c r="E1007" s="38"/>
      <c r="F1007" s="38"/>
      <c r="G1007" s="38"/>
      <c r="H1007" s="38"/>
      <c r="I1007" s="38"/>
      <c r="J1007" s="38"/>
      <c r="K1007" s="38"/>
      <c r="L1007" s="38"/>
      <c r="M1007" s="39"/>
      <c r="N1007" s="97">
        <v>41730100</v>
      </c>
      <c r="O1007" s="98"/>
    </row>
    <row r="1008" spans="1:15" ht="19.95" customHeight="1">
      <c r="A1008" s="37" t="s">
        <v>38</v>
      </c>
      <c r="B1008" s="38"/>
      <c r="C1008" s="39"/>
      <c r="D1008" s="37" t="s">
        <v>375</v>
      </c>
      <c r="E1008" s="38"/>
      <c r="F1008" s="38"/>
      <c r="G1008" s="38"/>
      <c r="H1008" s="38"/>
      <c r="I1008" s="38"/>
      <c r="J1008" s="38"/>
      <c r="K1008" s="38"/>
      <c r="L1008" s="38"/>
      <c r="M1008" s="39"/>
      <c r="N1008" s="97" t="s">
        <v>376</v>
      </c>
      <c r="O1008" s="98"/>
    </row>
    <row r="1009" spans="1:15" ht="20.55" customHeight="1">
      <c r="A1009" s="37" t="s">
        <v>41</v>
      </c>
      <c r="B1009" s="38"/>
      <c r="C1009" s="39"/>
      <c r="D1009" s="37" t="s">
        <v>252</v>
      </c>
      <c r="E1009" s="38"/>
      <c r="F1009" s="38"/>
      <c r="G1009" s="38"/>
      <c r="H1009" s="38"/>
      <c r="I1009" s="38"/>
      <c r="J1009" s="38"/>
      <c r="K1009" s="38"/>
      <c r="L1009" s="38"/>
      <c r="M1009" s="39"/>
      <c r="N1009" s="99">
        <v>0.97</v>
      </c>
      <c r="O1009" s="100"/>
    </row>
    <row r="1010" spans="1:15" ht="20.55" customHeight="1">
      <c r="A1010" s="93"/>
      <c r="B1010" s="93"/>
      <c r="C1010" s="1"/>
      <c r="D1010" s="93"/>
      <c r="E1010" s="93"/>
      <c r="F1010" s="93"/>
      <c r="G1010" s="93"/>
      <c r="H1010" s="93"/>
      <c r="I1010" s="93"/>
      <c r="J1010" s="5"/>
      <c r="K1010" s="36"/>
      <c r="L1010" s="36"/>
      <c r="M1010" s="5"/>
      <c r="N1010" s="5"/>
      <c r="O1010" s="5"/>
    </row>
    <row r="1011" spans="1:15" ht="37.049999999999997" customHeight="1">
      <c r="A1011" s="101" t="s">
        <v>43</v>
      </c>
      <c r="B1011" s="102"/>
      <c r="C1011" s="102"/>
      <c r="D1011" s="102"/>
      <c r="E1011" s="102"/>
      <c r="F1011" s="102"/>
      <c r="G1011" s="102"/>
      <c r="H1011" s="102"/>
      <c r="I1011" s="102"/>
      <c r="J1011" s="102"/>
      <c r="K1011" s="102"/>
      <c r="L1011" s="102"/>
      <c r="M1011" s="102"/>
      <c r="N1011" s="102"/>
      <c r="O1011" s="103"/>
    </row>
    <row r="1012" spans="1:15" ht="21" customHeight="1">
      <c r="A1012" s="37" t="s">
        <v>15</v>
      </c>
      <c r="B1012" s="38"/>
      <c r="C1012" s="39"/>
      <c r="D1012" s="90" t="s">
        <v>372</v>
      </c>
      <c r="E1012" s="91"/>
      <c r="F1012" s="91"/>
      <c r="G1012" s="91"/>
      <c r="H1012" s="91"/>
      <c r="I1012" s="91"/>
      <c r="J1012" s="91"/>
      <c r="K1012" s="91"/>
      <c r="L1012" s="91"/>
      <c r="M1012" s="91"/>
      <c r="N1012" s="91"/>
      <c r="O1012" s="92"/>
    </row>
    <row r="1013" spans="1:15" ht="19.95" customHeight="1">
      <c r="A1013" s="37" t="s">
        <v>19</v>
      </c>
      <c r="B1013" s="38"/>
      <c r="C1013" s="39"/>
      <c r="D1013" s="90" t="s">
        <v>20</v>
      </c>
      <c r="E1013" s="91"/>
      <c r="F1013" s="91"/>
      <c r="G1013" s="91"/>
      <c r="H1013" s="91"/>
      <c r="I1013" s="91"/>
      <c r="J1013" s="91"/>
      <c r="K1013" s="91"/>
      <c r="L1013" s="91"/>
      <c r="M1013" s="91"/>
      <c r="N1013" s="91"/>
      <c r="O1013" s="92"/>
    </row>
    <row r="1014" spans="1:15" ht="19.95" customHeight="1">
      <c r="A1014" s="37" t="s">
        <v>21</v>
      </c>
      <c r="B1014" s="38"/>
      <c r="C1014" s="39"/>
      <c r="D1014" s="90" t="s">
        <v>44</v>
      </c>
      <c r="E1014" s="91"/>
      <c r="F1014" s="91"/>
      <c r="G1014" s="91"/>
      <c r="H1014" s="91"/>
      <c r="I1014" s="91"/>
      <c r="J1014" s="91"/>
      <c r="K1014" s="91"/>
      <c r="L1014" s="91"/>
      <c r="M1014" s="91"/>
      <c r="N1014" s="91"/>
      <c r="O1014" s="92"/>
    </row>
    <row r="1015" spans="1:15" ht="21" customHeight="1">
      <c r="A1015" s="37" t="s">
        <v>45</v>
      </c>
      <c r="B1015" s="38"/>
      <c r="C1015" s="39"/>
      <c r="D1015" s="90" t="s">
        <v>377</v>
      </c>
      <c r="E1015" s="91"/>
      <c r="F1015" s="91"/>
      <c r="G1015" s="91"/>
      <c r="H1015" s="91"/>
      <c r="I1015" s="91"/>
      <c r="J1015" s="91"/>
      <c r="K1015" s="91"/>
      <c r="L1015" s="91"/>
      <c r="M1015" s="91"/>
      <c r="N1015" s="91"/>
      <c r="O1015" s="92"/>
    </row>
    <row r="1016" spans="1:15" ht="19.95" customHeight="1">
      <c r="A1016" s="37" t="s">
        <v>23</v>
      </c>
      <c r="B1016" s="38"/>
      <c r="C1016" s="39"/>
      <c r="D1016" s="90" t="s">
        <v>24</v>
      </c>
      <c r="E1016" s="91"/>
      <c r="F1016" s="91"/>
      <c r="G1016" s="91"/>
      <c r="H1016" s="91"/>
      <c r="I1016" s="91"/>
      <c r="J1016" s="91"/>
      <c r="K1016" s="91"/>
      <c r="L1016" s="91"/>
      <c r="M1016" s="91"/>
      <c r="N1016" s="91"/>
      <c r="O1016" s="92"/>
    </row>
    <row r="1017" spans="1:15" ht="19.5" customHeight="1">
      <c r="A1017" s="37" t="s">
        <v>47</v>
      </c>
      <c r="B1017" s="38"/>
      <c r="C1017" s="39"/>
      <c r="D1017" s="90" t="s">
        <v>48</v>
      </c>
      <c r="E1017" s="91"/>
      <c r="F1017" s="91"/>
      <c r="G1017" s="91"/>
      <c r="H1017" s="91"/>
      <c r="I1017" s="91"/>
      <c r="J1017" s="91"/>
      <c r="K1017" s="91"/>
      <c r="L1017" s="91"/>
      <c r="M1017" s="91"/>
      <c r="N1017" s="91"/>
      <c r="O1017" s="92"/>
    </row>
    <row r="1018" spans="1:15" ht="20.55" customHeight="1">
      <c r="A1018" s="93"/>
      <c r="B1018" s="93"/>
      <c r="C1018" s="1"/>
      <c r="D1018" s="93"/>
      <c r="E1018" s="93"/>
      <c r="F1018" s="93"/>
      <c r="G1018" s="93"/>
      <c r="H1018" s="93"/>
      <c r="I1018" s="93"/>
      <c r="J1018" s="5"/>
      <c r="K1018" s="36"/>
      <c r="L1018" s="36"/>
      <c r="M1018" s="5"/>
      <c r="N1018" s="5"/>
      <c r="O1018" s="5"/>
    </row>
    <row r="1019" spans="1:15" ht="37.950000000000003" customHeight="1">
      <c r="A1019" s="87" t="s">
        <v>49</v>
      </c>
      <c r="B1019" s="88"/>
      <c r="C1019" s="88"/>
      <c r="D1019" s="88"/>
      <c r="E1019" s="88"/>
      <c r="F1019" s="88"/>
      <c r="G1019" s="88"/>
      <c r="H1019" s="88"/>
      <c r="I1019" s="88"/>
      <c r="J1019" s="88"/>
      <c r="K1019" s="88"/>
      <c r="L1019" s="88"/>
      <c r="M1019" s="88"/>
      <c r="N1019" s="88"/>
      <c r="O1019" s="89"/>
    </row>
    <row r="1020" spans="1:15" ht="19.95" customHeight="1">
      <c r="A1020" s="61" t="s">
        <v>50</v>
      </c>
      <c r="B1020" s="62"/>
      <c r="C1020" s="65" t="s">
        <v>51</v>
      </c>
      <c r="D1020" s="66"/>
      <c r="E1020" s="67"/>
      <c r="F1020" s="71" t="s">
        <v>52</v>
      </c>
      <c r="G1020" s="72"/>
      <c r="H1020" s="72"/>
      <c r="I1020" s="72"/>
      <c r="J1020" s="72"/>
      <c r="K1020" s="72"/>
      <c r="L1020" s="72"/>
      <c r="M1020" s="72"/>
      <c r="N1020" s="73"/>
      <c r="O1020" s="74" t="s">
        <v>53</v>
      </c>
    </row>
    <row r="1021" spans="1:15" ht="21" customHeight="1">
      <c r="A1021" s="63"/>
      <c r="B1021" s="64"/>
      <c r="C1021" s="68"/>
      <c r="D1021" s="69"/>
      <c r="E1021" s="70"/>
      <c r="F1021" s="76" t="s">
        <v>54</v>
      </c>
      <c r="G1021" s="77"/>
      <c r="H1021" s="71" t="s">
        <v>55</v>
      </c>
      <c r="I1021" s="73"/>
      <c r="J1021" s="94" t="s">
        <v>56</v>
      </c>
      <c r="K1021" s="95"/>
      <c r="L1021" s="96"/>
      <c r="M1021" s="80" t="s">
        <v>57</v>
      </c>
      <c r="N1021" s="82"/>
      <c r="O1021" s="75"/>
    </row>
    <row r="1022" spans="1:15" ht="19.95" customHeight="1">
      <c r="A1022" s="83">
        <v>5</v>
      </c>
      <c r="B1022" s="84"/>
      <c r="C1022" s="46" t="s">
        <v>58</v>
      </c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8"/>
      <c r="O1022" s="6">
        <f t="shared" ref="O1022:O1028" si="6">O1023</f>
        <v>41731000</v>
      </c>
    </row>
    <row r="1023" spans="1:15" ht="19.95" customHeight="1">
      <c r="A1023" s="46" t="s">
        <v>59</v>
      </c>
      <c r="B1023" s="48"/>
      <c r="C1023" s="46" t="s">
        <v>60</v>
      </c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8"/>
      <c r="O1023" s="6">
        <f t="shared" si="6"/>
        <v>41731000</v>
      </c>
    </row>
    <row r="1024" spans="1:15" ht="21" customHeight="1">
      <c r="A1024" s="85">
        <v>37377</v>
      </c>
      <c r="B1024" s="86"/>
      <c r="C1024" s="46" t="s">
        <v>61</v>
      </c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8"/>
      <c r="O1024" s="6">
        <f t="shared" si="6"/>
        <v>41731000</v>
      </c>
    </row>
    <row r="1025" spans="1:15" ht="19.95" customHeight="1">
      <c r="A1025" s="46" t="s">
        <v>62</v>
      </c>
      <c r="B1025" s="48"/>
      <c r="C1025" s="46" t="s">
        <v>63</v>
      </c>
      <c r="D1025" s="47"/>
      <c r="E1025" s="47"/>
      <c r="F1025" s="47"/>
      <c r="G1025" s="47"/>
      <c r="H1025" s="47"/>
      <c r="I1025" s="47"/>
      <c r="J1025" s="47"/>
      <c r="K1025" s="47"/>
      <c r="L1025" s="47"/>
      <c r="M1025" s="47"/>
      <c r="N1025" s="48"/>
      <c r="O1025" s="6">
        <f t="shared" si="6"/>
        <v>41731000</v>
      </c>
    </row>
    <row r="1026" spans="1:15" ht="19.95" customHeight="1">
      <c r="A1026" s="46" t="s">
        <v>64</v>
      </c>
      <c r="B1026" s="48"/>
      <c r="C1026" s="46" t="s">
        <v>65</v>
      </c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8"/>
      <c r="O1026" s="6">
        <f t="shared" si="6"/>
        <v>41731000</v>
      </c>
    </row>
    <row r="1027" spans="1:15" ht="31.05" customHeight="1">
      <c r="A1027" s="30" t="s">
        <v>170</v>
      </c>
      <c r="B1027" s="32"/>
      <c r="C1027" s="46" t="s">
        <v>171</v>
      </c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8"/>
      <c r="O1027" s="6">
        <f t="shared" si="6"/>
        <v>41731000</v>
      </c>
    </row>
    <row r="1028" spans="1:15" ht="31.05" customHeight="1">
      <c r="A1028" s="40"/>
      <c r="B1028" s="42"/>
      <c r="C1028" s="30" t="s">
        <v>378</v>
      </c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2"/>
      <c r="O1028" s="6">
        <f t="shared" si="6"/>
        <v>41731000</v>
      </c>
    </row>
    <row r="1029" spans="1:15" ht="20.25" customHeight="1">
      <c r="A1029" s="40"/>
      <c r="B1029" s="42"/>
      <c r="C1029" s="46" t="s">
        <v>69</v>
      </c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8"/>
      <c r="O1029" s="6">
        <f>SUM(O1033:O1041)</f>
        <v>41731000</v>
      </c>
    </row>
    <row r="1030" spans="1:15" ht="37.950000000000003" customHeight="1">
      <c r="A1030" s="126" t="s">
        <v>678</v>
      </c>
      <c r="B1030" s="88"/>
      <c r="C1030" s="88"/>
      <c r="D1030" s="88"/>
      <c r="E1030" s="88"/>
      <c r="F1030" s="88"/>
      <c r="G1030" s="88"/>
      <c r="H1030" s="88"/>
      <c r="I1030" s="88"/>
      <c r="J1030" s="88"/>
      <c r="K1030" s="88"/>
      <c r="L1030" s="88"/>
      <c r="M1030" s="88"/>
      <c r="N1030" s="88"/>
      <c r="O1030" s="89"/>
    </row>
    <row r="1031" spans="1:15" ht="19.95" customHeight="1">
      <c r="A1031" s="61" t="s">
        <v>50</v>
      </c>
      <c r="B1031" s="62"/>
      <c r="C1031" s="65" t="s">
        <v>51</v>
      </c>
      <c r="D1031" s="66"/>
      <c r="E1031" s="67"/>
      <c r="F1031" s="71" t="s">
        <v>52</v>
      </c>
      <c r="G1031" s="72"/>
      <c r="H1031" s="72"/>
      <c r="I1031" s="72"/>
      <c r="J1031" s="72"/>
      <c r="K1031" s="72"/>
      <c r="L1031" s="72"/>
      <c r="M1031" s="72"/>
      <c r="N1031" s="73"/>
      <c r="O1031" s="74" t="s">
        <v>53</v>
      </c>
    </row>
    <row r="1032" spans="1:15" ht="21" customHeight="1">
      <c r="A1032" s="63"/>
      <c r="B1032" s="64"/>
      <c r="C1032" s="68"/>
      <c r="D1032" s="69"/>
      <c r="E1032" s="70"/>
      <c r="F1032" s="76" t="s">
        <v>54</v>
      </c>
      <c r="G1032" s="77"/>
      <c r="H1032" s="71" t="s">
        <v>55</v>
      </c>
      <c r="I1032" s="73"/>
      <c r="J1032" s="78" t="s">
        <v>56</v>
      </c>
      <c r="K1032" s="79"/>
      <c r="L1032" s="80" t="s">
        <v>57</v>
      </c>
      <c r="M1032" s="81"/>
      <c r="N1032" s="82"/>
      <c r="O1032" s="75"/>
    </row>
    <row r="1033" spans="1:15" ht="70.05" customHeight="1">
      <c r="A1033" s="30"/>
      <c r="B1033" s="32"/>
      <c r="C1033" s="49" t="s">
        <v>379</v>
      </c>
      <c r="D1033" s="50"/>
      <c r="E1033" s="51"/>
      <c r="F1033" s="52">
        <v>10</v>
      </c>
      <c r="G1033" s="53"/>
      <c r="H1033" s="54" t="s">
        <v>380</v>
      </c>
      <c r="I1033" s="55"/>
      <c r="J1033" s="56">
        <v>63075</v>
      </c>
      <c r="K1033" s="57"/>
      <c r="L1033" s="58">
        <v>0</v>
      </c>
      <c r="M1033" s="59"/>
      <c r="N1033" s="60"/>
      <c r="O1033" s="7">
        <v>630750</v>
      </c>
    </row>
    <row r="1034" spans="1:15" ht="70.95" customHeight="1">
      <c r="A1034" s="30"/>
      <c r="B1034" s="32"/>
      <c r="C1034" s="49" t="s">
        <v>381</v>
      </c>
      <c r="D1034" s="50"/>
      <c r="E1034" s="51"/>
      <c r="F1034" s="52">
        <v>120</v>
      </c>
      <c r="G1034" s="53"/>
      <c r="H1034" s="54" t="s">
        <v>73</v>
      </c>
      <c r="I1034" s="55"/>
      <c r="J1034" s="56">
        <v>32350</v>
      </c>
      <c r="K1034" s="57"/>
      <c r="L1034" s="58">
        <v>0</v>
      </c>
      <c r="M1034" s="59"/>
      <c r="N1034" s="60"/>
      <c r="O1034" s="7">
        <v>3882000</v>
      </c>
    </row>
    <row r="1035" spans="1:15" ht="70.95" customHeight="1">
      <c r="A1035" s="30"/>
      <c r="B1035" s="32"/>
      <c r="C1035" s="49" t="s">
        <v>382</v>
      </c>
      <c r="D1035" s="50"/>
      <c r="E1035" s="51"/>
      <c r="F1035" s="52">
        <v>14</v>
      </c>
      <c r="G1035" s="53"/>
      <c r="H1035" s="54" t="s">
        <v>73</v>
      </c>
      <c r="I1035" s="55"/>
      <c r="J1035" s="56">
        <v>21975</v>
      </c>
      <c r="K1035" s="57"/>
      <c r="L1035" s="58">
        <v>0</v>
      </c>
      <c r="M1035" s="59"/>
      <c r="N1035" s="60"/>
      <c r="O1035" s="7">
        <v>307650</v>
      </c>
    </row>
    <row r="1036" spans="1:15" ht="60" customHeight="1">
      <c r="A1036" s="30"/>
      <c r="B1036" s="32"/>
      <c r="C1036" s="49" t="s">
        <v>383</v>
      </c>
      <c r="D1036" s="50"/>
      <c r="E1036" s="51"/>
      <c r="F1036" s="52">
        <v>200</v>
      </c>
      <c r="G1036" s="53"/>
      <c r="H1036" s="54" t="s">
        <v>384</v>
      </c>
      <c r="I1036" s="55"/>
      <c r="J1036" s="56">
        <v>48250</v>
      </c>
      <c r="K1036" s="57"/>
      <c r="L1036" s="58">
        <v>0</v>
      </c>
      <c r="M1036" s="59"/>
      <c r="N1036" s="60"/>
      <c r="O1036" s="7">
        <v>9650000</v>
      </c>
    </row>
    <row r="1037" spans="1:15" ht="70.95" customHeight="1">
      <c r="A1037" s="30"/>
      <c r="B1037" s="32"/>
      <c r="C1037" s="49" t="s">
        <v>385</v>
      </c>
      <c r="D1037" s="50"/>
      <c r="E1037" s="51"/>
      <c r="F1037" s="52">
        <v>8</v>
      </c>
      <c r="G1037" s="53"/>
      <c r="H1037" s="54" t="s">
        <v>380</v>
      </c>
      <c r="I1037" s="55"/>
      <c r="J1037" s="56">
        <v>76600</v>
      </c>
      <c r="K1037" s="57"/>
      <c r="L1037" s="58">
        <v>0</v>
      </c>
      <c r="M1037" s="59"/>
      <c r="N1037" s="60"/>
      <c r="O1037" s="7">
        <v>612800</v>
      </c>
    </row>
    <row r="1038" spans="1:15" ht="60" customHeight="1">
      <c r="A1038" s="30"/>
      <c r="B1038" s="32"/>
      <c r="C1038" s="49" t="s">
        <v>386</v>
      </c>
      <c r="D1038" s="50"/>
      <c r="E1038" s="51"/>
      <c r="F1038" s="52">
        <v>5.0060443250503699</v>
      </c>
      <c r="G1038" s="53"/>
      <c r="H1038" s="54" t="s">
        <v>81</v>
      </c>
      <c r="I1038" s="55"/>
      <c r="J1038" s="56">
        <v>148900</v>
      </c>
      <c r="K1038" s="57"/>
      <c r="L1038" s="58">
        <v>0</v>
      </c>
      <c r="M1038" s="59"/>
      <c r="N1038" s="60"/>
      <c r="O1038" s="7">
        <f>F1038*J1038</f>
        <v>745400.00000000012</v>
      </c>
    </row>
    <row r="1039" spans="1:15" ht="61.05" customHeight="1">
      <c r="A1039" s="30"/>
      <c r="B1039" s="32"/>
      <c r="C1039" s="49" t="s">
        <v>387</v>
      </c>
      <c r="D1039" s="50"/>
      <c r="E1039" s="51"/>
      <c r="F1039" s="52">
        <v>20</v>
      </c>
      <c r="G1039" s="53"/>
      <c r="H1039" s="54" t="s">
        <v>174</v>
      </c>
      <c r="I1039" s="55"/>
      <c r="J1039" s="56">
        <v>14900</v>
      </c>
      <c r="K1039" s="57"/>
      <c r="L1039" s="58">
        <v>0</v>
      </c>
      <c r="M1039" s="59"/>
      <c r="N1039" s="60"/>
      <c r="O1039" s="7">
        <v>298000</v>
      </c>
    </row>
    <row r="1040" spans="1:15" ht="60" customHeight="1">
      <c r="A1040" s="30"/>
      <c r="B1040" s="32"/>
      <c r="C1040" s="49" t="s">
        <v>173</v>
      </c>
      <c r="D1040" s="50"/>
      <c r="E1040" s="51"/>
      <c r="F1040" s="52">
        <v>18</v>
      </c>
      <c r="G1040" s="53"/>
      <c r="H1040" s="54" t="s">
        <v>174</v>
      </c>
      <c r="I1040" s="55"/>
      <c r="J1040" s="56">
        <v>30800</v>
      </c>
      <c r="K1040" s="57"/>
      <c r="L1040" s="58">
        <v>0</v>
      </c>
      <c r="M1040" s="59"/>
      <c r="N1040" s="60"/>
      <c r="O1040" s="7">
        <v>554400</v>
      </c>
    </row>
    <row r="1041" spans="1:15" ht="61.05" customHeight="1">
      <c r="A1041" s="30"/>
      <c r="B1041" s="32"/>
      <c r="C1041" s="49" t="s">
        <v>388</v>
      </c>
      <c r="D1041" s="50"/>
      <c r="E1041" s="51"/>
      <c r="F1041" s="52">
        <v>1500</v>
      </c>
      <c r="G1041" s="53"/>
      <c r="H1041" s="54" t="s">
        <v>380</v>
      </c>
      <c r="I1041" s="55"/>
      <c r="J1041" s="56">
        <v>16700</v>
      </c>
      <c r="K1041" s="57"/>
      <c r="L1041" s="58">
        <v>0</v>
      </c>
      <c r="M1041" s="59"/>
      <c r="N1041" s="60"/>
      <c r="O1041" s="7">
        <v>25050000</v>
      </c>
    </row>
    <row r="1042" spans="1:15" ht="19.95" customHeight="1">
      <c r="A1042" s="27" t="s">
        <v>89</v>
      </c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9"/>
      <c r="O1042" s="8">
        <f>SUM(O1033:O1041)</f>
        <v>41731000</v>
      </c>
    </row>
    <row r="1043" spans="1:15" ht="153" customHeight="1">
      <c r="A1043" s="30"/>
      <c r="B1043" s="31"/>
      <c r="C1043" s="31"/>
      <c r="D1043" s="31"/>
      <c r="E1043" s="31"/>
      <c r="F1043" s="31"/>
      <c r="G1043" s="32"/>
      <c r="H1043" s="33" t="s">
        <v>90</v>
      </c>
      <c r="I1043" s="34"/>
      <c r="J1043" s="34"/>
      <c r="K1043" s="34"/>
      <c r="L1043" s="34"/>
      <c r="M1043" s="34"/>
      <c r="N1043" s="34"/>
      <c r="O1043" s="35"/>
    </row>
    <row r="1044" spans="1:15" ht="20.5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36"/>
      <c r="K1044" s="36"/>
      <c r="L1044" s="36"/>
      <c r="M1044" s="36"/>
      <c r="N1044" s="36"/>
      <c r="O1044" s="5"/>
    </row>
    <row r="1045" spans="1:15" ht="19.95" customHeight="1">
      <c r="A1045" s="37" t="s">
        <v>91</v>
      </c>
      <c r="B1045" s="38"/>
      <c r="C1045" s="39"/>
      <c r="D1045" s="2" t="s">
        <v>48</v>
      </c>
      <c r="E1045" s="40"/>
      <c r="F1045" s="41"/>
      <c r="G1045" s="41"/>
      <c r="H1045" s="41"/>
      <c r="I1045" s="41"/>
      <c r="J1045" s="41"/>
      <c r="K1045" s="41"/>
      <c r="L1045" s="41"/>
      <c r="M1045" s="41"/>
      <c r="N1045" s="41"/>
      <c r="O1045" s="42"/>
    </row>
    <row r="1046" spans="1:15" ht="19.95" customHeight="1">
      <c r="A1046" s="37" t="s">
        <v>92</v>
      </c>
      <c r="B1046" s="38"/>
      <c r="C1046" s="39"/>
      <c r="D1046" s="2" t="s">
        <v>48</v>
      </c>
      <c r="E1046" s="40"/>
      <c r="F1046" s="41"/>
      <c r="G1046" s="41"/>
      <c r="H1046" s="41"/>
      <c r="I1046" s="41"/>
      <c r="J1046" s="41"/>
      <c r="K1046" s="41"/>
      <c r="L1046" s="41"/>
      <c r="M1046" s="41"/>
      <c r="N1046" s="41"/>
      <c r="O1046" s="42"/>
    </row>
    <row r="1047" spans="1:15" ht="21" customHeight="1">
      <c r="A1047" s="37" t="s">
        <v>93</v>
      </c>
      <c r="B1047" s="38"/>
      <c r="C1047" s="39"/>
      <c r="D1047" s="2" t="s">
        <v>48</v>
      </c>
      <c r="E1047" s="40"/>
      <c r="F1047" s="41"/>
      <c r="G1047" s="41"/>
      <c r="H1047" s="41"/>
      <c r="I1047" s="41"/>
      <c r="J1047" s="41"/>
      <c r="K1047" s="41"/>
      <c r="L1047" s="41"/>
      <c r="M1047" s="41"/>
      <c r="N1047" s="41"/>
      <c r="O1047" s="42"/>
    </row>
    <row r="1048" spans="1:15" ht="19.95" customHeight="1">
      <c r="A1048" s="43">
        <v>1</v>
      </c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5"/>
    </row>
    <row r="1049" spans="1:15" ht="19.95" customHeight="1">
      <c r="A1049" s="43">
        <v>2</v>
      </c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5"/>
    </row>
    <row r="1050" spans="1:15" ht="20.55" customHeight="1">
      <c r="A1050" s="37" t="s">
        <v>94</v>
      </c>
      <c r="B1050" s="38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  <c r="M1050" s="38"/>
      <c r="N1050" s="38"/>
      <c r="O1050" s="39"/>
    </row>
    <row r="1051" spans="1:15" ht="20.5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36"/>
      <c r="K1051" s="36"/>
      <c r="L1051" s="36"/>
      <c r="M1051" s="36"/>
      <c r="N1051" s="36"/>
      <c r="O1051" s="5"/>
    </row>
    <row r="1052" spans="1:15" ht="21" customHeight="1">
      <c r="A1052" s="18" t="s">
        <v>95</v>
      </c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20"/>
    </row>
    <row r="1053" spans="1:15" ht="22.05" customHeight="1">
      <c r="A1053" s="3" t="s">
        <v>96</v>
      </c>
      <c r="B1053" s="18" t="s">
        <v>97</v>
      </c>
      <c r="C1053" s="19"/>
      <c r="D1053" s="19"/>
      <c r="E1053" s="19"/>
      <c r="F1053" s="20"/>
      <c r="G1053" s="18" t="s">
        <v>98</v>
      </c>
      <c r="H1053" s="20"/>
      <c r="I1053" s="18" t="s">
        <v>99</v>
      </c>
      <c r="J1053" s="19"/>
      <c r="K1053" s="20"/>
      <c r="L1053" s="21" t="s">
        <v>100</v>
      </c>
      <c r="M1053" s="22"/>
      <c r="N1053" s="22"/>
      <c r="O1053" s="23"/>
    </row>
    <row r="1054" spans="1:15" ht="21" customHeight="1">
      <c r="A1054" s="24" t="s">
        <v>101</v>
      </c>
      <c r="B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6"/>
    </row>
    <row r="1055" spans="1:15" ht="64.05" customHeight="1">
      <c r="A1055" s="106" t="s">
        <v>0</v>
      </c>
      <c r="B1055" s="107"/>
      <c r="C1055" s="107"/>
      <c r="D1055" s="107"/>
      <c r="E1055" s="107"/>
      <c r="F1055" s="107"/>
      <c r="G1055" s="107"/>
      <c r="H1055" s="107"/>
      <c r="I1055" s="107"/>
      <c r="J1055" s="108"/>
      <c r="K1055" s="109" t="s">
        <v>1</v>
      </c>
      <c r="L1055" s="110"/>
      <c r="M1055" s="110"/>
      <c r="N1055" s="110"/>
      <c r="O1055" s="111"/>
    </row>
    <row r="1056" spans="1:15" ht="23.55" customHeight="1">
      <c r="A1056" s="101" t="s">
        <v>674</v>
      </c>
      <c r="B1056" s="102"/>
      <c r="C1056" s="102"/>
      <c r="D1056" s="102"/>
      <c r="E1056" s="102"/>
      <c r="F1056" s="102"/>
      <c r="G1056" s="102"/>
      <c r="H1056" s="102"/>
      <c r="I1056" s="102"/>
      <c r="J1056" s="102"/>
      <c r="K1056" s="102"/>
      <c r="L1056" s="102"/>
      <c r="M1056" s="102"/>
      <c r="N1056" s="102"/>
      <c r="O1056" s="103"/>
    </row>
    <row r="1057" spans="1:15" ht="20.55" customHeight="1">
      <c r="A1057" s="93"/>
      <c r="B1057" s="93"/>
      <c r="C1057" s="1"/>
      <c r="D1057" s="93"/>
      <c r="E1057" s="93"/>
      <c r="F1057" s="93"/>
      <c r="G1057" s="93"/>
      <c r="H1057" s="93"/>
      <c r="I1057" s="93"/>
      <c r="J1057" s="5"/>
      <c r="K1057" s="36"/>
      <c r="L1057" s="36"/>
      <c r="M1057" s="5"/>
      <c r="N1057" s="5"/>
      <c r="O1057" s="5"/>
    </row>
    <row r="1058" spans="1:15" ht="37.049999999999997" customHeight="1">
      <c r="A1058" s="101" t="s">
        <v>2</v>
      </c>
      <c r="B1058" s="102"/>
      <c r="C1058" s="102"/>
      <c r="D1058" s="102"/>
      <c r="E1058" s="102"/>
      <c r="F1058" s="102"/>
      <c r="G1058" s="102"/>
      <c r="H1058" s="102"/>
      <c r="I1058" s="102"/>
      <c r="J1058" s="102"/>
      <c r="K1058" s="102"/>
      <c r="L1058" s="102"/>
      <c r="M1058" s="102"/>
      <c r="N1058" s="102"/>
      <c r="O1058" s="103"/>
    </row>
    <row r="1059" spans="1:15" ht="21" customHeight="1">
      <c r="A1059" s="37" t="s">
        <v>3</v>
      </c>
      <c r="B1059" s="38"/>
      <c r="C1059" s="39"/>
      <c r="D1059" s="90" t="s">
        <v>4</v>
      </c>
      <c r="E1059" s="91"/>
      <c r="F1059" s="91"/>
      <c r="G1059" s="91"/>
      <c r="H1059" s="91"/>
      <c r="I1059" s="91"/>
      <c r="J1059" s="91"/>
      <c r="K1059" s="91"/>
      <c r="L1059" s="91"/>
      <c r="M1059" s="91"/>
      <c r="N1059" s="91"/>
      <c r="O1059" s="92"/>
    </row>
    <row r="1060" spans="1:15" ht="22.05" customHeight="1">
      <c r="A1060" s="37" t="s">
        <v>5</v>
      </c>
      <c r="B1060" s="38"/>
      <c r="C1060" s="39"/>
      <c r="D1060" s="90" t="s">
        <v>6</v>
      </c>
      <c r="E1060" s="91"/>
      <c r="F1060" s="91"/>
      <c r="G1060" s="91"/>
      <c r="H1060" s="91"/>
      <c r="I1060" s="91"/>
      <c r="J1060" s="91"/>
      <c r="K1060" s="91"/>
      <c r="L1060" s="91"/>
      <c r="M1060" s="91"/>
      <c r="N1060" s="91"/>
      <c r="O1060" s="92"/>
    </row>
    <row r="1061" spans="1:15" ht="22.05" customHeight="1">
      <c r="A1061" s="37" t="s">
        <v>7</v>
      </c>
      <c r="B1061" s="38"/>
      <c r="C1061" s="39"/>
      <c r="D1061" s="90" t="s">
        <v>8</v>
      </c>
      <c r="E1061" s="91"/>
      <c r="F1061" s="91"/>
      <c r="G1061" s="91"/>
      <c r="H1061" s="91"/>
      <c r="I1061" s="91"/>
      <c r="J1061" s="91"/>
      <c r="K1061" s="91"/>
      <c r="L1061" s="91"/>
      <c r="M1061" s="91"/>
      <c r="N1061" s="91"/>
      <c r="O1061" s="92"/>
    </row>
    <row r="1062" spans="1:15" ht="21" customHeight="1">
      <c r="A1062" s="37" t="s">
        <v>9</v>
      </c>
      <c r="B1062" s="38"/>
      <c r="C1062" s="39"/>
      <c r="D1062" s="90" t="s">
        <v>10</v>
      </c>
      <c r="E1062" s="91"/>
      <c r="F1062" s="91"/>
      <c r="G1062" s="91"/>
      <c r="H1062" s="91"/>
      <c r="I1062" s="91"/>
      <c r="J1062" s="91"/>
      <c r="K1062" s="91"/>
      <c r="L1062" s="91"/>
      <c r="M1062" s="91"/>
      <c r="N1062" s="91"/>
      <c r="O1062" s="92"/>
    </row>
    <row r="1063" spans="1:15" ht="22.05" customHeight="1">
      <c r="A1063" s="37" t="s">
        <v>11</v>
      </c>
      <c r="B1063" s="38"/>
      <c r="C1063" s="39"/>
      <c r="D1063" s="90" t="s">
        <v>12</v>
      </c>
      <c r="E1063" s="91"/>
      <c r="F1063" s="91"/>
      <c r="G1063" s="91"/>
      <c r="H1063" s="91"/>
      <c r="I1063" s="91"/>
      <c r="J1063" s="91"/>
      <c r="K1063" s="91"/>
      <c r="L1063" s="91"/>
      <c r="M1063" s="91"/>
      <c r="N1063" s="91"/>
      <c r="O1063" s="92"/>
    </row>
    <row r="1064" spans="1:15" ht="22.05" customHeight="1">
      <c r="A1064" s="37" t="s">
        <v>13</v>
      </c>
      <c r="B1064" s="38"/>
      <c r="C1064" s="39"/>
      <c r="D1064" s="90" t="s">
        <v>246</v>
      </c>
      <c r="E1064" s="91"/>
      <c r="F1064" s="91"/>
      <c r="G1064" s="91"/>
      <c r="H1064" s="91"/>
      <c r="I1064" s="91"/>
      <c r="J1064" s="91"/>
      <c r="K1064" s="91"/>
      <c r="L1064" s="91"/>
      <c r="M1064" s="91"/>
      <c r="N1064" s="91"/>
      <c r="O1064" s="92"/>
    </row>
    <row r="1065" spans="1:15" ht="21" customHeight="1">
      <c r="A1065" s="37" t="s">
        <v>15</v>
      </c>
      <c r="B1065" s="38"/>
      <c r="C1065" s="39"/>
      <c r="D1065" s="90" t="s">
        <v>389</v>
      </c>
      <c r="E1065" s="91"/>
      <c r="F1065" s="91"/>
      <c r="G1065" s="91"/>
      <c r="H1065" s="91"/>
      <c r="I1065" s="91"/>
      <c r="J1065" s="91"/>
      <c r="K1065" s="91"/>
      <c r="L1065" s="91"/>
      <c r="M1065" s="91"/>
      <c r="N1065" s="91"/>
      <c r="O1065" s="92"/>
    </row>
    <row r="1066" spans="1:15" ht="22.05" customHeight="1">
      <c r="A1066" s="37" t="s">
        <v>17</v>
      </c>
      <c r="B1066" s="38"/>
      <c r="C1066" s="39"/>
      <c r="D1066" s="90" t="s">
        <v>10</v>
      </c>
      <c r="E1066" s="91"/>
      <c r="F1066" s="91"/>
      <c r="G1066" s="91"/>
      <c r="H1066" s="91"/>
      <c r="I1066" s="91"/>
      <c r="J1066" s="91"/>
      <c r="K1066" s="91"/>
      <c r="L1066" s="91"/>
      <c r="M1066" s="91"/>
      <c r="N1066" s="91"/>
      <c r="O1066" s="92"/>
    </row>
    <row r="1067" spans="1:15" ht="22.05" customHeight="1">
      <c r="A1067" s="37" t="s">
        <v>18</v>
      </c>
      <c r="B1067" s="38"/>
      <c r="C1067" s="39"/>
      <c r="D1067" s="90" t="s">
        <v>10</v>
      </c>
      <c r="E1067" s="91"/>
      <c r="F1067" s="91"/>
      <c r="G1067" s="91"/>
      <c r="H1067" s="91"/>
      <c r="I1067" s="91"/>
      <c r="J1067" s="91"/>
      <c r="K1067" s="91"/>
      <c r="L1067" s="91"/>
      <c r="M1067" s="91"/>
      <c r="N1067" s="91"/>
      <c r="O1067" s="92"/>
    </row>
    <row r="1068" spans="1:15" ht="22.05" customHeight="1">
      <c r="A1068" s="37" t="s">
        <v>19</v>
      </c>
      <c r="B1068" s="38"/>
      <c r="C1068" s="39"/>
      <c r="D1068" s="90" t="s">
        <v>20</v>
      </c>
      <c r="E1068" s="91"/>
      <c r="F1068" s="91"/>
      <c r="G1068" s="91"/>
      <c r="H1068" s="91"/>
      <c r="I1068" s="91"/>
      <c r="J1068" s="91"/>
      <c r="K1068" s="91"/>
      <c r="L1068" s="91"/>
      <c r="M1068" s="91"/>
      <c r="N1068" s="91"/>
      <c r="O1068" s="92"/>
    </row>
    <row r="1069" spans="1:15" ht="21" customHeight="1">
      <c r="A1069" s="37" t="s">
        <v>21</v>
      </c>
      <c r="B1069" s="38"/>
      <c r="C1069" s="39"/>
      <c r="D1069" s="90" t="s">
        <v>22</v>
      </c>
      <c r="E1069" s="91"/>
      <c r="F1069" s="91"/>
      <c r="G1069" s="91"/>
      <c r="H1069" s="91"/>
      <c r="I1069" s="91"/>
      <c r="J1069" s="91"/>
      <c r="K1069" s="91"/>
      <c r="L1069" s="91"/>
      <c r="M1069" s="91"/>
      <c r="N1069" s="91"/>
      <c r="O1069" s="92"/>
    </row>
    <row r="1070" spans="1:15" ht="22.05" customHeight="1">
      <c r="A1070" s="37" t="s">
        <v>23</v>
      </c>
      <c r="B1070" s="38"/>
      <c r="C1070" s="39"/>
      <c r="D1070" s="90" t="s">
        <v>24</v>
      </c>
      <c r="E1070" s="91"/>
      <c r="F1070" s="91"/>
      <c r="G1070" s="91"/>
      <c r="H1070" s="91"/>
      <c r="I1070" s="91"/>
      <c r="J1070" s="91"/>
      <c r="K1070" s="91"/>
      <c r="L1070" s="91"/>
      <c r="M1070" s="91"/>
      <c r="N1070" s="91"/>
      <c r="O1070" s="92"/>
    </row>
    <row r="1071" spans="1:15" ht="22.05" customHeight="1">
      <c r="A1071" s="37" t="s">
        <v>25</v>
      </c>
      <c r="B1071" s="38"/>
      <c r="C1071" s="39"/>
      <c r="D1071" s="90" t="s">
        <v>26</v>
      </c>
      <c r="E1071" s="91"/>
      <c r="F1071" s="91"/>
      <c r="G1071" s="91"/>
      <c r="H1071" s="91"/>
      <c r="I1071" s="91"/>
      <c r="J1071" s="91"/>
      <c r="K1071" s="91"/>
      <c r="L1071" s="91"/>
      <c r="M1071" s="91"/>
      <c r="N1071" s="91"/>
      <c r="O1071" s="92"/>
    </row>
    <row r="1072" spans="1:15" ht="21" customHeight="1">
      <c r="A1072" s="37" t="s">
        <v>670</v>
      </c>
      <c r="B1072" s="38"/>
      <c r="C1072" s="39"/>
      <c r="D1072" s="90" t="s">
        <v>27</v>
      </c>
      <c r="E1072" s="91"/>
      <c r="F1072" s="91"/>
      <c r="G1072" s="91"/>
      <c r="H1072" s="91"/>
      <c r="I1072" s="91"/>
      <c r="J1072" s="91"/>
      <c r="K1072" s="91"/>
      <c r="L1072" s="91"/>
      <c r="M1072" s="91"/>
      <c r="N1072" s="91"/>
      <c r="O1072" s="92"/>
    </row>
    <row r="1073" spans="1:15" ht="22.05" customHeight="1">
      <c r="A1073" s="37" t="s">
        <v>675</v>
      </c>
      <c r="B1073" s="38"/>
      <c r="C1073" s="39"/>
      <c r="D1073" s="90" t="s">
        <v>390</v>
      </c>
      <c r="E1073" s="91"/>
      <c r="F1073" s="91"/>
      <c r="G1073" s="91"/>
      <c r="H1073" s="91"/>
      <c r="I1073" s="91"/>
      <c r="J1073" s="91"/>
      <c r="K1073" s="91"/>
      <c r="L1073" s="91"/>
      <c r="M1073" s="91"/>
      <c r="N1073" s="91"/>
      <c r="O1073" s="92"/>
    </row>
    <row r="1074" spans="1:15" ht="21.45" customHeight="1">
      <c r="A1074" s="37" t="s">
        <v>676</v>
      </c>
      <c r="B1074" s="38"/>
      <c r="C1074" s="39"/>
      <c r="D1074" s="90" t="s">
        <v>391</v>
      </c>
      <c r="E1074" s="91"/>
      <c r="F1074" s="91"/>
      <c r="G1074" s="91"/>
      <c r="H1074" s="91"/>
      <c r="I1074" s="91"/>
      <c r="J1074" s="91"/>
      <c r="K1074" s="91"/>
      <c r="L1074" s="91"/>
      <c r="M1074" s="91"/>
      <c r="N1074" s="91"/>
      <c r="O1074" s="92"/>
    </row>
    <row r="1075" spans="1:15" ht="20.55" customHeight="1">
      <c r="A1075" s="93"/>
      <c r="B1075" s="93"/>
      <c r="C1075" s="1"/>
      <c r="D1075" s="93"/>
      <c r="E1075" s="93"/>
      <c r="F1075" s="93"/>
      <c r="G1075" s="93"/>
      <c r="H1075" s="93"/>
      <c r="I1075" s="93"/>
      <c r="J1075" s="5"/>
      <c r="K1075" s="36"/>
      <c r="L1075" s="36"/>
      <c r="M1075" s="5"/>
      <c r="N1075" s="5"/>
      <c r="O1075" s="5"/>
    </row>
    <row r="1076" spans="1:15" ht="22.95" customHeight="1">
      <c r="A1076" s="101" t="s">
        <v>29</v>
      </c>
      <c r="B1076" s="102"/>
      <c r="C1076" s="102"/>
      <c r="D1076" s="102"/>
      <c r="E1076" s="102"/>
      <c r="F1076" s="102"/>
      <c r="G1076" s="102"/>
      <c r="H1076" s="102"/>
      <c r="I1076" s="102"/>
      <c r="J1076" s="102"/>
      <c r="K1076" s="102"/>
      <c r="L1076" s="102"/>
      <c r="M1076" s="102"/>
      <c r="N1076" s="102"/>
      <c r="O1076" s="103"/>
    </row>
    <row r="1077" spans="1:15" ht="24" customHeight="1">
      <c r="A1077" s="101" t="s">
        <v>30</v>
      </c>
      <c r="B1077" s="102"/>
      <c r="C1077" s="103"/>
      <c r="D1077" s="101" t="s">
        <v>31</v>
      </c>
      <c r="E1077" s="102"/>
      <c r="F1077" s="102"/>
      <c r="G1077" s="102"/>
      <c r="H1077" s="102"/>
      <c r="I1077" s="102"/>
      <c r="J1077" s="102"/>
      <c r="K1077" s="102"/>
      <c r="L1077" s="102"/>
      <c r="M1077" s="103"/>
      <c r="N1077" s="104" t="s">
        <v>32</v>
      </c>
      <c r="O1077" s="105"/>
    </row>
    <row r="1078" spans="1:15" ht="21" customHeight="1">
      <c r="A1078" s="37" t="s">
        <v>33</v>
      </c>
      <c r="B1078" s="38"/>
      <c r="C1078" s="39"/>
      <c r="D1078" s="37" t="s">
        <v>34</v>
      </c>
      <c r="E1078" s="38"/>
      <c r="F1078" s="38"/>
      <c r="G1078" s="38"/>
      <c r="H1078" s="38"/>
      <c r="I1078" s="38"/>
      <c r="J1078" s="38"/>
      <c r="K1078" s="38"/>
      <c r="L1078" s="38"/>
      <c r="M1078" s="39"/>
      <c r="N1078" s="97" t="s">
        <v>35</v>
      </c>
      <c r="O1078" s="98"/>
    </row>
    <row r="1079" spans="1:15" ht="19.95" customHeight="1">
      <c r="A1079" s="37" t="s">
        <v>36</v>
      </c>
      <c r="B1079" s="38"/>
      <c r="C1079" s="39"/>
      <c r="D1079" s="37" t="s">
        <v>37</v>
      </c>
      <c r="E1079" s="38"/>
      <c r="F1079" s="38"/>
      <c r="G1079" s="38"/>
      <c r="H1079" s="38"/>
      <c r="I1079" s="38"/>
      <c r="J1079" s="38"/>
      <c r="K1079" s="38"/>
      <c r="L1079" s="38"/>
      <c r="M1079" s="39"/>
      <c r="N1079" s="97">
        <f>O1094</f>
        <v>176956999.69600001</v>
      </c>
      <c r="O1079" s="98"/>
    </row>
    <row r="1080" spans="1:15" ht="19.95" customHeight="1">
      <c r="A1080" s="37" t="s">
        <v>38</v>
      </c>
      <c r="B1080" s="38"/>
      <c r="C1080" s="39"/>
      <c r="D1080" s="37" t="s">
        <v>392</v>
      </c>
      <c r="E1080" s="38"/>
      <c r="F1080" s="38"/>
      <c r="G1080" s="38"/>
      <c r="H1080" s="38"/>
      <c r="I1080" s="38"/>
      <c r="J1080" s="38"/>
      <c r="K1080" s="38"/>
      <c r="L1080" s="38"/>
      <c r="M1080" s="39"/>
      <c r="N1080" s="97" t="s">
        <v>136</v>
      </c>
      <c r="O1080" s="98"/>
    </row>
    <row r="1081" spans="1:15" ht="20.55" customHeight="1">
      <c r="A1081" s="37" t="s">
        <v>41</v>
      </c>
      <c r="B1081" s="38"/>
      <c r="C1081" s="39"/>
      <c r="D1081" s="37" t="s">
        <v>252</v>
      </c>
      <c r="E1081" s="38"/>
      <c r="F1081" s="38"/>
      <c r="G1081" s="38"/>
      <c r="H1081" s="38"/>
      <c r="I1081" s="38"/>
      <c r="J1081" s="38"/>
      <c r="K1081" s="38"/>
      <c r="L1081" s="38"/>
      <c r="M1081" s="39"/>
      <c r="N1081" s="99">
        <v>0.97</v>
      </c>
      <c r="O1081" s="100"/>
    </row>
    <row r="1082" spans="1:15" ht="20.55" customHeight="1">
      <c r="A1082" s="93"/>
      <c r="B1082" s="93"/>
      <c r="C1082" s="1"/>
      <c r="D1082" s="93"/>
      <c r="E1082" s="93"/>
      <c r="F1082" s="93"/>
      <c r="G1082" s="93"/>
      <c r="H1082" s="93"/>
      <c r="I1082" s="93"/>
      <c r="J1082" s="5"/>
      <c r="K1082" s="36"/>
      <c r="L1082" s="36"/>
      <c r="M1082" s="5"/>
      <c r="N1082" s="5"/>
      <c r="O1082" s="5"/>
    </row>
    <row r="1083" spans="1:15" ht="37.049999999999997" customHeight="1">
      <c r="A1083" s="101" t="s">
        <v>43</v>
      </c>
      <c r="B1083" s="102"/>
      <c r="C1083" s="102"/>
      <c r="D1083" s="102"/>
      <c r="E1083" s="102"/>
      <c r="F1083" s="102"/>
      <c r="G1083" s="102"/>
      <c r="H1083" s="102"/>
      <c r="I1083" s="102"/>
      <c r="J1083" s="102"/>
      <c r="K1083" s="102"/>
      <c r="L1083" s="102"/>
      <c r="M1083" s="102"/>
      <c r="N1083" s="102"/>
      <c r="O1083" s="103"/>
    </row>
    <row r="1084" spans="1:15" ht="21" customHeight="1">
      <c r="A1084" s="37" t="s">
        <v>15</v>
      </c>
      <c r="B1084" s="38"/>
      <c r="C1084" s="39"/>
      <c r="D1084" s="90" t="s">
        <v>389</v>
      </c>
      <c r="E1084" s="91"/>
      <c r="F1084" s="91"/>
      <c r="G1084" s="91"/>
      <c r="H1084" s="91"/>
      <c r="I1084" s="91"/>
      <c r="J1084" s="91"/>
      <c r="K1084" s="91"/>
      <c r="L1084" s="91"/>
      <c r="M1084" s="91"/>
      <c r="N1084" s="91"/>
      <c r="O1084" s="92"/>
    </row>
    <row r="1085" spans="1:15" ht="19.95" customHeight="1">
      <c r="A1085" s="37" t="s">
        <v>19</v>
      </c>
      <c r="B1085" s="38"/>
      <c r="C1085" s="39"/>
      <c r="D1085" s="90" t="s">
        <v>20</v>
      </c>
      <c r="E1085" s="91"/>
      <c r="F1085" s="91"/>
      <c r="G1085" s="91"/>
      <c r="H1085" s="91"/>
      <c r="I1085" s="91"/>
      <c r="J1085" s="91"/>
      <c r="K1085" s="91"/>
      <c r="L1085" s="91"/>
      <c r="M1085" s="91"/>
      <c r="N1085" s="91"/>
      <c r="O1085" s="92"/>
    </row>
    <row r="1086" spans="1:15" ht="19.95" customHeight="1">
      <c r="A1086" s="37" t="s">
        <v>21</v>
      </c>
      <c r="B1086" s="38"/>
      <c r="C1086" s="39"/>
      <c r="D1086" s="90" t="s">
        <v>44</v>
      </c>
      <c r="E1086" s="91"/>
      <c r="F1086" s="91"/>
      <c r="G1086" s="91"/>
      <c r="H1086" s="91"/>
      <c r="I1086" s="91"/>
      <c r="J1086" s="91"/>
      <c r="K1086" s="91"/>
      <c r="L1086" s="91"/>
      <c r="M1086" s="91"/>
      <c r="N1086" s="91"/>
      <c r="O1086" s="92"/>
    </row>
    <row r="1087" spans="1:15" ht="21" customHeight="1">
      <c r="A1087" s="37" t="s">
        <v>45</v>
      </c>
      <c r="B1087" s="38"/>
      <c r="C1087" s="39"/>
      <c r="D1087" s="90" t="s">
        <v>393</v>
      </c>
      <c r="E1087" s="91"/>
      <c r="F1087" s="91"/>
      <c r="G1087" s="91"/>
      <c r="H1087" s="91"/>
      <c r="I1087" s="91"/>
      <c r="J1087" s="91"/>
      <c r="K1087" s="91"/>
      <c r="L1087" s="91"/>
      <c r="M1087" s="91"/>
      <c r="N1087" s="91"/>
      <c r="O1087" s="92"/>
    </row>
    <row r="1088" spans="1:15" ht="19.95" customHeight="1">
      <c r="A1088" s="37" t="s">
        <v>23</v>
      </c>
      <c r="B1088" s="38"/>
      <c r="C1088" s="39"/>
      <c r="D1088" s="90" t="s">
        <v>24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2"/>
    </row>
    <row r="1089" spans="1:15" ht="19.5" customHeight="1">
      <c r="A1089" s="37" t="s">
        <v>47</v>
      </c>
      <c r="B1089" s="38"/>
      <c r="C1089" s="39"/>
      <c r="D1089" s="90" t="s">
        <v>48</v>
      </c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2"/>
    </row>
    <row r="1090" spans="1:15" ht="20.55" customHeight="1">
      <c r="A1090" s="93"/>
      <c r="B1090" s="93"/>
      <c r="C1090" s="1"/>
      <c r="D1090" s="93"/>
      <c r="E1090" s="93"/>
      <c r="F1090" s="93"/>
      <c r="G1090" s="93"/>
      <c r="H1090" s="93"/>
      <c r="I1090" s="93"/>
      <c r="J1090" s="5"/>
      <c r="K1090" s="36"/>
      <c r="L1090" s="36"/>
      <c r="M1090" s="5"/>
      <c r="N1090" s="5"/>
      <c r="O1090" s="5"/>
    </row>
    <row r="1091" spans="1:15" ht="37.950000000000003" customHeight="1">
      <c r="A1091" s="87" t="s">
        <v>49</v>
      </c>
      <c r="B1091" s="88"/>
      <c r="C1091" s="88"/>
      <c r="D1091" s="88"/>
      <c r="E1091" s="88"/>
      <c r="F1091" s="88"/>
      <c r="G1091" s="88"/>
      <c r="H1091" s="88"/>
      <c r="I1091" s="88"/>
      <c r="J1091" s="88"/>
      <c r="K1091" s="88"/>
      <c r="L1091" s="88"/>
      <c r="M1091" s="88"/>
      <c r="N1091" s="88"/>
      <c r="O1091" s="89"/>
    </row>
    <row r="1092" spans="1:15" ht="19.95" customHeight="1">
      <c r="A1092" s="61" t="s">
        <v>50</v>
      </c>
      <c r="B1092" s="62"/>
      <c r="C1092" s="65" t="s">
        <v>51</v>
      </c>
      <c r="D1092" s="66"/>
      <c r="E1092" s="67"/>
      <c r="F1092" s="71" t="s">
        <v>52</v>
      </c>
      <c r="G1092" s="72"/>
      <c r="H1092" s="72"/>
      <c r="I1092" s="72"/>
      <c r="J1092" s="72"/>
      <c r="K1092" s="72"/>
      <c r="L1092" s="72"/>
      <c r="M1092" s="72"/>
      <c r="N1092" s="73"/>
      <c r="O1092" s="74" t="s">
        <v>53</v>
      </c>
    </row>
    <row r="1093" spans="1:15" ht="21" customHeight="1">
      <c r="A1093" s="63"/>
      <c r="B1093" s="64"/>
      <c r="C1093" s="68"/>
      <c r="D1093" s="69"/>
      <c r="E1093" s="70"/>
      <c r="F1093" s="76" t="s">
        <v>54</v>
      </c>
      <c r="G1093" s="77"/>
      <c r="H1093" s="71" t="s">
        <v>55</v>
      </c>
      <c r="I1093" s="73"/>
      <c r="J1093" s="94" t="s">
        <v>56</v>
      </c>
      <c r="K1093" s="95"/>
      <c r="L1093" s="96"/>
      <c r="M1093" s="80" t="s">
        <v>57</v>
      </c>
      <c r="N1093" s="82"/>
      <c r="O1093" s="75"/>
    </row>
    <row r="1094" spans="1:15" ht="30" customHeight="1">
      <c r="A1094" s="83">
        <v>5</v>
      </c>
      <c r="B1094" s="84"/>
      <c r="C1094" s="46" t="s">
        <v>58</v>
      </c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8"/>
      <c r="O1094" s="13">
        <f>O1095</f>
        <v>176956999.69600001</v>
      </c>
    </row>
    <row r="1095" spans="1:15" ht="31.05" customHeight="1">
      <c r="A1095" s="46" t="s">
        <v>59</v>
      </c>
      <c r="B1095" s="48"/>
      <c r="C1095" s="46" t="s">
        <v>60</v>
      </c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8"/>
      <c r="O1095" s="13">
        <f>O1096</f>
        <v>176956999.69600001</v>
      </c>
    </row>
    <row r="1096" spans="1:15" ht="31.05" customHeight="1">
      <c r="A1096" s="85">
        <v>37377</v>
      </c>
      <c r="B1096" s="86"/>
      <c r="C1096" s="46" t="s">
        <v>61</v>
      </c>
      <c r="D1096" s="47"/>
      <c r="E1096" s="47"/>
      <c r="F1096" s="47"/>
      <c r="G1096" s="47"/>
      <c r="H1096" s="47"/>
      <c r="I1096" s="47"/>
      <c r="J1096" s="47"/>
      <c r="K1096" s="47"/>
      <c r="L1096" s="47"/>
      <c r="M1096" s="47"/>
      <c r="N1096" s="48"/>
      <c r="O1096" s="13">
        <f>O1097+O1118</f>
        <v>176956999.69600001</v>
      </c>
    </row>
    <row r="1097" spans="1:15" ht="30" customHeight="1">
      <c r="A1097" s="46" t="s">
        <v>62</v>
      </c>
      <c r="B1097" s="48"/>
      <c r="C1097" s="46" t="s">
        <v>63</v>
      </c>
      <c r="D1097" s="47"/>
      <c r="E1097" s="47"/>
      <c r="F1097" s="47"/>
      <c r="G1097" s="47"/>
      <c r="H1097" s="47"/>
      <c r="I1097" s="47"/>
      <c r="J1097" s="47"/>
      <c r="K1097" s="47"/>
      <c r="L1097" s="47"/>
      <c r="M1097" s="47"/>
      <c r="N1097" s="48"/>
      <c r="O1097" s="13">
        <f>O1098</f>
        <v>172621999.69600001</v>
      </c>
    </row>
    <row r="1098" spans="1:15" ht="31.05" customHeight="1">
      <c r="A1098" s="46" t="s">
        <v>64</v>
      </c>
      <c r="B1098" s="48"/>
      <c r="C1098" s="46" t="s">
        <v>65</v>
      </c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8"/>
      <c r="O1098" s="13">
        <f>O1099+O1108+O1113</f>
        <v>172621999.69600001</v>
      </c>
    </row>
    <row r="1099" spans="1:15" ht="30.75" customHeight="1">
      <c r="A1099" s="30" t="s">
        <v>394</v>
      </c>
      <c r="B1099" s="32"/>
      <c r="C1099" s="46" t="s">
        <v>395</v>
      </c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8"/>
      <c r="O1099" s="14">
        <f>O1103</f>
        <v>72607999.69600001</v>
      </c>
    </row>
    <row r="1100" spans="1:15" ht="37.950000000000003" customHeight="1">
      <c r="A1100" s="87" t="s">
        <v>49</v>
      </c>
      <c r="B1100" s="88"/>
      <c r="C1100" s="88"/>
      <c r="D1100" s="88"/>
      <c r="E1100" s="88"/>
      <c r="F1100" s="88"/>
      <c r="G1100" s="88"/>
      <c r="H1100" s="88"/>
      <c r="I1100" s="88"/>
      <c r="J1100" s="88"/>
      <c r="K1100" s="88"/>
      <c r="L1100" s="88"/>
      <c r="M1100" s="88"/>
      <c r="N1100" s="88"/>
      <c r="O1100" s="89"/>
    </row>
    <row r="1101" spans="1:15" ht="19.95" customHeight="1">
      <c r="A1101" s="61" t="s">
        <v>50</v>
      </c>
      <c r="B1101" s="62"/>
      <c r="C1101" s="65" t="s">
        <v>51</v>
      </c>
      <c r="D1101" s="66"/>
      <c r="E1101" s="67"/>
      <c r="F1101" s="71" t="s">
        <v>52</v>
      </c>
      <c r="G1101" s="72"/>
      <c r="H1101" s="72"/>
      <c r="I1101" s="72"/>
      <c r="J1101" s="72"/>
      <c r="K1101" s="72"/>
      <c r="L1101" s="72"/>
      <c r="M1101" s="72"/>
      <c r="N1101" s="73"/>
      <c r="O1101" s="74" t="s">
        <v>53</v>
      </c>
    </row>
    <row r="1102" spans="1:15" ht="21" customHeight="1">
      <c r="A1102" s="63"/>
      <c r="B1102" s="64"/>
      <c r="C1102" s="68"/>
      <c r="D1102" s="69"/>
      <c r="E1102" s="70"/>
      <c r="F1102" s="76" t="s">
        <v>54</v>
      </c>
      <c r="G1102" s="77"/>
      <c r="H1102" s="71" t="s">
        <v>55</v>
      </c>
      <c r="I1102" s="73"/>
      <c r="J1102" s="94" t="s">
        <v>56</v>
      </c>
      <c r="K1102" s="95"/>
      <c r="L1102" s="96"/>
      <c r="M1102" s="80" t="s">
        <v>57</v>
      </c>
      <c r="N1102" s="82"/>
      <c r="O1102" s="75"/>
    </row>
    <row r="1103" spans="1:15" ht="30" customHeight="1">
      <c r="A1103" s="40"/>
      <c r="B1103" s="42"/>
      <c r="C1103" s="30" t="s">
        <v>396</v>
      </c>
      <c r="D1103" s="31"/>
      <c r="E1103" s="31"/>
      <c r="F1103" s="31"/>
      <c r="G1103" s="31"/>
      <c r="H1103" s="31"/>
      <c r="I1103" s="31"/>
      <c r="J1103" s="31"/>
      <c r="K1103" s="31"/>
      <c r="L1103" s="31"/>
      <c r="M1103" s="31"/>
      <c r="N1103" s="32"/>
      <c r="O1103" s="8">
        <f>O1104+O1106</f>
        <v>72607999.69600001</v>
      </c>
    </row>
    <row r="1104" spans="1:15" ht="21" customHeight="1">
      <c r="A1104" s="40"/>
      <c r="B1104" s="42"/>
      <c r="C1104" s="46" t="s">
        <v>397</v>
      </c>
      <c r="D1104" s="47"/>
      <c r="E1104" s="47"/>
      <c r="F1104" s="47"/>
      <c r="G1104" s="47"/>
      <c r="H1104" s="47"/>
      <c r="I1104" s="47"/>
      <c r="J1104" s="47"/>
      <c r="K1104" s="47"/>
      <c r="L1104" s="47"/>
      <c r="M1104" s="47"/>
      <c r="N1104" s="48"/>
      <c r="O1104" s="8">
        <v>55000000</v>
      </c>
    </row>
    <row r="1105" spans="1:15" ht="60" customHeight="1">
      <c r="A1105" s="30"/>
      <c r="B1105" s="32"/>
      <c r="C1105" s="49" t="s">
        <v>398</v>
      </c>
      <c r="D1105" s="50"/>
      <c r="E1105" s="51"/>
      <c r="F1105" s="52">
        <v>55</v>
      </c>
      <c r="G1105" s="53"/>
      <c r="H1105" s="54" t="s">
        <v>289</v>
      </c>
      <c r="I1105" s="55"/>
      <c r="J1105" s="56">
        <v>1000000</v>
      </c>
      <c r="K1105" s="119"/>
      <c r="L1105" s="57"/>
      <c r="M1105" s="56">
        <v>0</v>
      </c>
      <c r="N1105" s="57"/>
      <c r="O1105" s="7">
        <v>55000000</v>
      </c>
    </row>
    <row r="1106" spans="1:15" ht="21" customHeight="1">
      <c r="A1106" s="40"/>
      <c r="B1106" s="42"/>
      <c r="C1106" s="46" t="s">
        <v>399</v>
      </c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8"/>
      <c r="O1106" s="8">
        <f>O1107</f>
        <v>17607999.696000002</v>
      </c>
    </row>
    <row r="1107" spans="1:15" ht="60" customHeight="1">
      <c r="A1107" s="30"/>
      <c r="B1107" s="32"/>
      <c r="C1107" s="49" t="s">
        <v>400</v>
      </c>
      <c r="D1107" s="50"/>
      <c r="E1107" s="51"/>
      <c r="F1107" s="52">
        <v>41.001280000000001</v>
      </c>
      <c r="G1107" s="53"/>
      <c r="H1107" s="54" t="s">
        <v>73</v>
      </c>
      <c r="I1107" s="55"/>
      <c r="J1107" s="56">
        <v>429450</v>
      </c>
      <c r="K1107" s="119"/>
      <c r="L1107" s="57"/>
      <c r="M1107" s="56">
        <v>0</v>
      </c>
      <c r="N1107" s="57"/>
      <c r="O1107" s="7">
        <f>F1107*J1107</f>
        <v>17607999.696000002</v>
      </c>
    </row>
    <row r="1108" spans="1:15" ht="31.05" customHeight="1">
      <c r="A1108" s="30" t="s">
        <v>83</v>
      </c>
      <c r="B1108" s="32"/>
      <c r="C1108" s="46" t="s">
        <v>84</v>
      </c>
      <c r="D1108" s="47"/>
      <c r="E1108" s="47"/>
      <c r="F1108" s="47"/>
      <c r="G1108" s="47"/>
      <c r="H1108" s="47"/>
      <c r="I1108" s="47"/>
      <c r="J1108" s="47"/>
      <c r="K1108" s="47"/>
      <c r="L1108" s="47"/>
      <c r="M1108" s="47"/>
      <c r="N1108" s="48"/>
      <c r="O1108" s="8">
        <v>82764000</v>
      </c>
    </row>
    <row r="1109" spans="1:15" ht="30" customHeight="1">
      <c r="A1109" s="40"/>
      <c r="B1109" s="42"/>
      <c r="C1109" s="30" t="s">
        <v>85</v>
      </c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2"/>
      <c r="O1109" s="8">
        <v>82764000</v>
      </c>
    </row>
    <row r="1110" spans="1:15" ht="21" customHeight="1">
      <c r="A1110" s="40"/>
      <c r="B1110" s="42"/>
      <c r="C1110" s="46" t="s">
        <v>69</v>
      </c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8"/>
      <c r="O1110" s="8">
        <v>82764000</v>
      </c>
    </row>
    <row r="1111" spans="1:15" ht="70.05" customHeight="1">
      <c r="A1111" s="30"/>
      <c r="B1111" s="32"/>
      <c r="C1111" s="49" t="s">
        <v>86</v>
      </c>
      <c r="D1111" s="50"/>
      <c r="E1111" s="51"/>
      <c r="F1111" s="52">
        <v>1672</v>
      </c>
      <c r="G1111" s="53"/>
      <c r="H1111" s="54" t="s">
        <v>87</v>
      </c>
      <c r="I1111" s="55"/>
      <c r="J1111" s="56">
        <v>33000</v>
      </c>
      <c r="K1111" s="119"/>
      <c r="L1111" s="57"/>
      <c r="M1111" s="56">
        <v>0</v>
      </c>
      <c r="N1111" s="57"/>
      <c r="O1111" s="7">
        <v>55176000</v>
      </c>
    </row>
    <row r="1112" spans="1:15" ht="70.95" customHeight="1">
      <c r="A1112" s="30"/>
      <c r="B1112" s="32"/>
      <c r="C1112" s="49" t="s">
        <v>88</v>
      </c>
      <c r="D1112" s="50"/>
      <c r="E1112" s="51"/>
      <c r="F1112" s="52">
        <v>1672</v>
      </c>
      <c r="G1112" s="53"/>
      <c r="H1112" s="54" t="s">
        <v>87</v>
      </c>
      <c r="I1112" s="55"/>
      <c r="J1112" s="56">
        <v>16500</v>
      </c>
      <c r="K1112" s="119"/>
      <c r="L1112" s="57"/>
      <c r="M1112" s="56">
        <v>0</v>
      </c>
      <c r="N1112" s="57"/>
      <c r="O1112" s="7">
        <v>27588000</v>
      </c>
    </row>
    <row r="1113" spans="1:15" ht="31.05" customHeight="1">
      <c r="A1113" s="30" t="s">
        <v>401</v>
      </c>
      <c r="B1113" s="32"/>
      <c r="C1113" s="46" t="s">
        <v>402</v>
      </c>
      <c r="D1113" s="47"/>
      <c r="E1113" s="47"/>
      <c r="F1113" s="47"/>
      <c r="G1113" s="47"/>
      <c r="H1113" s="47"/>
      <c r="I1113" s="47"/>
      <c r="J1113" s="47"/>
      <c r="K1113" s="47"/>
      <c r="L1113" s="47"/>
      <c r="M1113" s="47"/>
      <c r="N1113" s="48"/>
      <c r="O1113" s="8">
        <v>17250000</v>
      </c>
    </row>
    <row r="1114" spans="1:15" ht="31.05" customHeight="1">
      <c r="A1114" s="40"/>
      <c r="B1114" s="42"/>
      <c r="C1114" s="30" t="s">
        <v>85</v>
      </c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2"/>
      <c r="O1114" s="8">
        <v>17250000</v>
      </c>
    </row>
    <row r="1115" spans="1:15" ht="19.95" customHeight="1">
      <c r="A1115" s="40"/>
      <c r="B1115" s="42"/>
      <c r="C1115" s="46" t="s">
        <v>69</v>
      </c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8"/>
      <c r="O1115" s="8">
        <v>17250000</v>
      </c>
    </row>
    <row r="1116" spans="1:15" ht="70.95" customHeight="1">
      <c r="A1116" s="30"/>
      <c r="B1116" s="32"/>
      <c r="C1116" s="49" t="s">
        <v>403</v>
      </c>
      <c r="D1116" s="50"/>
      <c r="E1116" s="51"/>
      <c r="F1116" s="52">
        <v>130</v>
      </c>
      <c r="G1116" s="53"/>
      <c r="H1116" s="54" t="s">
        <v>87</v>
      </c>
      <c r="I1116" s="55"/>
      <c r="J1116" s="56">
        <v>125000</v>
      </c>
      <c r="K1116" s="119"/>
      <c r="L1116" s="57"/>
      <c r="M1116" s="56">
        <v>0</v>
      </c>
      <c r="N1116" s="57"/>
      <c r="O1116" s="7">
        <v>16250000</v>
      </c>
    </row>
    <row r="1117" spans="1:15" ht="70.05" customHeight="1">
      <c r="A1117" s="30"/>
      <c r="B1117" s="32"/>
      <c r="C1117" s="49" t="s">
        <v>404</v>
      </c>
      <c r="D1117" s="50"/>
      <c r="E1117" s="51"/>
      <c r="F1117" s="52">
        <v>10</v>
      </c>
      <c r="G1117" s="53"/>
      <c r="H1117" s="54" t="s">
        <v>405</v>
      </c>
      <c r="I1117" s="55"/>
      <c r="J1117" s="56">
        <v>100000</v>
      </c>
      <c r="K1117" s="119"/>
      <c r="L1117" s="57"/>
      <c r="M1117" s="56">
        <v>0</v>
      </c>
      <c r="N1117" s="57"/>
      <c r="O1117" s="7">
        <v>1000000</v>
      </c>
    </row>
    <row r="1118" spans="1:15" ht="21" customHeight="1">
      <c r="A1118" s="46" t="s">
        <v>138</v>
      </c>
      <c r="B1118" s="48"/>
      <c r="C1118" s="46" t="s">
        <v>139</v>
      </c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8"/>
      <c r="O1118" s="8">
        <v>4335000</v>
      </c>
    </row>
    <row r="1119" spans="1:15" ht="19.95" customHeight="1">
      <c r="A1119" s="46" t="s">
        <v>140</v>
      </c>
      <c r="B1119" s="48"/>
      <c r="C1119" s="46" t="s">
        <v>141</v>
      </c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8"/>
      <c r="O1119" s="8">
        <v>4335000</v>
      </c>
    </row>
    <row r="1120" spans="1:15" ht="31.05" customHeight="1">
      <c r="A1120" s="30" t="s">
        <v>406</v>
      </c>
      <c r="B1120" s="32"/>
      <c r="C1120" s="46" t="s">
        <v>407</v>
      </c>
      <c r="D1120" s="47"/>
      <c r="E1120" s="47"/>
      <c r="F1120" s="47"/>
      <c r="G1120" s="47"/>
      <c r="H1120" s="47"/>
      <c r="I1120" s="47"/>
      <c r="J1120" s="47"/>
      <c r="K1120" s="47"/>
      <c r="L1120" s="47"/>
      <c r="M1120" s="47"/>
      <c r="N1120" s="48"/>
      <c r="O1120" s="8">
        <v>4335000</v>
      </c>
    </row>
    <row r="1121" spans="1:15" ht="30" customHeight="1">
      <c r="A1121" s="40"/>
      <c r="B1121" s="42"/>
      <c r="C1121" s="30" t="s">
        <v>408</v>
      </c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2"/>
      <c r="O1121" s="8">
        <v>4335000</v>
      </c>
    </row>
    <row r="1122" spans="1:15" ht="21" customHeight="1">
      <c r="A1122" s="40"/>
      <c r="B1122" s="42"/>
      <c r="C1122" s="46" t="s">
        <v>69</v>
      </c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8"/>
      <c r="O1122" s="8">
        <v>4335000</v>
      </c>
    </row>
    <row r="1123" spans="1:15" ht="60" customHeight="1">
      <c r="A1123" s="30"/>
      <c r="B1123" s="32"/>
      <c r="C1123" s="49" t="s">
        <v>409</v>
      </c>
      <c r="D1123" s="50"/>
      <c r="E1123" s="51"/>
      <c r="F1123" s="52">
        <v>20</v>
      </c>
      <c r="G1123" s="53"/>
      <c r="H1123" s="54" t="s">
        <v>410</v>
      </c>
      <c r="I1123" s="55"/>
      <c r="J1123" s="56">
        <v>16000</v>
      </c>
      <c r="K1123" s="119"/>
      <c r="L1123" s="57"/>
      <c r="M1123" s="56">
        <v>0</v>
      </c>
      <c r="N1123" s="57"/>
      <c r="O1123" s="7">
        <v>320000</v>
      </c>
    </row>
    <row r="1124" spans="1:15" ht="60.45" customHeight="1">
      <c r="A1124" s="30"/>
      <c r="B1124" s="32"/>
      <c r="C1124" s="116" t="s">
        <v>411</v>
      </c>
      <c r="D1124" s="117"/>
      <c r="E1124" s="118"/>
      <c r="F1124" s="52">
        <v>365</v>
      </c>
      <c r="G1124" s="53"/>
      <c r="H1124" s="54" t="s">
        <v>410</v>
      </c>
      <c r="I1124" s="55"/>
      <c r="J1124" s="56">
        <v>8000</v>
      </c>
      <c r="K1124" s="119"/>
      <c r="L1124" s="57"/>
      <c r="M1124" s="56">
        <v>0</v>
      </c>
      <c r="N1124" s="57"/>
      <c r="O1124" s="7">
        <v>2920000</v>
      </c>
    </row>
    <row r="1125" spans="1:15" ht="37.950000000000003" customHeight="1">
      <c r="A1125" s="87" t="s">
        <v>49</v>
      </c>
      <c r="B1125" s="88"/>
      <c r="C1125" s="88"/>
      <c r="D1125" s="88"/>
      <c r="E1125" s="88"/>
      <c r="F1125" s="88"/>
      <c r="G1125" s="88"/>
      <c r="H1125" s="88"/>
      <c r="I1125" s="88"/>
      <c r="J1125" s="88"/>
      <c r="K1125" s="88"/>
      <c r="L1125" s="88"/>
      <c r="M1125" s="88"/>
      <c r="N1125" s="88"/>
      <c r="O1125" s="89"/>
    </row>
    <row r="1126" spans="1:15" ht="19.95" customHeight="1">
      <c r="A1126" s="61" t="s">
        <v>50</v>
      </c>
      <c r="B1126" s="62"/>
      <c r="C1126" s="65" t="s">
        <v>51</v>
      </c>
      <c r="D1126" s="66"/>
      <c r="E1126" s="67"/>
      <c r="F1126" s="71" t="s">
        <v>52</v>
      </c>
      <c r="G1126" s="72"/>
      <c r="H1126" s="72"/>
      <c r="I1126" s="72"/>
      <c r="J1126" s="72"/>
      <c r="K1126" s="72"/>
      <c r="L1126" s="72"/>
      <c r="M1126" s="72"/>
      <c r="N1126" s="73"/>
      <c r="O1126" s="74" t="s">
        <v>53</v>
      </c>
    </row>
    <row r="1127" spans="1:15" ht="21" customHeight="1">
      <c r="A1127" s="63"/>
      <c r="B1127" s="64"/>
      <c r="C1127" s="68"/>
      <c r="D1127" s="69"/>
      <c r="E1127" s="70"/>
      <c r="F1127" s="76" t="s">
        <v>54</v>
      </c>
      <c r="G1127" s="77"/>
      <c r="H1127" s="71" t="s">
        <v>55</v>
      </c>
      <c r="I1127" s="73"/>
      <c r="J1127" s="78" t="s">
        <v>56</v>
      </c>
      <c r="K1127" s="79"/>
      <c r="L1127" s="80" t="s">
        <v>57</v>
      </c>
      <c r="M1127" s="81"/>
      <c r="N1127" s="82"/>
      <c r="O1127" s="75"/>
    </row>
    <row r="1128" spans="1:15" ht="60" customHeight="1">
      <c r="A1128" s="30"/>
      <c r="B1128" s="32"/>
      <c r="C1128" s="49" t="s">
        <v>409</v>
      </c>
      <c r="D1128" s="50"/>
      <c r="E1128" s="51"/>
      <c r="F1128" s="52">
        <v>365</v>
      </c>
      <c r="G1128" s="53"/>
      <c r="H1128" s="54" t="s">
        <v>410</v>
      </c>
      <c r="I1128" s="55"/>
      <c r="J1128" s="56">
        <v>3000</v>
      </c>
      <c r="K1128" s="57"/>
      <c r="L1128" s="58">
        <v>0</v>
      </c>
      <c r="M1128" s="59"/>
      <c r="N1128" s="60"/>
      <c r="O1128" s="12">
        <v>1095000</v>
      </c>
    </row>
    <row r="1129" spans="1:15" ht="31.05" customHeight="1">
      <c r="A1129" s="27" t="s">
        <v>89</v>
      </c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9"/>
      <c r="O1129" s="13">
        <v>176956450</v>
      </c>
    </row>
    <row r="1130" spans="1:15" ht="153" customHeight="1">
      <c r="A1130" s="30"/>
      <c r="B1130" s="31"/>
      <c r="C1130" s="31"/>
      <c r="D1130" s="31"/>
      <c r="E1130" s="31"/>
      <c r="F1130" s="31"/>
      <c r="G1130" s="32"/>
      <c r="H1130" s="33" t="s">
        <v>90</v>
      </c>
      <c r="I1130" s="34"/>
      <c r="J1130" s="34"/>
      <c r="K1130" s="34"/>
      <c r="L1130" s="34"/>
      <c r="M1130" s="34"/>
      <c r="N1130" s="34"/>
      <c r="O1130" s="35"/>
    </row>
    <row r="1131" spans="1:15" ht="20.5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36"/>
      <c r="K1131" s="36"/>
      <c r="L1131" s="36"/>
      <c r="M1131" s="36"/>
      <c r="N1131" s="36"/>
      <c r="O1131" s="5"/>
    </row>
    <row r="1132" spans="1:15" ht="21" customHeight="1">
      <c r="A1132" s="37" t="s">
        <v>91</v>
      </c>
      <c r="B1132" s="38"/>
      <c r="C1132" s="39"/>
      <c r="D1132" s="2" t="s">
        <v>48</v>
      </c>
      <c r="E1132" s="40"/>
      <c r="F1132" s="41"/>
      <c r="G1132" s="41"/>
      <c r="H1132" s="41"/>
      <c r="I1132" s="41"/>
      <c r="J1132" s="41"/>
      <c r="K1132" s="41"/>
      <c r="L1132" s="41"/>
      <c r="M1132" s="41"/>
      <c r="N1132" s="41"/>
      <c r="O1132" s="42"/>
    </row>
    <row r="1133" spans="1:15" ht="19.95" customHeight="1">
      <c r="A1133" s="37" t="s">
        <v>92</v>
      </c>
      <c r="B1133" s="38"/>
      <c r="C1133" s="39"/>
      <c r="D1133" s="2" t="s">
        <v>48</v>
      </c>
      <c r="E1133" s="40"/>
      <c r="F1133" s="41"/>
      <c r="G1133" s="41"/>
      <c r="H1133" s="41"/>
      <c r="I1133" s="41"/>
      <c r="J1133" s="41"/>
      <c r="K1133" s="41"/>
      <c r="L1133" s="41"/>
      <c r="M1133" s="41"/>
      <c r="N1133" s="41"/>
      <c r="O1133" s="42"/>
    </row>
    <row r="1134" spans="1:15" ht="19.95" customHeight="1">
      <c r="A1134" s="37" t="s">
        <v>93</v>
      </c>
      <c r="B1134" s="38"/>
      <c r="C1134" s="39"/>
      <c r="D1134" s="2" t="s">
        <v>48</v>
      </c>
      <c r="E1134" s="40"/>
      <c r="F1134" s="41"/>
      <c r="G1134" s="41"/>
      <c r="H1134" s="41"/>
      <c r="I1134" s="41"/>
      <c r="J1134" s="41"/>
      <c r="K1134" s="41"/>
      <c r="L1134" s="41"/>
      <c r="M1134" s="41"/>
      <c r="N1134" s="41"/>
      <c r="O1134" s="42"/>
    </row>
    <row r="1135" spans="1:15" ht="21" customHeight="1">
      <c r="A1135" s="43">
        <v>1</v>
      </c>
      <c r="B1135" s="44"/>
      <c r="C1135" s="44"/>
      <c r="D1135" s="44"/>
      <c r="E1135" s="44"/>
      <c r="F1135" s="44"/>
      <c r="G1135" s="44"/>
      <c r="H1135" s="44"/>
      <c r="I1135" s="44"/>
      <c r="J1135" s="44"/>
      <c r="K1135" s="44"/>
      <c r="L1135" s="44"/>
      <c r="M1135" s="44"/>
      <c r="N1135" s="44"/>
      <c r="O1135" s="45"/>
    </row>
    <row r="1136" spans="1:15" ht="19.95" customHeight="1">
      <c r="A1136" s="43">
        <v>2</v>
      </c>
      <c r="B1136" s="44"/>
      <c r="C1136" s="44"/>
      <c r="D1136" s="44"/>
      <c r="E1136" s="44"/>
      <c r="F1136" s="44"/>
      <c r="G1136" s="44"/>
      <c r="H1136" s="44"/>
      <c r="I1136" s="44"/>
      <c r="J1136" s="44"/>
      <c r="K1136" s="44"/>
      <c r="L1136" s="44"/>
      <c r="M1136" s="44"/>
      <c r="N1136" s="44"/>
      <c r="O1136" s="45"/>
    </row>
    <row r="1137" spans="1:15" ht="19.5" customHeight="1">
      <c r="A1137" s="37" t="s">
        <v>94</v>
      </c>
      <c r="B1137" s="38"/>
      <c r="C1137" s="38"/>
      <c r="D1137" s="38"/>
      <c r="E1137" s="38"/>
      <c r="F1137" s="38"/>
      <c r="G1137" s="38"/>
      <c r="H1137" s="38"/>
      <c r="I1137" s="38"/>
      <c r="J1137" s="38"/>
      <c r="K1137" s="38"/>
      <c r="L1137" s="38"/>
      <c r="M1137" s="38"/>
      <c r="N1137" s="38"/>
      <c r="O1137" s="39"/>
    </row>
    <row r="1138" spans="1:15" ht="20.5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36"/>
      <c r="K1138" s="36"/>
      <c r="L1138" s="36"/>
      <c r="M1138" s="36"/>
      <c r="N1138" s="36"/>
      <c r="O1138" s="5"/>
    </row>
    <row r="1139" spans="1:15" ht="22.05" customHeight="1">
      <c r="A1139" s="18" t="s">
        <v>95</v>
      </c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20"/>
    </row>
    <row r="1140" spans="1:15" ht="21" customHeight="1">
      <c r="A1140" s="3" t="s">
        <v>96</v>
      </c>
      <c r="B1140" s="18" t="s">
        <v>97</v>
      </c>
      <c r="C1140" s="19"/>
      <c r="D1140" s="19"/>
      <c r="E1140" s="19"/>
      <c r="F1140" s="20"/>
      <c r="G1140" s="18" t="s">
        <v>98</v>
      </c>
      <c r="H1140" s="20"/>
      <c r="I1140" s="18" t="s">
        <v>99</v>
      </c>
      <c r="J1140" s="19"/>
      <c r="K1140" s="20"/>
      <c r="L1140" s="21" t="s">
        <v>100</v>
      </c>
      <c r="M1140" s="22"/>
      <c r="N1140" s="22"/>
      <c r="O1140" s="23"/>
    </row>
    <row r="1141" spans="1:15" ht="22.05" customHeight="1">
      <c r="A1141" s="24" t="s">
        <v>101</v>
      </c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6"/>
    </row>
    <row r="1142" spans="1:15" ht="64.05" customHeight="1">
      <c r="A1142" s="106" t="s">
        <v>0</v>
      </c>
      <c r="B1142" s="107"/>
      <c r="C1142" s="107"/>
      <c r="D1142" s="107"/>
      <c r="E1142" s="107"/>
      <c r="F1142" s="107"/>
      <c r="G1142" s="107"/>
      <c r="H1142" s="107"/>
      <c r="I1142" s="107"/>
      <c r="J1142" s="108"/>
      <c r="K1142" s="109" t="s">
        <v>1</v>
      </c>
      <c r="L1142" s="110"/>
      <c r="M1142" s="110"/>
      <c r="N1142" s="110"/>
      <c r="O1142" s="111"/>
    </row>
    <row r="1143" spans="1:15" ht="23.55" customHeight="1">
      <c r="A1143" s="101" t="s">
        <v>674</v>
      </c>
      <c r="B1143" s="102"/>
      <c r="C1143" s="102"/>
      <c r="D1143" s="102"/>
      <c r="E1143" s="102"/>
      <c r="F1143" s="102"/>
      <c r="G1143" s="102"/>
      <c r="H1143" s="102"/>
      <c r="I1143" s="102"/>
      <c r="J1143" s="102"/>
      <c r="K1143" s="102"/>
      <c r="L1143" s="102"/>
      <c r="M1143" s="102"/>
      <c r="N1143" s="102"/>
      <c r="O1143" s="103"/>
    </row>
    <row r="1144" spans="1:15" ht="20.55" customHeight="1">
      <c r="A1144" s="93"/>
      <c r="B1144" s="93"/>
      <c r="C1144" s="1"/>
      <c r="D1144" s="93"/>
      <c r="E1144" s="93"/>
      <c r="F1144" s="93"/>
      <c r="G1144" s="93"/>
      <c r="H1144" s="93"/>
      <c r="I1144" s="93"/>
      <c r="J1144" s="5"/>
      <c r="K1144" s="36"/>
      <c r="L1144" s="36"/>
      <c r="M1144" s="5"/>
      <c r="N1144" s="5"/>
      <c r="O1144" s="5"/>
    </row>
    <row r="1145" spans="1:15" ht="37.049999999999997" customHeight="1">
      <c r="A1145" s="101" t="s">
        <v>2</v>
      </c>
      <c r="B1145" s="102"/>
      <c r="C1145" s="102"/>
      <c r="D1145" s="102"/>
      <c r="E1145" s="102"/>
      <c r="F1145" s="102"/>
      <c r="G1145" s="102"/>
      <c r="H1145" s="102"/>
      <c r="I1145" s="102"/>
      <c r="J1145" s="102"/>
      <c r="K1145" s="102"/>
      <c r="L1145" s="102"/>
      <c r="M1145" s="102"/>
      <c r="N1145" s="102"/>
      <c r="O1145" s="103"/>
    </row>
    <row r="1146" spans="1:15" ht="21" customHeight="1">
      <c r="A1146" s="37" t="s">
        <v>3</v>
      </c>
      <c r="B1146" s="38"/>
      <c r="C1146" s="39"/>
      <c r="D1146" s="90" t="s">
        <v>4</v>
      </c>
      <c r="E1146" s="91"/>
      <c r="F1146" s="91"/>
      <c r="G1146" s="91"/>
      <c r="H1146" s="91"/>
      <c r="I1146" s="91"/>
      <c r="J1146" s="91"/>
      <c r="K1146" s="91"/>
      <c r="L1146" s="91"/>
      <c r="M1146" s="91"/>
      <c r="N1146" s="91"/>
      <c r="O1146" s="92"/>
    </row>
    <row r="1147" spans="1:15" ht="22.05" customHeight="1">
      <c r="A1147" s="37" t="s">
        <v>5</v>
      </c>
      <c r="B1147" s="38"/>
      <c r="C1147" s="39"/>
      <c r="D1147" s="90" t="s">
        <v>6</v>
      </c>
      <c r="E1147" s="91"/>
      <c r="F1147" s="91"/>
      <c r="G1147" s="91"/>
      <c r="H1147" s="91"/>
      <c r="I1147" s="91"/>
      <c r="J1147" s="91"/>
      <c r="K1147" s="91"/>
      <c r="L1147" s="91"/>
      <c r="M1147" s="91"/>
      <c r="N1147" s="91"/>
      <c r="O1147" s="92"/>
    </row>
    <row r="1148" spans="1:15" ht="22.05" customHeight="1">
      <c r="A1148" s="37" t="s">
        <v>7</v>
      </c>
      <c r="B1148" s="38"/>
      <c r="C1148" s="39"/>
      <c r="D1148" s="90" t="s">
        <v>8</v>
      </c>
      <c r="E1148" s="91"/>
      <c r="F1148" s="91"/>
      <c r="G1148" s="91"/>
      <c r="H1148" s="91"/>
      <c r="I1148" s="91"/>
      <c r="J1148" s="91"/>
      <c r="K1148" s="91"/>
      <c r="L1148" s="91"/>
      <c r="M1148" s="91"/>
      <c r="N1148" s="91"/>
      <c r="O1148" s="92"/>
    </row>
    <row r="1149" spans="1:15" ht="21" customHeight="1">
      <c r="A1149" s="37" t="s">
        <v>9</v>
      </c>
      <c r="B1149" s="38"/>
      <c r="C1149" s="39"/>
      <c r="D1149" s="90" t="s">
        <v>10</v>
      </c>
      <c r="E1149" s="91"/>
      <c r="F1149" s="91"/>
      <c r="G1149" s="91"/>
      <c r="H1149" s="91"/>
      <c r="I1149" s="91"/>
      <c r="J1149" s="91"/>
      <c r="K1149" s="91"/>
      <c r="L1149" s="91"/>
      <c r="M1149" s="91"/>
      <c r="N1149" s="91"/>
      <c r="O1149" s="92"/>
    </row>
    <row r="1150" spans="1:15" ht="22.05" customHeight="1">
      <c r="A1150" s="37" t="s">
        <v>11</v>
      </c>
      <c r="B1150" s="38"/>
      <c r="C1150" s="39"/>
      <c r="D1150" s="90" t="s">
        <v>12</v>
      </c>
      <c r="E1150" s="91"/>
      <c r="F1150" s="91"/>
      <c r="G1150" s="91"/>
      <c r="H1150" s="91"/>
      <c r="I1150" s="91"/>
      <c r="J1150" s="91"/>
      <c r="K1150" s="91"/>
      <c r="L1150" s="91"/>
      <c r="M1150" s="91"/>
      <c r="N1150" s="91"/>
      <c r="O1150" s="92"/>
    </row>
    <row r="1151" spans="1:15" ht="22.05" customHeight="1">
      <c r="A1151" s="37" t="s">
        <v>13</v>
      </c>
      <c r="B1151" s="38"/>
      <c r="C1151" s="39"/>
      <c r="D1151" s="90" t="s">
        <v>246</v>
      </c>
      <c r="E1151" s="91"/>
      <c r="F1151" s="91"/>
      <c r="G1151" s="91"/>
      <c r="H1151" s="91"/>
      <c r="I1151" s="91"/>
      <c r="J1151" s="91"/>
      <c r="K1151" s="91"/>
      <c r="L1151" s="91"/>
      <c r="M1151" s="91"/>
      <c r="N1151" s="91"/>
      <c r="O1151" s="92"/>
    </row>
    <row r="1152" spans="1:15" ht="21" customHeight="1">
      <c r="A1152" s="37" t="s">
        <v>15</v>
      </c>
      <c r="B1152" s="38"/>
      <c r="C1152" s="39"/>
      <c r="D1152" s="90" t="s">
        <v>412</v>
      </c>
      <c r="E1152" s="91"/>
      <c r="F1152" s="91"/>
      <c r="G1152" s="91"/>
      <c r="H1152" s="91"/>
      <c r="I1152" s="91"/>
      <c r="J1152" s="91"/>
      <c r="K1152" s="91"/>
      <c r="L1152" s="91"/>
      <c r="M1152" s="91"/>
      <c r="N1152" s="91"/>
      <c r="O1152" s="92"/>
    </row>
    <row r="1153" spans="1:15" ht="22.05" customHeight="1">
      <c r="A1153" s="37" t="s">
        <v>17</v>
      </c>
      <c r="B1153" s="38"/>
      <c r="C1153" s="39"/>
      <c r="D1153" s="90" t="s">
        <v>10</v>
      </c>
      <c r="E1153" s="91"/>
      <c r="F1153" s="91"/>
      <c r="G1153" s="91"/>
      <c r="H1153" s="91"/>
      <c r="I1153" s="91"/>
      <c r="J1153" s="91"/>
      <c r="K1153" s="91"/>
      <c r="L1153" s="91"/>
      <c r="M1153" s="91"/>
      <c r="N1153" s="91"/>
      <c r="O1153" s="92"/>
    </row>
    <row r="1154" spans="1:15" ht="22.05" customHeight="1">
      <c r="A1154" s="37" t="s">
        <v>18</v>
      </c>
      <c r="B1154" s="38"/>
      <c r="C1154" s="39"/>
      <c r="D1154" s="90" t="s">
        <v>10</v>
      </c>
      <c r="E1154" s="91"/>
      <c r="F1154" s="91"/>
      <c r="G1154" s="91"/>
      <c r="H1154" s="91"/>
      <c r="I1154" s="91"/>
      <c r="J1154" s="91"/>
      <c r="K1154" s="91"/>
      <c r="L1154" s="91"/>
      <c r="M1154" s="91"/>
      <c r="N1154" s="91"/>
      <c r="O1154" s="92"/>
    </row>
    <row r="1155" spans="1:15" ht="22.05" customHeight="1">
      <c r="A1155" s="37" t="s">
        <v>19</v>
      </c>
      <c r="B1155" s="38"/>
      <c r="C1155" s="39"/>
      <c r="D1155" s="90" t="s">
        <v>20</v>
      </c>
      <c r="E1155" s="91"/>
      <c r="F1155" s="91"/>
      <c r="G1155" s="91"/>
      <c r="H1155" s="91"/>
      <c r="I1155" s="91"/>
      <c r="J1155" s="91"/>
      <c r="K1155" s="91"/>
      <c r="L1155" s="91"/>
      <c r="M1155" s="91"/>
      <c r="N1155" s="91"/>
      <c r="O1155" s="92"/>
    </row>
    <row r="1156" spans="1:15" ht="21" customHeight="1">
      <c r="A1156" s="37" t="s">
        <v>21</v>
      </c>
      <c r="B1156" s="38"/>
      <c r="C1156" s="39"/>
      <c r="D1156" s="90" t="s">
        <v>22</v>
      </c>
      <c r="E1156" s="91"/>
      <c r="F1156" s="91"/>
      <c r="G1156" s="91"/>
      <c r="H1156" s="91"/>
      <c r="I1156" s="91"/>
      <c r="J1156" s="91"/>
      <c r="K1156" s="91"/>
      <c r="L1156" s="91"/>
      <c r="M1156" s="91"/>
      <c r="N1156" s="91"/>
      <c r="O1156" s="92"/>
    </row>
    <row r="1157" spans="1:15" ht="22.05" customHeight="1">
      <c r="A1157" s="37" t="s">
        <v>23</v>
      </c>
      <c r="B1157" s="38"/>
      <c r="C1157" s="39"/>
      <c r="D1157" s="90" t="s">
        <v>24</v>
      </c>
      <c r="E1157" s="91"/>
      <c r="F1157" s="91"/>
      <c r="G1157" s="91"/>
      <c r="H1157" s="91"/>
      <c r="I1157" s="91"/>
      <c r="J1157" s="91"/>
      <c r="K1157" s="91"/>
      <c r="L1157" s="91"/>
      <c r="M1157" s="91"/>
      <c r="N1157" s="91"/>
      <c r="O1157" s="92"/>
    </row>
    <row r="1158" spans="1:15" ht="22.05" customHeight="1">
      <c r="A1158" s="37" t="s">
        <v>25</v>
      </c>
      <c r="B1158" s="38"/>
      <c r="C1158" s="39"/>
      <c r="D1158" s="90" t="s">
        <v>26</v>
      </c>
      <c r="E1158" s="91"/>
      <c r="F1158" s="91"/>
      <c r="G1158" s="91"/>
      <c r="H1158" s="91"/>
      <c r="I1158" s="91"/>
      <c r="J1158" s="91"/>
      <c r="K1158" s="91"/>
      <c r="L1158" s="91"/>
      <c r="M1158" s="91"/>
      <c r="N1158" s="91"/>
      <c r="O1158" s="92"/>
    </row>
    <row r="1159" spans="1:15" ht="21" customHeight="1">
      <c r="A1159" s="37" t="s">
        <v>670</v>
      </c>
      <c r="B1159" s="38"/>
      <c r="C1159" s="39"/>
      <c r="D1159" s="90" t="s">
        <v>27</v>
      </c>
      <c r="E1159" s="91"/>
      <c r="F1159" s="91"/>
      <c r="G1159" s="91"/>
      <c r="H1159" s="91"/>
      <c r="I1159" s="91"/>
      <c r="J1159" s="91"/>
      <c r="K1159" s="91"/>
      <c r="L1159" s="91"/>
      <c r="M1159" s="91"/>
      <c r="N1159" s="91"/>
      <c r="O1159" s="92"/>
    </row>
    <row r="1160" spans="1:15" ht="22.05" customHeight="1">
      <c r="A1160" s="37" t="s">
        <v>675</v>
      </c>
      <c r="B1160" s="38"/>
      <c r="C1160" s="39"/>
      <c r="D1160" s="90" t="s">
        <v>413</v>
      </c>
      <c r="E1160" s="91"/>
      <c r="F1160" s="91"/>
      <c r="G1160" s="91"/>
      <c r="H1160" s="91"/>
      <c r="I1160" s="91"/>
      <c r="J1160" s="91"/>
      <c r="K1160" s="91"/>
      <c r="L1160" s="91"/>
      <c r="M1160" s="91"/>
      <c r="N1160" s="91"/>
      <c r="O1160" s="92"/>
    </row>
    <row r="1161" spans="1:15" ht="21.45" customHeight="1">
      <c r="A1161" s="37" t="s">
        <v>676</v>
      </c>
      <c r="B1161" s="38"/>
      <c r="C1161" s="39"/>
      <c r="D1161" s="90" t="s">
        <v>414</v>
      </c>
      <c r="E1161" s="91"/>
      <c r="F1161" s="91"/>
      <c r="G1161" s="91"/>
      <c r="H1161" s="91"/>
      <c r="I1161" s="91"/>
      <c r="J1161" s="91"/>
      <c r="K1161" s="91"/>
      <c r="L1161" s="91"/>
      <c r="M1161" s="91"/>
      <c r="N1161" s="91"/>
      <c r="O1161" s="92"/>
    </row>
    <row r="1162" spans="1:15" ht="20.55" customHeight="1">
      <c r="A1162" s="93"/>
      <c r="B1162" s="93"/>
      <c r="C1162" s="1"/>
      <c r="D1162" s="93"/>
      <c r="E1162" s="93"/>
      <c r="F1162" s="93"/>
      <c r="G1162" s="93"/>
      <c r="H1162" s="93"/>
      <c r="I1162" s="93"/>
      <c r="J1162" s="5"/>
      <c r="K1162" s="36"/>
      <c r="L1162" s="36"/>
      <c r="M1162" s="5"/>
      <c r="N1162" s="5"/>
      <c r="O1162" s="5"/>
    </row>
    <row r="1163" spans="1:15" ht="22.95" customHeight="1">
      <c r="A1163" s="101" t="s">
        <v>29</v>
      </c>
      <c r="B1163" s="102"/>
      <c r="C1163" s="102"/>
      <c r="D1163" s="102"/>
      <c r="E1163" s="102"/>
      <c r="F1163" s="102"/>
      <c r="G1163" s="102"/>
      <c r="H1163" s="102"/>
      <c r="I1163" s="102"/>
      <c r="J1163" s="102"/>
      <c r="K1163" s="102"/>
      <c r="L1163" s="102"/>
      <c r="M1163" s="102"/>
      <c r="N1163" s="102"/>
      <c r="O1163" s="103"/>
    </row>
    <row r="1164" spans="1:15" ht="24" customHeight="1">
      <c r="A1164" s="101" t="s">
        <v>30</v>
      </c>
      <c r="B1164" s="102"/>
      <c r="C1164" s="103"/>
      <c r="D1164" s="101" t="s">
        <v>31</v>
      </c>
      <c r="E1164" s="102"/>
      <c r="F1164" s="102"/>
      <c r="G1164" s="102"/>
      <c r="H1164" s="102"/>
      <c r="I1164" s="102"/>
      <c r="J1164" s="102"/>
      <c r="K1164" s="102"/>
      <c r="L1164" s="102"/>
      <c r="M1164" s="103"/>
      <c r="N1164" s="104" t="s">
        <v>32</v>
      </c>
      <c r="O1164" s="105"/>
    </row>
    <row r="1165" spans="1:15" ht="21" customHeight="1">
      <c r="A1165" s="37" t="s">
        <v>33</v>
      </c>
      <c r="B1165" s="38"/>
      <c r="C1165" s="39"/>
      <c r="D1165" s="37" t="s">
        <v>34</v>
      </c>
      <c r="E1165" s="38"/>
      <c r="F1165" s="38"/>
      <c r="G1165" s="38"/>
      <c r="H1165" s="38"/>
      <c r="I1165" s="38"/>
      <c r="J1165" s="38"/>
      <c r="K1165" s="38"/>
      <c r="L1165" s="38"/>
      <c r="M1165" s="39"/>
      <c r="N1165" s="97" t="s">
        <v>35</v>
      </c>
      <c r="O1165" s="98"/>
    </row>
    <row r="1166" spans="1:15" ht="19.95" customHeight="1">
      <c r="A1166" s="37" t="s">
        <v>36</v>
      </c>
      <c r="B1166" s="38"/>
      <c r="C1166" s="39"/>
      <c r="D1166" s="37" t="s">
        <v>37</v>
      </c>
      <c r="E1166" s="38"/>
      <c r="F1166" s="38"/>
      <c r="G1166" s="38"/>
      <c r="H1166" s="38"/>
      <c r="I1166" s="38"/>
      <c r="J1166" s="38"/>
      <c r="K1166" s="38"/>
      <c r="L1166" s="38"/>
      <c r="M1166" s="39"/>
      <c r="N1166" s="97">
        <v>206155000</v>
      </c>
      <c r="O1166" s="98"/>
    </row>
    <row r="1167" spans="1:15" ht="19.95" customHeight="1">
      <c r="A1167" s="37" t="s">
        <v>38</v>
      </c>
      <c r="B1167" s="38"/>
      <c r="C1167" s="39"/>
      <c r="D1167" s="37" t="s">
        <v>415</v>
      </c>
      <c r="E1167" s="38"/>
      <c r="F1167" s="38"/>
      <c r="G1167" s="38"/>
      <c r="H1167" s="38"/>
      <c r="I1167" s="38"/>
      <c r="J1167" s="38"/>
      <c r="K1167" s="38"/>
      <c r="L1167" s="38"/>
      <c r="M1167" s="39"/>
      <c r="N1167" s="97" t="s">
        <v>416</v>
      </c>
      <c r="O1167" s="98"/>
    </row>
    <row r="1168" spans="1:15" ht="20.55" customHeight="1">
      <c r="A1168" s="37" t="s">
        <v>41</v>
      </c>
      <c r="B1168" s="38"/>
      <c r="C1168" s="39"/>
      <c r="D1168" s="37" t="s">
        <v>252</v>
      </c>
      <c r="E1168" s="38"/>
      <c r="F1168" s="38"/>
      <c r="G1168" s="38"/>
      <c r="H1168" s="38"/>
      <c r="I1168" s="38"/>
      <c r="J1168" s="38"/>
      <c r="K1168" s="38"/>
      <c r="L1168" s="38"/>
      <c r="M1168" s="39"/>
      <c r="N1168" s="99">
        <v>0.97</v>
      </c>
      <c r="O1168" s="100"/>
    </row>
    <row r="1169" spans="1:15" ht="20.55" customHeight="1">
      <c r="A1169" s="93"/>
      <c r="B1169" s="93"/>
      <c r="C1169" s="1"/>
      <c r="D1169" s="93"/>
      <c r="E1169" s="93"/>
      <c r="F1169" s="93"/>
      <c r="G1169" s="93"/>
      <c r="H1169" s="93"/>
      <c r="I1169" s="93"/>
      <c r="J1169" s="5"/>
      <c r="K1169" s="36"/>
      <c r="L1169" s="36"/>
      <c r="M1169" s="5"/>
      <c r="N1169" s="5"/>
      <c r="O1169" s="5"/>
    </row>
    <row r="1170" spans="1:15" ht="37.049999999999997" customHeight="1">
      <c r="A1170" s="101" t="s">
        <v>43</v>
      </c>
      <c r="B1170" s="102"/>
      <c r="C1170" s="102"/>
      <c r="D1170" s="102"/>
      <c r="E1170" s="102"/>
      <c r="F1170" s="102"/>
      <c r="G1170" s="102"/>
      <c r="H1170" s="102"/>
      <c r="I1170" s="102"/>
      <c r="J1170" s="102"/>
      <c r="K1170" s="102"/>
      <c r="L1170" s="102"/>
      <c r="M1170" s="102"/>
      <c r="N1170" s="102"/>
      <c r="O1170" s="103"/>
    </row>
    <row r="1171" spans="1:15" ht="21" customHeight="1">
      <c r="A1171" s="37" t="s">
        <v>15</v>
      </c>
      <c r="B1171" s="38"/>
      <c r="C1171" s="39"/>
      <c r="D1171" s="90" t="s">
        <v>412</v>
      </c>
      <c r="E1171" s="91"/>
      <c r="F1171" s="91"/>
      <c r="G1171" s="91"/>
      <c r="H1171" s="91"/>
      <c r="I1171" s="91"/>
      <c r="J1171" s="91"/>
      <c r="K1171" s="91"/>
      <c r="L1171" s="91"/>
      <c r="M1171" s="91"/>
      <c r="N1171" s="91"/>
      <c r="O1171" s="92"/>
    </row>
    <row r="1172" spans="1:15" ht="19.95" customHeight="1">
      <c r="A1172" s="37" t="s">
        <v>19</v>
      </c>
      <c r="B1172" s="38"/>
      <c r="C1172" s="39"/>
      <c r="D1172" s="90" t="s">
        <v>20</v>
      </c>
      <c r="E1172" s="91"/>
      <c r="F1172" s="91"/>
      <c r="G1172" s="91"/>
      <c r="H1172" s="91"/>
      <c r="I1172" s="91"/>
      <c r="J1172" s="91"/>
      <c r="K1172" s="91"/>
      <c r="L1172" s="91"/>
      <c r="M1172" s="91"/>
      <c r="N1172" s="91"/>
      <c r="O1172" s="92"/>
    </row>
    <row r="1173" spans="1:15" ht="19.95" customHeight="1">
      <c r="A1173" s="37" t="s">
        <v>21</v>
      </c>
      <c r="B1173" s="38"/>
      <c r="C1173" s="39"/>
      <c r="D1173" s="90" t="s">
        <v>44</v>
      </c>
      <c r="E1173" s="91"/>
      <c r="F1173" s="91"/>
      <c r="G1173" s="91"/>
      <c r="H1173" s="91"/>
      <c r="I1173" s="91"/>
      <c r="J1173" s="91"/>
      <c r="K1173" s="91"/>
      <c r="L1173" s="91"/>
      <c r="M1173" s="91"/>
      <c r="N1173" s="91"/>
      <c r="O1173" s="92"/>
    </row>
    <row r="1174" spans="1:15" ht="21" customHeight="1">
      <c r="A1174" s="37" t="s">
        <v>45</v>
      </c>
      <c r="B1174" s="38"/>
      <c r="C1174" s="39"/>
      <c r="D1174" s="90" t="s">
        <v>417</v>
      </c>
      <c r="E1174" s="91"/>
      <c r="F1174" s="91"/>
      <c r="G1174" s="91"/>
      <c r="H1174" s="91"/>
      <c r="I1174" s="91"/>
      <c r="J1174" s="91"/>
      <c r="K1174" s="91"/>
      <c r="L1174" s="91"/>
      <c r="M1174" s="91"/>
      <c r="N1174" s="91"/>
      <c r="O1174" s="92"/>
    </row>
    <row r="1175" spans="1:15" ht="19.95" customHeight="1">
      <c r="A1175" s="37" t="s">
        <v>23</v>
      </c>
      <c r="B1175" s="38"/>
      <c r="C1175" s="39"/>
      <c r="D1175" s="90" t="s">
        <v>24</v>
      </c>
      <c r="E1175" s="91"/>
      <c r="F1175" s="91"/>
      <c r="G1175" s="91"/>
      <c r="H1175" s="91"/>
      <c r="I1175" s="91"/>
      <c r="J1175" s="91"/>
      <c r="K1175" s="91"/>
      <c r="L1175" s="91"/>
      <c r="M1175" s="91"/>
      <c r="N1175" s="91"/>
      <c r="O1175" s="92"/>
    </row>
    <row r="1176" spans="1:15" ht="19.5" customHeight="1">
      <c r="A1176" s="37" t="s">
        <v>47</v>
      </c>
      <c r="B1176" s="38"/>
      <c r="C1176" s="39"/>
      <c r="D1176" s="90" t="s">
        <v>48</v>
      </c>
      <c r="E1176" s="91"/>
      <c r="F1176" s="91"/>
      <c r="G1176" s="91"/>
      <c r="H1176" s="91"/>
      <c r="I1176" s="91"/>
      <c r="J1176" s="91"/>
      <c r="K1176" s="91"/>
      <c r="L1176" s="91"/>
      <c r="M1176" s="91"/>
      <c r="N1176" s="91"/>
      <c r="O1176" s="92"/>
    </row>
    <row r="1177" spans="1:15" ht="20.55" customHeight="1">
      <c r="A1177" s="93"/>
      <c r="B1177" s="93"/>
      <c r="C1177" s="1"/>
      <c r="D1177" s="93"/>
      <c r="E1177" s="93"/>
      <c r="F1177" s="93"/>
      <c r="G1177" s="93"/>
      <c r="H1177" s="93"/>
      <c r="I1177" s="93"/>
      <c r="J1177" s="5"/>
      <c r="K1177" s="36"/>
      <c r="L1177" s="36"/>
      <c r="M1177" s="5"/>
      <c r="N1177" s="5"/>
      <c r="O1177" s="5"/>
    </row>
    <row r="1178" spans="1:15" ht="37.950000000000003" customHeight="1">
      <c r="A1178" s="87" t="s">
        <v>49</v>
      </c>
      <c r="B1178" s="88"/>
      <c r="C1178" s="88"/>
      <c r="D1178" s="88"/>
      <c r="E1178" s="88"/>
      <c r="F1178" s="88"/>
      <c r="G1178" s="88"/>
      <c r="H1178" s="88"/>
      <c r="I1178" s="88"/>
      <c r="J1178" s="88"/>
      <c r="K1178" s="88"/>
      <c r="L1178" s="88"/>
      <c r="M1178" s="88"/>
      <c r="N1178" s="88"/>
      <c r="O1178" s="89"/>
    </row>
    <row r="1179" spans="1:15" ht="19.95" customHeight="1">
      <c r="A1179" s="61" t="s">
        <v>50</v>
      </c>
      <c r="B1179" s="62"/>
      <c r="C1179" s="65" t="s">
        <v>51</v>
      </c>
      <c r="D1179" s="66"/>
      <c r="E1179" s="67"/>
      <c r="F1179" s="71" t="s">
        <v>52</v>
      </c>
      <c r="G1179" s="72"/>
      <c r="H1179" s="72"/>
      <c r="I1179" s="72"/>
      <c r="J1179" s="72"/>
      <c r="K1179" s="72"/>
      <c r="L1179" s="72"/>
      <c r="M1179" s="72"/>
      <c r="N1179" s="73"/>
      <c r="O1179" s="74" t="s">
        <v>53</v>
      </c>
    </row>
    <row r="1180" spans="1:15" ht="21" customHeight="1">
      <c r="A1180" s="63"/>
      <c r="B1180" s="64"/>
      <c r="C1180" s="68"/>
      <c r="D1180" s="69"/>
      <c r="E1180" s="70"/>
      <c r="F1180" s="76" t="s">
        <v>54</v>
      </c>
      <c r="G1180" s="77"/>
      <c r="H1180" s="71" t="s">
        <v>55</v>
      </c>
      <c r="I1180" s="73"/>
      <c r="J1180" s="94" t="s">
        <v>56</v>
      </c>
      <c r="K1180" s="95"/>
      <c r="L1180" s="96"/>
      <c r="M1180" s="80" t="s">
        <v>57</v>
      </c>
      <c r="N1180" s="82"/>
      <c r="O1180" s="75"/>
    </row>
    <row r="1181" spans="1:15" ht="30" customHeight="1">
      <c r="A1181" s="83">
        <v>5</v>
      </c>
      <c r="B1181" s="84"/>
      <c r="C1181" s="46" t="s">
        <v>58</v>
      </c>
      <c r="D1181" s="47"/>
      <c r="E1181" s="47"/>
      <c r="F1181" s="47"/>
      <c r="G1181" s="47"/>
      <c r="H1181" s="47"/>
      <c r="I1181" s="47"/>
      <c r="J1181" s="47"/>
      <c r="K1181" s="47"/>
      <c r="L1181" s="47"/>
      <c r="M1181" s="47"/>
      <c r="N1181" s="48"/>
      <c r="O1181" s="13">
        <v>206155000</v>
      </c>
    </row>
    <row r="1182" spans="1:15" ht="31.05" customHeight="1">
      <c r="A1182" s="46" t="s">
        <v>59</v>
      </c>
      <c r="B1182" s="48"/>
      <c r="C1182" s="46" t="s">
        <v>60</v>
      </c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8"/>
      <c r="O1182" s="13">
        <v>206155000</v>
      </c>
    </row>
    <row r="1183" spans="1:15" ht="31.05" customHeight="1">
      <c r="A1183" s="85">
        <v>37377</v>
      </c>
      <c r="B1183" s="86"/>
      <c r="C1183" s="46" t="s">
        <v>61</v>
      </c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8"/>
      <c r="O1183" s="13">
        <v>206155000</v>
      </c>
    </row>
    <row r="1184" spans="1:15" ht="30" customHeight="1">
      <c r="A1184" s="46" t="s">
        <v>176</v>
      </c>
      <c r="B1184" s="48"/>
      <c r="C1184" s="46" t="s">
        <v>177</v>
      </c>
      <c r="D1184" s="47"/>
      <c r="E1184" s="47"/>
      <c r="F1184" s="47"/>
      <c r="G1184" s="47"/>
      <c r="H1184" s="47"/>
      <c r="I1184" s="47"/>
      <c r="J1184" s="47"/>
      <c r="K1184" s="47"/>
      <c r="L1184" s="47"/>
      <c r="M1184" s="47"/>
      <c r="N1184" s="48"/>
      <c r="O1184" s="13">
        <v>206155000</v>
      </c>
    </row>
    <row r="1185" spans="1:15" ht="31.05" customHeight="1">
      <c r="A1185" s="46" t="s">
        <v>178</v>
      </c>
      <c r="B1185" s="48"/>
      <c r="C1185" s="46" t="s">
        <v>179</v>
      </c>
      <c r="D1185" s="47"/>
      <c r="E1185" s="47"/>
      <c r="F1185" s="47"/>
      <c r="G1185" s="47"/>
      <c r="H1185" s="47"/>
      <c r="I1185" s="47"/>
      <c r="J1185" s="47"/>
      <c r="K1185" s="47"/>
      <c r="L1185" s="47"/>
      <c r="M1185" s="47"/>
      <c r="N1185" s="48"/>
      <c r="O1185" s="13">
        <v>206155000</v>
      </c>
    </row>
    <row r="1186" spans="1:15" ht="30.75" customHeight="1">
      <c r="A1186" s="30" t="s">
        <v>418</v>
      </c>
      <c r="B1186" s="32"/>
      <c r="C1186" s="46" t="s">
        <v>419</v>
      </c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8"/>
      <c r="O1186" s="14">
        <v>65975000</v>
      </c>
    </row>
    <row r="1187" spans="1:15" ht="37.950000000000003" customHeight="1">
      <c r="A1187" s="87" t="s">
        <v>49</v>
      </c>
      <c r="B1187" s="88"/>
      <c r="C1187" s="88"/>
      <c r="D1187" s="88"/>
      <c r="E1187" s="88"/>
      <c r="F1187" s="88"/>
      <c r="G1187" s="88"/>
      <c r="H1187" s="88"/>
      <c r="I1187" s="88"/>
      <c r="J1187" s="88"/>
      <c r="K1187" s="88"/>
      <c r="L1187" s="88"/>
      <c r="M1187" s="88"/>
      <c r="N1187" s="88"/>
      <c r="O1187" s="89"/>
    </row>
    <row r="1188" spans="1:15" ht="19.95" customHeight="1">
      <c r="A1188" s="61" t="s">
        <v>50</v>
      </c>
      <c r="B1188" s="62"/>
      <c r="C1188" s="65" t="s">
        <v>51</v>
      </c>
      <c r="D1188" s="66"/>
      <c r="E1188" s="67"/>
      <c r="F1188" s="71" t="s">
        <v>52</v>
      </c>
      <c r="G1188" s="72"/>
      <c r="H1188" s="72"/>
      <c r="I1188" s="72"/>
      <c r="J1188" s="72"/>
      <c r="K1188" s="72"/>
      <c r="L1188" s="72"/>
      <c r="M1188" s="72"/>
      <c r="N1188" s="73"/>
      <c r="O1188" s="74" t="s">
        <v>53</v>
      </c>
    </row>
    <row r="1189" spans="1:15" ht="21" customHeight="1">
      <c r="A1189" s="63"/>
      <c r="B1189" s="64"/>
      <c r="C1189" s="68"/>
      <c r="D1189" s="69"/>
      <c r="E1189" s="70"/>
      <c r="F1189" s="76" t="s">
        <v>54</v>
      </c>
      <c r="G1189" s="77"/>
      <c r="H1189" s="71" t="s">
        <v>55</v>
      </c>
      <c r="I1189" s="73"/>
      <c r="J1189" s="94" t="s">
        <v>56</v>
      </c>
      <c r="K1189" s="95"/>
      <c r="L1189" s="96"/>
      <c r="M1189" s="80" t="s">
        <v>57</v>
      </c>
      <c r="N1189" s="82"/>
      <c r="O1189" s="75"/>
    </row>
    <row r="1190" spans="1:15" ht="30" customHeight="1">
      <c r="A1190" s="40"/>
      <c r="B1190" s="42"/>
      <c r="C1190" s="30" t="s">
        <v>231</v>
      </c>
      <c r="D1190" s="31"/>
      <c r="E1190" s="31"/>
      <c r="F1190" s="31"/>
      <c r="G1190" s="31"/>
      <c r="H1190" s="31"/>
      <c r="I1190" s="31"/>
      <c r="J1190" s="31"/>
      <c r="K1190" s="31"/>
      <c r="L1190" s="31"/>
      <c r="M1190" s="31"/>
      <c r="N1190" s="32"/>
      <c r="O1190" s="8">
        <v>65975000</v>
      </c>
    </row>
    <row r="1191" spans="1:15" ht="21" customHeight="1">
      <c r="A1191" s="40"/>
      <c r="B1191" s="42"/>
      <c r="C1191" s="46" t="s">
        <v>420</v>
      </c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8"/>
      <c r="O1191" s="8">
        <v>17975000</v>
      </c>
    </row>
    <row r="1192" spans="1:15" ht="81" customHeight="1">
      <c r="A1192" s="30"/>
      <c r="B1192" s="32"/>
      <c r="C1192" s="49" t="s">
        <v>421</v>
      </c>
      <c r="D1192" s="50"/>
      <c r="E1192" s="51"/>
      <c r="F1192" s="52">
        <v>7</v>
      </c>
      <c r="G1192" s="53"/>
      <c r="H1192" s="54" t="s">
        <v>185</v>
      </c>
      <c r="I1192" s="55"/>
      <c r="J1192" s="56">
        <v>175000</v>
      </c>
      <c r="K1192" s="119"/>
      <c r="L1192" s="57"/>
      <c r="M1192" s="56">
        <v>0</v>
      </c>
      <c r="N1192" s="57"/>
      <c r="O1192" s="7">
        <v>1225000</v>
      </c>
    </row>
    <row r="1193" spans="1:15" ht="81" customHeight="1">
      <c r="A1193" s="30"/>
      <c r="B1193" s="32"/>
      <c r="C1193" s="49" t="s">
        <v>422</v>
      </c>
      <c r="D1193" s="50"/>
      <c r="E1193" s="51"/>
      <c r="F1193" s="52">
        <v>50</v>
      </c>
      <c r="G1193" s="53"/>
      <c r="H1193" s="54" t="s">
        <v>185</v>
      </c>
      <c r="I1193" s="55"/>
      <c r="J1193" s="56">
        <v>185000</v>
      </c>
      <c r="K1193" s="119"/>
      <c r="L1193" s="57"/>
      <c r="M1193" s="56">
        <v>0</v>
      </c>
      <c r="N1193" s="57"/>
      <c r="O1193" s="7">
        <v>9250000</v>
      </c>
    </row>
    <row r="1194" spans="1:15" ht="81" customHeight="1">
      <c r="A1194" s="30"/>
      <c r="B1194" s="32"/>
      <c r="C1194" s="49" t="s">
        <v>423</v>
      </c>
      <c r="D1194" s="50"/>
      <c r="E1194" s="51"/>
      <c r="F1194" s="52">
        <v>25</v>
      </c>
      <c r="G1194" s="53"/>
      <c r="H1194" s="54" t="s">
        <v>185</v>
      </c>
      <c r="I1194" s="55"/>
      <c r="J1194" s="56">
        <v>300000</v>
      </c>
      <c r="K1194" s="119"/>
      <c r="L1194" s="57"/>
      <c r="M1194" s="56">
        <v>0</v>
      </c>
      <c r="N1194" s="57"/>
      <c r="O1194" s="7">
        <v>7500000</v>
      </c>
    </row>
    <row r="1195" spans="1:15" ht="19.95" customHeight="1">
      <c r="A1195" s="40"/>
      <c r="B1195" s="42"/>
      <c r="C1195" s="46" t="s">
        <v>222</v>
      </c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8"/>
      <c r="O1195" s="8">
        <v>48000000</v>
      </c>
    </row>
    <row r="1196" spans="1:15" ht="61.05" customHeight="1">
      <c r="A1196" s="30"/>
      <c r="B1196" s="32"/>
      <c r="C1196" s="116" t="s">
        <v>424</v>
      </c>
      <c r="D1196" s="117"/>
      <c r="E1196" s="118"/>
      <c r="F1196" s="52">
        <v>50</v>
      </c>
      <c r="G1196" s="53"/>
      <c r="H1196" s="54" t="s">
        <v>185</v>
      </c>
      <c r="I1196" s="55"/>
      <c r="J1196" s="56">
        <v>530000</v>
      </c>
      <c r="K1196" s="119"/>
      <c r="L1196" s="57"/>
      <c r="M1196" s="56">
        <v>0</v>
      </c>
      <c r="N1196" s="57"/>
      <c r="O1196" s="7">
        <v>26500000</v>
      </c>
    </row>
    <row r="1197" spans="1:15" ht="60" customHeight="1">
      <c r="A1197" s="30"/>
      <c r="B1197" s="32"/>
      <c r="C1197" s="116" t="s">
        <v>425</v>
      </c>
      <c r="D1197" s="117"/>
      <c r="E1197" s="118"/>
      <c r="F1197" s="52">
        <v>50</v>
      </c>
      <c r="G1197" s="53"/>
      <c r="H1197" s="54" t="s">
        <v>185</v>
      </c>
      <c r="I1197" s="55"/>
      <c r="J1197" s="56">
        <v>430000</v>
      </c>
      <c r="K1197" s="119"/>
      <c r="L1197" s="57"/>
      <c r="M1197" s="56">
        <v>0</v>
      </c>
      <c r="N1197" s="57"/>
      <c r="O1197" s="7">
        <v>21500000</v>
      </c>
    </row>
    <row r="1198" spans="1:15" ht="31.05" customHeight="1">
      <c r="A1198" s="30" t="s">
        <v>180</v>
      </c>
      <c r="B1198" s="32"/>
      <c r="C1198" s="46" t="s">
        <v>181</v>
      </c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8"/>
      <c r="O1198" s="13">
        <v>129980000</v>
      </c>
    </row>
    <row r="1199" spans="1:15" ht="31.05" customHeight="1">
      <c r="A1199" s="40"/>
      <c r="B1199" s="42"/>
      <c r="C1199" s="30" t="s">
        <v>182</v>
      </c>
      <c r="D1199" s="31"/>
      <c r="E1199" s="31"/>
      <c r="F1199" s="31"/>
      <c r="G1199" s="31"/>
      <c r="H1199" s="31"/>
      <c r="I1199" s="31"/>
      <c r="J1199" s="31"/>
      <c r="K1199" s="31"/>
      <c r="L1199" s="31"/>
      <c r="M1199" s="31"/>
      <c r="N1199" s="32"/>
      <c r="O1199" s="13">
        <v>129980000</v>
      </c>
    </row>
    <row r="1200" spans="1:15" ht="19.95" customHeight="1">
      <c r="A1200" s="40"/>
      <c r="B1200" s="42"/>
      <c r="C1200" s="46" t="s">
        <v>183</v>
      </c>
      <c r="D1200" s="47"/>
      <c r="E1200" s="47"/>
      <c r="F1200" s="47"/>
      <c r="G1200" s="47"/>
      <c r="H1200" s="47"/>
      <c r="I1200" s="47"/>
      <c r="J1200" s="47"/>
      <c r="K1200" s="47"/>
      <c r="L1200" s="47"/>
      <c r="M1200" s="47"/>
      <c r="N1200" s="48"/>
      <c r="O1200" s="8">
        <v>13410000</v>
      </c>
    </row>
    <row r="1201" spans="1:15" ht="81" customHeight="1">
      <c r="A1201" s="30"/>
      <c r="B1201" s="32"/>
      <c r="C1201" s="49" t="s">
        <v>204</v>
      </c>
      <c r="D1201" s="50"/>
      <c r="E1201" s="51"/>
      <c r="F1201" s="52">
        <v>2</v>
      </c>
      <c r="G1201" s="53"/>
      <c r="H1201" s="54" t="s">
        <v>185</v>
      </c>
      <c r="I1201" s="55"/>
      <c r="J1201" s="56">
        <v>140000</v>
      </c>
      <c r="K1201" s="119"/>
      <c r="L1201" s="57"/>
      <c r="M1201" s="56">
        <v>0</v>
      </c>
      <c r="N1201" s="57"/>
      <c r="O1201" s="7">
        <v>280000</v>
      </c>
    </row>
    <row r="1202" spans="1:15" ht="81" customHeight="1">
      <c r="A1202" s="30"/>
      <c r="B1202" s="32"/>
      <c r="C1202" s="49" t="s">
        <v>191</v>
      </c>
      <c r="D1202" s="50"/>
      <c r="E1202" s="51"/>
      <c r="F1202" s="52">
        <v>2</v>
      </c>
      <c r="G1202" s="53"/>
      <c r="H1202" s="54" t="s">
        <v>185</v>
      </c>
      <c r="I1202" s="55"/>
      <c r="J1202" s="56">
        <v>120000</v>
      </c>
      <c r="K1202" s="119"/>
      <c r="L1202" s="57"/>
      <c r="M1202" s="56">
        <v>0</v>
      </c>
      <c r="N1202" s="57"/>
      <c r="O1202" s="7">
        <v>240000</v>
      </c>
    </row>
    <row r="1203" spans="1:15" ht="81" customHeight="1">
      <c r="A1203" s="30"/>
      <c r="B1203" s="32"/>
      <c r="C1203" s="49" t="s">
        <v>206</v>
      </c>
      <c r="D1203" s="50"/>
      <c r="E1203" s="51"/>
      <c r="F1203" s="52">
        <v>2</v>
      </c>
      <c r="G1203" s="53"/>
      <c r="H1203" s="54" t="s">
        <v>185</v>
      </c>
      <c r="I1203" s="55"/>
      <c r="J1203" s="56">
        <v>95000</v>
      </c>
      <c r="K1203" s="119"/>
      <c r="L1203" s="57"/>
      <c r="M1203" s="56">
        <v>0</v>
      </c>
      <c r="N1203" s="57"/>
      <c r="O1203" s="7">
        <v>190000</v>
      </c>
    </row>
    <row r="1204" spans="1:15" ht="81" customHeight="1">
      <c r="A1204" s="30"/>
      <c r="B1204" s="32"/>
      <c r="C1204" s="49" t="s">
        <v>217</v>
      </c>
      <c r="D1204" s="50"/>
      <c r="E1204" s="51"/>
      <c r="F1204" s="52">
        <v>2</v>
      </c>
      <c r="G1204" s="53"/>
      <c r="H1204" s="54" t="s">
        <v>185</v>
      </c>
      <c r="I1204" s="55"/>
      <c r="J1204" s="56">
        <v>175000</v>
      </c>
      <c r="K1204" s="119"/>
      <c r="L1204" s="57"/>
      <c r="M1204" s="56">
        <v>0</v>
      </c>
      <c r="N1204" s="57"/>
      <c r="O1204" s="7">
        <v>350000</v>
      </c>
    </row>
    <row r="1205" spans="1:15" ht="81" customHeight="1">
      <c r="A1205" s="30"/>
      <c r="B1205" s="32"/>
      <c r="C1205" s="49" t="s">
        <v>199</v>
      </c>
      <c r="D1205" s="50"/>
      <c r="E1205" s="51"/>
      <c r="F1205" s="52">
        <v>2</v>
      </c>
      <c r="G1205" s="53"/>
      <c r="H1205" s="54" t="s">
        <v>185</v>
      </c>
      <c r="I1205" s="55"/>
      <c r="J1205" s="56">
        <v>90000</v>
      </c>
      <c r="K1205" s="119"/>
      <c r="L1205" s="57"/>
      <c r="M1205" s="56">
        <v>0</v>
      </c>
      <c r="N1205" s="57"/>
      <c r="O1205" s="7">
        <v>180000</v>
      </c>
    </row>
    <row r="1206" spans="1:15" ht="81.45" customHeight="1">
      <c r="A1206" s="30"/>
      <c r="B1206" s="32"/>
      <c r="C1206" s="49" t="s">
        <v>192</v>
      </c>
      <c r="D1206" s="50"/>
      <c r="E1206" s="51"/>
      <c r="F1206" s="52">
        <v>2</v>
      </c>
      <c r="G1206" s="53"/>
      <c r="H1206" s="54" t="s">
        <v>185</v>
      </c>
      <c r="I1206" s="55"/>
      <c r="J1206" s="56">
        <v>220000</v>
      </c>
      <c r="K1206" s="119"/>
      <c r="L1206" s="57"/>
      <c r="M1206" s="56">
        <v>0</v>
      </c>
      <c r="N1206" s="57"/>
      <c r="O1206" s="7">
        <v>440000</v>
      </c>
    </row>
    <row r="1207" spans="1:15" ht="37.950000000000003" customHeight="1">
      <c r="A1207" s="87" t="s">
        <v>49</v>
      </c>
      <c r="B1207" s="88"/>
      <c r="C1207" s="88"/>
      <c r="D1207" s="88"/>
      <c r="E1207" s="88"/>
      <c r="F1207" s="88"/>
      <c r="G1207" s="88"/>
      <c r="H1207" s="88"/>
      <c r="I1207" s="88"/>
      <c r="J1207" s="88"/>
      <c r="K1207" s="88"/>
      <c r="L1207" s="88"/>
      <c r="M1207" s="88"/>
      <c r="N1207" s="88"/>
      <c r="O1207" s="89"/>
    </row>
    <row r="1208" spans="1:15" ht="19.95" customHeight="1">
      <c r="A1208" s="61" t="s">
        <v>50</v>
      </c>
      <c r="B1208" s="62"/>
      <c r="C1208" s="65" t="s">
        <v>51</v>
      </c>
      <c r="D1208" s="66"/>
      <c r="E1208" s="67"/>
      <c r="F1208" s="71" t="s">
        <v>52</v>
      </c>
      <c r="G1208" s="72"/>
      <c r="H1208" s="72"/>
      <c r="I1208" s="72"/>
      <c r="J1208" s="72"/>
      <c r="K1208" s="72"/>
      <c r="L1208" s="72"/>
      <c r="M1208" s="72"/>
      <c r="N1208" s="73"/>
      <c r="O1208" s="74" t="s">
        <v>53</v>
      </c>
    </row>
    <row r="1209" spans="1:15" ht="21" customHeight="1">
      <c r="A1209" s="63"/>
      <c r="B1209" s="64"/>
      <c r="C1209" s="68"/>
      <c r="D1209" s="69"/>
      <c r="E1209" s="70"/>
      <c r="F1209" s="76" t="s">
        <v>54</v>
      </c>
      <c r="G1209" s="77"/>
      <c r="H1209" s="71" t="s">
        <v>55</v>
      </c>
      <c r="I1209" s="73"/>
      <c r="J1209" s="94" t="s">
        <v>56</v>
      </c>
      <c r="K1209" s="95"/>
      <c r="L1209" s="96"/>
      <c r="M1209" s="80" t="s">
        <v>57</v>
      </c>
      <c r="N1209" s="82"/>
      <c r="O1209" s="75"/>
    </row>
    <row r="1210" spans="1:15" ht="81" customHeight="1">
      <c r="A1210" s="30"/>
      <c r="B1210" s="32"/>
      <c r="C1210" s="49" t="s">
        <v>200</v>
      </c>
      <c r="D1210" s="50"/>
      <c r="E1210" s="51"/>
      <c r="F1210" s="52">
        <v>2</v>
      </c>
      <c r="G1210" s="53"/>
      <c r="H1210" s="54" t="s">
        <v>185</v>
      </c>
      <c r="I1210" s="55"/>
      <c r="J1210" s="56">
        <v>185000</v>
      </c>
      <c r="K1210" s="119"/>
      <c r="L1210" s="57"/>
      <c r="M1210" s="56">
        <v>0</v>
      </c>
      <c r="N1210" s="57"/>
      <c r="O1210" s="7">
        <v>370000</v>
      </c>
    </row>
    <row r="1211" spans="1:15" ht="81" customHeight="1">
      <c r="A1211" s="30"/>
      <c r="B1211" s="32"/>
      <c r="C1211" s="49" t="s">
        <v>207</v>
      </c>
      <c r="D1211" s="50"/>
      <c r="E1211" s="51"/>
      <c r="F1211" s="52">
        <v>2</v>
      </c>
      <c r="G1211" s="53"/>
      <c r="H1211" s="54" t="s">
        <v>185</v>
      </c>
      <c r="I1211" s="55"/>
      <c r="J1211" s="56">
        <v>135000</v>
      </c>
      <c r="K1211" s="119"/>
      <c r="L1211" s="57"/>
      <c r="M1211" s="56">
        <v>0</v>
      </c>
      <c r="N1211" s="57"/>
      <c r="O1211" s="7">
        <v>270000</v>
      </c>
    </row>
    <row r="1212" spans="1:15" ht="81" customHeight="1">
      <c r="A1212" s="30"/>
      <c r="B1212" s="32"/>
      <c r="C1212" s="49" t="s">
        <v>213</v>
      </c>
      <c r="D1212" s="50"/>
      <c r="E1212" s="51"/>
      <c r="F1212" s="52">
        <v>2</v>
      </c>
      <c r="G1212" s="53"/>
      <c r="H1212" s="54" t="s">
        <v>185</v>
      </c>
      <c r="I1212" s="55"/>
      <c r="J1212" s="56">
        <v>210000</v>
      </c>
      <c r="K1212" s="119"/>
      <c r="L1212" s="57"/>
      <c r="M1212" s="56">
        <v>0</v>
      </c>
      <c r="N1212" s="57"/>
      <c r="O1212" s="7">
        <v>420000</v>
      </c>
    </row>
    <row r="1213" spans="1:15" ht="81" customHeight="1">
      <c r="A1213" s="30"/>
      <c r="B1213" s="32"/>
      <c r="C1213" s="49" t="s">
        <v>215</v>
      </c>
      <c r="D1213" s="50"/>
      <c r="E1213" s="51"/>
      <c r="F1213" s="52">
        <v>2</v>
      </c>
      <c r="G1213" s="53"/>
      <c r="H1213" s="54" t="s">
        <v>185</v>
      </c>
      <c r="I1213" s="55"/>
      <c r="J1213" s="56">
        <v>170000</v>
      </c>
      <c r="K1213" s="119"/>
      <c r="L1213" s="57"/>
      <c r="M1213" s="56">
        <v>0</v>
      </c>
      <c r="N1213" s="57"/>
      <c r="O1213" s="7">
        <v>340000</v>
      </c>
    </row>
    <row r="1214" spans="1:15" ht="81" customHeight="1">
      <c r="A1214" s="30"/>
      <c r="B1214" s="32"/>
      <c r="C1214" s="49" t="s">
        <v>210</v>
      </c>
      <c r="D1214" s="50"/>
      <c r="E1214" s="51"/>
      <c r="F1214" s="52">
        <v>2</v>
      </c>
      <c r="G1214" s="53"/>
      <c r="H1214" s="54" t="s">
        <v>185</v>
      </c>
      <c r="I1214" s="55"/>
      <c r="J1214" s="56">
        <v>220000</v>
      </c>
      <c r="K1214" s="119"/>
      <c r="L1214" s="57"/>
      <c r="M1214" s="56">
        <v>0</v>
      </c>
      <c r="N1214" s="57"/>
      <c r="O1214" s="7">
        <v>440000</v>
      </c>
    </row>
    <row r="1215" spans="1:15" ht="81" customHeight="1">
      <c r="A1215" s="30"/>
      <c r="B1215" s="32"/>
      <c r="C1215" s="49" t="s">
        <v>202</v>
      </c>
      <c r="D1215" s="50"/>
      <c r="E1215" s="51"/>
      <c r="F1215" s="52">
        <v>2</v>
      </c>
      <c r="G1215" s="53"/>
      <c r="H1215" s="54" t="s">
        <v>185</v>
      </c>
      <c r="I1215" s="55"/>
      <c r="J1215" s="56">
        <v>185000</v>
      </c>
      <c r="K1215" s="119"/>
      <c r="L1215" s="57"/>
      <c r="M1215" s="56">
        <v>0</v>
      </c>
      <c r="N1215" s="57"/>
      <c r="O1215" s="7">
        <v>370000</v>
      </c>
    </row>
    <row r="1216" spans="1:15" ht="81" customHeight="1">
      <c r="A1216" s="30"/>
      <c r="B1216" s="32"/>
      <c r="C1216" s="49" t="s">
        <v>220</v>
      </c>
      <c r="D1216" s="50"/>
      <c r="E1216" s="51"/>
      <c r="F1216" s="52">
        <v>2</v>
      </c>
      <c r="G1216" s="53"/>
      <c r="H1216" s="54" t="s">
        <v>185</v>
      </c>
      <c r="I1216" s="55"/>
      <c r="J1216" s="56">
        <v>165000</v>
      </c>
      <c r="K1216" s="119"/>
      <c r="L1216" s="57"/>
      <c r="M1216" s="56">
        <v>0</v>
      </c>
      <c r="N1216" s="57"/>
      <c r="O1216" s="7">
        <v>330000</v>
      </c>
    </row>
    <row r="1217" spans="1:15" ht="81" customHeight="1">
      <c r="A1217" s="30"/>
      <c r="B1217" s="32"/>
      <c r="C1217" s="49" t="s">
        <v>221</v>
      </c>
      <c r="D1217" s="50"/>
      <c r="E1217" s="51"/>
      <c r="F1217" s="52">
        <v>2</v>
      </c>
      <c r="G1217" s="53"/>
      <c r="H1217" s="54" t="s">
        <v>185</v>
      </c>
      <c r="I1217" s="55"/>
      <c r="J1217" s="56">
        <v>320000</v>
      </c>
      <c r="K1217" s="119"/>
      <c r="L1217" s="57"/>
      <c r="M1217" s="56">
        <v>0</v>
      </c>
      <c r="N1217" s="57"/>
      <c r="O1217" s="7">
        <v>640000</v>
      </c>
    </row>
    <row r="1218" spans="1:15" ht="82.05" customHeight="1">
      <c r="A1218" s="30"/>
      <c r="B1218" s="32"/>
      <c r="C1218" s="49" t="s">
        <v>190</v>
      </c>
      <c r="D1218" s="50"/>
      <c r="E1218" s="51"/>
      <c r="F1218" s="52">
        <v>2</v>
      </c>
      <c r="G1218" s="53"/>
      <c r="H1218" s="54" t="s">
        <v>185</v>
      </c>
      <c r="I1218" s="55"/>
      <c r="J1218" s="56">
        <v>210000</v>
      </c>
      <c r="K1218" s="119"/>
      <c r="L1218" s="57"/>
      <c r="M1218" s="56">
        <v>0</v>
      </c>
      <c r="N1218" s="57"/>
      <c r="O1218" s="7">
        <v>420000</v>
      </c>
    </row>
    <row r="1219" spans="1:15" ht="81" customHeight="1">
      <c r="A1219" s="30"/>
      <c r="B1219" s="32"/>
      <c r="C1219" s="49" t="s">
        <v>188</v>
      </c>
      <c r="D1219" s="50"/>
      <c r="E1219" s="51"/>
      <c r="F1219" s="52">
        <v>2</v>
      </c>
      <c r="G1219" s="53"/>
      <c r="H1219" s="54" t="s">
        <v>185</v>
      </c>
      <c r="I1219" s="55"/>
      <c r="J1219" s="56">
        <v>165000</v>
      </c>
      <c r="K1219" s="119"/>
      <c r="L1219" s="57"/>
      <c r="M1219" s="56">
        <v>0</v>
      </c>
      <c r="N1219" s="57"/>
      <c r="O1219" s="7">
        <v>330000</v>
      </c>
    </row>
    <row r="1220" spans="1:15" ht="81" customHeight="1">
      <c r="A1220" s="30"/>
      <c r="B1220" s="32"/>
      <c r="C1220" s="49" t="s">
        <v>208</v>
      </c>
      <c r="D1220" s="50"/>
      <c r="E1220" s="51"/>
      <c r="F1220" s="52">
        <v>2</v>
      </c>
      <c r="G1220" s="53"/>
      <c r="H1220" s="54" t="s">
        <v>185</v>
      </c>
      <c r="I1220" s="55"/>
      <c r="J1220" s="56">
        <v>145000</v>
      </c>
      <c r="K1220" s="119"/>
      <c r="L1220" s="57"/>
      <c r="M1220" s="56">
        <v>0</v>
      </c>
      <c r="N1220" s="57"/>
      <c r="O1220" s="7">
        <v>290000</v>
      </c>
    </row>
    <row r="1221" spans="1:15" ht="80.7" customHeight="1">
      <c r="A1221" s="30"/>
      <c r="B1221" s="32"/>
      <c r="C1221" s="49" t="s">
        <v>184</v>
      </c>
      <c r="D1221" s="50"/>
      <c r="E1221" s="51"/>
      <c r="F1221" s="52">
        <v>2</v>
      </c>
      <c r="G1221" s="53"/>
      <c r="H1221" s="54" t="s">
        <v>185</v>
      </c>
      <c r="I1221" s="55"/>
      <c r="J1221" s="56">
        <v>180000</v>
      </c>
      <c r="K1221" s="119"/>
      <c r="L1221" s="57"/>
      <c r="M1221" s="56">
        <v>0</v>
      </c>
      <c r="N1221" s="57"/>
      <c r="O1221" s="7">
        <v>360000</v>
      </c>
    </row>
    <row r="1222" spans="1:15" ht="37.950000000000003" customHeight="1">
      <c r="A1222" s="87" t="s">
        <v>49</v>
      </c>
      <c r="B1222" s="88"/>
      <c r="C1222" s="88"/>
      <c r="D1222" s="88"/>
      <c r="E1222" s="88"/>
      <c r="F1222" s="88"/>
      <c r="G1222" s="88"/>
      <c r="H1222" s="88"/>
      <c r="I1222" s="88"/>
      <c r="J1222" s="88"/>
      <c r="K1222" s="88"/>
      <c r="L1222" s="88"/>
      <c r="M1222" s="88"/>
      <c r="N1222" s="88"/>
      <c r="O1222" s="89"/>
    </row>
    <row r="1223" spans="1:15" ht="19.95" customHeight="1">
      <c r="A1223" s="61" t="s">
        <v>50</v>
      </c>
      <c r="B1223" s="62"/>
      <c r="C1223" s="65" t="s">
        <v>51</v>
      </c>
      <c r="D1223" s="66"/>
      <c r="E1223" s="67"/>
      <c r="F1223" s="71" t="s">
        <v>52</v>
      </c>
      <c r="G1223" s="72"/>
      <c r="H1223" s="72"/>
      <c r="I1223" s="72"/>
      <c r="J1223" s="72"/>
      <c r="K1223" s="72"/>
      <c r="L1223" s="72"/>
      <c r="M1223" s="72"/>
      <c r="N1223" s="73"/>
      <c r="O1223" s="74" t="s">
        <v>53</v>
      </c>
    </row>
    <row r="1224" spans="1:15" ht="21" customHeight="1">
      <c r="A1224" s="63"/>
      <c r="B1224" s="64"/>
      <c r="C1224" s="68"/>
      <c r="D1224" s="69"/>
      <c r="E1224" s="70"/>
      <c r="F1224" s="76" t="s">
        <v>54</v>
      </c>
      <c r="G1224" s="77"/>
      <c r="H1224" s="71" t="s">
        <v>55</v>
      </c>
      <c r="I1224" s="73"/>
      <c r="J1224" s="94" t="s">
        <v>56</v>
      </c>
      <c r="K1224" s="95"/>
      <c r="L1224" s="96"/>
      <c r="M1224" s="80" t="s">
        <v>57</v>
      </c>
      <c r="N1224" s="82"/>
      <c r="O1224" s="75"/>
    </row>
    <row r="1225" spans="1:15" ht="81" customHeight="1">
      <c r="A1225" s="30"/>
      <c r="B1225" s="32"/>
      <c r="C1225" s="49" t="s">
        <v>211</v>
      </c>
      <c r="D1225" s="50"/>
      <c r="E1225" s="51"/>
      <c r="F1225" s="52">
        <v>2</v>
      </c>
      <c r="G1225" s="53"/>
      <c r="H1225" s="54" t="s">
        <v>185</v>
      </c>
      <c r="I1225" s="55"/>
      <c r="J1225" s="56">
        <v>160000</v>
      </c>
      <c r="K1225" s="119"/>
      <c r="L1225" s="57"/>
      <c r="M1225" s="56">
        <v>0</v>
      </c>
      <c r="N1225" s="57"/>
      <c r="O1225" s="7">
        <v>320000</v>
      </c>
    </row>
    <row r="1226" spans="1:15" ht="81" customHeight="1">
      <c r="A1226" s="30"/>
      <c r="B1226" s="32"/>
      <c r="C1226" s="49" t="s">
        <v>205</v>
      </c>
      <c r="D1226" s="50"/>
      <c r="E1226" s="51"/>
      <c r="F1226" s="52">
        <v>2</v>
      </c>
      <c r="G1226" s="53"/>
      <c r="H1226" s="54" t="s">
        <v>185</v>
      </c>
      <c r="I1226" s="55"/>
      <c r="J1226" s="56">
        <v>125000</v>
      </c>
      <c r="K1226" s="119"/>
      <c r="L1226" s="57"/>
      <c r="M1226" s="56">
        <v>0</v>
      </c>
      <c r="N1226" s="57"/>
      <c r="O1226" s="7">
        <v>250000</v>
      </c>
    </row>
    <row r="1227" spans="1:15" ht="81" customHeight="1">
      <c r="A1227" s="30"/>
      <c r="B1227" s="32"/>
      <c r="C1227" s="49" t="s">
        <v>187</v>
      </c>
      <c r="D1227" s="50"/>
      <c r="E1227" s="51"/>
      <c r="F1227" s="52">
        <v>2</v>
      </c>
      <c r="G1227" s="53"/>
      <c r="H1227" s="54" t="s">
        <v>185</v>
      </c>
      <c r="I1227" s="55"/>
      <c r="J1227" s="56">
        <v>130000</v>
      </c>
      <c r="K1227" s="119"/>
      <c r="L1227" s="57"/>
      <c r="M1227" s="56">
        <v>0</v>
      </c>
      <c r="N1227" s="57"/>
      <c r="O1227" s="7">
        <v>260000</v>
      </c>
    </row>
    <row r="1228" spans="1:15" ht="81" customHeight="1">
      <c r="A1228" s="30"/>
      <c r="B1228" s="32"/>
      <c r="C1228" s="49" t="s">
        <v>189</v>
      </c>
      <c r="D1228" s="50"/>
      <c r="E1228" s="51"/>
      <c r="F1228" s="52">
        <v>2</v>
      </c>
      <c r="G1228" s="53"/>
      <c r="H1228" s="54" t="s">
        <v>185</v>
      </c>
      <c r="I1228" s="55"/>
      <c r="J1228" s="56">
        <v>140000</v>
      </c>
      <c r="K1228" s="119"/>
      <c r="L1228" s="57"/>
      <c r="M1228" s="56">
        <v>0</v>
      </c>
      <c r="N1228" s="57"/>
      <c r="O1228" s="7">
        <v>280000</v>
      </c>
    </row>
    <row r="1229" spans="1:15" ht="81" customHeight="1">
      <c r="A1229" s="30"/>
      <c r="B1229" s="32"/>
      <c r="C1229" s="49" t="s">
        <v>214</v>
      </c>
      <c r="D1229" s="50"/>
      <c r="E1229" s="51"/>
      <c r="F1229" s="52">
        <v>2</v>
      </c>
      <c r="G1229" s="53"/>
      <c r="H1229" s="54" t="s">
        <v>185</v>
      </c>
      <c r="I1229" s="55"/>
      <c r="J1229" s="56">
        <v>125000</v>
      </c>
      <c r="K1229" s="119"/>
      <c r="L1229" s="57"/>
      <c r="M1229" s="56">
        <v>0</v>
      </c>
      <c r="N1229" s="57"/>
      <c r="O1229" s="7">
        <v>250000</v>
      </c>
    </row>
    <row r="1230" spans="1:15" ht="81" customHeight="1">
      <c r="A1230" s="30"/>
      <c r="B1230" s="32"/>
      <c r="C1230" s="49" t="s">
        <v>203</v>
      </c>
      <c r="D1230" s="50"/>
      <c r="E1230" s="51"/>
      <c r="F1230" s="52">
        <v>2</v>
      </c>
      <c r="G1230" s="53"/>
      <c r="H1230" s="54" t="s">
        <v>185</v>
      </c>
      <c r="I1230" s="55"/>
      <c r="J1230" s="56">
        <v>160000</v>
      </c>
      <c r="K1230" s="119"/>
      <c r="L1230" s="57"/>
      <c r="M1230" s="56">
        <v>0</v>
      </c>
      <c r="N1230" s="57"/>
      <c r="O1230" s="7">
        <v>320000</v>
      </c>
    </row>
    <row r="1231" spans="1:15" ht="81" customHeight="1">
      <c r="A1231" s="30"/>
      <c r="B1231" s="32"/>
      <c r="C1231" s="49" t="s">
        <v>195</v>
      </c>
      <c r="D1231" s="50"/>
      <c r="E1231" s="51"/>
      <c r="F1231" s="52">
        <v>2</v>
      </c>
      <c r="G1231" s="53"/>
      <c r="H1231" s="54" t="s">
        <v>185</v>
      </c>
      <c r="I1231" s="55"/>
      <c r="J1231" s="56">
        <v>210000</v>
      </c>
      <c r="K1231" s="119"/>
      <c r="L1231" s="57"/>
      <c r="M1231" s="56">
        <v>0</v>
      </c>
      <c r="N1231" s="57"/>
      <c r="O1231" s="7">
        <v>420000</v>
      </c>
    </row>
    <row r="1232" spans="1:15" ht="81" customHeight="1">
      <c r="A1232" s="30"/>
      <c r="B1232" s="32"/>
      <c r="C1232" s="49" t="s">
        <v>193</v>
      </c>
      <c r="D1232" s="50"/>
      <c r="E1232" s="51"/>
      <c r="F1232" s="52">
        <v>2</v>
      </c>
      <c r="G1232" s="53"/>
      <c r="H1232" s="54" t="s">
        <v>185</v>
      </c>
      <c r="I1232" s="55"/>
      <c r="J1232" s="56">
        <v>140000</v>
      </c>
      <c r="K1232" s="119"/>
      <c r="L1232" s="57"/>
      <c r="M1232" s="56">
        <v>0</v>
      </c>
      <c r="N1232" s="57"/>
      <c r="O1232" s="7">
        <v>280000</v>
      </c>
    </row>
    <row r="1233" spans="1:15" ht="82.05" customHeight="1">
      <c r="A1233" s="30"/>
      <c r="B1233" s="32"/>
      <c r="C1233" s="49" t="s">
        <v>218</v>
      </c>
      <c r="D1233" s="50"/>
      <c r="E1233" s="51"/>
      <c r="F1233" s="52">
        <v>2</v>
      </c>
      <c r="G1233" s="53"/>
      <c r="H1233" s="54" t="s">
        <v>185</v>
      </c>
      <c r="I1233" s="55"/>
      <c r="J1233" s="56">
        <v>120000</v>
      </c>
      <c r="K1233" s="119"/>
      <c r="L1233" s="57"/>
      <c r="M1233" s="56">
        <v>0</v>
      </c>
      <c r="N1233" s="57"/>
      <c r="O1233" s="7">
        <v>240000</v>
      </c>
    </row>
    <row r="1234" spans="1:15" ht="81" customHeight="1">
      <c r="A1234" s="30"/>
      <c r="B1234" s="32"/>
      <c r="C1234" s="49" t="s">
        <v>216</v>
      </c>
      <c r="D1234" s="50"/>
      <c r="E1234" s="51"/>
      <c r="F1234" s="52">
        <v>2</v>
      </c>
      <c r="G1234" s="53"/>
      <c r="H1234" s="54" t="s">
        <v>185</v>
      </c>
      <c r="I1234" s="55"/>
      <c r="J1234" s="56">
        <v>255000</v>
      </c>
      <c r="K1234" s="119"/>
      <c r="L1234" s="57"/>
      <c r="M1234" s="56">
        <v>0</v>
      </c>
      <c r="N1234" s="57"/>
      <c r="O1234" s="7">
        <v>510000</v>
      </c>
    </row>
    <row r="1235" spans="1:15" ht="81" customHeight="1">
      <c r="A1235" s="30"/>
      <c r="B1235" s="32"/>
      <c r="C1235" s="49" t="s">
        <v>197</v>
      </c>
      <c r="D1235" s="50"/>
      <c r="E1235" s="51"/>
      <c r="F1235" s="52">
        <v>2</v>
      </c>
      <c r="G1235" s="53"/>
      <c r="H1235" s="54" t="s">
        <v>185</v>
      </c>
      <c r="I1235" s="55"/>
      <c r="J1235" s="56">
        <v>165000</v>
      </c>
      <c r="K1235" s="119"/>
      <c r="L1235" s="57"/>
      <c r="M1235" s="56">
        <v>0</v>
      </c>
      <c r="N1235" s="57"/>
      <c r="O1235" s="7">
        <v>330000</v>
      </c>
    </row>
    <row r="1236" spans="1:15" ht="80.7" customHeight="1">
      <c r="A1236" s="30"/>
      <c r="B1236" s="32"/>
      <c r="C1236" s="49" t="s">
        <v>198</v>
      </c>
      <c r="D1236" s="50"/>
      <c r="E1236" s="51"/>
      <c r="F1236" s="52">
        <v>2</v>
      </c>
      <c r="G1236" s="53"/>
      <c r="H1236" s="54" t="s">
        <v>185</v>
      </c>
      <c r="I1236" s="55"/>
      <c r="J1236" s="56">
        <v>135000</v>
      </c>
      <c r="K1236" s="119"/>
      <c r="L1236" s="57"/>
      <c r="M1236" s="56">
        <v>0</v>
      </c>
      <c r="N1236" s="57"/>
      <c r="O1236" s="7">
        <v>270000</v>
      </c>
    </row>
    <row r="1237" spans="1:15" ht="37.950000000000003" customHeight="1">
      <c r="A1237" s="87" t="s">
        <v>49</v>
      </c>
      <c r="B1237" s="88"/>
      <c r="C1237" s="88"/>
      <c r="D1237" s="88"/>
      <c r="E1237" s="88"/>
      <c r="F1237" s="88"/>
      <c r="G1237" s="88"/>
      <c r="H1237" s="88"/>
      <c r="I1237" s="88"/>
      <c r="J1237" s="88"/>
      <c r="K1237" s="88"/>
      <c r="L1237" s="88"/>
      <c r="M1237" s="88"/>
      <c r="N1237" s="88"/>
      <c r="O1237" s="89"/>
    </row>
    <row r="1238" spans="1:15" ht="19.95" customHeight="1">
      <c r="A1238" s="61" t="s">
        <v>50</v>
      </c>
      <c r="B1238" s="62"/>
      <c r="C1238" s="65" t="s">
        <v>51</v>
      </c>
      <c r="D1238" s="66"/>
      <c r="E1238" s="67"/>
      <c r="F1238" s="71" t="s">
        <v>52</v>
      </c>
      <c r="G1238" s="72"/>
      <c r="H1238" s="72"/>
      <c r="I1238" s="72"/>
      <c r="J1238" s="72"/>
      <c r="K1238" s="72"/>
      <c r="L1238" s="72"/>
      <c r="M1238" s="72"/>
      <c r="N1238" s="73"/>
      <c r="O1238" s="74" t="s">
        <v>53</v>
      </c>
    </row>
    <row r="1239" spans="1:15" ht="21" customHeight="1">
      <c r="A1239" s="63"/>
      <c r="B1239" s="64"/>
      <c r="C1239" s="68"/>
      <c r="D1239" s="69"/>
      <c r="E1239" s="70"/>
      <c r="F1239" s="76" t="s">
        <v>54</v>
      </c>
      <c r="G1239" s="77"/>
      <c r="H1239" s="71" t="s">
        <v>55</v>
      </c>
      <c r="I1239" s="73"/>
      <c r="J1239" s="94" t="s">
        <v>56</v>
      </c>
      <c r="K1239" s="95"/>
      <c r="L1239" s="96"/>
      <c r="M1239" s="80" t="s">
        <v>57</v>
      </c>
      <c r="N1239" s="82"/>
      <c r="O1239" s="75"/>
    </row>
    <row r="1240" spans="1:15" ht="81" customHeight="1">
      <c r="A1240" s="30"/>
      <c r="B1240" s="32"/>
      <c r="C1240" s="49" t="s">
        <v>186</v>
      </c>
      <c r="D1240" s="50"/>
      <c r="E1240" s="51"/>
      <c r="F1240" s="52">
        <v>2</v>
      </c>
      <c r="G1240" s="53"/>
      <c r="H1240" s="54" t="s">
        <v>185</v>
      </c>
      <c r="I1240" s="55"/>
      <c r="J1240" s="56">
        <v>245000</v>
      </c>
      <c r="K1240" s="119"/>
      <c r="L1240" s="57"/>
      <c r="M1240" s="56">
        <v>0</v>
      </c>
      <c r="N1240" s="57"/>
      <c r="O1240" s="7">
        <v>490000</v>
      </c>
    </row>
    <row r="1241" spans="1:15" ht="81" customHeight="1">
      <c r="A1241" s="30"/>
      <c r="B1241" s="32"/>
      <c r="C1241" s="49" t="s">
        <v>201</v>
      </c>
      <c r="D1241" s="50"/>
      <c r="E1241" s="51"/>
      <c r="F1241" s="52">
        <v>2</v>
      </c>
      <c r="G1241" s="53"/>
      <c r="H1241" s="54" t="s">
        <v>185</v>
      </c>
      <c r="I1241" s="55"/>
      <c r="J1241" s="56">
        <v>160000</v>
      </c>
      <c r="K1241" s="119"/>
      <c r="L1241" s="57"/>
      <c r="M1241" s="56">
        <v>0</v>
      </c>
      <c r="N1241" s="57"/>
      <c r="O1241" s="7">
        <v>320000</v>
      </c>
    </row>
    <row r="1242" spans="1:15" ht="81" customHeight="1">
      <c r="A1242" s="30"/>
      <c r="B1242" s="32"/>
      <c r="C1242" s="49" t="s">
        <v>209</v>
      </c>
      <c r="D1242" s="50"/>
      <c r="E1242" s="51"/>
      <c r="F1242" s="52">
        <v>2</v>
      </c>
      <c r="G1242" s="53"/>
      <c r="H1242" s="54" t="s">
        <v>185</v>
      </c>
      <c r="I1242" s="55"/>
      <c r="J1242" s="56">
        <v>115000</v>
      </c>
      <c r="K1242" s="119"/>
      <c r="L1242" s="57"/>
      <c r="M1242" s="56">
        <v>0</v>
      </c>
      <c r="N1242" s="57"/>
      <c r="O1242" s="7">
        <v>230000</v>
      </c>
    </row>
    <row r="1243" spans="1:15" ht="81" customHeight="1">
      <c r="A1243" s="30"/>
      <c r="B1243" s="32"/>
      <c r="C1243" s="49" t="s">
        <v>194</v>
      </c>
      <c r="D1243" s="50"/>
      <c r="E1243" s="51"/>
      <c r="F1243" s="52">
        <v>2</v>
      </c>
      <c r="G1243" s="53"/>
      <c r="H1243" s="54" t="s">
        <v>185</v>
      </c>
      <c r="I1243" s="55"/>
      <c r="J1243" s="56">
        <v>185000</v>
      </c>
      <c r="K1243" s="119"/>
      <c r="L1243" s="57"/>
      <c r="M1243" s="56">
        <v>0</v>
      </c>
      <c r="N1243" s="57"/>
      <c r="O1243" s="7">
        <v>370000</v>
      </c>
    </row>
    <row r="1244" spans="1:15" ht="81" customHeight="1">
      <c r="A1244" s="30"/>
      <c r="B1244" s="32"/>
      <c r="C1244" s="49" t="s">
        <v>426</v>
      </c>
      <c r="D1244" s="50"/>
      <c r="E1244" s="51"/>
      <c r="F1244" s="52">
        <v>2</v>
      </c>
      <c r="G1244" s="53"/>
      <c r="H1244" s="54" t="s">
        <v>185</v>
      </c>
      <c r="I1244" s="55"/>
      <c r="J1244" s="56">
        <v>200000</v>
      </c>
      <c r="K1244" s="119"/>
      <c r="L1244" s="57"/>
      <c r="M1244" s="56">
        <v>0</v>
      </c>
      <c r="N1244" s="57"/>
      <c r="O1244" s="7">
        <v>400000</v>
      </c>
    </row>
    <row r="1245" spans="1:15" ht="81" customHeight="1">
      <c r="A1245" s="30"/>
      <c r="B1245" s="32"/>
      <c r="C1245" s="49" t="s">
        <v>427</v>
      </c>
      <c r="D1245" s="50"/>
      <c r="E1245" s="51"/>
      <c r="F1245" s="52">
        <v>2</v>
      </c>
      <c r="G1245" s="53"/>
      <c r="H1245" s="54" t="s">
        <v>185</v>
      </c>
      <c r="I1245" s="55"/>
      <c r="J1245" s="56">
        <v>205000</v>
      </c>
      <c r="K1245" s="119"/>
      <c r="L1245" s="57"/>
      <c r="M1245" s="56">
        <v>0</v>
      </c>
      <c r="N1245" s="57"/>
      <c r="O1245" s="7">
        <v>410000</v>
      </c>
    </row>
    <row r="1246" spans="1:15" ht="81" customHeight="1">
      <c r="A1246" s="30"/>
      <c r="B1246" s="32"/>
      <c r="C1246" s="49" t="s">
        <v>212</v>
      </c>
      <c r="D1246" s="50"/>
      <c r="E1246" s="51"/>
      <c r="F1246" s="52">
        <v>2</v>
      </c>
      <c r="G1246" s="53"/>
      <c r="H1246" s="54" t="s">
        <v>185</v>
      </c>
      <c r="I1246" s="55"/>
      <c r="J1246" s="56">
        <v>255000</v>
      </c>
      <c r="K1246" s="119"/>
      <c r="L1246" s="57"/>
      <c r="M1246" s="56">
        <v>0</v>
      </c>
      <c r="N1246" s="57"/>
      <c r="O1246" s="7">
        <v>510000</v>
      </c>
    </row>
    <row r="1247" spans="1:15" ht="81" customHeight="1">
      <c r="A1247" s="30"/>
      <c r="B1247" s="32"/>
      <c r="C1247" s="49" t="s">
        <v>219</v>
      </c>
      <c r="D1247" s="50"/>
      <c r="E1247" s="51"/>
      <c r="F1247" s="52">
        <v>2</v>
      </c>
      <c r="G1247" s="53"/>
      <c r="H1247" s="54" t="s">
        <v>185</v>
      </c>
      <c r="I1247" s="55"/>
      <c r="J1247" s="56">
        <v>100000</v>
      </c>
      <c r="K1247" s="119"/>
      <c r="L1247" s="57"/>
      <c r="M1247" s="56">
        <v>0</v>
      </c>
      <c r="N1247" s="57"/>
      <c r="O1247" s="7">
        <v>200000</v>
      </c>
    </row>
    <row r="1248" spans="1:15" ht="82.05" customHeight="1">
      <c r="A1248" s="30"/>
      <c r="B1248" s="32"/>
      <c r="C1248" s="49" t="s">
        <v>196</v>
      </c>
      <c r="D1248" s="50"/>
      <c r="E1248" s="51"/>
      <c r="F1248" s="52">
        <v>2</v>
      </c>
      <c r="G1248" s="53"/>
      <c r="H1248" s="54" t="s">
        <v>185</v>
      </c>
      <c r="I1248" s="55"/>
      <c r="J1248" s="56">
        <v>145000</v>
      </c>
      <c r="K1248" s="119"/>
      <c r="L1248" s="57"/>
      <c r="M1248" s="56">
        <v>0</v>
      </c>
      <c r="N1248" s="57"/>
      <c r="O1248" s="7">
        <v>290000</v>
      </c>
    </row>
    <row r="1249" spans="1:15" ht="70.05" customHeight="1">
      <c r="A1249" s="30"/>
      <c r="B1249" s="32"/>
      <c r="C1249" s="49" t="s">
        <v>428</v>
      </c>
      <c r="D1249" s="50"/>
      <c r="E1249" s="51"/>
      <c r="F1249" s="52">
        <v>2</v>
      </c>
      <c r="G1249" s="53"/>
      <c r="H1249" s="54" t="s">
        <v>185</v>
      </c>
      <c r="I1249" s="55"/>
      <c r="J1249" s="56">
        <v>100000</v>
      </c>
      <c r="K1249" s="119"/>
      <c r="L1249" s="57"/>
      <c r="M1249" s="56">
        <v>0</v>
      </c>
      <c r="N1249" s="57"/>
      <c r="O1249" s="7">
        <v>200000</v>
      </c>
    </row>
    <row r="1250" spans="1:15" ht="21" customHeight="1">
      <c r="A1250" s="40"/>
      <c r="B1250" s="42"/>
      <c r="C1250" s="46" t="s">
        <v>429</v>
      </c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8"/>
      <c r="O1250" s="8">
        <v>16745000</v>
      </c>
    </row>
    <row r="1251" spans="1:15" ht="70.05" customHeight="1">
      <c r="A1251" s="30"/>
      <c r="B1251" s="32"/>
      <c r="C1251" s="49" t="s">
        <v>430</v>
      </c>
      <c r="D1251" s="50"/>
      <c r="E1251" s="51"/>
      <c r="F1251" s="52">
        <v>17</v>
      </c>
      <c r="G1251" s="53"/>
      <c r="H1251" s="54" t="s">
        <v>185</v>
      </c>
      <c r="I1251" s="55"/>
      <c r="J1251" s="56">
        <v>125000</v>
      </c>
      <c r="K1251" s="119"/>
      <c r="L1251" s="57"/>
      <c r="M1251" s="56">
        <v>0</v>
      </c>
      <c r="N1251" s="57"/>
      <c r="O1251" s="7">
        <v>2125000</v>
      </c>
    </row>
    <row r="1252" spans="1:15" ht="81.45" customHeight="1">
      <c r="A1252" s="30"/>
      <c r="B1252" s="32"/>
      <c r="C1252" s="49" t="s">
        <v>431</v>
      </c>
      <c r="D1252" s="50"/>
      <c r="E1252" s="51"/>
      <c r="F1252" s="52">
        <v>2</v>
      </c>
      <c r="G1252" s="53"/>
      <c r="H1252" s="54" t="s">
        <v>185</v>
      </c>
      <c r="I1252" s="55"/>
      <c r="J1252" s="56">
        <v>205000</v>
      </c>
      <c r="K1252" s="119"/>
      <c r="L1252" s="57"/>
      <c r="M1252" s="56">
        <v>0</v>
      </c>
      <c r="N1252" s="57"/>
      <c r="O1252" s="7">
        <v>410000</v>
      </c>
    </row>
    <row r="1253" spans="1:15" ht="37.950000000000003" customHeight="1">
      <c r="A1253" s="87" t="s">
        <v>49</v>
      </c>
      <c r="B1253" s="88"/>
      <c r="C1253" s="88"/>
      <c r="D1253" s="88"/>
      <c r="E1253" s="88"/>
      <c r="F1253" s="88"/>
      <c r="G1253" s="88"/>
      <c r="H1253" s="88"/>
      <c r="I1253" s="88"/>
      <c r="J1253" s="88"/>
      <c r="K1253" s="88"/>
      <c r="L1253" s="88"/>
      <c r="M1253" s="88"/>
      <c r="N1253" s="88"/>
      <c r="O1253" s="89"/>
    </row>
    <row r="1254" spans="1:15" ht="19.95" customHeight="1">
      <c r="A1254" s="61" t="s">
        <v>50</v>
      </c>
      <c r="B1254" s="62"/>
      <c r="C1254" s="65" t="s">
        <v>51</v>
      </c>
      <c r="D1254" s="66"/>
      <c r="E1254" s="67"/>
      <c r="F1254" s="71" t="s">
        <v>52</v>
      </c>
      <c r="G1254" s="72"/>
      <c r="H1254" s="72"/>
      <c r="I1254" s="72"/>
      <c r="J1254" s="72"/>
      <c r="K1254" s="72"/>
      <c r="L1254" s="72"/>
      <c r="M1254" s="72"/>
      <c r="N1254" s="73"/>
      <c r="O1254" s="74" t="s">
        <v>53</v>
      </c>
    </row>
    <row r="1255" spans="1:15" ht="21" customHeight="1">
      <c r="A1255" s="63"/>
      <c r="B1255" s="64"/>
      <c r="C1255" s="68"/>
      <c r="D1255" s="69"/>
      <c r="E1255" s="70"/>
      <c r="F1255" s="76" t="s">
        <v>54</v>
      </c>
      <c r="G1255" s="77"/>
      <c r="H1255" s="71" t="s">
        <v>55</v>
      </c>
      <c r="I1255" s="73"/>
      <c r="J1255" s="94" t="s">
        <v>56</v>
      </c>
      <c r="K1255" s="95"/>
      <c r="L1255" s="96"/>
      <c r="M1255" s="80" t="s">
        <v>57</v>
      </c>
      <c r="N1255" s="82"/>
      <c r="O1255" s="75"/>
    </row>
    <row r="1256" spans="1:15" ht="81" customHeight="1">
      <c r="A1256" s="30"/>
      <c r="B1256" s="32"/>
      <c r="C1256" s="49" t="s">
        <v>432</v>
      </c>
      <c r="D1256" s="50"/>
      <c r="E1256" s="51"/>
      <c r="F1256" s="52">
        <v>2</v>
      </c>
      <c r="G1256" s="53"/>
      <c r="H1256" s="54" t="s">
        <v>185</v>
      </c>
      <c r="I1256" s="55"/>
      <c r="J1256" s="56">
        <v>110000</v>
      </c>
      <c r="K1256" s="119"/>
      <c r="L1256" s="57"/>
      <c r="M1256" s="56">
        <v>0</v>
      </c>
      <c r="N1256" s="57"/>
      <c r="O1256" s="7">
        <v>220000</v>
      </c>
    </row>
    <row r="1257" spans="1:15" ht="81" customHeight="1">
      <c r="A1257" s="30"/>
      <c r="B1257" s="32"/>
      <c r="C1257" s="49" t="s">
        <v>433</v>
      </c>
      <c r="D1257" s="50"/>
      <c r="E1257" s="51"/>
      <c r="F1257" s="52">
        <v>2</v>
      </c>
      <c r="G1257" s="53"/>
      <c r="H1257" s="54" t="s">
        <v>185</v>
      </c>
      <c r="I1257" s="55"/>
      <c r="J1257" s="56">
        <v>155000</v>
      </c>
      <c r="K1257" s="119"/>
      <c r="L1257" s="57"/>
      <c r="M1257" s="56">
        <v>0</v>
      </c>
      <c r="N1257" s="57"/>
      <c r="O1257" s="7">
        <v>310000</v>
      </c>
    </row>
    <row r="1258" spans="1:15" ht="81" customHeight="1">
      <c r="A1258" s="30"/>
      <c r="B1258" s="32"/>
      <c r="C1258" s="49" t="s">
        <v>434</v>
      </c>
      <c r="D1258" s="50"/>
      <c r="E1258" s="51"/>
      <c r="F1258" s="52">
        <v>2</v>
      </c>
      <c r="G1258" s="53"/>
      <c r="H1258" s="54" t="s">
        <v>185</v>
      </c>
      <c r="I1258" s="55"/>
      <c r="J1258" s="56">
        <v>215000</v>
      </c>
      <c r="K1258" s="119"/>
      <c r="L1258" s="57"/>
      <c r="M1258" s="56">
        <v>0</v>
      </c>
      <c r="N1258" s="57"/>
      <c r="O1258" s="7">
        <v>430000</v>
      </c>
    </row>
    <row r="1259" spans="1:15" ht="81" customHeight="1">
      <c r="A1259" s="30"/>
      <c r="B1259" s="32"/>
      <c r="C1259" s="49" t="s">
        <v>435</v>
      </c>
      <c r="D1259" s="50"/>
      <c r="E1259" s="51"/>
      <c r="F1259" s="52">
        <v>2</v>
      </c>
      <c r="G1259" s="53"/>
      <c r="H1259" s="54" t="s">
        <v>185</v>
      </c>
      <c r="I1259" s="55"/>
      <c r="J1259" s="56">
        <v>210000</v>
      </c>
      <c r="K1259" s="119"/>
      <c r="L1259" s="57"/>
      <c r="M1259" s="56">
        <v>0</v>
      </c>
      <c r="N1259" s="57"/>
      <c r="O1259" s="7">
        <v>420000</v>
      </c>
    </row>
    <row r="1260" spans="1:15" ht="81" customHeight="1">
      <c r="A1260" s="30"/>
      <c r="B1260" s="32"/>
      <c r="C1260" s="49" t="s">
        <v>436</v>
      </c>
      <c r="D1260" s="50"/>
      <c r="E1260" s="51"/>
      <c r="F1260" s="52">
        <v>2</v>
      </c>
      <c r="G1260" s="53"/>
      <c r="H1260" s="54" t="s">
        <v>185</v>
      </c>
      <c r="I1260" s="55"/>
      <c r="J1260" s="56">
        <v>305000</v>
      </c>
      <c r="K1260" s="119"/>
      <c r="L1260" s="57"/>
      <c r="M1260" s="56">
        <v>0</v>
      </c>
      <c r="N1260" s="57"/>
      <c r="O1260" s="7">
        <v>610000</v>
      </c>
    </row>
    <row r="1261" spans="1:15" ht="81" customHeight="1">
      <c r="A1261" s="30"/>
      <c r="B1261" s="32"/>
      <c r="C1261" s="49" t="s">
        <v>437</v>
      </c>
      <c r="D1261" s="50"/>
      <c r="E1261" s="51"/>
      <c r="F1261" s="52">
        <v>2</v>
      </c>
      <c r="G1261" s="53"/>
      <c r="H1261" s="54" t="s">
        <v>185</v>
      </c>
      <c r="I1261" s="55"/>
      <c r="J1261" s="56">
        <v>165000</v>
      </c>
      <c r="K1261" s="119"/>
      <c r="L1261" s="57"/>
      <c r="M1261" s="56">
        <v>0</v>
      </c>
      <c r="N1261" s="57"/>
      <c r="O1261" s="7">
        <v>330000</v>
      </c>
    </row>
    <row r="1262" spans="1:15" ht="81" customHeight="1">
      <c r="A1262" s="30"/>
      <c r="B1262" s="32"/>
      <c r="C1262" s="49" t="s">
        <v>438</v>
      </c>
      <c r="D1262" s="50"/>
      <c r="E1262" s="51"/>
      <c r="F1262" s="52">
        <v>2</v>
      </c>
      <c r="G1262" s="53"/>
      <c r="H1262" s="54" t="s">
        <v>185</v>
      </c>
      <c r="I1262" s="55"/>
      <c r="J1262" s="56">
        <v>145000</v>
      </c>
      <c r="K1262" s="119"/>
      <c r="L1262" s="57"/>
      <c r="M1262" s="56">
        <v>0</v>
      </c>
      <c r="N1262" s="57"/>
      <c r="O1262" s="7">
        <v>290000</v>
      </c>
    </row>
    <row r="1263" spans="1:15" ht="81" customHeight="1">
      <c r="A1263" s="30"/>
      <c r="B1263" s="32"/>
      <c r="C1263" s="49" t="s">
        <v>439</v>
      </c>
      <c r="D1263" s="50"/>
      <c r="E1263" s="51"/>
      <c r="F1263" s="52">
        <v>2</v>
      </c>
      <c r="G1263" s="53"/>
      <c r="H1263" s="54" t="s">
        <v>185</v>
      </c>
      <c r="I1263" s="55"/>
      <c r="J1263" s="56">
        <v>170000</v>
      </c>
      <c r="K1263" s="119"/>
      <c r="L1263" s="57"/>
      <c r="M1263" s="56">
        <v>0</v>
      </c>
      <c r="N1263" s="57"/>
      <c r="O1263" s="7">
        <v>340000</v>
      </c>
    </row>
    <row r="1264" spans="1:15" ht="82.05" customHeight="1">
      <c r="A1264" s="30"/>
      <c r="B1264" s="32"/>
      <c r="C1264" s="49" t="s">
        <v>440</v>
      </c>
      <c r="D1264" s="50"/>
      <c r="E1264" s="51"/>
      <c r="F1264" s="52">
        <v>2</v>
      </c>
      <c r="G1264" s="53"/>
      <c r="H1264" s="54" t="s">
        <v>185</v>
      </c>
      <c r="I1264" s="55"/>
      <c r="J1264" s="56">
        <v>150000</v>
      </c>
      <c r="K1264" s="119"/>
      <c r="L1264" s="57"/>
      <c r="M1264" s="56">
        <v>0</v>
      </c>
      <c r="N1264" s="57"/>
      <c r="O1264" s="7">
        <v>300000</v>
      </c>
    </row>
    <row r="1265" spans="1:15" ht="81" customHeight="1">
      <c r="A1265" s="30"/>
      <c r="B1265" s="32"/>
      <c r="C1265" s="49" t="s">
        <v>441</v>
      </c>
      <c r="D1265" s="50"/>
      <c r="E1265" s="51"/>
      <c r="F1265" s="52">
        <v>2</v>
      </c>
      <c r="G1265" s="53"/>
      <c r="H1265" s="54" t="s">
        <v>185</v>
      </c>
      <c r="I1265" s="55"/>
      <c r="J1265" s="56">
        <v>255000</v>
      </c>
      <c r="K1265" s="119"/>
      <c r="L1265" s="57"/>
      <c r="M1265" s="56">
        <v>0</v>
      </c>
      <c r="N1265" s="57"/>
      <c r="O1265" s="7">
        <v>510000</v>
      </c>
    </row>
    <row r="1266" spans="1:15" ht="81" customHeight="1">
      <c r="A1266" s="30"/>
      <c r="B1266" s="32"/>
      <c r="C1266" s="49" t="s">
        <v>442</v>
      </c>
      <c r="D1266" s="50"/>
      <c r="E1266" s="51"/>
      <c r="F1266" s="52">
        <v>2</v>
      </c>
      <c r="G1266" s="53"/>
      <c r="H1266" s="54" t="s">
        <v>185</v>
      </c>
      <c r="I1266" s="55"/>
      <c r="J1266" s="56">
        <v>260000</v>
      </c>
      <c r="K1266" s="119"/>
      <c r="L1266" s="57"/>
      <c r="M1266" s="56">
        <v>0</v>
      </c>
      <c r="N1266" s="57"/>
      <c r="O1266" s="7">
        <v>520000</v>
      </c>
    </row>
    <row r="1267" spans="1:15" ht="80.7" customHeight="1">
      <c r="A1267" s="30"/>
      <c r="B1267" s="32"/>
      <c r="C1267" s="49" t="s">
        <v>443</v>
      </c>
      <c r="D1267" s="50"/>
      <c r="E1267" s="51"/>
      <c r="F1267" s="52">
        <v>2</v>
      </c>
      <c r="G1267" s="53"/>
      <c r="H1267" s="54" t="s">
        <v>185</v>
      </c>
      <c r="I1267" s="55"/>
      <c r="J1267" s="56">
        <v>220000</v>
      </c>
      <c r="K1267" s="119"/>
      <c r="L1267" s="57"/>
      <c r="M1267" s="56">
        <v>0</v>
      </c>
      <c r="N1267" s="57"/>
      <c r="O1267" s="7">
        <v>440000</v>
      </c>
    </row>
    <row r="1268" spans="1:15" ht="37.950000000000003" customHeight="1">
      <c r="A1268" s="87" t="s">
        <v>49</v>
      </c>
      <c r="B1268" s="88"/>
      <c r="C1268" s="88"/>
      <c r="D1268" s="88"/>
      <c r="E1268" s="88"/>
      <c r="F1268" s="88"/>
      <c r="G1268" s="88"/>
      <c r="H1268" s="88"/>
      <c r="I1268" s="88"/>
      <c r="J1268" s="88"/>
      <c r="K1268" s="88"/>
      <c r="L1268" s="88"/>
      <c r="M1268" s="88"/>
      <c r="N1268" s="88"/>
      <c r="O1268" s="89"/>
    </row>
    <row r="1269" spans="1:15" ht="19.95" customHeight="1">
      <c r="A1269" s="61" t="s">
        <v>50</v>
      </c>
      <c r="B1269" s="62"/>
      <c r="C1269" s="65" t="s">
        <v>51</v>
      </c>
      <c r="D1269" s="66"/>
      <c r="E1269" s="67"/>
      <c r="F1269" s="71" t="s">
        <v>52</v>
      </c>
      <c r="G1269" s="72"/>
      <c r="H1269" s="72"/>
      <c r="I1269" s="72"/>
      <c r="J1269" s="72"/>
      <c r="K1269" s="72"/>
      <c r="L1269" s="72"/>
      <c r="M1269" s="72"/>
      <c r="N1269" s="73"/>
      <c r="O1269" s="74" t="s">
        <v>53</v>
      </c>
    </row>
    <row r="1270" spans="1:15" ht="21" customHeight="1">
      <c r="A1270" s="63"/>
      <c r="B1270" s="64"/>
      <c r="C1270" s="68"/>
      <c r="D1270" s="69"/>
      <c r="E1270" s="70"/>
      <c r="F1270" s="76" t="s">
        <v>54</v>
      </c>
      <c r="G1270" s="77"/>
      <c r="H1270" s="71" t="s">
        <v>55</v>
      </c>
      <c r="I1270" s="73"/>
      <c r="J1270" s="94" t="s">
        <v>56</v>
      </c>
      <c r="K1270" s="95"/>
      <c r="L1270" s="96"/>
      <c r="M1270" s="80" t="s">
        <v>57</v>
      </c>
      <c r="N1270" s="82"/>
      <c r="O1270" s="75"/>
    </row>
    <row r="1271" spans="1:15" ht="81" customHeight="1">
      <c r="A1271" s="30"/>
      <c r="B1271" s="32"/>
      <c r="C1271" s="49" t="s">
        <v>444</v>
      </c>
      <c r="D1271" s="50"/>
      <c r="E1271" s="51"/>
      <c r="F1271" s="52">
        <v>2</v>
      </c>
      <c r="G1271" s="53"/>
      <c r="H1271" s="54" t="s">
        <v>185</v>
      </c>
      <c r="I1271" s="55"/>
      <c r="J1271" s="56">
        <v>195000</v>
      </c>
      <c r="K1271" s="119"/>
      <c r="L1271" s="57"/>
      <c r="M1271" s="56">
        <v>0</v>
      </c>
      <c r="N1271" s="57"/>
      <c r="O1271" s="7">
        <v>390000</v>
      </c>
    </row>
    <row r="1272" spans="1:15" ht="81" customHeight="1">
      <c r="A1272" s="30"/>
      <c r="B1272" s="32"/>
      <c r="C1272" s="49" t="s">
        <v>445</v>
      </c>
      <c r="D1272" s="50"/>
      <c r="E1272" s="51"/>
      <c r="F1272" s="52">
        <v>2</v>
      </c>
      <c r="G1272" s="53"/>
      <c r="H1272" s="54" t="s">
        <v>185</v>
      </c>
      <c r="I1272" s="55"/>
      <c r="J1272" s="56">
        <v>170000</v>
      </c>
      <c r="K1272" s="119"/>
      <c r="L1272" s="57"/>
      <c r="M1272" s="56">
        <v>0</v>
      </c>
      <c r="N1272" s="57"/>
      <c r="O1272" s="7">
        <v>340000</v>
      </c>
    </row>
    <row r="1273" spans="1:15" ht="81" customHeight="1">
      <c r="A1273" s="30"/>
      <c r="B1273" s="32"/>
      <c r="C1273" s="49" t="s">
        <v>446</v>
      </c>
      <c r="D1273" s="50"/>
      <c r="E1273" s="51"/>
      <c r="F1273" s="52">
        <v>2</v>
      </c>
      <c r="G1273" s="53"/>
      <c r="H1273" s="54" t="s">
        <v>185</v>
      </c>
      <c r="I1273" s="55"/>
      <c r="J1273" s="56">
        <v>120000</v>
      </c>
      <c r="K1273" s="119"/>
      <c r="L1273" s="57"/>
      <c r="M1273" s="56">
        <v>0</v>
      </c>
      <c r="N1273" s="57"/>
      <c r="O1273" s="7">
        <v>240000</v>
      </c>
    </row>
    <row r="1274" spans="1:15" ht="81" customHeight="1">
      <c r="A1274" s="30"/>
      <c r="B1274" s="32"/>
      <c r="C1274" s="49" t="s">
        <v>447</v>
      </c>
      <c r="D1274" s="50"/>
      <c r="E1274" s="51"/>
      <c r="F1274" s="52">
        <v>2</v>
      </c>
      <c r="G1274" s="53"/>
      <c r="H1274" s="54" t="s">
        <v>185</v>
      </c>
      <c r="I1274" s="55"/>
      <c r="J1274" s="56">
        <v>250000</v>
      </c>
      <c r="K1274" s="119"/>
      <c r="L1274" s="57"/>
      <c r="M1274" s="56">
        <v>0</v>
      </c>
      <c r="N1274" s="57"/>
      <c r="O1274" s="7">
        <v>500000</v>
      </c>
    </row>
    <row r="1275" spans="1:15" ht="81" customHeight="1">
      <c r="A1275" s="30"/>
      <c r="B1275" s="32"/>
      <c r="C1275" s="49" t="s">
        <v>448</v>
      </c>
      <c r="D1275" s="50"/>
      <c r="E1275" s="51"/>
      <c r="F1275" s="52">
        <v>2</v>
      </c>
      <c r="G1275" s="53"/>
      <c r="H1275" s="54" t="s">
        <v>185</v>
      </c>
      <c r="I1275" s="55"/>
      <c r="J1275" s="56">
        <v>225000</v>
      </c>
      <c r="K1275" s="119"/>
      <c r="L1275" s="57"/>
      <c r="M1275" s="56">
        <v>0</v>
      </c>
      <c r="N1275" s="57"/>
      <c r="O1275" s="7">
        <v>450000</v>
      </c>
    </row>
    <row r="1276" spans="1:15" ht="81" customHeight="1">
      <c r="A1276" s="30"/>
      <c r="B1276" s="32"/>
      <c r="C1276" s="49" t="s">
        <v>449</v>
      </c>
      <c r="D1276" s="50"/>
      <c r="E1276" s="51"/>
      <c r="F1276" s="52">
        <v>2</v>
      </c>
      <c r="G1276" s="53"/>
      <c r="H1276" s="54" t="s">
        <v>185</v>
      </c>
      <c r="I1276" s="55"/>
      <c r="J1276" s="56">
        <v>195000</v>
      </c>
      <c r="K1276" s="119"/>
      <c r="L1276" s="57"/>
      <c r="M1276" s="56">
        <v>0</v>
      </c>
      <c r="N1276" s="57"/>
      <c r="O1276" s="7">
        <v>390000</v>
      </c>
    </row>
    <row r="1277" spans="1:15" ht="81" customHeight="1">
      <c r="A1277" s="30"/>
      <c r="B1277" s="32"/>
      <c r="C1277" s="49" t="s">
        <v>450</v>
      </c>
      <c r="D1277" s="50"/>
      <c r="E1277" s="51"/>
      <c r="F1277" s="52">
        <v>2</v>
      </c>
      <c r="G1277" s="53"/>
      <c r="H1277" s="54" t="s">
        <v>185</v>
      </c>
      <c r="I1277" s="55"/>
      <c r="J1277" s="56">
        <v>175000</v>
      </c>
      <c r="K1277" s="119"/>
      <c r="L1277" s="57"/>
      <c r="M1277" s="56">
        <v>0</v>
      </c>
      <c r="N1277" s="57"/>
      <c r="O1277" s="7">
        <v>350000</v>
      </c>
    </row>
    <row r="1278" spans="1:15" ht="81" customHeight="1">
      <c r="A1278" s="30"/>
      <c r="B1278" s="32"/>
      <c r="C1278" s="49" t="s">
        <v>451</v>
      </c>
      <c r="D1278" s="50"/>
      <c r="E1278" s="51"/>
      <c r="F1278" s="52">
        <v>2</v>
      </c>
      <c r="G1278" s="53"/>
      <c r="H1278" s="54" t="s">
        <v>185</v>
      </c>
      <c r="I1278" s="55"/>
      <c r="J1278" s="56">
        <v>170000</v>
      </c>
      <c r="K1278" s="119"/>
      <c r="L1278" s="57"/>
      <c r="M1278" s="56">
        <v>0</v>
      </c>
      <c r="N1278" s="57"/>
      <c r="O1278" s="7">
        <v>340000</v>
      </c>
    </row>
    <row r="1279" spans="1:15" ht="82.05" customHeight="1">
      <c r="A1279" s="30"/>
      <c r="B1279" s="32"/>
      <c r="C1279" s="49" t="s">
        <v>452</v>
      </c>
      <c r="D1279" s="50"/>
      <c r="E1279" s="51"/>
      <c r="F1279" s="52">
        <v>2</v>
      </c>
      <c r="G1279" s="53"/>
      <c r="H1279" s="54" t="s">
        <v>185</v>
      </c>
      <c r="I1279" s="55"/>
      <c r="J1279" s="56">
        <v>195000</v>
      </c>
      <c r="K1279" s="119"/>
      <c r="L1279" s="57"/>
      <c r="M1279" s="56">
        <v>0</v>
      </c>
      <c r="N1279" s="57"/>
      <c r="O1279" s="7">
        <v>390000</v>
      </c>
    </row>
    <row r="1280" spans="1:15" ht="81" customHeight="1">
      <c r="A1280" s="30"/>
      <c r="B1280" s="32"/>
      <c r="C1280" s="49" t="s">
        <v>453</v>
      </c>
      <c r="D1280" s="50"/>
      <c r="E1280" s="51"/>
      <c r="F1280" s="52">
        <v>2</v>
      </c>
      <c r="G1280" s="53"/>
      <c r="H1280" s="54" t="s">
        <v>185</v>
      </c>
      <c r="I1280" s="55"/>
      <c r="J1280" s="56">
        <v>290000</v>
      </c>
      <c r="K1280" s="119"/>
      <c r="L1280" s="57"/>
      <c r="M1280" s="56">
        <v>0</v>
      </c>
      <c r="N1280" s="57"/>
      <c r="O1280" s="7">
        <v>580000</v>
      </c>
    </row>
    <row r="1281" spans="1:15" ht="81" customHeight="1">
      <c r="A1281" s="30"/>
      <c r="B1281" s="32"/>
      <c r="C1281" s="49" t="s">
        <v>454</v>
      </c>
      <c r="D1281" s="50"/>
      <c r="E1281" s="51"/>
      <c r="F1281" s="52">
        <v>2</v>
      </c>
      <c r="G1281" s="53"/>
      <c r="H1281" s="54" t="s">
        <v>185</v>
      </c>
      <c r="I1281" s="55"/>
      <c r="J1281" s="56">
        <v>225000</v>
      </c>
      <c r="K1281" s="119"/>
      <c r="L1281" s="57"/>
      <c r="M1281" s="56">
        <v>0</v>
      </c>
      <c r="N1281" s="57"/>
      <c r="O1281" s="7">
        <v>450000</v>
      </c>
    </row>
    <row r="1282" spans="1:15" ht="80.7" customHeight="1">
      <c r="A1282" s="30"/>
      <c r="B1282" s="32"/>
      <c r="C1282" s="49" t="s">
        <v>455</v>
      </c>
      <c r="D1282" s="50"/>
      <c r="E1282" s="51"/>
      <c r="F1282" s="52">
        <v>2</v>
      </c>
      <c r="G1282" s="53"/>
      <c r="H1282" s="54" t="s">
        <v>185</v>
      </c>
      <c r="I1282" s="55"/>
      <c r="J1282" s="56">
        <v>305000</v>
      </c>
      <c r="K1282" s="119"/>
      <c r="L1282" s="57"/>
      <c r="M1282" s="56">
        <v>0</v>
      </c>
      <c r="N1282" s="57"/>
      <c r="O1282" s="7">
        <v>610000</v>
      </c>
    </row>
    <row r="1283" spans="1:15" ht="37.950000000000003" customHeight="1">
      <c r="A1283" s="87" t="s">
        <v>49</v>
      </c>
      <c r="B1283" s="88"/>
      <c r="C1283" s="88"/>
      <c r="D1283" s="88"/>
      <c r="E1283" s="88"/>
      <c r="F1283" s="88"/>
      <c r="G1283" s="88"/>
      <c r="H1283" s="88"/>
      <c r="I1283" s="88"/>
      <c r="J1283" s="88"/>
      <c r="K1283" s="88"/>
      <c r="L1283" s="88"/>
      <c r="M1283" s="88"/>
      <c r="N1283" s="88"/>
      <c r="O1283" s="89"/>
    </row>
    <row r="1284" spans="1:15" ht="19.95" customHeight="1">
      <c r="A1284" s="61" t="s">
        <v>50</v>
      </c>
      <c r="B1284" s="62"/>
      <c r="C1284" s="65" t="s">
        <v>51</v>
      </c>
      <c r="D1284" s="66"/>
      <c r="E1284" s="67"/>
      <c r="F1284" s="71" t="s">
        <v>52</v>
      </c>
      <c r="G1284" s="72"/>
      <c r="H1284" s="72"/>
      <c r="I1284" s="72"/>
      <c r="J1284" s="72"/>
      <c r="K1284" s="72"/>
      <c r="L1284" s="72"/>
      <c r="M1284" s="72"/>
      <c r="N1284" s="73"/>
      <c r="O1284" s="74" t="s">
        <v>53</v>
      </c>
    </row>
    <row r="1285" spans="1:15" ht="21" customHeight="1">
      <c r="A1285" s="63"/>
      <c r="B1285" s="64"/>
      <c r="C1285" s="68"/>
      <c r="D1285" s="69"/>
      <c r="E1285" s="70"/>
      <c r="F1285" s="76" t="s">
        <v>54</v>
      </c>
      <c r="G1285" s="77"/>
      <c r="H1285" s="71" t="s">
        <v>55</v>
      </c>
      <c r="I1285" s="73"/>
      <c r="J1285" s="94" t="s">
        <v>56</v>
      </c>
      <c r="K1285" s="95"/>
      <c r="L1285" s="96"/>
      <c r="M1285" s="80" t="s">
        <v>57</v>
      </c>
      <c r="N1285" s="82"/>
      <c r="O1285" s="75"/>
    </row>
    <row r="1286" spans="1:15" ht="81" customHeight="1">
      <c r="A1286" s="30"/>
      <c r="B1286" s="32"/>
      <c r="C1286" s="49" t="s">
        <v>456</v>
      </c>
      <c r="D1286" s="50"/>
      <c r="E1286" s="51"/>
      <c r="F1286" s="52">
        <v>2</v>
      </c>
      <c r="G1286" s="53"/>
      <c r="H1286" s="54" t="s">
        <v>185</v>
      </c>
      <c r="I1286" s="55"/>
      <c r="J1286" s="56">
        <v>195000</v>
      </c>
      <c r="K1286" s="119"/>
      <c r="L1286" s="57"/>
      <c r="M1286" s="56">
        <v>0</v>
      </c>
      <c r="N1286" s="57"/>
      <c r="O1286" s="7">
        <v>390000</v>
      </c>
    </row>
    <row r="1287" spans="1:15" ht="81" customHeight="1">
      <c r="A1287" s="30"/>
      <c r="B1287" s="32"/>
      <c r="C1287" s="49" t="s">
        <v>457</v>
      </c>
      <c r="D1287" s="50"/>
      <c r="E1287" s="51"/>
      <c r="F1287" s="52">
        <v>2</v>
      </c>
      <c r="G1287" s="53"/>
      <c r="H1287" s="54" t="s">
        <v>185</v>
      </c>
      <c r="I1287" s="55"/>
      <c r="J1287" s="56">
        <v>200000</v>
      </c>
      <c r="K1287" s="119"/>
      <c r="L1287" s="57"/>
      <c r="M1287" s="56">
        <v>0</v>
      </c>
      <c r="N1287" s="57"/>
      <c r="O1287" s="7">
        <v>400000</v>
      </c>
    </row>
    <row r="1288" spans="1:15" ht="81" customHeight="1">
      <c r="A1288" s="30"/>
      <c r="B1288" s="32"/>
      <c r="C1288" s="49" t="s">
        <v>458</v>
      </c>
      <c r="D1288" s="50"/>
      <c r="E1288" s="51"/>
      <c r="F1288" s="52">
        <v>2</v>
      </c>
      <c r="G1288" s="53"/>
      <c r="H1288" s="54" t="s">
        <v>185</v>
      </c>
      <c r="I1288" s="55"/>
      <c r="J1288" s="56">
        <v>175000</v>
      </c>
      <c r="K1288" s="119"/>
      <c r="L1288" s="57"/>
      <c r="M1288" s="56">
        <v>0</v>
      </c>
      <c r="N1288" s="57"/>
      <c r="O1288" s="7">
        <v>350000</v>
      </c>
    </row>
    <row r="1289" spans="1:15" ht="81" customHeight="1">
      <c r="A1289" s="30"/>
      <c r="B1289" s="32"/>
      <c r="C1289" s="49" t="s">
        <v>459</v>
      </c>
      <c r="D1289" s="50"/>
      <c r="E1289" s="51"/>
      <c r="F1289" s="52">
        <v>2</v>
      </c>
      <c r="G1289" s="53"/>
      <c r="H1289" s="54" t="s">
        <v>185</v>
      </c>
      <c r="I1289" s="55"/>
      <c r="J1289" s="56">
        <v>250000</v>
      </c>
      <c r="K1289" s="119"/>
      <c r="L1289" s="57"/>
      <c r="M1289" s="56">
        <v>0</v>
      </c>
      <c r="N1289" s="57"/>
      <c r="O1289" s="7">
        <v>500000</v>
      </c>
    </row>
    <row r="1290" spans="1:15" ht="81" customHeight="1">
      <c r="A1290" s="30"/>
      <c r="B1290" s="32"/>
      <c r="C1290" s="49" t="s">
        <v>460</v>
      </c>
      <c r="D1290" s="50"/>
      <c r="E1290" s="51"/>
      <c r="F1290" s="52">
        <v>2</v>
      </c>
      <c r="G1290" s="53"/>
      <c r="H1290" s="54" t="s">
        <v>185</v>
      </c>
      <c r="I1290" s="55"/>
      <c r="J1290" s="56">
        <v>265000</v>
      </c>
      <c r="K1290" s="119"/>
      <c r="L1290" s="57"/>
      <c r="M1290" s="56">
        <v>0</v>
      </c>
      <c r="N1290" s="57"/>
      <c r="O1290" s="7">
        <v>530000</v>
      </c>
    </row>
    <row r="1291" spans="1:15" ht="81" customHeight="1">
      <c r="A1291" s="30"/>
      <c r="B1291" s="32"/>
      <c r="C1291" s="49" t="s">
        <v>461</v>
      </c>
      <c r="D1291" s="50"/>
      <c r="E1291" s="51"/>
      <c r="F1291" s="52">
        <v>2</v>
      </c>
      <c r="G1291" s="53"/>
      <c r="H1291" s="54" t="s">
        <v>185</v>
      </c>
      <c r="I1291" s="55"/>
      <c r="J1291" s="56">
        <v>385000</v>
      </c>
      <c r="K1291" s="119"/>
      <c r="L1291" s="57"/>
      <c r="M1291" s="56">
        <v>0</v>
      </c>
      <c r="N1291" s="57"/>
      <c r="O1291" s="7">
        <v>770000</v>
      </c>
    </row>
    <row r="1292" spans="1:15" ht="81" customHeight="1">
      <c r="A1292" s="30"/>
      <c r="B1292" s="32"/>
      <c r="C1292" s="49" t="s">
        <v>462</v>
      </c>
      <c r="D1292" s="50"/>
      <c r="E1292" s="51"/>
      <c r="F1292" s="52">
        <v>2</v>
      </c>
      <c r="G1292" s="53"/>
      <c r="H1292" s="54" t="s">
        <v>185</v>
      </c>
      <c r="I1292" s="55"/>
      <c r="J1292" s="56">
        <v>200000</v>
      </c>
      <c r="K1292" s="119"/>
      <c r="L1292" s="57"/>
      <c r="M1292" s="56">
        <v>0</v>
      </c>
      <c r="N1292" s="57"/>
      <c r="O1292" s="7">
        <v>400000</v>
      </c>
    </row>
    <row r="1293" spans="1:15" ht="81" customHeight="1">
      <c r="A1293" s="30"/>
      <c r="B1293" s="32"/>
      <c r="C1293" s="49" t="s">
        <v>463</v>
      </c>
      <c r="D1293" s="50"/>
      <c r="E1293" s="51"/>
      <c r="F1293" s="52">
        <v>2</v>
      </c>
      <c r="G1293" s="53"/>
      <c r="H1293" s="54" t="s">
        <v>185</v>
      </c>
      <c r="I1293" s="55"/>
      <c r="J1293" s="56">
        <v>165000</v>
      </c>
      <c r="K1293" s="119"/>
      <c r="L1293" s="57"/>
      <c r="M1293" s="56">
        <v>0</v>
      </c>
      <c r="N1293" s="57"/>
      <c r="O1293" s="7">
        <v>330000</v>
      </c>
    </row>
    <row r="1294" spans="1:15" ht="82.05" customHeight="1">
      <c r="A1294" s="30"/>
      <c r="B1294" s="32"/>
      <c r="C1294" s="49" t="s">
        <v>464</v>
      </c>
      <c r="D1294" s="50"/>
      <c r="E1294" s="51"/>
      <c r="F1294" s="52">
        <v>2</v>
      </c>
      <c r="G1294" s="53"/>
      <c r="H1294" s="54" t="s">
        <v>185</v>
      </c>
      <c r="I1294" s="55"/>
      <c r="J1294" s="56">
        <v>120000</v>
      </c>
      <c r="K1294" s="119"/>
      <c r="L1294" s="57"/>
      <c r="M1294" s="56">
        <v>0</v>
      </c>
      <c r="N1294" s="57"/>
      <c r="O1294" s="7">
        <v>240000</v>
      </c>
    </row>
    <row r="1295" spans="1:15" ht="81" customHeight="1">
      <c r="A1295" s="30"/>
      <c r="B1295" s="32"/>
      <c r="C1295" s="49" t="s">
        <v>465</v>
      </c>
      <c r="D1295" s="50"/>
      <c r="E1295" s="51"/>
      <c r="F1295" s="52">
        <v>2</v>
      </c>
      <c r="G1295" s="53"/>
      <c r="H1295" s="54" t="s">
        <v>185</v>
      </c>
      <c r="I1295" s="55"/>
      <c r="J1295" s="56">
        <v>155000</v>
      </c>
      <c r="K1295" s="119"/>
      <c r="L1295" s="57"/>
      <c r="M1295" s="56">
        <v>0</v>
      </c>
      <c r="N1295" s="57"/>
      <c r="O1295" s="7">
        <v>310000</v>
      </c>
    </row>
    <row r="1296" spans="1:15" ht="81" customHeight="1">
      <c r="A1296" s="30"/>
      <c r="B1296" s="32"/>
      <c r="C1296" s="49" t="s">
        <v>464</v>
      </c>
      <c r="D1296" s="50"/>
      <c r="E1296" s="51"/>
      <c r="F1296" s="52">
        <v>2</v>
      </c>
      <c r="G1296" s="53"/>
      <c r="H1296" s="54" t="s">
        <v>185</v>
      </c>
      <c r="I1296" s="55"/>
      <c r="J1296" s="56">
        <v>120000</v>
      </c>
      <c r="K1296" s="119"/>
      <c r="L1296" s="57"/>
      <c r="M1296" s="56">
        <v>0</v>
      </c>
      <c r="N1296" s="57"/>
      <c r="O1296" s="7">
        <v>240000</v>
      </c>
    </row>
    <row r="1297" spans="1:15" ht="19.95" customHeight="1">
      <c r="A1297" s="40"/>
      <c r="B1297" s="42"/>
      <c r="C1297" s="46" t="s">
        <v>222</v>
      </c>
      <c r="D1297" s="47"/>
      <c r="E1297" s="47"/>
      <c r="F1297" s="47"/>
      <c r="G1297" s="47"/>
      <c r="H1297" s="47"/>
      <c r="I1297" s="47"/>
      <c r="J1297" s="47"/>
      <c r="K1297" s="47"/>
      <c r="L1297" s="47"/>
      <c r="M1297" s="47"/>
      <c r="N1297" s="48"/>
      <c r="O1297" s="8">
        <v>99825000</v>
      </c>
    </row>
    <row r="1298" spans="1:15" ht="70.8" customHeight="1">
      <c r="A1298" s="30"/>
      <c r="B1298" s="32"/>
      <c r="C1298" s="49" t="s">
        <v>223</v>
      </c>
      <c r="D1298" s="50"/>
      <c r="E1298" s="51"/>
      <c r="F1298" s="52">
        <v>510</v>
      </c>
      <c r="G1298" s="53"/>
      <c r="H1298" s="54" t="s">
        <v>224</v>
      </c>
      <c r="I1298" s="55"/>
      <c r="J1298" s="56">
        <v>170000</v>
      </c>
      <c r="K1298" s="119"/>
      <c r="L1298" s="57"/>
      <c r="M1298" s="56">
        <v>0</v>
      </c>
      <c r="N1298" s="57"/>
      <c r="O1298" s="7">
        <v>86700000</v>
      </c>
    </row>
    <row r="1299" spans="1:15" ht="37.950000000000003" customHeight="1">
      <c r="A1299" s="87" t="s">
        <v>49</v>
      </c>
      <c r="B1299" s="88"/>
      <c r="C1299" s="88"/>
      <c r="D1299" s="88"/>
      <c r="E1299" s="88"/>
      <c r="F1299" s="88"/>
      <c r="G1299" s="88"/>
      <c r="H1299" s="88"/>
      <c r="I1299" s="88"/>
      <c r="J1299" s="88"/>
      <c r="K1299" s="88"/>
      <c r="L1299" s="88"/>
      <c r="M1299" s="88"/>
      <c r="N1299" s="88"/>
      <c r="O1299" s="89"/>
    </row>
    <row r="1300" spans="1:15" ht="19.95" customHeight="1">
      <c r="A1300" s="61" t="s">
        <v>50</v>
      </c>
      <c r="B1300" s="62"/>
      <c r="C1300" s="65" t="s">
        <v>51</v>
      </c>
      <c r="D1300" s="66"/>
      <c r="E1300" s="67"/>
      <c r="F1300" s="71" t="s">
        <v>52</v>
      </c>
      <c r="G1300" s="72"/>
      <c r="H1300" s="72"/>
      <c r="I1300" s="72"/>
      <c r="J1300" s="72"/>
      <c r="K1300" s="72"/>
      <c r="L1300" s="72"/>
      <c r="M1300" s="72"/>
      <c r="N1300" s="73"/>
      <c r="O1300" s="74" t="s">
        <v>53</v>
      </c>
    </row>
    <row r="1301" spans="1:15" ht="21" customHeight="1">
      <c r="A1301" s="63"/>
      <c r="B1301" s="64"/>
      <c r="C1301" s="68"/>
      <c r="D1301" s="69"/>
      <c r="E1301" s="70"/>
      <c r="F1301" s="76" t="s">
        <v>54</v>
      </c>
      <c r="G1301" s="77"/>
      <c r="H1301" s="71" t="s">
        <v>55</v>
      </c>
      <c r="I1301" s="73"/>
      <c r="J1301" s="78" t="s">
        <v>56</v>
      </c>
      <c r="K1301" s="79"/>
      <c r="L1301" s="80" t="s">
        <v>57</v>
      </c>
      <c r="M1301" s="81"/>
      <c r="N1301" s="82"/>
      <c r="O1301" s="75"/>
    </row>
    <row r="1302" spans="1:15" ht="70.05" customHeight="1">
      <c r="A1302" s="30"/>
      <c r="B1302" s="32"/>
      <c r="C1302" s="49" t="s">
        <v>466</v>
      </c>
      <c r="D1302" s="50"/>
      <c r="E1302" s="51"/>
      <c r="F1302" s="52">
        <v>175</v>
      </c>
      <c r="G1302" s="53"/>
      <c r="H1302" s="54" t="s">
        <v>224</v>
      </c>
      <c r="I1302" s="55"/>
      <c r="J1302" s="56">
        <v>75000</v>
      </c>
      <c r="K1302" s="57"/>
      <c r="L1302" s="58">
        <v>0</v>
      </c>
      <c r="M1302" s="59"/>
      <c r="N1302" s="60"/>
      <c r="O1302" s="9">
        <v>13125000</v>
      </c>
    </row>
    <row r="1303" spans="1:15" ht="31.05" customHeight="1">
      <c r="A1303" s="30" t="s">
        <v>467</v>
      </c>
      <c r="B1303" s="32"/>
      <c r="C1303" s="46" t="s">
        <v>468</v>
      </c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8"/>
      <c r="O1303" s="6">
        <v>10200000</v>
      </c>
    </row>
    <row r="1304" spans="1:15" ht="31.05" customHeight="1">
      <c r="A1304" s="40"/>
      <c r="B1304" s="42"/>
      <c r="C1304" s="30" t="s">
        <v>182</v>
      </c>
      <c r="D1304" s="31"/>
      <c r="E1304" s="31"/>
      <c r="F1304" s="31"/>
      <c r="G1304" s="31"/>
      <c r="H1304" s="31"/>
      <c r="I1304" s="31"/>
      <c r="J1304" s="31"/>
      <c r="K1304" s="31"/>
      <c r="L1304" s="31"/>
      <c r="M1304" s="31"/>
      <c r="N1304" s="32"/>
      <c r="O1304" s="6">
        <v>10200000</v>
      </c>
    </row>
    <row r="1305" spans="1:15" ht="19.95" customHeight="1">
      <c r="A1305" s="40"/>
      <c r="B1305" s="42"/>
      <c r="C1305" s="46" t="s">
        <v>222</v>
      </c>
      <c r="D1305" s="47"/>
      <c r="E1305" s="47"/>
      <c r="F1305" s="47"/>
      <c r="G1305" s="47"/>
      <c r="H1305" s="47"/>
      <c r="I1305" s="47"/>
      <c r="J1305" s="47"/>
      <c r="K1305" s="47"/>
      <c r="L1305" s="47"/>
      <c r="M1305" s="47"/>
      <c r="N1305" s="48"/>
      <c r="O1305" s="6">
        <v>10200000</v>
      </c>
    </row>
    <row r="1306" spans="1:15" ht="70.95" customHeight="1">
      <c r="A1306" s="30"/>
      <c r="B1306" s="32"/>
      <c r="C1306" s="49" t="s">
        <v>469</v>
      </c>
      <c r="D1306" s="50"/>
      <c r="E1306" s="51"/>
      <c r="F1306" s="52">
        <v>68</v>
      </c>
      <c r="G1306" s="53"/>
      <c r="H1306" s="54" t="s">
        <v>224</v>
      </c>
      <c r="I1306" s="55"/>
      <c r="J1306" s="56">
        <v>150000</v>
      </c>
      <c r="K1306" s="57"/>
      <c r="L1306" s="58">
        <v>0</v>
      </c>
      <c r="M1306" s="59"/>
      <c r="N1306" s="60"/>
      <c r="O1306" s="9">
        <v>10200000</v>
      </c>
    </row>
    <row r="1307" spans="1:15" ht="31.05" customHeight="1">
      <c r="A1307" s="27" t="s">
        <v>89</v>
      </c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9"/>
      <c r="O1307" s="13">
        <v>206155000</v>
      </c>
    </row>
    <row r="1308" spans="1:15" ht="153" customHeight="1">
      <c r="A1308" s="30"/>
      <c r="B1308" s="31"/>
      <c r="C1308" s="31"/>
      <c r="D1308" s="31"/>
      <c r="E1308" s="31"/>
      <c r="F1308" s="31"/>
      <c r="G1308" s="32"/>
      <c r="H1308" s="33" t="s">
        <v>90</v>
      </c>
      <c r="I1308" s="34"/>
      <c r="J1308" s="34"/>
      <c r="K1308" s="34"/>
      <c r="L1308" s="34"/>
      <c r="M1308" s="34"/>
      <c r="N1308" s="34"/>
      <c r="O1308" s="35"/>
    </row>
    <row r="1309" spans="1:15" ht="20.5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36"/>
      <c r="K1309" s="36"/>
      <c r="L1309" s="36"/>
      <c r="M1309" s="36"/>
      <c r="N1309" s="36"/>
      <c r="O1309" s="5"/>
    </row>
    <row r="1310" spans="1:15" ht="21" customHeight="1">
      <c r="A1310" s="37" t="s">
        <v>91</v>
      </c>
      <c r="B1310" s="38"/>
      <c r="C1310" s="39"/>
      <c r="D1310" s="2" t="s">
        <v>48</v>
      </c>
      <c r="E1310" s="40"/>
      <c r="F1310" s="41"/>
      <c r="G1310" s="41"/>
      <c r="H1310" s="41"/>
      <c r="I1310" s="41"/>
      <c r="J1310" s="41"/>
      <c r="K1310" s="41"/>
      <c r="L1310" s="41"/>
      <c r="M1310" s="41"/>
      <c r="N1310" s="41"/>
      <c r="O1310" s="42"/>
    </row>
    <row r="1311" spans="1:15" ht="19.95" customHeight="1">
      <c r="A1311" s="37" t="s">
        <v>92</v>
      </c>
      <c r="B1311" s="38"/>
      <c r="C1311" s="39"/>
      <c r="D1311" s="2" t="s">
        <v>48</v>
      </c>
      <c r="E1311" s="40"/>
      <c r="F1311" s="41"/>
      <c r="G1311" s="41"/>
      <c r="H1311" s="41"/>
      <c r="I1311" s="41"/>
      <c r="J1311" s="41"/>
      <c r="K1311" s="41"/>
      <c r="L1311" s="41"/>
      <c r="M1311" s="41"/>
      <c r="N1311" s="41"/>
      <c r="O1311" s="42"/>
    </row>
    <row r="1312" spans="1:15" ht="19.95" customHeight="1">
      <c r="A1312" s="37" t="s">
        <v>93</v>
      </c>
      <c r="B1312" s="38"/>
      <c r="C1312" s="39"/>
      <c r="D1312" s="2" t="s">
        <v>48</v>
      </c>
      <c r="E1312" s="40"/>
      <c r="F1312" s="41"/>
      <c r="G1312" s="41"/>
      <c r="H1312" s="41"/>
      <c r="I1312" s="41"/>
      <c r="J1312" s="41"/>
      <c r="K1312" s="41"/>
      <c r="L1312" s="41"/>
      <c r="M1312" s="41"/>
      <c r="N1312" s="41"/>
      <c r="O1312" s="42"/>
    </row>
    <row r="1313" spans="1:15" ht="21" customHeight="1">
      <c r="A1313" s="43">
        <v>1</v>
      </c>
      <c r="B1313" s="44"/>
      <c r="C1313" s="44"/>
      <c r="D1313" s="44"/>
      <c r="E1313" s="44"/>
      <c r="F1313" s="44"/>
      <c r="G1313" s="44"/>
      <c r="H1313" s="44"/>
      <c r="I1313" s="44"/>
      <c r="J1313" s="44"/>
      <c r="K1313" s="44"/>
      <c r="L1313" s="44"/>
      <c r="M1313" s="44"/>
      <c r="N1313" s="44"/>
      <c r="O1313" s="45"/>
    </row>
    <row r="1314" spans="1:15" ht="19.95" customHeight="1">
      <c r="A1314" s="43">
        <v>2</v>
      </c>
      <c r="B1314" s="44"/>
      <c r="C1314" s="44"/>
      <c r="D1314" s="44"/>
      <c r="E1314" s="44"/>
      <c r="F1314" s="44"/>
      <c r="G1314" s="44"/>
      <c r="H1314" s="44"/>
      <c r="I1314" s="44"/>
      <c r="J1314" s="44"/>
      <c r="K1314" s="44"/>
      <c r="L1314" s="44"/>
      <c r="M1314" s="44"/>
      <c r="N1314" s="44"/>
      <c r="O1314" s="45"/>
    </row>
    <row r="1315" spans="1:15" ht="19.5" customHeight="1">
      <c r="A1315" s="37" t="s">
        <v>94</v>
      </c>
      <c r="B1315" s="38"/>
      <c r="C1315" s="38"/>
      <c r="D1315" s="38"/>
      <c r="E1315" s="38"/>
      <c r="F1315" s="38"/>
      <c r="G1315" s="38"/>
      <c r="H1315" s="38"/>
      <c r="I1315" s="38"/>
      <c r="J1315" s="38"/>
      <c r="K1315" s="38"/>
      <c r="L1315" s="38"/>
      <c r="M1315" s="38"/>
      <c r="N1315" s="38"/>
      <c r="O1315" s="39"/>
    </row>
    <row r="1316" spans="1:15" ht="20.55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36"/>
      <c r="K1316" s="36"/>
      <c r="L1316" s="36"/>
      <c r="M1316" s="36"/>
      <c r="N1316" s="36"/>
      <c r="O1316" s="5"/>
    </row>
    <row r="1317" spans="1:15" ht="22.05" customHeight="1">
      <c r="A1317" s="18" t="s">
        <v>95</v>
      </c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20"/>
    </row>
    <row r="1318" spans="1:15" ht="21" customHeight="1">
      <c r="A1318" s="3" t="s">
        <v>96</v>
      </c>
      <c r="B1318" s="18" t="s">
        <v>97</v>
      </c>
      <c r="C1318" s="19"/>
      <c r="D1318" s="19"/>
      <c r="E1318" s="19"/>
      <c r="F1318" s="20"/>
      <c r="G1318" s="18" t="s">
        <v>98</v>
      </c>
      <c r="H1318" s="20"/>
      <c r="I1318" s="18" t="s">
        <v>99</v>
      </c>
      <c r="J1318" s="19"/>
      <c r="K1318" s="20"/>
      <c r="L1318" s="21" t="s">
        <v>100</v>
      </c>
      <c r="M1318" s="22"/>
      <c r="N1318" s="22"/>
      <c r="O1318" s="23"/>
    </row>
    <row r="1319" spans="1:15" ht="21.75" customHeight="1">
      <c r="A1319" s="24" t="s">
        <v>101</v>
      </c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6"/>
    </row>
    <row r="1320" spans="1:15" ht="64.05" customHeight="1">
      <c r="A1320" s="106" t="s">
        <v>0</v>
      </c>
      <c r="B1320" s="107"/>
      <c r="C1320" s="107"/>
      <c r="D1320" s="107"/>
      <c r="E1320" s="107"/>
      <c r="F1320" s="107"/>
      <c r="G1320" s="107"/>
      <c r="H1320" s="107"/>
      <c r="I1320" s="107"/>
      <c r="J1320" s="108"/>
      <c r="K1320" s="109" t="s">
        <v>1</v>
      </c>
      <c r="L1320" s="110"/>
      <c r="M1320" s="110"/>
      <c r="N1320" s="110"/>
      <c r="O1320" s="111"/>
    </row>
    <row r="1321" spans="1:15" ht="23.55" customHeight="1">
      <c r="A1321" s="101" t="s">
        <v>674</v>
      </c>
      <c r="B1321" s="102"/>
      <c r="C1321" s="102"/>
      <c r="D1321" s="102"/>
      <c r="E1321" s="102"/>
      <c r="F1321" s="102"/>
      <c r="G1321" s="102"/>
      <c r="H1321" s="102"/>
      <c r="I1321" s="102"/>
      <c r="J1321" s="102"/>
      <c r="K1321" s="102"/>
      <c r="L1321" s="102"/>
      <c r="M1321" s="102"/>
      <c r="N1321" s="102"/>
      <c r="O1321" s="103"/>
    </row>
    <row r="1322" spans="1:15" ht="20.55" customHeight="1">
      <c r="A1322" s="93"/>
      <c r="B1322" s="93"/>
      <c r="C1322" s="1"/>
      <c r="D1322" s="93"/>
      <c r="E1322" s="93"/>
      <c r="F1322" s="93"/>
      <c r="G1322" s="93"/>
      <c r="H1322" s="93"/>
      <c r="I1322" s="93"/>
      <c r="J1322" s="5"/>
      <c r="K1322" s="36"/>
      <c r="L1322" s="36"/>
      <c r="M1322" s="5"/>
      <c r="N1322" s="5"/>
      <c r="O1322" s="5"/>
    </row>
    <row r="1323" spans="1:15" ht="37.049999999999997" customHeight="1">
      <c r="A1323" s="101" t="s">
        <v>2</v>
      </c>
      <c r="B1323" s="102"/>
      <c r="C1323" s="102"/>
      <c r="D1323" s="102"/>
      <c r="E1323" s="102"/>
      <c r="F1323" s="102"/>
      <c r="G1323" s="102"/>
      <c r="H1323" s="102"/>
      <c r="I1323" s="102"/>
      <c r="J1323" s="102"/>
      <c r="K1323" s="102"/>
      <c r="L1323" s="102"/>
      <c r="M1323" s="102"/>
      <c r="N1323" s="102"/>
      <c r="O1323" s="103"/>
    </row>
    <row r="1324" spans="1:15" ht="21" customHeight="1">
      <c r="A1324" s="37" t="s">
        <v>3</v>
      </c>
      <c r="B1324" s="38"/>
      <c r="C1324" s="39"/>
      <c r="D1324" s="90" t="s">
        <v>4</v>
      </c>
      <c r="E1324" s="91"/>
      <c r="F1324" s="91"/>
      <c r="G1324" s="91"/>
      <c r="H1324" s="91"/>
      <c r="I1324" s="91"/>
      <c r="J1324" s="91"/>
      <c r="K1324" s="91"/>
      <c r="L1324" s="91"/>
      <c r="M1324" s="91"/>
      <c r="N1324" s="91"/>
      <c r="O1324" s="92"/>
    </row>
    <row r="1325" spans="1:15" ht="22.05" customHeight="1">
      <c r="A1325" s="37" t="s">
        <v>5</v>
      </c>
      <c r="B1325" s="38"/>
      <c r="C1325" s="39"/>
      <c r="D1325" s="90" t="s">
        <v>6</v>
      </c>
      <c r="E1325" s="91"/>
      <c r="F1325" s="91"/>
      <c r="G1325" s="91"/>
      <c r="H1325" s="91"/>
      <c r="I1325" s="91"/>
      <c r="J1325" s="91"/>
      <c r="K1325" s="91"/>
      <c r="L1325" s="91"/>
      <c r="M1325" s="91"/>
      <c r="N1325" s="91"/>
      <c r="O1325" s="92"/>
    </row>
    <row r="1326" spans="1:15" ht="22.05" customHeight="1">
      <c r="A1326" s="37" t="s">
        <v>7</v>
      </c>
      <c r="B1326" s="38"/>
      <c r="C1326" s="39"/>
      <c r="D1326" s="90" t="s">
        <v>8</v>
      </c>
      <c r="E1326" s="91"/>
      <c r="F1326" s="91"/>
      <c r="G1326" s="91"/>
      <c r="H1326" s="91"/>
      <c r="I1326" s="91"/>
      <c r="J1326" s="91"/>
      <c r="K1326" s="91"/>
      <c r="L1326" s="91"/>
      <c r="M1326" s="91"/>
      <c r="N1326" s="91"/>
      <c r="O1326" s="92"/>
    </row>
    <row r="1327" spans="1:15" ht="21" customHeight="1">
      <c r="A1327" s="37" t="s">
        <v>9</v>
      </c>
      <c r="B1327" s="38"/>
      <c r="C1327" s="39"/>
      <c r="D1327" s="90" t="s">
        <v>10</v>
      </c>
      <c r="E1327" s="91"/>
      <c r="F1327" s="91"/>
      <c r="G1327" s="91"/>
      <c r="H1327" s="91"/>
      <c r="I1327" s="91"/>
      <c r="J1327" s="91"/>
      <c r="K1327" s="91"/>
      <c r="L1327" s="91"/>
      <c r="M1327" s="91"/>
      <c r="N1327" s="91"/>
      <c r="O1327" s="92"/>
    </row>
    <row r="1328" spans="1:15" ht="22.05" customHeight="1">
      <c r="A1328" s="37" t="s">
        <v>11</v>
      </c>
      <c r="B1328" s="38"/>
      <c r="C1328" s="39"/>
      <c r="D1328" s="90" t="s">
        <v>12</v>
      </c>
      <c r="E1328" s="91"/>
      <c r="F1328" s="91"/>
      <c r="G1328" s="91"/>
      <c r="H1328" s="91"/>
      <c r="I1328" s="91"/>
      <c r="J1328" s="91"/>
      <c r="K1328" s="91"/>
      <c r="L1328" s="91"/>
      <c r="M1328" s="91"/>
      <c r="N1328" s="91"/>
      <c r="O1328" s="92"/>
    </row>
    <row r="1329" spans="1:15" ht="22.05" customHeight="1">
      <c r="A1329" s="37" t="s">
        <v>13</v>
      </c>
      <c r="B1329" s="38"/>
      <c r="C1329" s="39"/>
      <c r="D1329" s="90" t="s">
        <v>246</v>
      </c>
      <c r="E1329" s="91"/>
      <c r="F1329" s="91"/>
      <c r="G1329" s="91"/>
      <c r="H1329" s="91"/>
      <c r="I1329" s="91"/>
      <c r="J1329" s="91"/>
      <c r="K1329" s="91"/>
      <c r="L1329" s="91"/>
      <c r="M1329" s="91"/>
      <c r="N1329" s="91"/>
      <c r="O1329" s="92"/>
    </row>
    <row r="1330" spans="1:15" ht="21" customHeight="1">
      <c r="A1330" s="37" t="s">
        <v>15</v>
      </c>
      <c r="B1330" s="38"/>
      <c r="C1330" s="39"/>
      <c r="D1330" s="90" t="s">
        <v>470</v>
      </c>
      <c r="E1330" s="91"/>
      <c r="F1330" s="91"/>
      <c r="G1330" s="91"/>
      <c r="H1330" s="91"/>
      <c r="I1330" s="91"/>
      <c r="J1330" s="91"/>
      <c r="K1330" s="91"/>
      <c r="L1330" s="91"/>
      <c r="M1330" s="91"/>
      <c r="N1330" s="91"/>
      <c r="O1330" s="92"/>
    </row>
    <row r="1331" spans="1:15" ht="22.05" customHeight="1">
      <c r="A1331" s="37" t="s">
        <v>17</v>
      </c>
      <c r="B1331" s="38"/>
      <c r="C1331" s="39"/>
      <c r="D1331" s="90" t="s">
        <v>10</v>
      </c>
      <c r="E1331" s="91"/>
      <c r="F1331" s="91"/>
      <c r="G1331" s="91"/>
      <c r="H1331" s="91"/>
      <c r="I1331" s="91"/>
      <c r="J1331" s="91"/>
      <c r="K1331" s="91"/>
      <c r="L1331" s="91"/>
      <c r="M1331" s="91"/>
      <c r="N1331" s="91"/>
      <c r="O1331" s="92"/>
    </row>
    <row r="1332" spans="1:15" ht="22.05" customHeight="1">
      <c r="A1332" s="37" t="s">
        <v>18</v>
      </c>
      <c r="B1332" s="38"/>
      <c r="C1332" s="39"/>
      <c r="D1332" s="90" t="s">
        <v>10</v>
      </c>
      <c r="E1332" s="91"/>
      <c r="F1332" s="91"/>
      <c r="G1332" s="91"/>
      <c r="H1332" s="91"/>
      <c r="I1332" s="91"/>
      <c r="J1332" s="91"/>
      <c r="K1332" s="91"/>
      <c r="L1332" s="91"/>
      <c r="M1332" s="91"/>
      <c r="N1332" s="91"/>
      <c r="O1332" s="92"/>
    </row>
    <row r="1333" spans="1:15" ht="22.05" customHeight="1">
      <c r="A1333" s="37" t="s">
        <v>19</v>
      </c>
      <c r="B1333" s="38"/>
      <c r="C1333" s="39"/>
      <c r="D1333" s="90" t="s">
        <v>20</v>
      </c>
      <c r="E1333" s="91"/>
      <c r="F1333" s="91"/>
      <c r="G1333" s="91"/>
      <c r="H1333" s="91"/>
      <c r="I1333" s="91"/>
      <c r="J1333" s="91"/>
      <c r="K1333" s="91"/>
      <c r="L1333" s="91"/>
      <c r="M1333" s="91"/>
      <c r="N1333" s="91"/>
      <c r="O1333" s="92"/>
    </row>
    <row r="1334" spans="1:15" ht="21" customHeight="1">
      <c r="A1334" s="37" t="s">
        <v>21</v>
      </c>
      <c r="B1334" s="38"/>
      <c r="C1334" s="39"/>
      <c r="D1334" s="90" t="s">
        <v>22</v>
      </c>
      <c r="E1334" s="91"/>
      <c r="F1334" s="91"/>
      <c r="G1334" s="91"/>
      <c r="H1334" s="91"/>
      <c r="I1334" s="91"/>
      <c r="J1334" s="91"/>
      <c r="K1334" s="91"/>
      <c r="L1334" s="91"/>
      <c r="M1334" s="91"/>
      <c r="N1334" s="91"/>
      <c r="O1334" s="92"/>
    </row>
    <row r="1335" spans="1:15" ht="22.05" customHeight="1">
      <c r="A1335" s="37" t="s">
        <v>23</v>
      </c>
      <c r="B1335" s="38"/>
      <c r="C1335" s="39"/>
      <c r="D1335" s="90" t="s">
        <v>24</v>
      </c>
      <c r="E1335" s="91"/>
      <c r="F1335" s="91"/>
      <c r="G1335" s="91"/>
      <c r="H1335" s="91"/>
      <c r="I1335" s="91"/>
      <c r="J1335" s="91"/>
      <c r="K1335" s="91"/>
      <c r="L1335" s="91"/>
      <c r="M1335" s="91"/>
      <c r="N1335" s="91"/>
      <c r="O1335" s="92"/>
    </row>
    <row r="1336" spans="1:15" ht="22.05" customHeight="1">
      <c r="A1336" s="37" t="s">
        <v>25</v>
      </c>
      <c r="B1336" s="38"/>
      <c r="C1336" s="39"/>
      <c r="D1336" s="90" t="s">
        <v>26</v>
      </c>
      <c r="E1336" s="91"/>
      <c r="F1336" s="91"/>
      <c r="G1336" s="91"/>
      <c r="H1336" s="91"/>
      <c r="I1336" s="91"/>
      <c r="J1336" s="91"/>
      <c r="K1336" s="91"/>
      <c r="L1336" s="91"/>
      <c r="M1336" s="91"/>
      <c r="N1336" s="91"/>
      <c r="O1336" s="92"/>
    </row>
    <row r="1337" spans="1:15" ht="21" customHeight="1">
      <c r="A1337" s="37" t="s">
        <v>670</v>
      </c>
      <c r="B1337" s="38"/>
      <c r="C1337" s="39"/>
      <c r="D1337" s="90" t="s">
        <v>27</v>
      </c>
      <c r="E1337" s="91"/>
      <c r="F1337" s="91"/>
      <c r="G1337" s="91"/>
      <c r="H1337" s="91"/>
      <c r="I1337" s="91"/>
      <c r="J1337" s="91"/>
      <c r="K1337" s="91"/>
      <c r="L1337" s="91"/>
      <c r="M1337" s="91"/>
      <c r="N1337" s="91"/>
      <c r="O1337" s="92"/>
    </row>
    <row r="1338" spans="1:15" ht="22.05" customHeight="1">
      <c r="A1338" s="37" t="s">
        <v>675</v>
      </c>
      <c r="B1338" s="38"/>
      <c r="C1338" s="39"/>
      <c r="D1338" s="90" t="s">
        <v>471</v>
      </c>
      <c r="E1338" s="91"/>
      <c r="F1338" s="91"/>
      <c r="G1338" s="91"/>
      <c r="H1338" s="91"/>
      <c r="I1338" s="91"/>
      <c r="J1338" s="91"/>
      <c r="K1338" s="91"/>
      <c r="L1338" s="91"/>
      <c r="M1338" s="91"/>
      <c r="N1338" s="91"/>
      <c r="O1338" s="92"/>
    </row>
    <row r="1339" spans="1:15" ht="21.45" customHeight="1">
      <c r="A1339" s="37" t="s">
        <v>676</v>
      </c>
      <c r="B1339" s="38"/>
      <c r="C1339" s="39"/>
      <c r="D1339" s="90" t="s">
        <v>472</v>
      </c>
      <c r="E1339" s="91"/>
      <c r="F1339" s="91"/>
      <c r="G1339" s="91"/>
      <c r="H1339" s="91"/>
      <c r="I1339" s="91"/>
      <c r="J1339" s="91"/>
      <c r="K1339" s="91"/>
      <c r="L1339" s="91"/>
      <c r="M1339" s="91"/>
      <c r="N1339" s="91"/>
      <c r="O1339" s="92"/>
    </row>
    <row r="1340" spans="1:15" ht="20.55" customHeight="1">
      <c r="A1340" s="93"/>
      <c r="B1340" s="93"/>
      <c r="C1340" s="1"/>
      <c r="D1340" s="93"/>
      <c r="E1340" s="93"/>
      <c r="F1340" s="93"/>
      <c r="G1340" s="93"/>
      <c r="H1340" s="93"/>
      <c r="I1340" s="93"/>
      <c r="J1340" s="5"/>
      <c r="K1340" s="36"/>
      <c r="L1340" s="36"/>
      <c r="M1340" s="5"/>
      <c r="N1340" s="5"/>
      <c r="O1340" s="5"/>
    </row>
    <row r="1341" spans="1:15" ht="22.95" customHeight="1">
      <c r="A1341" s="101" t="s">
        <v>29</v>
      </c>
      <c r="B1341" s="102"/>
      <c r="C1341" s="102"/>
      <c r="D1341" s="102"/>
      <c r="E1341" s="102"/>
      <c r="F1341" s="102"/>
      <c r="G1341" s="102"/>
      <c r="H1341" s="102"/>
      <c r="I1341" s="102"/>
      <c r="J1341" s="102"/>
      <c r="K1341" s="102"/>
      <c r="L1341" s="102"/>
      <c r="M1341" s="102"/>
      <c r="N1341" s="102"/>
      <c r="O1341" s="103"/>
    </row>
    <row r="1342" spans="1:15" ht="24" customHeight="1">
      <c r="A1342" s="101" t="s">
        <v>30</v>
      </c>
      <c r="B1342" s="102"/>
      <c r="C1342" s="103"/>
      <c r="D1342" s="101" t="s">
        <v>31</v>
      </c>
      <c r="E1342" s="102"/>
      <c r="F1342" s="102"/>
      <c r="G1342" s="102"/>
      <c r="H1342" s="102"/>
      <c r="I1342" s="102"/>
      <c r="J1342" s="102"/>
      <c r="K1342" s="102"/>
      <c r="L1342" s="102"/>
      <c r="M1342" s="103"/>
      <c r="N1342" s="104" t="s">
        <v>32</v>
      </c>
      <c r="O1342" s="105"/>
    </row>
    <row r="1343" spans="1:15" ht="21" customHeight="1">
      <c r="A1343" s="37" t="s">
        <v>33</v>
      </c>
      <c r="B1343" s="38"/>
      <c r="C1343" s="39"/>
      <c r="D1343" s="37" t="s">
        <v>34</v>
      </c>
      <c r="E1343" s="38"/>
      <c r="F1343" s="38"/>
      <c r="G1343" s="38"/>
      <c r="H1343" s="38"/>
      <c r="I1343" s="38"/>
      <c r="J1343" s="38"/>
      <c r="K1343" s="38"/>
      <c r="L1343" s="38"/>
      <c r="M1343" s="39"/>
      <c r="N1343" s="97" t="s">
        <v>35</v>
      </c>
      <c r="O1343" s="98"/>
    </row>
    <row r="1344" spans="1:15" ht="19.95" customHeight="1">
      <c r="A1344" s="37" t="s">
        <v>36</v>
      </c>
      <c r="B1344" s="38"/>
      <c r="C1344" s="39"/>
      <c r="D1344" s="37" t="s">
        <v>37</v>
      </c>
      <c r="E1344" s="38"/>
      <c r="F1344" s="38"/>
      <c r="G1344" s="38"/>
      <c r="H1344" s="38"/>
      <c r="I1344" s="38"/>
      <c r="J1344" s="38"/>
      <c r="K1344" s="38"/>
      <c r="L1344" s="38"/>
      <c r="M1344" s="39"/>
      <c r="N1344" s="97">
        <f>O1359</f>
        <v>141191000</v>
      </c>
      <c r="O1344" s="98"/>
    </row>
    <row r="1345" spans="1:15" ht="19.95" customHeight="1">
      <c r="A1345" s="37" t="s">
        <v>38</v>
      </c>
      <c r="B1345" s="38"/>
      <c r="C1345" s="39"/>
      <c r="D1345" s="37" t="s">
        <v>473</v>
      </c>
      <c r="E1345" s="38"/>
      <c r="F1345" s="38"/>
      <c r="G1345" s="38"/>
      <c r="H1345" s="38"/>
      <c r="I1345" s="38"/>
      <c r="J1345" s="38"/>
      <c r="K1345" s="38"/>
      <c r="L1345" s="38"/>
      <c r="M1345" s="39"/>
      <c r="N1345" s="97" t="s">
        <v>474</v>
      </c>
      <c r="O1345" s="98"/>
    </row>
    <row r="1346" spans="1:15" ht="20.55" customHeight="1">
      <c r="A1346" s="37" t="s">
        <v>41</v>
      </c>
      <c r="B1346" s="38"/>
      <c r="C1346" s="39"/>
      <c r="D1346" s="37" t="s">
        <v>252</v>
      </c>
      <c r="E1346" s="38"/>
      <c r="F1346" s="38"/>
      <c r="G1346" s="38"/>
      <c r="H1346" s="38"/>
      <c r="I1346" s="38"/>
      <c r="J1346" s="38"/>
      <c r="K1346" s="38"/>
      <c r="L1346" s="38"/>
      <c r="M1346" s="39"/>
      <c r="N1346" s="99">
        <v>0.97</v>
      </c>
      <c r="O1346" s="100"/>
    </row>
    <row r="1347" spans="1:15" ht="20.55" customHeight="1">
      <c r="A1347" s="93"/>
      <c r="B1347" s="93"/>
      <c r="C1347" s="1"/>
      <c r="D1347" s="93"/>
      <c r="E1347" s="93"/>
      <c r="F1347" s="93"/>
      <c r="G1347" s="93"/>
      <c r="H1347" s="93"/>
      <c r="I1347" s="93"/>
      <c r="J1347" s="5"/>
      <c r="K1347" s="36"/>
      <c r="L1347" s="36"/>
      <c r="M1347" s="5"/>
      <c r="N1347" s="5"/>
      <c r="O1347" s="5"/>
    </row>
    <row r="1348" spans="1:15" ht="37.049999999999997" customHeight="1">
      <c r="A1348" s="101" t="s">
        <v>43</v>
      </c>
      <c r="B1348" s="102"/>
      <c r="C1348" s="102"/>
      <c r="D1348" s="102"/>
      <c r="E1348" s="102"/>
      <c r="F1348" s="102"/>
      <c r="G1348" s="102"/>
      <c r="H1348" s="102"/>
      <c r="I1348" s="102"/>
      <c r="J1348" s="102"/>
      <c r="K1348" s="102"/>
      <c r="L1348" s="102"/>
      <c r="M1348" s="102"/>
      <c r="N1348" s="102"/>
      <c r="O1348" s="103"/>
    </row>
    <row r="1349" spans="1:15" ht="21" customHeight="1">
      <c r="A1349" s="37" t="s">
        <v>15</v>
      </c>
      <c r="B1349" s="38"/>
      <c r="C1349" s="39"/>
      <c r="D1349" s="90" t="s">
        <v>470</v>
      </c>
      <c r="E1349" s="91"/>
      <c r="F1349" s="91"/>
      <c r="G1349" s="91"/>
      <c r="H1349" s="91"/>
      <c r="I1349" s="91"/>
      <c r="J1349" s="91"/>
      <c r="K1349" s="91"/>
      <c r="L1349" s="91"/>
      <c r="M1349" s="91"/>
      <c r="N1349" s="91"/>
      <c r="O1349" s="92"/>
    </row>
    <row r="1350" spans="1:15" ht="19.95" customHeight="1">
      <c r="A1350" s="37" t="s">
        <v>19</v>
      </c>
      <c r="B1350" s="38"/>
      <c r="C1350" s="39"/>
      <c r="D1350" s="90" t="s">
        <v>20</v>
      </c>
      <c r="E1350" s="91"/>
      <c r="F1350" s="91"/>
      <c r="G1350" s="91"/>
      <c r="H1350" s="91"/>
      <c r="I1350" s="91"/>
      <c r="J1350" s="91"/>
      <c r="K1350" s="91"/>
      <c r="L1350" s="91"/>
      <c r="M1350" s="91"/>
      <c r="N1350" s="91"/>
      <c r="O1350" s="92"/>
    </row>
    <row r="1351" spans="1:15" ht="19.95" customHeight="1">
      <c r="A1351" s="37" t="s">
        <v>21</v>
      </c>
      <c r="B1351" s="38"/>
      <c r="C1351" s="39"/>
      <c r="D1351" s="90" t="s">
        <v>44</v>
      </c>
      <c r="E1351" s="91"/>
      <c r="F1351" s="91"/>
      <c r="G1351" s="91"/>
      <c r="H1351" s="91"/>
      <c r="I1351" s="91"/>
      <c r="J1351" s="91"/>
      <c r="K1351" s="91"/>
      <c r="L1351" s="91"/>
      <c r="M1351" s="91"/>
      <c r="N1351" s="91"/>
      <c r="O1351" s="92"/>
    </row>
    <row r="1352" spans="1:15" ht="21" customHeight="1">
      <c r="A1352" s="37" t="s">
        <v>45</v>
      </c>
      <c r="B1352" s="38"/>
      <c r="C1352" s="39"/>
      <c r="D1352" s="90" t="s">
        <v>475</v>
      </c>
      <c r="E1352" s="91"/>
      <c r="F1352" s="91"/>
      <c r="G1352" s="91"/>
      <c r="H1352" s="91"/>
      <c r="I1352" s="91"/>
      <c r="J1352" s="91"/>
      <c r="K1352" s="91"/>
      <c r="L1352" s="91"/>
      <c r="M1352" s="91"/>
      <c r="N1352" s="91"/>
      <c r="O1352" s="92"/>
    </row>
    <row r="1353" spans="1:15" ht="19.95" customHeight="1">
      <c r="A1353" s="37" t="s">
        <v>23</v>
      </c>
      <c r="B1353" s="38"/>
      <c r="C1353" s="39"/>
      <c r="D1353" s="90" t="s">
        <v>24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2"/>
    </row>
    <row r="1354" spans="1:15" ht="19.5" customHeight="1">
      <c r="A1354" s="37" t="s">
        <v>47</v>
      </c>
      <c r="B1354" s="38"/>
      <c r="C1354" s="39"/>
      <c r="D1354" s="90" t="s">
        <v>48</v>
      </c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2"/>
    </row>
    <row r="1355" spans="1:15" ht="20.55" customHeight="1">
      <c r="A1355" s="93"/>
      <c r="B1355" s="93"/>
      <c r="C1355" s="1"/>
      <c r="D1355" s="93"/>
      <c r="E1355" s="93"/>
      <c r="F1355" s="93"/>
      <c r="G1355" s="93"/>
      <c r="H1355" s="93"/>
      <c r="I1355" s="93"/>
      <c r="J1355" s="5"/>
      <c r="K1355" s="36"/>
      <c r="L1355" s="36"/>
      <c r="M1355" s="5"/>
      <c r="N1355" s="5"/>
      <c r="O1355" s="5"/>
    </row>
    <row r="1356" spans="1:15" ht="37.950000000000003" customHeight="1">
      <c r="A1356" s="87" t="s">
        <v>49</v>
      </c>
      <c r="B1356" s="88"/>
      <c r="C1356" s="88"/>
      <c r="D1356" s="88"/>
      <c r="E1356" s="88"/>
      <c r="F1356" s="88"/>
      <c r="G1356" s="88"/>
      <c r="H1356" s="88"/>
      <c r="I1356" s="88"/>
      <c r="J1356" s="88"/>
      <c r="K1356" s="88"/>
      <c r="L1356" s="88"/>
      <c r="M1356" s="88"/>
      <c r="N1356" s="88"/>
      <c r="O1356" s="89"/>
    </row>
    <row r="1357" spans="1:15" ht="19.95" customHeight="1">
      <c r="A1357" s="61" t="s">
        <v>50</v>
      </c>
      <c r="B1357" s="62"/>
      <c r="C1357" s="65" t="s">
        <v>51</v>
      </c>
      <c r="D1357" s="66"/>
      <c r="E1357" s="67"/>
      <c r="F1357" s="71" t="s">
        <v>52</v>
      </c>
      <c r="G1357" s="72"/>
      <c r="H1357" s="72"/>
      <c r="I1357" s="72"/>
      <c r="J1357" s="72"/>
      <c r="K1357" s="72"/>
      <c r="L1357" s="72"/>
      <c r="M1357" s="72"/>
      <c r="N1357" s="73"/>
      <c r="O1357" s="74" t="s">
        <v>53</v>
      </c>
    </row>
    <row r="1358" spans="1:15" ht="21" customHeight="1">
      <c r="A1358" s="63"/>
      <c r="B1358" s="64"/>
      <c r="C1358" s="68"/>
      <c r="D1358" s="69"/>
      <c r="E1358" s="70"/>
      <c r="F1358" s="76" t="s">
        <v>54</v>
      </c>
      <c r="G1358" s="77"/>
      <c r="H1358" s="71" t="s">
        <v>55</v>
      </c>
      <c r="I1358" s="73"/>
      <c r="J1358" s="94" t="s">
        <v>56</v>
      </c>
      <c r="K1358" s="95"/>
      <c r="L1358" s="96"/>
      <c r="M1358" s="80" t="s">
        <v>57</v>
      </c>
      <c r="N1358" s="82"/>
      <c r="O1358" s="75"/>
    </row>
    <row r="1359" spans="1:15" ht="30" customHeight="1">
      <c r="A1359" s="83">
        <v>5</v>
      </c>
      <c r="B1359" s="84"/>
      <c r="C1359" s="46" t="s">
        <v>58</v>
      </c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8"/>
      <c r="O1359" s="13">
        <f>O1360</f>
        <v>141191000</v>
      </c>
    </row>
    <row r="1360" spans="1:15" ht="31.05" customHeight="1">
      <c r="A1360" s="46" t="s">
        <v>59</v>
      </c>
      <c r="B1360" s="48"/>
      <c r="C1360" s="46" t="s">
        <v>60</v>
      </c>
      <c r="D1360" s="47"/>
      <c r="E1360" s="47"/>
      <c r="F1360" s="47"/>
      <c r="G1360" s="47"/>
      <c r="H1360" s="47"/>
      <c r="I1360" s="47"/>
      <c r="J1360" s="47"/>
      <c r="K1360" s="47"/>
      <c r="L1360" s="47"/>
      <c r="M1360" s="47"/>
      <c r="N1360" s="48"/>
      <c r="O1360" s="13">
        <f>O1361</f>
        <v>141191000</v>
      </c>
    </row>
    <row r="1361" spans="1:15" ht="31.05" customHeight="1">
      <c r="A1361" s="85">
        <v>37377</v>
      </c>
      <c r="B1361" s="86"/>
      <c r="C1361" s="46" t="s">
        <v>61</v>
      </c>
      <c r="D1361" s="47"/>
      <c r="E1361" s="47"/>
      <c r="F1361" s="47"/>
      <c r="G1361" s="47"/>
      <c r="H1361" s="47"/>
      <c r="I1361" s="47"/>
      <c r="J1361" s="47"/>
      <c r="K1361" s="47"/>
      <c r="L1361" s="47"/>
      <c r="M1361" s="47"/>
      <c r="N1361" s="48"/>
      <c r="O1361" s="13">
        <f>O1362+O1386+O1413</f>
        <v>141191000</v>
      </c>
    </row>
    <row r="1362" spans="1:15" ht="19.95" customHeight="1">
      <c r="A1362" s="46" t="s">
        <v>62</v>
      </c>
      <c r="B1362" s="48"/>
      <c r="C1362" s="46" t="s">
        <v>63</v>
      </c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8"/>
      <c r="O1362" s="8">
        <f>O1376+O1381</f>
        <v>12503328.000000002</v>
      </c>
    </row>
    <row r="1363" spans="1:15" ht="19.95" customHeight="1">
      <c r="A1363" s="46" t="s">
        <v>64</v>
      </c>
      <c r="B1363" s="48"/>
      <c r="C1363" s="46" t="s">
        <v>65</v>
      </c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8"/>
      <c r="O1363" s="8">
        <v>12503250</v>
      </c>
    </row>
    <row r="1364" spans="1:15" ht="31.05" customHeight="1">
      <c r="A1364" s="30" t="s">
        <v>66</v>
      </c>
      <c r="B1364" s="32"/>
      <c r="C1364" s="46" t="s">
        <v>67</v>
      </c>
      <c r="D1364" s="47"/>
      <c r="E1364" s="47"/>
      <c r="F1364" s="47"/>
      <c r="G1364" s="47"/>
      <c r="H1364" s="47"/>
      <c r="I1364" s="47"/>
      <c r="J1364" s="47"/>
      <c r="K1364" s="47"/>
      <c r="L1364" s="47"/>
      <c r="M1364" s="47"/>
      <c r="N1364" s="48"/>
      <c r="O1364" s="8">
        <v>0</v>
      </c>
    </row>
    <row r="1365" spans="1:15" ht="30.75" customHeight="1">
      <c r="A1365" s="40"/>
      <c r="B1365" s="42"/>
      <c r="C1365" s="30" t="s">
        <v>68</v>
      </c>
      <c r="D1365" s="31"/>
      <c r="E1365" s="31"/>
      <c r="F1365" s="31"/>
      <c r="G1365" s="31"/>
      <c r="H1365" s="31"/>
      <c r="I1365" s="31"/>
      <c r="J1365" s="31"/>
      <c r="K1365" s="31"/>
      <c r="L1365" s="31"/>
      <c r="M1365" s="31"/>
      <c r="N1365" s="32"/>
      <c r="O1365" s="8">
        <v>0</v>
      </c>
    </row>
    <row r="1366" spans="1:15" ht="37.950000000000003" customHeight="1">
      <c r="A1366" s="87" t="s">
        <v>49</v>
      </c>
      <c r="B1366" s="88"/>
      <c r="C1366" s="88"/>
      <c r="D1366" s="88"/>
      <c r="E1366" s="88"/>
      <c r="F1366" s="88"/>
      <c r="G1366" s="88"/>
      <c r="H1366" s="88"/>
      <c r="I1366" s="88"/>
      <c r="J1366" s="88"/>
      <c r="K1366" s="88"/>
      <c r="L1366" s="88"/>
      <c r="M1366" s="88"/>
      <c r="N1366" s="88"/>
      <c r="O1366" s="89"/>
    </row>
    <row r="1367" spans="1:15" ht="19.95" customHeight="1">
      <c r="A1367" s="61" t="s">
        <v>50</v>
      </c>
      <c r="B1367" s="62"/>
      <c r="C1367" s="65" t="s">
        <v>51</v>
      </c>
      <c r="D1367" s="66"/>
      <c r="E1367" s="67"/>
      <c r="F1367" s="71" t="s">
        <v>52</v>
      </c>
      <c r="G1367" s="72"/>
      <c r="H1367" s="72"/>
      <c r="I1367" s="72"/>
      <c r="J1367" s="72"/>
      <c r="K1367" s="72"/>
      <c r="L1367" s="72"/>
      <c r="M1367" s="72"/>
      <c r="N1367" s="73"/>
      <c r="O1367" s="74" t="s">
        <v>53</v>
      </c>
    </row>
    <row r="1368" spans="1:15" ht="21" customHeight="1">
      <c r="A1368" s="63"/>
      <c r="B1368" s="64"/>
      <c r="C1368" s="68"/>
      <c r="D1368" s="69"/>
      <c r="E1368" s="70"/>
      <c r="F1368" s="76" t="s">
        <v>54</v>
      </c>
      <c r="G1368" s="77"/>
      <c r="H1368" s="71" t="s">
        <v>55</v>
      </c>
      <c r="I1368" s="73"/>
      <c r="J1368" s="94" t="s">
        <v>56</v>
      </c>
      <c r="K1368" s="95"/>
      <c r="L1368" s="96"/>
      <c r="M1368" s="80" t="s">
        <v>57</v>
      </c>
      <c r="N1368" s="82"/>
      <c r="O1368" s="75"/>
    </row>
    <row r="1369" spans="1:15" ht="19.95" customHeight="1">
      <c r="A1369" s="40"/>
      <c r="B1369" s="42"/>
      <c r="C1369" s="46" t="s">
        <v>69</v>
      </c>
      <c r="D1369" s="47"/>
      <c r="E1369" s="47"/>
      <c r="F1369" s="47"/>
      <c r="G1369" s="47"/>
      <c r="H1369" s="47"/>
      <c r="I1369" s="47"/>
      <c r="J1369" s="47"/>
      <c r="K1369" s="47"/>
      <c r="L1369" s="47"/>
      <c r="M1369" s="47"/>
      <c r="N1369" s="48"/>
      <c r="O1369" s="8">
        <v>0</v>
      </c>
    </row>
    <row r="1370" spans="1:15" ht="60" customHeight="1">
      <c r="A1370" s="30"/>
      <c r="B1370" s="32"/>
      <c r="C1370" s="49" t="s">
        <v>476</v>
      </c>
      <c r="D1370" s="50"/>
      <c r="E1370" s="51"/>
      <c r="F1370" s="54" t="s">
        <v>334</v>
      </c>
      <c r="G1370" s="55"/>
      <c r="H1370" s="54" t="s">
        <v>112</v>
      </c>
      <c r="I1370" s="55"/>
      <c r="J1370" s="56">
        <v>18500</v>
      </c>
      <c r="K1370" s="119"/>
      <c r="L1370" s="57"/>
      <c r="M1370" s="56">
        <v>0</v>
      </c>
      <c r="N1370" s="57"/>
      <c r="O1370" s="7">
        <v>0</v>
      </c>
    </row>
    <row r="1371" spans="1:15" ht="61.05" customHeight="1">
      <c r="A1371" s="30"/>
      <c r="B1371" s="32"/>
      <c r="C1371" s="49" t="s">
        <v>477</v>
      </c>
      <c r="D1371" s="50"/>
      <c r="E1371" s="51"/>
      <c r="F1371" s="54" t="s">
        <v>334</v>
      </c>
      <c r="G1371" s="55"/>
      <c r="H1371" s="54" t="s">
        <v>112</v>
      </c>
      <c r="I1371" s="55"/>
      <c r="J1371" s="56">
        <v>39025</v>
      </c>
      <c r="K1371" s="119"/>
      <c r="L1371" s="57"/>
      <c r="M1371" s="56">
        <v>0</v>
      </c>
      <c r="N1371" s="57"/>
      <c r="O1371" s="7">
        <v>0</v>
      </c>
    </row>
    <row r="1372" spans="1:15" ht="60" customHeight="1">
      <c r="A1372" s="30"/>
      <c r="B1372" s="32"/>
      <c r="C1372" s="49" t="s">
        <v>478</v>
      </c>
      <c r="D1372" s="50"/>
      <c r="E1372" s="51"/>
      <c r="F1372" s="54" t="s">
        <v>334</v>
      </c>
      <c r="G1372" s="55"/>
      <c r="H1372" s="54" t="s">
        <v>112</v>
      </c>
      <c r="I1372" s="55"/>
      <c r="J1372" s="56">
        <v>22200</v>
      </c>
      <c r="K1372" s="119"/>
      <c r="L1372" s="57"/>
      <c r="M1372" s="56">
        <v>0</v>
      </c>
      <c r="N1372" s="57"/>
      <c r="O1372" s="7">
        <v>0</v>
      </c>
    </row>
    <row r="1373" spans="1:15" ht="70.95" customHeight="1">
      <c r="A1373" s="30"/>
      <c r="B1373" s="32"/>
      <c r="C1373" s="49" t="s">
        <v>109</v>
      </c>
      <c r="D1373" s="50"/>
      <c r="E1373" s="51"/>
      <c r="F1373" s="54" t="s">
        <v>334</v>
      </c>
      <c r="G1373" s="55"/>
      <c r="H1373" s="54" t="s">
        <v>73</v>
      </c>
      <c r="I1373" s="55"/>
      <c r="J1373" s="56">
        <v>64675</v>
      </c>
      <c r="K1373" s="119"/>
      <c r="L1373" s="57"/>
      <c r="M1373" s="56">
        <v>0</v>
      </c>
      <c r="N1373" s="57"/>
      <c r="O1373" s="7">
        <v>0</v>
      </c>
    </row>
    <row r="1374" spans="1:15" ht="60" customHeight="1">
      <c r="A1374" s="30"/>
      <c r="B1374" s="32"/>
      <c r="C1374" s="49" t="s">
        <v>74</v>
      </c>
      <c r="D1374" s="50"/>
      <c r="E1374" s="51"/>
      <c r="F1374" s="54" t="s">
        <v>334</v>
      </c>
      <c r="G1374" s="55"/>
      <c r="H1374" s="54" t="s">
        <v>75</v>
      </c>
      <c r="I1374" s="55"/>
      <c r="J1374" s="56">
        <v>84200</v>
      </c>
      <c r="K1374" s="119"/>
      <c r="L1374" s="57"/>
      <c r="M1374" s="56">
        <v>0</v>
      </c>
      <c r="N1374" s="57"/>
      <c r="O1374" s="7">
        <v>0</v>
      </c>
    </row>
    <row r="1375" spans="1:15" ht="61.05" customHeight="1">
      <c r="A1375" s="30"/>
      <c r="B1375" s="32"/>
      <c r="C1375" s="49" t="s">
        <v>70</v>
      </c>
      <c r="D1375" s="50"/>
      <c r="E1375" s="51"/>
      <c r="F1375" s="54" t="s">
        <v>334</v>
      </c>
      <c r="G1375" s="55"/>
      <c r="H1375" s="54" t="s">
        <v>71</v>
      </c>
      <c r="I1375" s="55"/>
      <c r="J1375" s="56">
        <v>59200</v>
      </c>
      <c r="K1375" s="119"/>
      <c r="L1375" s="57"/>
      <c r="M1375" s="56">
        <v>0</v>
      </c>
      <c r="N1375" s="57"/>
      <c r="O1375" s="7">
        <v>0</v>
      </c>
    </row>
    <row r="1376" spans="1:15" ht="30" customHeight="1">
      <c r="A1376" s="30" t="s">
        <v>78</v>
      </c>
      <c r="B1376" s="32"/>
      <c r="C1376" s="46" t="s">
        <v>79</v>
      </c>
      <c r="D1376" s="47"/>
      <c r="E1376" s="47"/>
      <c r="F1376" s="47"/>
      <c r="G1376" s="47"/>
      <c r="H1376" s="47"/>
      <c r="I1376" s="47"/>
      <c r="J1376" s="47"/>
      <c r="K1376" s="47"/>
      <c r="L1376" s="47"/>
      <c r="M1376" s="47"/>
      <c r="N1376" s="48"/>
      <c r="O1376" s="8">
        <f>O1377</f>
        <v>1613328.0000000023</v>
      </c>
    </row>
    <row r="1377" spans="1:15" ht="31.05" customHeight="1">
      <c r="A1377" s="40"/>
      <c r="B1377" s="42"/>
      <c r="C1377" s="30" t="s">
        <v>68</v>
      </c>
      <c r="D1377" s="31"/>
      <c r="E1377" s="31"/>
      <c r="F1377" s="31"/>
      <c r="G1377" s="31"/>
      <c r="H1377" s="31"/>
      <c r="I1377" s="31"/>
      <c r="J1377" s="31"/>
      <c r="K1377" s="31"/>
      <c r="L1377" s="31"/>
      <c r="M1377" s="31"/>
      <c r="N1377" s="32"/>
      <c r="O1377" s="8">
        <f>O1378</f>
        <v>1613328.0000000023</v>
      </c>
    </row>
    <row r="1378" spans="1:15" ht="21" customHeight="1">
      <c r="A1378" s="40"/>
      <c r="B1378" s="42"/>
      <c r="C1378" s="46" t="s">
        <v>69</v>
      </c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8"/>
      <c r="O1378" s="8">
        <f>SUM(O1379:O1380)</f>
        <v>1613328.0000000023</v>
      </c>
    </row>
    <row r="1379" spans="1:15" ht="60" customHeight="1">
      <c r="A1379" s="30"/>
      <c r="B1379" s="32"/>
      <c r="C1379" s="49" t="s">
        <v>82</v>
      </c>
      <c r="D1379" s="50"/>
      <c r="E1379" s="51"/>
      <c r="F1379" s="52">
        <v>10.0008876244666</v>
      </c>
      <c r="G1379" s="53"/>
      <c r="H1379" s="54" t="s">
        <v>81</v>
      </c>
      <c r="I1379" s="55"/>
      <c r="J1379" s="56">
        <v>87875</v>
      </c>
      <c r="K1379" s="119"/>
      <c r="L1379" s="57"/>
      <c r="M1379" s="56">
        <v>0</v>
      </c>
      <c r="N1379" s="57"/>
      <c r="O1379" s="7">
        <f>F1379*J1379</f>
        <v>878828.00000000244</v>
      </c>
    </row>
    <row r="1380" spans="1:15" ht="60" customHeight="1">
      <c r="A1380" s="30"/>
      <c r="B1380" s="32"/>
      <c r="C1380" s="49" t="s">
        <v>80</v>
      </c>
      <c r="D1380" s="50"/>
      <c r="E1380" s="51"/>
      <c r="F1380" s="52">
        <v>10</v>
      </c>
      <c r="G1380" s="53"/>
      <c r="H1380" s="54" t="s">
        <v>81</v>
      </c>
      <c r="I1380" s="55"/>
      <c r="J1380" s="56">
        <v>73450</v>
      </c>
      <c r="K1380" s="119"/>
      <c r="L1380" s="57"/>
      <c r="M1380" s="56">
        <v>0</v>
      </c>
      <c r="N1380" s="57"/>
      <c r="O1380" s="7">
        <f>F1380*J1380</f>
        <v>734500</v>
      </c>
    </row>
    <row r="1381" spans="1:15" ht="31.05" customHeight="1">
      <c r="A1381" s="30" t="s">
        <v>83</v>
      </c>
      <c r="B1381" s="32"/>
      <c r="C1381" s="46" t="s">
        <v>84</v>
      </c>
      <c r="D1381" s="47"/>
      <c r="E1381" s="47"/>
      <c r="F1381" s="47"/>
      <c r="G1381" s="47"/>
      <c r="H1381" s="47"/>
      <c r="I1381" s="47"/>
      <c r="J1381" s="47"/>
      <c r="K1381" s="47"/>
      <c r="L1381" s="47"/>
      <c r="M1381" s="47"/>
      <c r="N1381" s="48"/>
      <c r="O1381" s="8">
        <v>10890000</v>
      </c>
    </row>
    <row r="1382" spans="1:15" ht="31.05" customHeight="1">
      <c r="A1382" s="40"/>
      <c r="B1382" s="42"/>
      <c r="C1382" s="30" t="s">
        <v>85</v>
      </c>
      <c r="D1382" s="31"/>
      <c r="E1382" s="31"/>
      <c r="F1382" s="31"/>
      <c r="G1382" s="31"/>
      <c r="H1382" s="31"/>
      <c r="I1382" s="31"/>
      <c r="J1382" s="31"/>
      <c r="K1382" s="31"/>
      <c r="L1382" s="31"/>
      <c r="M1382" s="31"/>
      <c r="N1382" s="32"/>
      <c r="O1382" s="8">
        <v>10890000</v>
      </c>
    </row>
    <row r="1383" spans="1:15" ht="19.95" customHeight="1">
      <c r="A1383" s="40"/>
      <c r="B1383" s="42"/>
      <c r="C1383" s="46" t="s">
        <v>69</v>
      </c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8"/>
      <c r="O1383" s="8">
        <v>10890000</v>
      </c>
    </row>
    <row r="1384" spans="1:15" ht="70.95" customHeight="1">
      <c r="A1384" s="30"/>
      <c r="B1384" s="32"/>
      <c r="C1384" s="49" t="s">
        <v>86</v>
      </c>
      <c r="D1384" s="50"/>
      <c r="E1384" s="51"/>
      <c r="F1384" s="52">
        <v>220</v>
      </c>
      <c r="G1384" s="53"/>
      <c r="H1384" s="54" t="s">
        <v>87</v>
      </c>
      <c r="I1384" s="55"/>
      <c r="J1384" s="56">
        <v>33000</v>
      </c>
      <c r="K1384" s="119"/>
      <c r="L1384" s="57"/>
      <c r="M1384" s="56">
        <v>0</v>
      </c>
      <c r="N1384" s="57"/>
      <c r="O1384" s="7">
        <v>7260000</v>
      </c>
    </row>
    <row r="1385" spans="1:15" ht="70.95" customHeight="1">
      <c r="A1385" s="30"/>
      <c r="B1385" s="32"/>
      <c r="C1385" s="49" t="s">
        <v>88</v>
      </c>
      <c r="D1385" s="50"/>
      <c r="E1385" s="51"/>
      <c r="F1385" s="52">
        <v>220</v>
      </c>
      <c r="G1385" s="53"/>
      <c r="H1385" s="54" t="s">
        <v>87</v>
      </c>
      <c r="I1385" s="55"/>
      <c r="J1385" s="56">
        <v>16500</v>
      </c>
      <c r="K1385" s="119"/>
      <c r="L1385" s="57"/>
      <c r="M1385" s="56">
        <v>0</v>
      </c>
      <c r="N1385" s="57"/>
      <c r="O1385" s="7">
        <v>3630000</v>
      </c>
    </row>
    <row r="1386" spans="1:15" ht="30" customHeight="1">
      <c r="A1386" s="46" t="s">
        <v>138</v>
      </c>
      <c r="B1386" s="48"/>
      <c r="C1386" s="46" t="s">
        <v>139</v>
      </c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8"/>
      <c r="O1386" s="13">
        <v>108282672</v>
      </c>
    </row>
    <row r="1387" spans="1:15" ht="21" customHeight="1">
      <c r="A1387" s="46" t="s">
        <v>140</v>
      </c>
      <c r="B1387" s="48"/>
      <c r="C1387" s="46" t="s">
        <v>141</v>
      </c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8"/>
      <c r="O1387" s="8">
        <v>98400000</v>
      </c>
    </row>
    <row r="1388" spans="1:15" ht="30" customHeight="1">
      <c r="A1388" s="30" t="s">
        <v>479</v>
      </c>
      <c r="B1388" s="32"/>
      <c r="C1388" s="46" t="s">
        <v>480</v>
      </c>
      <c r="D1388" s="47"/>
      <c r="E1388" s="47"/>
      <c r="F1388" s="47"/>
      <c r="G1388" s="47"/>
      <c r="H1388" s="47"/>
      <c r="I1388" s="47"/>
      <c r="J1388" s="47"/>
      <c r="K1388" s="47"/>
      <c r="L1388" s="47"/>
      <c r="M1388" s="47"/>
      <c r="N1388" s="48"/>
      <c r="O1388" s="8">
        <v>22800000</v>
      </c>
    </row>
    <row r="1389" spans="1:15" ht="31.05" customHeight="1">
      <c r="A1389" s="40"/>
      <c r="B1389" s="42"/>
      <c r="C1389" s="30" t="s">
        <v>144</v>
      </c>
      <c r="D1389" s="31"/>
      <c r="E1389" s="31"/>
      <c r="F1389" s="31"/>
      <c r="G1389" s="31"/>
      <c r="H1389" s="31"/>
      <c r="I1389" s="31"/>
      <c r="J1389" s="31"/>
      <c r="K1389" s="31"/>
      <c r="L1389" s="31"/>
      <c r="M1389" s="31"/>
      <c r="N1389" s="32"/>
      <c r="O1389" s="8">
        <v>22800000</v>
      </c>
    </row>
    <row r="1390" spans="1:15" ht="19.95" customHeight="1">
      <c r="A1390" s="40"/>
      <c r="B1390" s="42"/>
      <c r="C1390" s="46" t="s">
        <v>69</v>
      </c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8"/>
      <c r="O1390" s="8">
        <v>22800000</v>
      </c>
    </row>
    <row r="1391" spans="1:15" ht="70.95" customHeight="1">
      <c r="A1391" s="30"/>
      <c r="B1391" s="32"/>
      <c r="C1391" s="49" t="s">
        <v>481</v>
      </c>
      <c r="D1391" s="50"/>
      <c r="E1391" s="51"/>
      <c r="F1391" s="54" t="s">
        <v>146</v>
      </c>
      <c r="G1391" s="55"/>
      <c r="H1391" s="54" t="s">
        <v>154</v>
      </c>
      <c r="I1391" s="55"/>
      <c r="J1391" s="56">
        <v>1900000</v>
      </c>
      <c r="K1391" s="119"/>
      <c r="L1391" s="57"/>
      <c r="M1391" s="56">
        <v>0</v>
      </c>
      <c r="N1391" s="57"/>
      <c r="O1391" s="7">
        <v>22800000</v>
      </c>
    </row>
    <row r="1392" spans="1:15" ht="37.950000000000003" customHeight="1">
      <c r="A1392" s="87" t="s">
        <v>49</v>
      </c>
      <c r="B1392" s="88"/>
      <c r="C1392" s="88"/>
      <c r="D1392" s="88"/>
      <c r="E1392" s="88"/>
      <c r="F1392" s="88"/>
      <c r="G1392" s="88"/>
      <c r="H1392" s="88"/>
      <c r="I1392" s="88"/>
      <c r="J1392" s="88"/>
      <c r="K1392" s="88"/>
      <c r="L1392" s="88"/>
      <c r="M1392" s="88"/>
      <c r="N1392" s="88"/>
      <c r="O1392" s="89"/>
    </row>
    <row r="1393" spans="1:15" ht="19.95" customHeight="1">
      <c r="A1393" s="61" t="s">
        <v>50</v>
      </c>
      <c r="B1393" s="62"/>
      <c r="C1393" s="65" t="s">
        <v>51</v>
      </c>
      <c r="D1393" s="66"/>
      <c r="E1393" s="67"/>
      <c r="F1393" s="71" t="s">
        <v>52</v>
      </c>
      <c r="G1393" s="72"/>
      <c r="H1393" s="72"/>
      <c r="I1393" s="72"/>
      <c r="J1393" s="72"/>
      <c r="K1393" s="72"/>
      <c r="L1393" s="72"/>
      <c r="M1393" s="72"/>
      <c r="N1393" s="73"/>
      <c r="O1393" s="74" t="s">
        <v>53</v>
      </c>
    </row>
    <row r="1394" spans="1:15" ht="21" customHeight="1">
      <c r="A1394" s="63"/>
      <c r="B1394" s="64"/>
      <c r="C1394" s="68"/>
      <c r="D1394" s="69"/>
      <c r="E1394" s="70"/>
      <c r="F1394" s="76" t="s">
        <v>54</v>
      </c>
      <c r="G1394" s="77"/>
      <c r="H1394" s="71" t="s">
        <v>55</v>
      </c>
      <c r="I1394" s="73"/>
      <c r="J1394" s="94" t="s">
        <v>56</v>
      </c>
      <c r="K1394" s="95"/>
      <c r="L1394" s="96"/>
      <c r="M1394" s="80" t="s">
        <v>57</v>
      </c>
      <c r="N1394" s="82"/>
      <c r="O1394" s="75"/>
    </row>
    <row r="1395" spans="1:15" ht="30" customHeight="1">
      <c r="A1395" s="30" t="s">
        <v>142</v>
      </c>
      <c r="B1395" s="32"/>
      <c r="C1395" s="46" t="s">
        <v>143</v>
      </c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8"/>
      <c r="O1395" s="8">
        <v>75600000</v>
      </c>
    </row>
    <row r="1396" spans="1:15" ht="31.05" customHeight="1">
      <c r="A1396" s="40"/>
      <c r="B1396" s="42"/>
      <c r="C1396" s="30" t="s">
        <v>144</v>
      </c>
      <c r="D1396" s="31"/>
      <c r="E1396" s="31"/>
      <c r="F1396" s="31"/>
      <c r="G1396" s="31"/>
      <c r="H1396" s="31"/>
      <c r="I1396" s="31"/>
      <c r="J1396" s="31"/>
      <c r="K1396" s="31"/>
      <c r="L1396" s="31"/>
      <c r="M1396" s="31"/>
      <c r="N1396" s="32"/>
      <c r="O1396" s="8">
        <v>75600000</v>
      </c>
    </row>
    <row r="1397" spans="1:15" ht="21" customHeight="1">
      <c r="A1397" s="40"/>
      <c r="B1397" s="42"/>
      <c r="C1397" s="46" t="s">
        <v>69</v>
      </c>
      <c r="D1397" s="47"/>
      <c r="E1397" s="47"/>
      <c r="F1397" s="47"/>
      <c r="G1397" s="47"/>
      <c r="H1397" s="47"/>
      <c r="I1397" s="47"/>
      <c r="J1397" s="47"/>
      <c r="K1397" s="47"/>
      <c r="L1397" s="47"/>
      <c r="M1397" s="47"/>
      <c r="N1397" s="48"/>
      <c r="O1397" s="8">
        <v>75600000</v>
      </c>
    </row>
    <row r="1398" spans="1:15" ht="81" customHeight="1">
      <c r="A1398" s="30"/>
      <c r="B1398" s="32"/>
      <c r="C1398" s="49" t="s">
        <v>145</v>
      </c>
      <c r="D1398" s="50"/>
      <c r="E1398" s="51"/>
      <c r="F1398" s="54" t="s">
        <v>146</v>
      </c>
      <c r="G1398" s="55"/>
      <c r="H1398" s="54" t="s">
        <v>147</v>
      </c>
      <c r="I1398" s="55"/>
      <c r="J1398" s="56">
        <v>2500000</v>
      </c>
      <c r="K1398" s="119"/>
      <c r="L1398" s="57"/>
      <c r="M1398" s="56">
        <v>0</v>
      </c>
      <c r="N1398" s="57"/>
      <c r="O1398" s="7">
        <v>30000000</v>
      </c>
    </row>
    <row r="1399" spans="1:15" ht="81" customHeight="1">
      <c r="A1399" s="30"/>
      <c r="B1399" s="32"/>
      <c r="C1399" s="49" t="s">
        <v>482</v>
      </c>
      <c r="D1399" s="50"/>
      <c r="E1399" s="51"/>
      <c r="F1399" s="54" t="s">
        <v>483</v>
      </c>
      <c r="G1399" s="55"/>
      <c r="H1399" s="54" t="s">
        <v>147</v>
      </c>
      <c r="I1399" s="55"/>
      <c r="J1399" s="56">
        <v>1900000</v>
      </c>
      <c r="K1399" s="119"/>
      <c r="L1399" s="57"/>
      <c r="M1399" s="56">
        <v>0</v>
      </c>
      <c r="N1399" s="57"/>
      <c r="O1399" s="7">
        <v>45600000</v>
      </c>
    </row>
    <row r="1400" spans="1:15" ht="19.95" customHeight="1">
      <c r="A1400" s="46" t="s">
        <v>148</v>
      </c>
      <c r="B1400" s="48"/>
      <c r="C1400" s="46" t="s">
        <v>149</v>
      </c>
      <c r="D1400" s="47"/>
      <c r="E1400" s="47"/>
      <c r="F1400" s="47"/>
      <c r="G1400" s="47"/>
      <c r="H1400" s="47"/>
      <c r="I1400" s="47"/>
      <c r="J1400" s="47"/>
      <c r="K1400" s="47"/>
      <c r="L1400" s="47"/>
      <c r="M1400" s="47"/>
      <c r="N1400" s="48"/>
      <c r="O1400" s="8">
        <v>9882672</v>
      </c>
    </row>
    <row r="1401" spans="1:15" ht="31.05" customHeight="1">
      <c r="A1401" s="30" t="s">
        <v>150</v>
      </c>
      <c r="B1401" s="32"/>
      <c r="C1401" s="46" t="s">
        <v>151</v>
      </c>
      <c r="D1401" s="47"/>
      <c r="E1401" s="47"/>
      <c r="F1401" s="47"/>
      <c r="G1401" s="47"/>
      <c r="H1401" s="47"/>
      <c r="I1401" s="47"/>
      <c r="J1401" s="47"/>
      <c r="K1401" s="47"/>
      <c r="L1401" s="47"/>
      <c r="M1401" s="47"/>
      <c r="N1401" s="48"/>
      <c r="O1401" s="8">
        <v>9364272</v>
      </c>
    </row>
    <row r="1402" spans="1:15" ht="30" customHeight="1">
      <c r="A1402" s="40"/>
      <c r="B1402" s="42"/>
      <c r="C1402" s="30" t="s">
        <v>152</v>
      </c>
      <c r="D1402" s="31"/>
      <c r="E1402" s="31"/>
      <c r="F1402" s="31"/>
      <c r="G1402" s="31"/>
      <c r="H1402" s="31"/>
      <c r="I1402" s="31"/>
      <c r="J1402" s="31"/>
      <c r="K1402" s="31"/>
      <c r="L1402" s="31"/>
      <c r="M1402" s="31"/>
      <c r="N1402" s="32"/>
      <c r="O1402" s="8">
        <v>9364272</v>
      </c>
    </row>
    <row r="1403" spans="1:15" ht="21" customHeight="1">
      <c r="A1403" s="40"/>
      <c r="B1403" s="42"/>
      <c r="C1403" s="46" t="s">
        <v>69</v>
      </c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8"/>
      <c r="O1403" s="8">
        <v>9364272</v>
      </c>
    </row>
    <row r="1404" spans="1:15" ht="70.95" customHeight="1">
      <c r="A1404" s="30"/>
      <c r="B1404" s="32"/>
      <c r="C1404" s="49" t="s">
        <v>153</v>
      </c>
      <c r="D1404" s="50"/>
      <c r="E1404" s="51"/>
      <c r="F1404" s="54" t="s">
        <v>484</v>
      </c>
      <c r="G1404" s="55"/>
      <c r="H1404" s="54" t="s">
        <v>154</v>
      </c>
      <c r="I1404" s="55"/>
      <c r="J1404" s="56">
        <v>195089</v>
      </c>
      <c r="K1404" s="119"/>
      <c r="L1404" s="57"/>
      <c r="M1404" s="56">
        <v>0</v>
      </c>
      <c r="N1404" s="57"/>
      <c r="O1404" s="7">
        <v>9364272</v>
      </c>
    </row>
    <row r="1405" spans="1:15" ht="30" customHeight="1">
      <c r="A1405" s="30" t="s">
        <v>155</v>
      </c>
      <c r="B1405" s="32"/>
      <c r="C1405" s="46" t="s">
        <v>156</v>
      </c>
      <c r="D1405" s="47"/>
      <c r="E1405" s="47"/>
      <c r="F1405" s="47"/>
      <c r="G1405" s="47"/>
      <c r="H1405" s="47"/>
      <c r="I1405" s="47"/>
      <c r="J1405" s="47"/>
      <c r="K1405" s="47"/>
      <c r="L1405" s="47"/>
      <c r="M1405" s="47"/>
      <c r="N1405" s="48"/>
      <c r="O1405" s="8">
        <v>230400</v>
      </c>
    </row>
    <row r="1406" spans="1:15" ht="31.05" customHeight="1">
      <c r="A1406" s="40"/>
      <c r="B1406" s="42"/>
      <c r="C1406" s="30" t="s">
        <v>152</v>
      </c>
      <c r="D1406" s="31"/>
      <c r="E1406" s="31"/>
      <c r="F1406" s="31"/>
      <c r="G1406" s="31"/>
      <c r="H1406" s="31"/>
      <c r="I1406" s="31"/>
      <c r="J1406" s="31"/>
      <c r="K1406" s="31"/>
      <c r="L1406" s="31"/>
      <c r="M1406" s="31"/>
      <c r="N1406" s="32"/>
      <c r="O1406" s="8">
        <v>230400</v>
      </c>
    </row>
    <row r="1407" spans="1:15" ht="19.95" customHeight="1">
      <c r="A1407" s="40"/>
      <c r="B1407" s="42"/>
      <c r="C1407" s="46" t="s">
        <v>69</v>
      </c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8"/>
      <c r="O1407" s="8">
        <v>230400</v>
      </c>
    </row>
    <row r="1408" spans="1:15" ht="70.95" customHeight="1">
      <c r="A1408" s="30"/>
      <c r="B1408" s="32"/>
      <c r="C1408" s="49" t="s">
        <v>157</v>
      </c>
      <c r="D1408" s="50"/>
      <c r="E1408" s="51"/>
      <c r="F1408" s="54" t="s">
        <v>484</v>
      </c>
      <c r="G1408" s="55"/>
      <c r="H1408" s="54" t="s">
        <v>154</v>
      </c>
      <c r="I1408" s="55"/>
      <c r="J1408" s="56">
        <v>4800</v>
      </c>
      <c r="K1408" s="119"/>
      <c r="L1408" s="57"/>
      <c r="M1408" s="56">
        <v>0</v>
      </c>
      <c r="N1408" s="57"/>
      <c r="O1408" s="7">
        <v>230400</v>
      </c>
    </row>
    <row r="1409" spans="1:15" ht="31.05" customHeight="1">
      <c r="A1409" s="30" t="s">
        <v>158</v>
      </c>
      <c r="B1409" s="32"/>
      <c r="C1409" s="46" t="s">
        <v>159</v>
      </c>
      <c r="D1409" s="47"/>
      <c r="E1409" s="47"/>
      <c r="F1409" s="47"/>
      <c r="G1409" s="47"/>
      <c r="H1409" s="47"/>
      <c r="I1409" s="47"/>
      <c r="J1409" s="47"/>
      <c r="K1409" s="47"/>
      <c r="L1409" s="47"/>
      <c r="M1409" s="47"/>
      <c r="N1409" s="48"/>
      <c r="O1409" s="8">
        <v>288000</v>
      </c>
    </row>
    <row r="1410" spans="1:15" ht="30" customHeight="1">
      <c r="A1410" s="40"/>
      <c r="B1410" s="42"/>
      <c r="C1410" s="30" t="s">
        <v>152</v>
      </c>
      <c r="D1410" s="31"/>
      <c r="E1410" s="31"/>
      <c r="F1410" s="31"/>
      <c r="G1410" s="31"/>
      <c r="H1410" s="31"/>
      <c r="I1410" s="31"/>
      <c r="J1410" s="31"/>
      <c r="K1410" s="31"/>
      <c r="L1410" s="31"/>
      <c r="M1410" s="31"/>
      <c r="N1410" s="32"/>
      <c r="O1410" s="8">
        <v>288000</v>
      </c>
    </row>
    <row r="1411" spans="1:15" ht="21" customHeight="1">
      <c r="A1411" s="40"/>
      <c r="B1411" s="42"/>
      <c r="C1411" s="46" t="s">
        <v>69</v>
      </c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8"/>
      <c r="O1411" s="8">
        <v>288000</v>
      </c>
    </row>
    <row r="1412" spans="1:15" ht="70.05" customHeight="1">
      <c r="A1412" s="30"/>
      <c r="B1412" s="32"/>
      <c r="C1412" s="49" t="s">
        <v>160</v>
      </c>
      <c r="D1412" s="50"/>
      <c r="E1412" s="51"/>
      <c r="F1412" s="54" t="s">
        <v>484</v>
      </c>
      <c r="G1412" s="55"/>
      <c r="H1412" s="54" t="s">
        <v>154</v>
      </c>
      <c r="I1412" s="55"/>
      <c r="J1412" s="56">
        <v>6000</v>
      </c>
      <c r="K1412" s="119"/>
      <c r="L1412" s="57"/>
      <c r="M1412" s="56">
        <v>0</v>
      </c>
      <c r="N1412" s="57"/>
      <c r="O1412" s="7">
        <v>288000</v>
      </c>
    </row>
    <row r="1413" spans="1:15" ht="21" customHeight="1">
      <c r="A1413" s="46" t="s">
        <v>176</v>
      </c>
      <c r="B1413" s="48"/>
      <c r="C1413" s="46" t="s">
        <v>177</v>
      </c>
      <c r="D1413" s="47"/>
      <c r="E1413" s="47"/>
      <c r="F1413" s="47"/>
      <c r="G1413" s="47"/>
      <c r="H1413" s="47"/>
      <c r="I1413" s="47"/>
      <c r="J1413" s="47"/>
      <c r="K1413" s="47"/>
      <c r="L1413" s="47"/>
      <c r="M1413" s="47"/>
      <c r="N1413" s="48"/>
      <c r="O1413" s="8">
        <v>20405000</v>
      </c>
    </row>
    <row r="1414" spans="1:15" ht="19.95" customHeight="1">
      <c r="A1414" s="46" t="s">
        <v>178</v>
      </c>
      <c r="B1414" s="48"/>
      <c r="C1414" s="46" t="s">
        <v>179</v>
      </c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8"/>
      <c r="O1414" s="8">
        <v>20405000</v>
      </c>
    </row>
    <row r="1415" spans="1:15" ht="31.05" customHeight="1">
      <c r="A1415" s="30" t="s">
        <v>180</v>
      </c>
      <c r="B1415" s="32"/>
      <c r="C1415" s="46" t="s">
        <v>181</v>
      </c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8"/>
      <c r="O1415" s="8">
        <v>20405000</v>
      </c>
    </row>
    <row r="1416" spans="1:15" ht="31.05" customHeight="1">
      <c r="A1416" s="40"/>
      <c r="B1416" s="42"/>
      <c r="C1416" s="30" t="s">
        <v>182</v>
      </c>
      <c r="D1416" s="31"/>
      <c r="E1416" s="31"/>
      <c r="F1416" s="31"/>
      <c r="G1416" s="31"/>
      <c r="H1416" s="31"/>
      <c r="I1416" s="31"/>
      <c r="J1416" s="31"/>
      <c r="K1416" s="31"/>
      <c r="L1416" s="31"/>
      <c r="M1416" s="31"/>
      <c r="N1416" s="32"/>
      <c r="O1416" s="8">
        <v>20405000</v>
      </c>
    </row>
    <row r="1417" spans="1:15" ht="19.95" customHeight="1">
      <c r="A1417" s="40"/>
      <c r="B1417" s="42"/>
      <c r="C1417" s="46" t="s">
        <v>183</v>
      </c>
      <c r="D1417" s="47"/>
      <c r="E1417" s="47"/>
      <c r="F1417" s="47"/>
      <c r="G1417" s="47"/>
      <c r="H1417" s="47"/>
      <c r="I1417" s="47"/>
      <c r="J1417" s="47"/>
      <c r="K1417" s="47"/>
      <c r="L1417" s="47"/>
      <c r="M1417" s="47"/>
      <c r="N1417" s="48"/>
      <c r="O1417" s="8">
        <v>20405000</v>
      </c>
    </row>
    <row r="1418" spans="1:15" ht="81" customHeight="1">
      <c r="A1418" s="30"/>
      <c r="B1418" s="32"/>
      <c r="C1418" s="49" t="s">
        <v>207</v>
      </c>
      <c r="D1418" s="50"/>
      <c r="E1418" s="51"/>
      <c r="F1418" s="52">
        <v>3</v>
      </c>
      <c r="G1418" s="53"/>
      <c r="H1418" s="54" t="s">
        <v>185</v>
      </c>
      <c r="I1418" s="55"/>
      <c r="J1418" s="56">
        <v>135000</v>
      </c>
      <c r="K1418" s="119"/>
      <c r="L1418" s="57"/>
      <c r="M1418" s="56">
        <v>0</v>
      </c>
      <c r="N1418" s="57"/>
      <c r="O1418" s="7">
        <v>405000</v>
      </c>
    </row>
    <row r="1419" spans="1:15" ht="81" customHeight="1">
      <c r="A1419" s="30"/>
      <c r="B1419" s="32"/>
      <c r="C1419" s="49" t="s">
        <v>219</v>
      </c>
      <c r="D1419" s="50"/>
      <c r="E1419" s="51"/>
      <c r="F1419" s="52">
        <v>3</v>
      </c>
      <c r="G1419" s="53"/>
      <c r="H1419" s="54" t="s">
        <v>185</v>
      </c>
      <c r="I1419" s="55"/>
      <c r="J1419" s="56">
        <v>100000</v>
      </c>
      <c r="K1419" s="119"/>
      <c r="L1419" s="57"/>
      <c r="M1419" s="56">
        <v>0</v>
      </c>
      <c r="N1419" s="57"/>
      <c r="O1419" s="7">
        <v>300000</v>
      </c>
    </row>
    <row r="1420" spans="1:15" ht="37.950000000000003" customHeight="1">
      <c r="A1420" s="87" t="s">
        <v>49</v>
      </c>
      <c r="B1420" s="88"/>
      <c r="C1420" s="88"/>
      <c r="D1420" s="88"/>
      <c r="E1420" s="88"/>
      <c r="F1420" s="88"/>
      <c r="G1420" s="88"/>
      <c r="H1420" s="88"/>
      <c r="I1420" s="88"/>
      <c r="J1420" s="88"/>
      <c r="K1420" s="88"/>
      <c r="L1420" s="88"/>
      <c r="M1420" s="88"/>
      <c r="N1420" s="88"/>
      <c r="O1420" s="89"/>
    </row>
    <row r="1421" spans="1:15" ht="19.95" customHeight="1">
      <c r="A1421" s="61" t="s">
        <v>50</v>
      </c>
      <c r="B1421" s="62"/>
      <c r="C1421" s="65" t="s">
        <v>51</v>
      </c>
      <c r="D1421" s="66"/>
      <c r="E1421" s="67"/>
      <c r="F1421" s="71" t="s">
        <v>52</v>
      </c>
      <c r="G1421" s="72"/>
      <c r="H1421" s="72"/>
      <c r="I1421" s="72"/>
      <c r="J1421" s="72"/>
      <c r="K1421" s="72"/>
      <c r="L1421" s="72"/>
      <c r="M1421" s="72"/>
      <c r="N1421" s="73"/>
      <c r="O1421" s="74" t="s">
        <v>53</v>
      </c>
    </row>
    <row r="1422" spans="1:15" ht="21" customHeight="1">
      <c r="A1422" s="63"/>
      <c r="B1422" s="64"/>
      <c r="C1422" s="68"/>
      <c r="D1422" s="69"/>
      <c r="E1422" s="70"/>
      <c r="F1422" s="76" t="s">
        <v>54</v>
      </c>
      <c r="G1422" s="77"/>
      <c r="H1422" s="71" t="s">
        <v>55</v>
      </c>
      <c r="I1422" s="73"/>
      <c r="J1422" s="94" t="s">
        <v>56</v>
      </c>
      <c r="K1422" s="95"/>
      <c r="L1422" s="96"/>
      <c r="M1422" s="80" t="s">
        <v>57</v>
      </c>
      <c r="N1422" s="82"/>
      <c r="O1422" s="75"/>
    </row>
    <row r="1423" spans="1:15" ht="81" customHeight="1">
      <c r="A1423" s="30"/>
      <c r="B1423" s="32"/>
      <c r="C1423" s="49" t="s">
        <v>210</v>
      </c>
      <c r="D1423" s="50"/>
      <c r="E1423" s="51"/>
      <c r="F1423" s="52">
        <v>3</v>
      </c>
      <c r="G1423" s="53"/>
      <c r="H1423" s="54" t="s">
        <v>185</v>
      </c>
      <c r="I1423" s="55"/>
      <c r="J1423" s="56">
        <v>220000</v>
      </c>
      <c r="K1423" s="119"/>
      <c r="L1423" s="57"/>
      <c r="M1423" s="56">
        <v>0</v>
      </c>
      <c r="N1423" s="57"/>
      <c r="O1423" s="7">
        <v>660000</v>
      </c>
    </row>
    <row r="1424" spans="1:15" ht="81" customHeight="1">
      <c r="A1424" s="30"/>
      <c r="B1424" s="32"/>
      <c r="C1424" s="49" t="s">
        <v>186</v>
      </c>
      <c r="D1424" s="50"/>
      <c r="E1424" s="51"/>
      <c r="F1424" s="54" t="s">
        <v>334</v>
      </c>
      <c r="G1424" s="55"/>
      <c r="H1424" s="54" t="s">
        <v>185</v>
      </c>
      <c r="I1424" s="55"/>
      <c r="J1424" s="56">
        <v>245000</v>
      </c>
      <c r="K1424" s="119"/>
      <c r="L1424" s="57"/>
      <c r="M1424" s="56">
        <v>0</v>
      </c>
      <c r="N1424" s="57"/>
      <c r="O1424" s="7">
        <v>0</v>
      </c>
    </row>
    <row r="1425" spans="1:15" ht="81" customHeight="1">
      <c r="A1425" s="30"/>
      <c r="B1425" s="32"/>
      <c r="C1425" s="49" t="s">
        <v>215</v>
      </c>
      <c r="D1425" s="50"/>
      <c r="E1425" s="51"/>
      <c r="F1425" s="52">
        <v>3</v>
      </c>
      <c r="G1425" s="53"/>
      <c r="H1425" s="54" t="s">
        <v>185</v>
      </c>
      <c r="I1425" s="55"/>
      <c r="J1425" s="56">
        <v>170000</v>
      </c>
      <c r="K1425" s="119"/>
      <c r="L1425" s="57"/>
      <c r="M1425" s="56">
        <v>0</v>
      </c>
      <c r="N1425" s="57"/>
      <c r="O1425" s="7">
        <v>510000</v>
      </c>
    </row>
    <row r="1426" spans="1:15" ht="81" customHeight="1">
      <c r="A1426" s="30"/>
      <c r="B1426" s="32"/>
      <c r="C1426" s="49" t="s">
        <v>426</v>
      </c>
      <c r="D1426" s="50"/>
      <c r="E1426" s="51"/>
      <c r="F1426" s="54" t="s">
        <v>334</v>
      </c>
      <c r="G1426" s="55"/>
      <c r="H1426" s="54" t="s">
        <v>185</v>
      </c>
      <c r="I1426" s="55"/>
      <c r="J1426" s="56">
        <v>200000</v>
      </c>
      <c r="K1426" s="119"/>
      <c r="L1426" s="57"/>
      <c r="M1426" s="56">
        <v>0</v>
      </c>
      <c r="N1426" s="57"/>
      <c r="O1426" s="7">
        <v>0</v>
      </c>
    </row>
    <row r="1427" spans="1:15" ht="81" customHeight="1">
      <c r="A1427" s="30"/>
      <c r="B1427" s="32"/>
      <c r="C1427" s="49" t="s">
        <v>221</v>
      </c>
      <c r="D1427" s="50"/>
      <c r="E1427" s="51"/>
      <c r="F1427" s="54" t="s">
        <v>334</v>
      </c>
      <c r="G1427" s="55"/>
      <c r="H1427" s="54" t="s">
        <v>185</v>
      </c>
      <c r="I1427" s="55"/>
      <c r="J1427" s="56">
        <v>320000</v>
      </c>
      <c r="K1427" s="119"/>
      <c r="L1427" s="57"/>
      <c r="M1427" s="56">
        <v>0</v>
      </c>
      <c r="N1427" s="57"/>
      <c r="O1427" s="7">
        <v>0</v>
      </c>
    </row>
    <row r="1428" spans="1:15" ht="81" customHeight="1">
      <c r="A1428" s="30"/>
      <c r="B1428" s="32"/>
      <c r="C1428" s="49" t="s">
        <v>191</v>
      </c>
      <c r="D1428" s="50"/>
      <c r="E1428" s="51"/>
      <c r="F1428" s="52">
        <v>3</v>
      </c>
      <c r="G1428" s="53"/>
      <c r="H1428" s="54" t="s">
        <v>185</v>
      </c>
      <c r="I1428" s="55"/>
      <c r="J1428" s="56">
        <v>120000</v>
      </c>
      <c r="K1428" s="119"/>
      <c r="L1428" s="57"/>
      <c r="M1428" s="56">
        <v>0</v>
      </c>
      <c r="N1428" s="57"/>
      <c r="O1428" s="7">
        <v>360000</v>
      </c>
    </row>
    <row r="1429" spans="1:15" ht="81" customHeight="1">
      <c r="A1429" s="30"/>
      <c r="B1429" s="32"/>
      <c r="C1429" s="49" t="s">
        <v>196</v>
      </c>
      <c r="D1429" s="50"/>
      <c r="E1429" s="51"/>
      <c r="F1429" s="52">
        <v>3</v>
      </c>
      <c r="G1429" s="53"/>
      <c r="H1429" s="54" t="s">
        <v>185</v>
      </c>
      <c r="I1429" s="55"/>
      <c r="J1429" s="56">
        <v>145000</v>
      </c>
      <c r="K1429" s="119"/>
      <c r="L1429" s="57"/>
      <c r="M1429" s="56">
        <v>0</v>
      </c>
      <c r="N1429" s="57"/>
      <c r="O1429" s="7">
        <v>435000</v>
      </c>
    </row>
    <row r="1430" spans="1:15" ht="81" customHeight="1">
      <c r="A1430" s="30"/>
      <c r="B1430" s="32"/>
      <c r="C1430" s="49" t="s">
        <v>214</v>
      </c>
      <c r="D1430" s="50"/>
      <c r="E1430" s="51"/>
      <c r="F1430" s="52">
        <v>3</v>
      </c>
      <c r="G1430" s="53"/>
      <c r="H1430" s="54" t="s">
        <v>185</v>
      </c>
      <c r="I1430" s="55"/>
      <c r="J1430" s="56">
        <v>125000</v>
      </c>
      <c r="K1430" s="119"/>
      <c r="L1430" s="57"/>
      <c r="M1430" s="56">
        <v>0</v>
      </c>
      <c r="N1430" s="57"/>
      <c r="O1430" s="7">
        <v>375000</v>
      </c>
    </row>
    <row r="1431" spans="1:15" ht="82.05" customHeight="1">
      <c r="A1431" s="30"/>
      <c r="B1431" s="32"/>
      <c r="C1431" s="49" t="s">
        <v>184</v>
      </c>
      <c r="D1431" s="50"/>
      <c r="E1431" s="51"/>
      <c r="F1431" s="52">
        <v>2</v>
      </c>
      <c r="G1431" s="53"/>
      <c r="H1431" s="54" t="s">
        <v>185</v>
      </c>
      <c r="I1431" s="55"/>
      <c r="J1431" s="56">
        <v>180000</v>
      </c>
      <c r="K1431" s="119"/>
      <c r="L1431" s="57"/>
      <c r="M1431" s="56">
        <v>0</v>
      </c>
      <c r="N1431" s="57"/>
      <c r="O1431" s="7">
        <v>360000</v>
      </c>
    </row>
    <row r="1432" spans="1:15" ht="70.05" customHeight="1">
      <c r="A1432" s="30"/>
      <c r="B1432" s="32"/>
      <c r="C1432" s="49" t="s">
        <v>223</v>
      </c>
      <c r="D1432" s="50"/>
      <c r="E1432" s="51"/>
      <c r="F1432" s="52">
        <v>100</v>
      </c>
      <c r="G1432" s="53"/>
      <c r="H1432" s="54" t="s">
        <v>185</v>
      </c>
      <c r="I1432" s="55"/>
      <c r="J1432" s="56">
        <v>170000</v>
      </c>
      <c r="K1432" s="119"/>
      <c r="L1432" s="57"/>
      <c r="M1432" s="56">
        <v>0</v>
      </c>
      <c r="N1432" s="57"/>
      <c r="O1432" s="7">
        <v>17000000</v>
      </c>
    </row>
    <row r="1433" spans="1:15" ht="31.05" customHeight="1">
      <c r="A1433" s="27" t="s">
        <v>89</v>
      </c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9"/>
      <c r="O1433" s="13">
        <v>141190922</v>
      </c>
    </row>
    <row r="1434" spans="1:15" ht="153" customHeight="1">
      <c r="A1434" s="30"/>
      <c r="B1434" s="31"/>
      <c r="C1434" s="31"/>
      <c r="D1434" s="31"/>
      <c r="E1434" s="31"/>
      <c r="F1434" s="31"/>
      <c r="G1434" s="32"/>
      <c r="H1434" s="33" t="s">
        <v>90</v>
      </c>
      <c r="I1434" s="34"/>
      <c r="J1434" s="34"/>
      <c r="K1434" s="34"/>
      <c r="L1434" s="34"/>
      <c r="M1434" s="34"/>
      <c r="N1434" s="34"/>
      <c r="O1434" s="35"/>
    </row>
    <row r="1435" spans="1:15" ht="21" customHeight="1">
      <c r="A1435" s="37" t="s">
        <v>91</v>
      </c>
      <c r="B1435" s="38"/>
      <c r="C1435" s="39"/>
      <c r="D1435" s="2" t="s">
        <v>48</v>
      </c>
      <c r="E1435" s="40"/>
      <c r="F1435" s="41"/>
      <c r="G1435" s="41"/>
      <c r="H1435" s="41"/>
      <c r="I1435" s="41"/>
      <c r="J1435" s="41"/>
      <c r="K1435" s="41"/>
      <c r="L1435" s="41"/>
      <c r="M1435" s="41"/>
      <c r="N1435" s="41"/>
      <c r="O1435" s="42"/>
    </row>
    <row r="1436" spans="1:15" ht="19.95" customHeight="1">
      <c r="A1436" s="37" t="s">
        <v>92</v>
      </c>
      <c r="B1436" s="38"/>
      <c r="C1436" s="39"/>
      <c r="D1436" s="2" t="s">
        <v>48</v>
      </c>
      <c r="E1436" s="40"/>
      <c r="F1436" s="41"/>
      <c r="G1436" s="41"/>
      <c r="H1436" s="41"/>
      <c r="I1436" s="41"/>
      <c r="J1436" s="41"/>
      <c r="K1436" s="41"/>
      <c r="L1436" s="41"/>
      <c r="M1436" s="41"/>
      <c r="N1436" s="41"/>
      <c r="O1436" s="42"/>
    </row>
    <row r="1437" spans="1:15" ht="19.95" customHeight="1">
      <c r="A1437" s="37" t="s">
        <v>93</v>
      </c>
      <c r="B1437" s="38"/>
      <c r="C1437" s="39"/>
      <c r="D1437" s="2" t="s">
        <v>48</v>
      </c>
      <c r="E1437" s="40"/>
      <c r="F1437" s="41"/>
      <c r="G1437" s="41"/>
      <c r="H1437" s="41"/>
      <c r="I1437" s="41"/>
      <c r="J1437" s="41"/>
      <c r="K1437" s="41"/>
      <c r="L1437" s="41"/>
      <c r="M1437" s="41"/>
      <c r="N1437" s="41"/>
      <c r="O1437" s="42"/>
    </row>
    <row r="1438" spans="1:15" ht="21" customHeight="1">
      <c r="A1438" s="43">
        <v>1</v>
      </c>
      <c r="B1438" s="44"/>
      <c r="C1438" s="44"/>
      <c r="D1438" s="44"/>
      <c r="E1438" s="44"/>
      <c r="F1438" s="44"/>
      <c r="G1438" s="44"/>
      <c r="H1438" s="44"/>
      <c r="I1438" s="44"/>
      <c r="J1438" s="44"/>
      <c r="K1438" s="44"/>
      <c r="L1438" s="44"/>
      <c r="M1438" s="44"/>
      <c r="N1438" s="44"/>
      <c r="O1438" s="45"/>
    </row>
    <row r="1439" spans="1:15" ht="19.95" customHeight="1">
      <c r="A1439" s="43">
        <v>2</v>
      </c>
      <c r="B1439" s="44"/>
      <c r="C1439" s="44"/>
      <c r="D1439" s="44"/>
      <c r="E1439" s="44"/>
      <c r="F1439" s="44"/>
      <c r="G1439" s="44"/>
      <c r="H1439" s="44"/>
      <c r="I1439" s="44"/>
      <c r="J1439" s="44"/>
      <c r="K1439" s="44"/>
      <c r="L1439" s="44"/>
      <c r="M1439" s="44"/>
      <c r="N1439" s="44"/>
      <c r="O1439" s="45"/>
    </row>
    <row r="1440" spans="1:15" ht="20.55" customHeight="1">
      <c r="A1440" s="37" t="s">
        <v>94</v>
      </c>
      <c r="B1440" s="38"/>
      <c r="C1440" s="38"/>
      <c r="D1440" s="38"/>
      <c r="E1440" s="38"/>
      <c r="F1440" s="38"/>
      <c r="G1440" s="38"/>
      <c r="H1440" s="38"/>
      <c r="I1440" s="38"/>
      <c r="J1440" s="38"/>
      <c r="K1440" s="38"/>
      <c r="L1440" s="38"/>
      <c r="M1440" s="38"/>
      <c r="N1440" s="38"/>
      <c r="O1440" s="39"/>
    </row>
    <row r="1441" spans="1:15" ht="20.55" customHeight="1">
      <c r="A1441" s="1"/>
      <c r="B1441" s="93"/>
      <c r="C1441" s="93"/>
      <c r="D1441" s="1"/>
      <c r="E1441" s="93"/>
      <c r="F1441" s="93"/>
      <c r="G1441" s="93"/>
      <c r="H1441" s="93"/>
      <c r="I1441" s="93"/>
      <c r="J1441" s="93"/>
      <c r="K1441" s="93"/>
      <c r="L1441" s="36"/>
      <c r="M1441" s="36"/>
      <c r="N1441" s="36"/>
      <c r="O1441" s="36"/>
    </row>
    <row r="1442" spans="1:15" ht="21" customHeight="1">
      <c r="A1442" s="18" t="s">
        <v>95</v>
      </c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20"/>
    </row>
    <row r="1443" spans="1:15" ht="22.05" customHeight="1">
      <c r="A1443" s="3" t="s">
        <v>96</v>
      </c>
      <c r="B1443" s="18" t="s">
        <v>97</v>
      </c>
      <c r="C1443" s="19"/>
      <c r="D1443" s="19"/>
      <c r="E1443" s="19"/>
      <c r="F1443" s="20"/>
      <c r="G1443" s="18" t="s">
        <v>98</v>
      </c>
      <c r="H1443" s="20"/>
      <c r="I1443" s="18" t="s">
        <v>99</v>
      </c>
      <c r="J1443" s="19"/>
      <c r="K1443" s="20"/>
      <c r="L1443" s="21" t="s">
        <v>100</v>
      </c>
      <c r="M1443" s="22"/>
      <c r="N1443" s="22"/>
      <c r="O1443" s="23"/>
    </row>
    <row r="1444" spans="1:15" ht="21" customHeight="1">
      <c r="A1444" s="24" t="s">
        <v>101</v>
      </c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6"/>
    </row>
    <row r="1445" spans="1:15" ht="64.05" customHeight="1">
      <c r="A1445" s="106" t="s">
        <v>0</v>
      </c>
      <c r="B1445" s="107"/>
      <c r="C1445" s="107"/>
      <c r="D1445" s="107"/>
      <c r="E1445" s="107"/>
      <c r="F1445" s="107"/>
      <c r="G1445" s="107"/>
      <c r="H1445" s="107"/>
      <c r="I1445" s="107"/>
      <c r="J1445" s="108"/>
      <c r="K1445" s="109" t="s">
        <v>1</v>
      </c>
      <c r="L1445" s="110"/>
      <c r="M1445" s="110"/>
      <c r="N1445" s="110"/>
      <c r="O1445" s="111"/>
    </row>
    <row r="1446" spans="1:15" ht="23.55" customHeight="1">
      <c r="A1446" s="101" t="s">
        <v>674</v>
      </c>
      <c r="B1446" s="102"/>
      <c r="C1446" s="102"/>
      <c r="D1446" s="102"/>
      <c r="E1446" s="102"/>
      <c r="F1446" s="102"/>
      <c r="G1446" s="102"/>
      <c r="H1446" s="102"/>
      <c r="I1446" s="102"/>
      <c r="J1446" s="102"/>
      <c r="K1446" s="102"/>
      <c r="L1446" s="102"/>
      <c r="M1446" s="102"/>
      <c r="N1446" s="102"/>
      <c r="O1446" s="103"/>
    </row>
    <row r="1447" spans="1:15" ht="20.55" customHeight="1">
      <c r="A1447" s="93"/>
      <c r="B1447" s="93"/>
      <c r="C1447" s="1"/>
      <c r="D1447" s="93"/>
      <c r="E1447" s="93"/>
      <c r="F1447" s="93"/>
      <c r="G1447" s="93"/>
      <c r="H1447" s="93"/>
      <c r="I1447" s="93"/>
      <c r="J1447" s="5"/>
      <c r="K1447" s="36"/>
      <c r="L1447" s="36"/>
      <c r="M1447" s="5"/>
      <c r="N1447" s="5"/>
      <c r="O1447" s="5"/>
    </row>
    <row r="1448" spans="1:15" ht="37.049999999999997" customHeight="1">
      <c r="A1448" s="101" t="s">
        <v>2</v>
      </c>
      <c r="B1448" s="102"/>
      <c r="C1448" s="102"/>
      <c r="D1448" s="102"/>
      <c r="E1448" s="102"/>
      <c r="F1448" s="102"/>
      <c r="G1448" s="102"/>
      <c r="H1448" s="102"/>
      <c r="I1448" s="102"/>
      <c r="J1448" s="102"/>
      <c r="K1448" s="102"/>
      <c r="L1448" s="102"/>
      <c r="M1448" s="102"/>
      <c r="N1448" s="102"/>
      <c r="O1448" s="103"/>
    </row>
    <row r="1449" spans="1:15" ht="21" customHeight="1">
      <c r="A1449" s="37" t="s">
        <v>3</v>
      </c>
      <c r="B1449" s="38"/>
      <c r="C1449" s="39"/>
      <c r="D1449" s="90" t="s">
        <v>4</v>
      </c>
      <c r="E1449" s="91"/>
      <c r="F1449" s="91"/>
      <c r="G1449" s="91"/>
      <c r="H1449" s="91"/>
      <c r="I1449" s="91"/>
      <c r="J1449" s="91"/>
      <c r="K1449" s="91"/>
      <c r="L1449" s="91"/>
      <c r="M1449" s="91"/>
      <c r="N1449" s="91"/>
      <c r="O1449" s="92"/>
    </row>
    <row r="1450" spans="1:15" ht="22.05" customHeight="1">
      <c r="A1450" s="37" t="s">
        <v>5</v>
      </c>
      <c r="B1450" s="38"/>
      <c r="C1450" s="39"/>
      <c r="D1450" s="90" t="s">
        <v>6</v>
      </c>
      <c r="E1450" s="91"/>
      <c r="F1450" s="91"/>
      <c r="G1450" s="91"/>
      <c r="H1450" s="91"/>
      <c r="I1450" s="91"/>
      <c r="J1450" s="91"/>
      <c r="K1450" s="91"/>
      <c r="L1450" s="91"/>
      <c r="M1450" s="91"/>
      <c r="N1450" s="91"/>
      <c r="O1450" s="92"/>
    </row>
    <row r="1451" spans="1:15" ht="22.05" customHeight="1">
      <c r="A1451" s="37" t="s">
        <v>7</v>
      </c>
      <c r="B1451" s="38"/>
      <c r="C1451" s="39"/>
      <c r="D1451" s="90" t="s">
        <v>8</v>
      </c>
      <c r="E1451" s="91"/>
      <c r="F1451" s="91"/>
      <c r="G1451" s="91"/>
      <c r="H1451" s="91"/>
      <c r="I1451" s="91"/>
      <c r="J1451" s="91"/>
      <c r="K1451" s="91"/>
      <c r="L1451" s="91"/>
      <c r="M1451" s="91"/>
      <c r="N1451" s="91"/>
      <c r="O1451" s="92"/>
    </row>
    <row r="1452" spans="1:15" ht="21" customHeight="1">
      <c r="A1452" s="37" t="s">
        <v>9</v>
      </c>
      <c r="B1452" s="38"/>
      <c r="C1452" s="39"/>
      <c r="D1452" s="90" t="s">
        <v>10</v>
      </c>
      <c r="E1452" s="91"/>
      <c r="F1452" s="91"/>
      <c r="G1452" s="91"/>
      <c r="H1452" s="91"/>
      <c r="I1452" s="91"/>
      <c r="J1452" s="91"/>
      <c r="K1452" s="91"/>
      <c r="L1452" s="91"/>
      <c r="M1452" s="91"/>
      <c r="N1452" s="91"/>
      <c r="O1452" s="92"/>
    </row>
    <row r="1453" spans="1:15" ht="22.05" customHeight="1">
      <c r="A1453" s="37" t="s">
        <v>11</v>
      </c>
      <c r="B1453" s="38"/>
      <c r="C1453" s="39"/>
      <c r="D1453" s="90" t="s">
        <v>12</v>
      </c>
      <c r="E1453" s="91"/>
      <c r="F1453" s="91"/>
      <c r="G1453" s="91"/>
      <c r="H1453" s="91"/>
      <c r="I1453" s="91"/>
      <c r="J1453" s="91"/>
      <c r="K1453" s="91"/>
      <c r="L1453" s="91"/>
      <c r="M1453" s="91"/>
      <c r="N1453" s="91"/>
      <c r="O1453" s="92"/>
    </row>
    <row r="1454" spans="1:15" ht="22.05" customHeight="1">
      <c r="A1454" s="37" t="s">
        <v>13</v>
      </c>
      <c r="B1454" s="38"/>
      <c r="C1454" s="39"/>
      <c r="D1454" s="90" t="s">
        <v>246</v>
      </c>
      <c r="E1454" s="91"/>
      <c r="F1454" s="91"/>
      <c r="G1454" s="91"/>
      <c r="H1454" s="91"/>
      <c r="I1454" s="91"/>
      <c r="J1454" s="91"/>
      <c r="K1454" s="91"/>
      <c r="L1454" s="91"/>
      <c r="M1454" s="91"/>
      <c r="N1454" s="91"/>
      <c r="O1454" s="92"/>
    </row>
    <row r="1455" spans="1:15" ht="21" customHeight="1">
      <c r="A1455" s="37" t="s">
        <v>15</v>
      </c>
      <c r="B1455" s="38"/>
      <c r="C1455" s="39"/>
      <c r="D1455" s="90" t="s">
        <v>485</v>
      </c>
      <c r="E1455" s="91"/>
      <c r="F1455" s="91"/>
      <c r="G1455" s="91"/>
      <c r="H1455" s="91"/>
      <c r="I1455" s="91"/>
      <c r="J1455" s="91"/>
      <c r="K1455" s="91"/>
      <c r="L1455" s="91"/>
      <c r="M1455" s="91"/>
      <c r="N1455" s="91"/>
      <c r="O1455" s="92"/>
    </row>
    <row r="1456" spans="1:15" ht="22.05" customHeight="1">
      <c r="A1456" s="37" t="s">
        <v>17</v>
      </c>
      <c r="B1456" s="38"/>
      <c r="C1456" s="39"/>
      <c r="D1456" s="90" t="s">
        <v>10</v>
      </c>
      <c r="E1456" s="91"/>
      <c r="F1456" s="91"/>
      <c r="G1456" s="91"/>
      <c r="H1456" s="91"/>
      <c r="I1456" s="91"/>
      <c r="J1456" s="91"/>
      <c r="K1456" s="91"/>
      <c r="L1456" s="91"/>
      <c r="M1456" s="91"/>
      <c r="N1456" s="91"/>
      <c r="O1456" s="92"/>
    </row>
    <row r="1457" spans="1:15" ht="22.05" customHeight="1">
      <c r="A1457" s="37" t="s">
        <v>18</v>
      </c>
      <c r="B1457" s="38"/>
      <c r="C1457" s="39"/>
      <c r="D1457" s="90" t="s">
        <v>10</v>
      </c>
      <c r="E1457" s="91"/>
      <c r="F1457" s="91"/>
      <c r="G1457" s="91"/>
      <c r="H1457" s="91"/>
      <c r="I1457" s="91"/>
      <c r="J1457" s="91"/>
      <c r="K1457" s="91"/>
      <c r="L1457" s="91"/>
      <c r="M1457" s="91"/>
      <c r="N1457" s="91"/>
      <c r="O1457" s="92"/>
    </row>
    <row r="1458" spans="1:15" ht="22.05" customHeight="1">
      <c r="A1458" s="37" t="s">
        <v>19</v>
      </c>
      <c r="B1458" s="38"/>
      <c r="C1458" s="39"/>
      <c r="D1458" s="90" t="s">
        <v>20</v>
      </c>
      <c r="E1458" s="91"/>
      <c r="F1458" s="91"/>
      <c r="G1458" s="91"/>
      <c r="H1458" s="91"/>
      <c r="I1458" s="91"/>
      <c r="J1458" s="91"/>
      <c r="K1458" s="91"/>
      <c r="L1458" s="91"/>
      <c r="M1458" s="91"/>
      <c r="N1458" s="91"/>
      <c r="O1458" s="92"/>
    </row>
    <row r="1459" spans="1:15" ht="21" customHeight="1">
      <c r="A1459" s="37" t="s">
        <v>21</v>
      </c>
      <c r="B1459" s="38"/>
      <c r="C1459" s="39"/>
      <c r="D1459" s="90" t="s">
        <v>22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2"/>
    </row>
    <row r="1460" spans="1:15" ht="22.05" customHeight="1">
      <c r="A1460" s="37" t="s">
        <v>23</v>
      </c>
      <c r="B1460" s="38"/>
      <c r="C1460" s="39"/>
      <c r="D1460" s="90" t="s">
        <v>24</v>
      </c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2"/>
    </row>
    <row r="1461" spans="1:15" ht="22.05" customHeight="1">
      <c r="A1461" s="37" t="s">
        <v>25</v>
      </c>
      <c r="B1461" s="38"/>
      <c r="C1461" s="39"/>
      <c r="D1461" s="90" t="s">
        <v>26</v>
      </c>
      <c r="E1461" s="91"/>
      <c r="F1461" s="91"/>
      <c r="G1461" s="91"/>
      <c r="H1461" s="91"/>
      <c r="I1461" s="91"/>
      <c r="J1461" s="91"/>
      <c r="K1461" s="91"/>
      <c r="L1461" s="91"/>
      <c r="M1461" s="91"/>
      <c r="N1461" s="91"/>
      <c r="O1461" s="92"/>
    </row>
    <row r="1462" spans="1:15" ht="21" customHeight="1">
      <c r="A1462" s="37" t="s">
        <v>670</v>
      </c>
      <c r="B1462" s="38"/>
      <c r="C1462" s="39"/>
      <c r="D1462" s="90" t="s">
        <v>27</v>
      </c>
      <c r="E1462" s="91"/>
      <c r="F1462" s="91"/>
      <c r="G1462" s="91"/>
      <c r="H1462" s="91"/>
      <c r="I1462" s="91"/>
      <c r="J1462" s="91"/>
      <c r="K1462" s="91"/>
      <c r="L1462" s="91"/>
      <c r="M1462" s="91"/>
      <c r="N1462" s="91"/>
      <c r="O1462" s="92"/>
    </row>
    <row r="1463" spans="1:15" ht="22.05" customHeight="1">
      <c r="A1463" s="37" t="s">
        <v>675</v>
      </c>
      <c r="B1463" s="38"/>
      <c r="C1463" s="39"/>
      <c r="D1463" s="90" t="s">
        <v>486</v>
      </c>
      <c r="E1463" s="91"/>
      <c r="F1463" s="91"/>
      <c r="G1463" s="91"/>
      <c r="H1463" s="91"/>
      <c r="I1463" s="91"/>
      <c r="J1463" s="91"/>
      <c r="K1463" s="91"/>
      <c r="L1463" s="91"/>
      <c r="M1463" s="91"/>
      <c r="N1463" s="91"/>
      <c r="O1463" s="92"/>
    </row>
    <row r="1464" spans="1:15" ht="21.45" customHeight="1">
      <c r="A1464" s="37" t="s">
        <v>676</v>
      </c>
      <c r="B1464" s="38"/>
      <c r="C1464" s="39"/>
      <c r="D1464" s="90" t="s">
        <v>487</v>
      </c>
      <c r="E1464" s="91"/>
      <c r="F1464" s="91"/>
      <c r="G1464" s="91"/>
      <c r="H1464" s="91"/>
      <c r="I1464" s="91"/>
      <c r="J1464" s="91"/>
      <c r="K1464" s="91"/>
      <c r="L1464" s="91"/>
      <c r="M1464" s="91"/>
      <c r="N1464" s="91"/>
      <c r="O1464" s="92"/>
    </row>
    <row r="1465" spans="1:15" ht="20.55" customHeight="1">
      <c r="A1465" s="93"/>
      <c r="B1465" s="93"/>
      <c r="C1465" s="1"/>
      <c r="D1465" s="93"/>
      <c r="E1465" s="93"/>
      <c r="F1465" s="93"/>
      <c r="G1465" s="93"/>
      <c r="H1465" s="93"/>
      <c r="I1465" s="93"/>
      <c r="J1465" s="5"/>
      <c r="K1465" s="36"/>
      <c r="L1465" s="36"/>
      <c r="M1465" s="5"/>
      <c r="N1465" s="5"/>
      <c r="O1465" s="5"/>
    </row>
    <row r="1466" spans="1:15" ht="22.95" customHeight="1">
      <c r="A1466" s="101" t="s">
        <v>29</v>
      </c>
      <c r="B1466" s="102"/>
      <c r="C1466" s="102"/>
      <c r="D1466" s="102"/>
      <c r="E1466" s="102"/>
      <c r="F1466" s="102"/>
      <c r="G1466" s="102"/>
      <c r="H1466" s="102"/>
      <c r="I1466" s="102"/>
      <c r="J1466" s="102"/>
      <c r="K1466" s="102"/>
      <c r="L1466" s="102"/>
      <c r="M1466" s="102"/>
      <c r="N1466" s="102"/>
      <c r="O1466" s="103"/>
    </row>
    <row r="1467" spans="1:15" ht="24" customHeight="1">
      <c r="A1467" s="101" t="s">
        <v>30</v>
      </c>
      <c r="B1467" s="102"/>
      <c r="C1467" s="103"/>
      <c r="D1467" s="101" t="s">
        <v>31</v>
      </c>
      <c r="E1467" s="102"/>
      <c r="F1467" s="102"/>
      <c r="G1467" s="102"/>
      <c r="H1467" s="102"/>
      <c r="I1467" s="102"/>
      <c r="J1467" s="102"/>
      <c r="K1467" s="102"/>
      <c r="L1467" s="102"/>
      <c r="M1467" s="103"/>
      <c r="N1467" s="104" t="s">
        <v>32</v>
      </c>
      <c r="O1467" s="105"/>
    </row>
    <row r="1468" spans="1:15" ht="21" customHeight="1">
      <c r="A1468" s="37" t="s">
        <v>33</v>
      </c>
      <c r="B1468" s="38"/>
      <c r="C1468" s="39"/>
      <c r="D1468" s="37" t="s">
        <v>34</v>
      </c>
      <c r="E1468" s="38"/>
      <c r="F1468" s="38"/>
      <c r="G1468" s="38"/>
      <c r="H1468" s="38"/>
      <c r="I1468" s="38"/>
      <c r="J1468" s="38"/>
      <c r="K1468" s="38"/>
      <c r="L1468" s="38"/>
      <c r="M1468" s="39"/>
      <c r="N1468" s="97" t="s">
        <v>35</v>
      </c>
      <c r="O1468" s="98"/>
    </row>
    <row r="1469" spans="1:15" ht="19.95" customHeight="1">
      <c r="A1469" s="37" t="s">
        <v>36</v>
      </c>
      <c r="B1469" s="38"/>
      <c r="C1469" s="39"/>
      <c r="D1469" s="37" t="s">
        <v>37</v>
      </c>
      <c r="E1469" s="38"/>
      <c r="F1469" s="38"/>
      <c r="G1469" s="38"/>
      <c r="H1469" s="38"/>
      <c r="I1469" s="38"/>
      <c r="J1469" s="38"/>
      <c r="K1469" s="38"/>
      <c r="L1469" s="38"/>
      <c r="M1469" s="39"/>
      <c r="N1469" s="97">
        <v>21794600</v>
      </c>
      <c r="O1469" s="98"/>
    </row>
    <row r="1470" spans="1:15" ht="19.95" customHeight="1">
      <c r="A1470" s="37" t="s">
        <v>38</v>
      </c>
      <c r="B1470" s="38"/>
      <c r="C1470" s="39"/>
      <c r="D1470" s="37" t="s">
        <v>488</v>
      </c>
      <c r="E1470" s="38"/>
      <c r="F1470" s="38"/>
      <c r="G1470" s="38"/>
      <c r="H1470" s="38"/>
      <c r="I1470" s="38"/>
      <c r="J1470" s="38"/>
      <c r="K1470" s="38"/>
      <c r="L1470" s="38"/>
      <c r="M1470" s="39"/>
      <c r="N1470" s="97" t="s">
        <v>474</v>
      </c>
      <c r="O1470" s="98"/>
    </row>
    <row r="1471" spans="1:15" ht="20.55" customHeight="1">
      <c r="A1471" s="37" t="s">
        <v>41</v>
      </c>
      <c r="B1471" s="38"/>
      <c r="C1471" s="39"/>
      <c r="D1471" s="37" t="s">
        <v>252</v>
      </c>
      <c r="E1471" s="38"/>
      <c r="F1471" s="38"/>
      <c r="G1471" s="38"/>
      <c r="H1471" s="38"/>
      <c r="I1471" s="38"/>
      <c r="J1471" s="38"/>
      <c r="K1471" s="38"/>
      <c r="L1471" s="38"/>
      <c r="M1471" s="39"/>
      <c r="N1471" s="99">
        <v>0.97</v>
      </c>
      <c r="O1471" s="100"/>
    </row>
    <row r="1472" spans="1:15" ht="20.55" customHeight="1">
      <c r="A1472" s="93"/>
      <c r="B1472" s="93"/>
      <c r="C1472" s="1"/>
      <c r="D1472" s="93"/>
      <c r="E1472" s="93"/>
      <c r="F1472" s="93"/>
      <c r="G1472" s="93"/>
      <c r="H1472" s="93"/>
      <c r="I1472" s="93"/>
      <c r="J1472" s="5"/>
      <c r="K1472" s="36"/>
      <c r="L1472" s="36"/>
      <c r="M1472" s="5"/>
      <c r="N1472" s="5"/>
      <c r="O1472" s="5"/>
    </row>
    <row r="1473" spans="1:15" ht="37.049999999999997" customHeight="1">
      <c r="A1473" s="101" t="s">
        <v>43</v>
      </c>
      <c r="B1473" s="102"/>
      <c r="C1473" s="102"/>
      <c r="D1473" s="102"/>
      <c r="E1473" s="102"/>
      <c r="F1473" s="102"/>
      <c r="G1473" s="102"/>
      <c r="H1473" s="102"/>
      <c r="I1473" s="102"/>
      <c r="J1473" s="102"/>
      <c r="K1473" s="102"/>
      <c r="L1473" s="102"/>
      <c r="M1473" s="102"/>
      <c r="N1473" s="102"/>
      <c r="O1473" s="103"/>
    </row>
    <row r="1474" spans="1:15" ht="21" customHeight="1">
      <c r="A1474" s="37" t="s">
        <v>15</v>
      </c>
      <c r="B1474" s="38"/>
      <c r="C1474" s="39"/>
      <c r="D1474" s="90" t="s">
        <v>485</v>
      </c>
      <c r="E1474" s="91"/>
      <c r="F1474" s="91"/>
      <c r="G1474" s="91"/>
      <c r="H1474" s="91"/>
      <c r="I1474" s="91"/>
      <c r="J1474" s="91"/>
      <c r="K1474" s="91"/>
      <c r="L1474" s="91"/>
      <c r="M1474" s="91"/>
      <c r="N1474" s="91"/>
      <c r="O1474" s="92"/>
    </row>
    <row r="1475" spans="1:15" ht="19.95" customHeight="1">
      <c r="A1475" s="37" t="s">
        <v>19</v>
      </c>
      <c r="B1475" s="38"/>
      <c r="C1475" s="39"/>
      <c r="D1475" s="90" t="s">
        <v>20</v>
      </c>
      <c r="E1475" s="91"/>
      <c r="F1475" s="91"/>
      <c r="G1475" s="91"/>
      <c r="H1475" s="91"/>
      <c r="I1475" s="91"/>
      <c r="J1475" s="91"/>
      <c r="K1475" s="91"/>
      <c r="L1475" s="91"/>
      <c r="M1475" s="91"/>
      <c r="N1475" s="91"/>
      <c r="O1475" s="92"/>
    </row>
    <row r="1476" spans="1:15" ht="19.95" customHeight="1">
      <c r="A1476" s="37" t="s">
        <v>21</v>
      </c>
      <c r="B1476" s="38"/>
      <c r="C1476" s="39"/>
      <c r="D1476" s="90" t="s">
        <v>44</v>
      </c>
      <c r="E1476" s="91"/>
      <c r="F1476" s="91"/>
      <c r="G1476" s="91"/>
      <c r="H1476" s="91"/>
      <c r="I1476" s="91"/>
      <c r="J1476" s="91"/>
      <c r="K1476" s="91"/>
      <c r="L1476" s="91"/>
      <c r="M1476" s="91"/>
      <c r="N1476" s="91"/>
      <c r="O1476" s="92"/>
    </row>
    <row r="1477" spans="1:15" ht="21" customHeight="1">
      <c r="A1477" s="37" t="s">
        <v>45</v>
      </c>
      <c r="B1477" s="38"/>
      <c r="C1477" s="39"/>
      <c r="D1477" s="90" t="s">
        <v>489</v>
      </c>
      <c r="E1477" s="91"/>
      <c r="F1477" s="91"/>
      <c r="G1477" s="91"/>
      <c r="H1477" s="91"/>
      <c r="I1477" s="91"/>
      <c r="J1477" s="91"/>
      <c r="K1477" s="91"/>
      <c r="L1477" s="91"/>
      <c r="M1477" s="91"/>
      <c r="N1477" s="91"/>
      <c r="O1477" s="92"/>
    </row>
    <row r="1478" spans="1:15" ht="19.95" customHeight="1">
      <c r="A1478" s="37" t="s">
        <v>23</v>
      </c>
      <c r="B1478" s="38"/>
      <c r="C1478" s="39"/>
      <c r="D1478" s="90" t="s">
        <v>24</v>
      </c>
      <c r="E1478" s="91"/>
      <c r="F1478" s="91"/>
      <c r="G1478" s="91"/>
      <c r="H1478" s="91"/>
      <c r="I1478" s="91"/>
      <c r="J1478" s="91"/>
      <c r="K1478" s="91"/>
      <c r="L1478" s="91"/>
      <c r="M1478" s="91"/>
      <c r="N1478" s="91"/>
      <c r="O1478" s="92"/>
    </row>
    <row r="1479" spans="1:15" ht="19.5" customHeight="1">
      <c r="A1479" s="37" t="s">
        <v>47</v>
      </c>
      <c r="B1479" s="38"/>
      <c r="C1479" s="39"/>
      <c r="D1479" s="90" t="s">
        <v>48</v>
      </c>
      <c r="E1479" s="91"/>
      <c r="F1479" s="91"/>
      <c r="G1479" s="91"/>
      <c r="H1479" s="91"/>
      <c r="I1479" s="91"/>
      <c r="J1479" s="91"/>
      <c r="K1479" s="91"/>
      <c r="L1479" s="91"/>
      <c r="M1479" s="91"/>
      <c r="N1479" s="91"/>
      <c r="O1479" s="92"/>
    </row>
    <row r="1480" spans="1:15" ht="20.55" customHeight="1">
      <c r="A1480" s="93"/>
      <c r="B1480" s="93"/>
      <c r="C1480" s="1"/>
      <c r="D1480" s="93"/>
      <c r="E1480" s="93"/>
      <c r="F1480" s="93"/>
      <c r="G1480" s="93"/>
      <c r="H1480" s="93"/>
      <c r="I1480" s="93"/>
      <c r="J1480" s="5"/>
      <c r="K1480" s="36"/>
      <c r="L1480" s="36"/>
      <c r="M1480" s="5"/>
      <c r="N1480" s="5"/>
      <c r="O1480" s="5"/>
    </row>
    <row r="1481" spans="1:15" ht="37.950000000000003" customHeight="1">
      <c r="A1481" s="87" t="s">
        <v>49</v>
      </c>
      <c r="B1481" s="88"/>
      <c r="C1481" s="88"/>
      <c r="D1481" s="88"/>
      <c r="E1481" s="88"/>
      <c r="F1481" s="88"/>
      <c r="G1481" s="88"/>
      <c r="H1481" s="88"/>
      <c r="I1481" s="88"/>
      <c r="J1481" s="88"/>
      <c r="K1481" s="88"/>
      <c r="L1481" s="88"/>
      <c r="M1481" s="88"/>
      <c r="N1481" s="88"/>
      <c r="O1481" s="89"/>
    </row>
    <row r="1482" spans="1:15" ht="19.95" customHeight="1">
      <c r="A1482" s="61" t="s">
        <v>50</v>
      </c>
      <c r="B1482" s="62"/>
      <c r="C1482" s="65" t="s">
        <v>51</v>
      </c>
      <c r="D1482" s="66"/>
      <c r="E1482" s="67"/>
      <c r="F1482" s="71" t="s">
        <v>52</v>
      </c>
      <c r="G1482" s="72"/>
      <c r="H1482" s="72"/>
      <c r="I1482" s="72"/>
      <c r="J1482" s="72"/>
      <c r="K1482" s="72"/>
      <c r="L1482" s="72"/>
      <c r="M1482" s="72"/>
      <c r="N1482" s="73"/>
      <c r="O1482" s="74" t="s">
        <v>53</v>
      </c>
    </row>
    <row r="1483" spans="1:15" ht="21" customHeight="1">
      <c r="A1483" s="63"/>
      <c r="B1483" s="64"/>
      <c r="C1483" s="68"/>
      <c r="D1483" s="69"/>
      <c r="E1483" s="70"/>
      <c r="F1483" s="76" t="s">
        <v>54</v>
      </c>
      <c r="G1483" s="77"/>
      <c r="H1483" s="71" t="s">
        <v>55</v>
      </c>
      <c r="I1483" s="73"/>
      <c r="J1483" s="94" t="s">
        <v>56</v>
      </c>
      <c r="K1483" s="95"/>
      <c r="L1483" s="96"/>
      <c r="M1483" s="80" t="s">
        <v>57</v>
      </c>
      <c r="N1483" s="82"/>
      <c r="O1483" s="75"/>
    </row>
    <row r="1484" spans="1:15" ht="19.95" customHeight="1">
      <c r="A1484" s="83">
        <v>5</v>
      </c>
      <c r="B1484" s="84"/>
      <c r="C1484" s="46" t="s">
        <v>58</v>
      </c>
      <c r="D1484" s="47"/>
      <c r="E1484" s="47"/>
      <c r="F1484" s="47"/>
      <c r="G1484" s="47"/>
      <c r="H1484" s="47"/>
      <c r="I1484" s="47"/>
      <c r="J1484" s="47"/>
      <c r="K1484" s="47"/>
      <c r="L1484" s="47"/>
      <c r="M1484" s="47"/>
      <c r="N1484" s="48"/>
      <c r="O1484" s="6">
        <v>21794600</v>
      </c>
    </row>
    <row r="1485" spans="1:15" ht="19.95" customHeight="1">
      <c r="A1485" s="46" t="s">
        <v>59</v>
      </c>
      <c r="B1485" s="48"/>
      <c r="C1485" s="46" t="s">
        <v>60</v>
      </c>
      <c r="D1485" s="47"/>
      <c r="E1485" s="47"/>
      <c r="F1485" s="47"/>
      <c r="G1485" s="47"/>
      <c r="H1485" s="47"/>
      <c r="I1485" s="47"/>
      <c r="J1485" s="47"/>
      <c r="K1485" s="47"/>
      <c r="L1485" s="47"/>
      <c r="M1485" s="47"/>
      <c r="N1485" s="48"/>
      <c r="O1485" s="6">
        <v>21794600</v>
      </c>
    </row>
    <row r="1486" spans="1:15" ht="21" customHeight="1">
      <c r="A1486" s="85">
        <v>37377</v>
      </c>
      <c r="B1486" s="86"/>
      <c r="C1486" s="46" t="s">
        <v>61</v>
      </c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8"/>
      <c r="O1486" s="6">
        <v>21794600</v>
      </c>
    </row>
    <row r="1487" spans="1:15" ht="19.95" customHeight="1">
      <c r="A1487" s="46" t="s">
        <v>62</v>
      </c>
      <c r="B1487" s="48"/>
      <c r="C1487" s="46" t="s">
        <v>63</v>
      </c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8"/>
      <c r="O1487" s="6">
        <v>21794600</v>
      </c>
    </row>
    <row r="1488" spans="1:15" ht="19.95" customHeight="1">
      <c r="A1488" s="46" t="s">
        <v>64</v>
      </c>
      <c r="B1488" s="48"/>
      <c r="C1488" s="46" t="s">
        <v>65</v>
      </c>
      <c r="D1488" s="47"/>
      <c r="E1488" s="47"/>
      <c r="F1488" s="47"/>
      <c r="G1488" s="47"/>
      <c r="H1488" s="47"/>
      <c r="I1488" s="47"/>
      <c r="J1488" s="47"/>
      <c r="K1488" s="47"/>
      <c r="L1488" s="47"/>
      <c r="M1488" s="47"/>
      <c r="N1488" s="48"/>
      <c r="O1488" s="6">
        <v>21794600</v>
      </c>
    </row>
    <row r="1489" spans="1:15" ht="31.05" customHeight="1">
      <c r="A1489" s="30" t="s">
        <v>66</v>
      </c>
      <c r="B1489" s="32"/>
      <c r="C1489" s="46" t="s">
        <v>67</v>
      </c>
      <c r="D1489" s="47"/>
      <c r="E1489" s="47"/>
      <c r="F1489" s="47"/>
      <c r="G1489" s="47"/>
      <c r="H1489" s="47"/>
      <c r="I1489" s="47"/>
      <c r="J1489" s="47"/>
      <c r="K1489" s="47"/>
      <c r="L1489" s="47"/>
      <c r="M1489" s="47"/>
      <c r="N1489" s="48"/>
      <c r="O1489" s="6">
        <v>1495950</v>
      </c>
    </row>
    <row r="1490" spans="1:15" ht="31.05" customHeight="1">
      <c r="A1490" s="40"/>
      <c r="B1490" s="42"/>
      <c r="C1490" s="30" t="s">
        <v>68</v>
      </c>
      <c r="D1490" s="31"/>
      <c r="E1490" s="31"/>
      <c r="F1490" s="31"/>
      <c r="G1490" s="31"/>
      <c r="H1490" s="31"/>
      <c r="I1490" s="31"/>
      <c r="J1490" s="31"/>
      <c r="K1490" s="31"/>
      <c r="L1490" s="31"/>
      <c r="M1490" s="31"/>
      <c r="N1490" s="32"/>
      <c r="O1490" s="6">
        <v>1495950</v>
      </c>
    </row>
    <row r="1491" spans="1:15" ht="20.25" customHeight="1">
      <c r="A1491" s="40"/>
      <c r="B1491" s="42"/>
      <c r="C1491" s="46" t="s">
        <v>69</v>
      </c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8"/>
      <c r="O1491" s="6">
        <v>1495950</v>
      </c>
    </row>
    <row r="1492" spans="1:15" ht="37.950000000000003" customHeight="1">
      <c r="A1492" s="87" t="s">
        <v>49</v>
      </c>
      <c r="B1492" s="88"/>
      <c r="C1492" s="88"/>
      <c r="D1492" s="88"/>
      <c r="E1492" s="88"/>
      <c r="F1492" s="88"/>
      <c r="G1492" s="88"/>
      <c r="H1492" s="88"/>
      <c r="I1492" s="88"/>
      <c r="J1492" s="88"/>
      <c r="K1492" s="88"/>
      <c r="L1492" s="88"/>
      <c r="M1492" s="88"/>
      <c r="N1492" s="88"/>
      <c r="O1492" s="89"/>
    </row>
    <row r="1493" spans="1:15" ht="19.95" customHeight="1">
      <c r="A1493" s="61" t="s">
        <v>50</v>
      </c>
      <c r="B1493" s="62"/>
      <c r="C1493" s="65" t="s">
        <v>51</v>
      </c>
      <c r="D1493" s="66"/>
      <c r="E1493" s="67"/>
      <c r="F1493" s="71" t="s">
        <v>52</v>
      </c>
      <c r="G1493" s="72"/>
      <c r="H1493" s="72"/>
      <c r="I1493" s="72"/>
      <c r="J1493" s="72"/>
      <c r="K1493" s="72"/>
      <c r="L1493" s="72"/>
      <c r="M1493" s="72"/>
      <c r="N1493" s="73"/>
      <c r="O1493" s="74" t="s">
        <v>53</v>
      </c>
    </row>
    <row r="1494" spans="1:15" ht="21" customHeight="1">
      <c r="A1494" s="63"/>
      <c r="B1494" s="64"/>
      <c r="C1494" s="68"/>
      <c r="D1494" s="69"/>
      <c r="E1494" s="70"/>
      <c r="F1494" s="76" t="s">
        <v>54</v>
      </c>
      <c r="G1494" s="77"/>
      <c r="H1494" s="71" t="s">
        <v>55</v>
      </c>
      <c r="I1494" s="73"/>
      <c r="J1494" s="94" t="s">
        <v>56</v>
      </c>
      <c r="K1494" s="95"/>
      <c r="L1494" s="96"/>
      <c r="M1494" s="80" t="s">
        <v>57</v>
      </c>
      <c r="N1494" s="82"/>
      <c r="O1494" s="75"/>
    </row>
    <row r="1495" spans="1:15" ht="60" customHeight="1">
      <c r="A1495" s="30"/>
      <c r="B1495" s="32"/>
      <c r="C1495" s="49" t="s">
        <v>478</v>
      </c>
      <c r="D1495" s="50"/>
      <c r="E1495" s="51"/>
      <c r="F1495" s="52">
        <v>13</v>
      </c>
      <c r="G1495" s="53"/>
      <c r="H1495" s="54" t="s">
        <v>112</v>
      </c>
      <c r="I1495" s="55"/>
      <c r="J1495" s="56">
        <v>22200</v>
      </c>
      <c r="K1495" s="119"/>
      <c r="L1495" s="57"/>
      <c r="M1495" s="56">
        <v>0</v>
      </c>
      <c r="N1495" s="57"/>
      <c r="O1495" s="7">
        <v>288600</v>
      </c>
    </row>
    <row r="1496" spans="1:15" ht="61.05" customHeight="1">
      <c r="A1496" s="30"/>
      <c r="B1496" s="32"/>
      <c r="C1496" s="49" t="s">
        <v>490</v>
      </c>
      <c r="D1496" s="50"/>
      <c r="E1496" s="51"/>
      <c r="F1496" s="52">
        <v>8</v>
      </c>
      <c r="G1496" s="53"/>
      <c r="H1496" s="54" t="s">
        <v>112</v>
      </c>
      <c r="I1496" s="55"/>
      <c r="J1496" s="56">
        <v>47175</v>
      </c>
      <c r="K1496" s="119"/>
      <c r="L1496" s="57"/>
      <c r="M1496" s="56">
        <v>0</v>
      </c>
      <c r="N1496" s="57"/>
      <c r="O1496" s="7">
        <v>377400</v>
      </c>
    </row>
    <row r="1497" spans="1:15" ht="60" customHeight="1">
      <c r="A1497" s="30"/>
      <c r="B1497" s="32"/>
      <c r="C1497" s="49" t="s">
        <v>491</v>
      </c>
      <c r="D1497" s="50"/>
      <c r="E1497" s="51"/>
      <c r="F1497" s="52">
        <v>17</v>
      </c>
      <c r="G1497" s="53"/>
      <c r="H1497" s="54" t="s">
        <v>112</v>
      </c>
      <c r="I1497" s="55"/>
      <c r="J1497" s="56">
        <v>16200</v>
      </c>
      <c r="K1497" s="119"/>
      <c r="L1497" s="57"/>
      <c r="M1497" s="56">
        <v>0</v>
      </c>
      <c r="N1497" s="57"/>
      <c r="O1497" s="7">
        <v>275400</v>
      </c>
    </row>
    <row r="1498" spans="1:15" ht="60" customHeight="1">
      <c r="A1498" s="30"/>
      <c r="B1498" s="32"/>
      <c r="C1498" s="49" t="s">
        <v>476</v>
      </c>
      <c r="D1498" s="50"/>
      <c r="E1498" s="51"/>
      <c r="F1498" s="52">
        <v>9</v>
      </c>
      <c r="G1498" s="53"/>
      <c r="H1498" s="54" t="s">
        <v>112</v>
      </c>
      <c r="I1498" s="55"/>
      <c r="J1498" s="56">
        <v>18500</v>
      </c>
      <c r="K1498" s="119"/>
      <c r="L1498" s="57"/>
      <c r="M1498" s="56">
        <v>0</v>
      </c>
      <c r="N1498" s="57"/>
      <c r="O1498" s="7">
        <v>166500</v>
      </c>
    </row>
    <row r="1499" spans="1:15" ht="70.95" customHeight="1">
      <c r="A1499" s="30"/>
      <c r="B1499" s="32"/>
      <c r="C1499" s="49" t="s">
        <v>109</v>
      </c>
      <c r="D1499" s="50"/>
      <c r="E1499" s="51"/>
      <c r="F1499" s="52">
        <v>6</v>
      </c>
      <c r="G1499" s="53"/>
      <c r="H1499" s="54" t="s">
        <v>73</v>
      </c>
      <c r="I1499" s="55"/>
      <c r="J1499" s="56">
        <v>64675</v>
      </c>
      <c r="K1499" s="119"/>
      <c r="L1499" s="57"/>
      <c r="M1499" s="56">
        <v>0</v>
      </c>
      <c r="N1499" s="57"/>
      <c r="O1499" s="7">
        <v>388050</v>
      </c>
    </row>
    <row r="1500" spans="1:15" ht="31.05" customHeight="1">
      <c r="A1500" s="30" t="s">
        <v>78</v>
      </c>
      <c r="B1500" s="32"/>
      <c r="C1500" s="46" t="s">
        <v>79</v>
      </c>
      <c r="D1500" s="47"/>
      <c r="E1500" s="47"/>
      <c r="F1500" s="47"/>
      <c r="G1500" s="47"/>
      <c r="H1500" s="47"/>
      <c r="I1500" s="47"/>
      <c r="J1500" s="47"/>
      <c r="K1500" s="47"/>
      <c r="L1500" s="47"/>
      <c r="M1500" s="47"/>
      <c r="N1500" s="48"/>
      <c r="O1500" s="8">
        <v>4839750</v>
      </c>
    </row>
    <row r="1501" spans="1:15" ht="30" customHeight="1">
      <c r="A1501" s="40"/>
      <c r="B1501" s="42"/>
      <c r="C1501" s="30" t="s">
        <v>68</v>
      </c>
      <c r="D1501" s="31"/>
      <c r="E1501" s="31"/>
      <c r="F1501" s="31"/>
      <c r="G1501" s="31"/>
      <c r="H1501" s="31"/>
      <c r="I1501" s="31"/>
      <c r="J1501" s="31"/>
      <c r="K1501" s="31"/>
      <c r="L1501" s="31"/>
      <c r="M1501" s="31"/>
      <c r="N1501" s="32"/>
      <c r="O1501" s="8">
        <v>4839750</v>
      </c>
    </row>
    <row r="1502" spans="1:15" ht="21" customHeight="1">
      <c r="A1502" s="40"/>
      <c r="B1502" s="42"/>
      <c r="C1502" s="46" t="s">
        <v>69</v>
      </c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8"/>
      <c r="O1502" s="8">
        <v>4839750</v>
      </c>
    </row>
    <row r="1503" spans="1:15" ht="60" customHeight="1">
      <c r="A1503" s="30"/>
      <c r="B1503" s="32"/>
      <c r="C1503" s="49" t="s">
        <v>82</v>
      </c>
      <c r="D1503" s="50"/>
      <c r="E1503" s="51"/>
      <c r="F1503" s="52">
        <v>30</v>
      </c>
      <c r="G1503" s="53"/>
      <c r="H1503" s="54" t="s">
        <v>81</v>
      </c>
      <c r="I1503" s="55"/>
      <c r="J1503" s="56">
        <v>87875</v>
      </c>
      <c r="K1503" s="119"/>
      <c r="L1503" s="57"/>
      <c r="M1503" s="56">
        <v>0</v>
      </c>
      <c r="N1503" s="57"/>
      <c r="O1503" s="7">
        <v>2636250</v>
      </c>
    </row>
    <row r="1504" spans="1:15" ht="61.05" customHeight="1">
      <c r="A1504" s="30"/>
      <c r="B1504" s="32"/>
      <c r="C1504" s="49" t="s">
        <v>80</v>
      </c>
      <c r="D1504" s="50"/>
      <c r="E1504" s="51"/>
      <c r="F1504" s="52">
        <v>30</v>
      </c>
      <c r="G1504" s="53"/>
      <c r="H1504" s="54" t="s">
        <v>81</v>
      </c>
      <c r="I1504" s="55"/>
      <c r="J1504" s="56">
        <v>73450</v>
      </c>
      <c r="K1504" s="119"/>
      <c r="L1504" s="57"/>
      <c r="M1504" s="56">
        <v>0</v>
      </c>
      <c r="N1504" s="57"/>
      <c r="O1504" s="7">
        <v>2203500</v>
      </c>
    </row>
    <row r="1505" spans="1:15" ht="30" customHeight="1">
      <c r="A1505" s="30" t="s">
        <v>125</v>
      </c>
      <c r="B1505" s="32"/>
      <c r="C1505" s="46" t="s">
        <v>126</v>
      </c>
      <c r="D1505" s="47"/>
      <c r="E1505" s="47"/>
      <c r="F1505" s="47"/>
      <c r="G1505" s="47"/>
      <c r="H1505" s="47"/>
      <c r="I1505" s="47"/>
      <c r="J1505" s="47"/>
      <c r="K1505" s="47"/>
      <c r="L1505" s="47"/>
      <c r="M1505" s="47"/>
      <c r="N1505" s="48"/>
      <c r="O1505" s="8">
        <v>4568900</v>
      </c>
    </row>
    <row r="1506" spans="1:15" ht="31.05" customHeight="1">
      <c r="A1506" s="40"/>
      <c r="B1506" s="42"/>
      <c r="C1506" s="30" t="s">
        <v>492</v>
      </c>
      <c r="D1506" s="31"/>
      <c r="E1506" s="31"/>
      <c r="F1506" s="31"/>
      <c r="G1506" s="31"/>
      <c r="H1506" s="31"/>
      <c r="I1506" s="31"/>
      <c r="J1506" s="31"/>
      <c r="K1506" s="31"/>
      <c r="L1506" s="31"/>
      <c r="M1506" s="31"/>
      <c r="N1506" s="32"/>
      <c r="O1506" s="8">
        <v>4568900</v>
      </c>
    </row>
    <row r="1507" spans="1:15" ht="19.95" customHeight="1">
      <c r="A1507" s="40"/>
      <c r="B1507" s="42"/>
      <c r="C1507" s="46" t="s">
        <v>69</v>
      </c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8"/>
      <c r="O1507" s="8">
        <v>4568900</v>
      </c>
    </row>
    <row r="1508" spans="1:15" ht="61.05" customHeight="1">
      <c r="A1508" s="30"/>
      <c r="B1508" s="32"/>
      <c r="C1508" s="49" t="s">
        <v>493</v>
      </c>
      <c r="D1508" s="50"/>
      <c r="E1508" s="51"/>
      <c r="F1508" s="52">
        <v>7</v>
      </c>
      <c r="G1508" s="53"/>
      <c r="H1508" s="54" t="s">
        <v>129</v>
      </c>
      <c r="I1508" s="55"/>
      <c r="J1508" s="56">
        <v>163175</v>
      </c>
      <c r="K1508" s="119"/>
      <c r="L1508" s="57"/>
      <c r="M1508" s="56">
        <v>0</v>
      </c>
      <c r="N1508" s="57"/>
      <c r="O1508" s="7">
        <v>1142225</v>
      </c>
    </row>
    <row r="1509" spans="1:15" ht="60" customHeight="1">
      <c r="A1509" s="30"/>
      <c r="B1509" s="32"/>
      <c r="C1509" s="49" t="s">
        <v>494</v>
      </c>
      <c r="D1509" s="50"/>
      <c r="E1509" s="51"/>
      <c r="F1509" s="52">
        <v>21</v>
      </c>
      <c r="G1509" s="53"/>
      <c r="H1509" s="54" t="s">
        <v>129</v>
      </c>
      <c r="I1509" s="55"/>
      <c r="J1509" s="56">
        <v>163175</v>
      </c>
      <c r="K1509" s="119"/>
      <c r="L1509" s="57"/>
      <c r="M1509" s="56">
        <v>0</v>
      </c>
      <c r="N1509" s="57"/>
      <c r="O1509" s="7">
        <v>3426675</v>
      </c>
    </row>
    <row r="1510" spans="1:15" ht="31.05" customHeight="1">
      <c r="A1510" s="30" t="s">
        <v>83</v>
      </c>
      <c r="B1510" s="32"/>
      <c r="C1510" s="46" t="s">
        <v>84</v>
      </c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8"/>
      <c r="O1510" s="8">
        <v>10890000</v>
      </c>
    </row>
    <row r="1511" spans="1:15" ht="30" customHeight="1">
      <c r="A1511" s="40"/>
      <c r="B1511" s="42"/>
      <c r="C1511" s="30" t="s">
        <v>85</v>
      </c>
      <c r="D1511" s="31"/>
      <c r="E1511" s="31"/>
      <c r="F1511" s="31"/>
      <c r="G1511" s="31"/>
      <c r="H1511" s="31"/>
      <c r="I1511" s="31"/>
      <c r="J1511" s="31"/>
      <c r="K1511" s="31"/>
      <c r="L1511" s="31"/>
      <c r="M1511" s="31"/>
      <c r="N1511" s="32"/>
      <c r="O1511" s="8">
        <v>10890000</v>
      </c>
    </row>
    <row r="1512" spans="1:15" ht="21" customHeight="1">
      <c r="A1512" s="40"/>
      <c r="B1512" s="42"/>
      <c r="C1512" s="46" t="s">
        <v>69</v>
      </c>
      <c r="D1512" s="47"/>
      <c r="E1512" s="47"/>
      <c r="F1512" s="47"/>
      <c r="G1512" s="47"/>
      <c r="H1512" s="47"/>
      <c r="I1512" s="47"/>
      <c r="J1512" s="47"/>
      <c r="K1512" s="47"/>
      <c r="L1512" s="47"/>
      <c r="M1512" s="47"/>
      <c r="N1512" s="48"/>
      <c r="O1512" s="8">
        <v>10890000</v>
      </c>
    </row>
    <row r="1513" spans="1:15" ht="70.5" customHeight="1">
      <c r="A1513" s="30"/>
      <c r="B1513" s="32"/>
      <c r="C1513" s="49" t="s">
        <v>86</v>
      </c>
      <c r="D1513" s="50"/>
      <c r="E1513" s="51"/>
      <c r="F1513" s="52">
        <v>220</v>
      </c>
      <c r="G1513" s="53"/>
      <c r="H1513" s="54" t="s">
        <v>87</v>
      </c>
      <c r="I1513" s="55"/>
      <c r="J1513" s="56">
        <v>33000</v>
      </c>
      <c r="K1513" s="119"/>
      <c r="L1513" s="57"/>
      <c r="M1513" s="56">
        <v>0</v>
      </c>
      <c r="N1513" s="57"/>
      <c r="O1513" s="7">
        <v>7260000</v>
      </c>
    </row>
    <row r="1514" spans="1:15" ht="37.950000000000003" customHeight="1">
      <c r="A1514" s="87" t="s">
        <v>49</v>
      </c>
      <c r="B1514" s="88"/>
      <c r="C1514" s="88"/>
      <c r="D1514" s="88"/>
      <c r="E1514" s="88"/>
      <c r="F1514" s="88"/>
      <c r="G1514" s="88"/>
      <c r="H1514" s="88"/>
      <c r="I1514" s="88"/>
      <c r="J1514" s="88"/>
      <c r="K1514" s="88"/>
      <c r="L1514" s="88"/>
      <c r="M1514" s="88"/>
      <c r="N1514" s="88"/>
      <c r="O1514" s="89"/>
    </row>
    <row r="1515" spans="1:15" ht="19.95" customHeight="1">
      <c r="A1515" s="61" t="s">
        <v>50</v>
      </c>
      <c r="B1515" s="62"/>
      <c r="C1515" s="65" t="s">
        <v>51</v>
      </c>
      <c r="D1515" s="66"/>
      <c r="E1515" s="67"/>
      <c r="F1515" s="71" t="s">
        <v>52</v>
      </c>
      <c r="G1515" s="72"/>
      <c r="H1515" s="72"/>
      <c r="I1515" s="72"/>
      <c r="J1515" s="72"/>
      <c r="K1515" s="72"/>
      <c r="L1515" s="72"/>
      <c r="M1515" s="72"/>
      <c r="N1515" s="73"/>
      <c r="O1515" s="74" t="s">
        <v>53</v>
      </c>
    </row>
    <row r="1516" spans="1:15" ht="21" customHeight="1">
      <c r="A1516" s="63"/>
      <c r="B1516" s="64"/>
      <c r="C1516" s="68"/>
      <c r="D1516" s="69"/>
      <c r="E1516" s="70"/>
      <c r="F1516" s="76" t="s">
        <v>54</v>
      </c>
      <c r="G1516" s="77"/>
      <c r="H1516" s="71" t="s">
        <v>55</v>
      </c>
      <c r="I1516" s="73"/>
      <c r="J1516" s="78" t="s">
        <v>56</v>
      </c>
      <c r="K1516" s="79"/>
      <c r="L1516" s="80" t="s">
        <v>57</v>
      </c>
      <c r="M1516" s="81"/>
      <c r="N1516" s="82"/>
      <c r="O1516" s="75"/>
    </row>
    <row r="1517" spans="1:15" ht="70.05" customHeight="1">
      <c r="A1517" s="30"/>
      <c r="B1517" s="32"/>
      <c r="C1517" s="49" t="s">
        <v>88</v>
      </c>
      <c r="D1517" s="50"/>
      <c r="E1517" s="51"/>
      <c r="F1517" s="52">
        <v>220</v>
      </c>
      <c r="G1517" s="53"/>
      <c r="H1517" s="54" t="s">
        <v>87</v>
      </c>
      <c r="I1517" s="55"/>
      <c r="J1517" s="56">
        <v>16500</v>
      </c>
      <c r="K1517" s="57"/>
      <c r="L1517" s="58">
        <v>0</v>
      </c>
      <c r="M1517" s="59"/>
      <c r="N1517" s="60"/>
      <c r="O1517" s="9">
        <v>3630000</v>
      </c>
    </row>
    <row r="1518" spans="1:15" ht="21" customHeight="1">
      <c r="A1518" s="27" t="s">
        <v>89</v>
      </c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9"/>
      <c r="O1518" s="6">
        <v>21794600</v>
      </c>
    </row>
    <row r="1519" spans="1:15" ht="153" customHeight="1">
      <c r="A1519" s="30"/>
      <c r="B1519" s="31"/>
      <c r="C1519" s="31"/>
      <c r="D1519" s="31"/>
      <c r="E1519" s="31"/>
      <c r="F1519" s="31"/>
      <c r="G1519" s="32"/>
      <c r="H1519" s="33" t="s">
        <v>90</v>
      </c>
      <c r="I1519" s="34"/>
      <c r="J1519" s="34"/>
      <c r="K1519" s="34"/>
      <c r="L1519" s="34"/>
      <c r="M1519" s="34"/>
      <c r="N1519" s="34"/>
      <c r="O1519" s="35"/>
    </row>
    <row r="1520" spans="1:15" ht="20.55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36"/>
      <c r="K1520" s="36"/>
      <c r="L1520" s="36"/>
      <c r="M1520" s="36"/>
      <c r="N1520" s="36"/>
      <c r="O1520" s="5"/>
    </row>
    <row r="1521" spans="1:15" ht="21" customHeight="1">
      <c r="A1521" s="37" t="s">
        <v>91</v>
      </c>
      <c r="B1521" s="38"/>
      <c r="C1521" s="39"/>
      <c r="D1521" s="2" t="s">
        <v>48</v>
      </c>
      <c r="E1521" s="40"/>
      <c r="F1521" s="41"/>
      <c r="G1521" s="41"/>
      <c r="H1521" s="41"/>
      <c r="I1521" s="41"/>
      <c r="J1521" s="41"/>
      <c r="K1521" s="41"/>
      <c r="L1521" s="41"/>
      <c r="M1521" s="41"/>
      <c r="N1521" s="41"/>
      <c r="O1521" s="42"/>
    </row>
    <row r="1522" spans="1:15" ht="19.95" customHeight="1">
      <c r="A1522" s="37" t="s">
        <v>92</v>
      </c>
      <c r="B1522" s="38"/>
      <c r="C1522" s="39"/>
      <c r="D1522" s="2" t="s">
        <v>48</v>
      </c>
      <c r="E1522" s="40"/>
      <c r="F1522" s="41"/>
      <c r="G1522" s="41"/>
      <c r="H1522" s="41"/>
      <c r="I1522" s="41"/>
      <c r="J1522" s="41"/>
      <c r="K1522" s="41"/>
      <c r="L1522" s="41"/>
      <c r="M1522" s="41"/>
      <c r="N1522" s="41"/>
      <c r="O1522" s="42"/>
    </row>
    <row r="1523" spans="1:15" ht="19.95" customHeight="1">
      <c r="A1523" s="37" t="s">
        <v>93</v>
      </c>
      <c r="B1523" s="38"/>
      <c r="C1523" s="39"/>
      <c r="D1523" s="2" t="s">
        <v>48</v>
      </c>
      <c r="E1523" s="40"/>
      <c r="F1523" s="41"/>
      <c r="G1523" s="41"/>
      <c r="H1523" s="41"/>
      <c r="I1523" s="41"/>
      <c r="J1523" s="41"/>
      <c r="K1523" s="41"/>
      <c r="L1523" s="41"/>
      <c r="M1523" s="41"/>
      <c r="N1523" s="41"/>
      <c r="O1523" s="42"/>
    </row>
    <row r="1524" spans="1:15" ht="21" customHeight="1">
      <c r="A1524" s="43">
        <v>1</v>
      </c>
      <c r="B1524" s="44"/>
      <c r="C1524" s="44"/>
      <c r="D1524" s="44"/>
      <c r="E1524" s="44"/>
      <c r="F1524" s="44"/>
      <c r="G1524" s="44"/>
      <c r="H1524" s="44"/>
      <c r="I1524" s="44"/>
      <c r="J1524" s="44"/>
      <c r="K1524" s="44"/>
      <c r="L1524" s="44"/>
      <c r="M1524" s="44"/>
      <c r="N1524" s="44"/>
      <c r="O1524" s="45"/>
    </row>
    <row r="1525" spans="1:15" ht="19.95" customHeight="1">
      <c r="A1525" s="43">
        <v>2</v>
      </c>
      <c r="B1525" s="44"/>
      <c r="C1525" s="44"/>
      <c r="D1525" s="44"/>
      <c r="E1525" s="44"/>
      <c r="F1525" s="44"/>
      <c r="G1525" s="44"/>
      <c r="H1525" s="44"/>
      <c r="I1525" s="44"/>
      <c r="J1525" s="44"/>
      <c r="K1525" s="44"/>
      <c r="L1525" s="44"/>
      <c r="M1525" s="44"/>
      <c r="N1525" s="44"/>
      <c r="O1525" s="45"/>
    </row>
    <row r="1526" spans="1:15" ht="19.5" customHeight="1">
      <c r="A1526" s="37" t="s">
        <v>94</v>
      </c>
      <c r="B1526" s="38"/>
      <c r="C1526" s="38"/>
      <c r="D1526" s="38"/>
      <c r="E1526" s="38"/>
      <c r="F1526" s="38"/>
      <c r="G1526" s="38"/>
      <c r="H1526" s="38"/>
      <c r="I1526" s="38"/>
      <c r="J1526" s="38"/>
      <c r="K1526" s="38"/>
      <c r="L1526" s="38"/>
      <c r="M1526" s="38"/>
      <c r="N1526" s="38"/>
      <c r="O1526" s="39"/>
    </row>
    <row r="1527" spans="1:15" ht="20.55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36"/>
      <c r="K1527" s="36"/>
      <c r="L1527" s="36"/>
      <c r="M1527" s="36"/>
      <c r="N1527" s="36"/>
      <c r="O1527" s="5"/>
    </row>
    <row r="1528" spans="1:15" ht="22.05" customHeight="1">
      <c r="A1528" s="18" t="s">
        <v>95</v>
      </c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20"/>
    </row>
    <row r="1529" spans="1:15" ht="21" customHeight="1">
      <c r="A1529" s="3" t="s">
        <v>96</v>
      </c>
      <c r="B1529" s="18" t="s">
        <v>97</v>
      </c>
      <c r="C1529" s="19"/>
      <c r="D1529" s="19"/>
      <c r="E1529" s="19"/>
      <c r="F1529" s="20"/>
      <c r="G1529" s="18" t="s">
        <v>98</v>
      </c>
      <c r="H1529" s="20"/>
      <c r="I1529" s="18" t="s">
        <v>99</v>
      </c>
      <c r="J1529" s="19"/>
      <c r="K1529" s="20"/>
      <c r="L1529" s="21" t="s">
        <v>100</v>
      </c>
      <c r="M1529" s="22"/>
      <c r="N1529" s="22"/>
      <c r="O1529" s="23"/>
    </row>
    <row r="1530" spans="1:15" ht="22.05" customHeight="1">
      <c r="A1530" s="24" t="s">
        <v>101</v>
      </c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6"/>
    </row>
    <row r="1531" spans="1:15" ht="64.05" customHeight="1">
      <c r="A1531" s="106" t="s">
        <v>0</v>
      </c>
      <c r="B1531" s="107"/>
      <c r="C1531" s="107"/>
      <c r="D1531" s="107"/>
      <c r="E1531" s="107"/>
      <c r="F1531" s="107"/>
      <c r="G1531" s="107"/>
      <c r="H1531" s="107"/>
      <c r="I1531" s="107"/>
      <c r="J1531" s="108"/>
      <c r="K1531" s="109" t="s">
        <v>1</v>
      </c>
      <c r="L1531" s="110"/>
      <c r="M1531" s="110"/>
      <c r="N1531" s="110"/>
      <c r="O1531" s="111"/>
    </row>
    <row r="1532" spans="1:15" ht="23.55" customHeight="1">
      <c r="A1532" s="101" t="s">
        <v>674</v>
      </c>
      <c r="B1532" s="102"/>
      <c r="C1532" s="102"/>
      <c r="D1532" s="102"/>
      <c r="E1532" s="102"/>
      <c r="F1532" s="102"/>
      <c r="G1532" s="102"/>
      <c r="H1532" s="102"/>
      <c r="I1532" s="102"/>
      <c r="J1532" s="102"/>
      <c r="K1532" s="102"/>
      <c r="L1532" s="102"/>
      <c r="M1532" s="102"/>
      <c r="N1532" s="102"/>
      <c r="O1532" s="103"/>
    </row>
    <row r="1533" spans="1:15" ht="20.55" customHeight="1">
      <c r="A1533" s="93"/>
      <c r="B1533" s="93"/>
      <c r="C1533" s="1"/>
      <c r="D1533" s="93"/>
      <c r="E1533" s="93"/>
      <c r="F1533" s="93"/>
      <c r="G1533" s="93"/>
      <c r="H1533" s="93"/>
      <c r="I1533" s="93"/>
      <c r="J1533" s="5"/>
      <c r="K1533" s="36"/>
      <c r="L1533" s="36"/>
      <c r="M1533" s="5"/>
      <c r="N1533" s="5"/>
      <c r="O1533" s="5"/>
    </row>
    <row r="1534" spans="1:15" ht="37.049999999999997" customHeight="1">
      <c r="A1534" s="101" t="s">
        <v>2</v>
      </c>
      <c r="B1534" s="102"/>
      <c r="C1534" s="102"/>
      <c r="D1534" s="102"/>
      <c r="E1534" s="102"/>
      <c r="F1534" s="102"/>
      <c r="G1534" s="102"/>
      <c r="H1534" s="102"/>
      <c r="I1534" s="102"/>
      <c r="J1534" s="102"/>
      <c r="K1534" s="102"/>
      <c r="L1534" s="102"/>
      <c r="M1534" s="102"/>
      <c r="N1534" s="102"/>
      <c r="O1534" s="103"/>
    </row>
    <row r="1535" spans="1:15" ht="21" customHeight="1">
      <c r="A1535" s="37" t="s">
        <v>3</v>
      </c>
      <c r="B1535" s="38"/>
      <c r="C1535" s="39"/>
      <c r="D1535" s="90" t="s">
        <v>4</v>
      </c>
      <c r="E1535" s="91"/>
      <c r="F1535" s="91"/>
      <c r="G1535" s="91"/>
      <c r="H1535" s="91"/>
      <c r="I1535" s="91"/>
      <c r="J1535" s="91"/>
      <c r="K1535" s="91"/>
      <c r="L1535" s="91"/>
      <c r="M1535" s="91"/>
      <c r="N1535" s="91"/>
      <c r="O1535" s="92"/>
    </row>
    <row r="1536" spans="1:15" ht="22.05" customHeight="1">
      <c r="A1536" s="37" t="s">
        <v>5</v>
      </c>
      <c r="B1536" s="38"/>
      <c r="C1536" s="39"/>
      <c r="D1536" s="90" t="s">
        <v>6</v>
      </c>
      <c r="E1536" s="91"/>
      <c r="F1536" s="91"/>
      <c r="G1536" s="91"/>
      <c r="H1536" s="91"/>
      <c r="I1536" s="91"/>
      <c r="J1536" s="91"/>
      <c r="K1536" s="91"/>
      <c r="L1536" s="91"/>
      <c r="M1536" s="91"/>
      <c r="N1536" s="91"/>
      <c r="O1536" s="92"/>
    </row>
    <row r="1537" spans="1:15" ht="22.05" customHeight="1">
      <c r="A1537" s="37" t="s">
        <v>7</v>
      </c>
      <c r="B1537" s="38"/>
      <c r="C1537" s="39"/>
      <c r="D1537" s="90" t="s">
        <v>8</v>
      </c>
      <c r="E1537" s="91"/>
      <c r="F1537" s="91"/>
      <c r="G1537" s="91"/>
      <c r="H1537" s="91"/>
      <c r="I1537" s="91"/>
      <c r="J1537" s="91"/>
      <c r="K1537" s="91"/>
      <c r="L1537" s="91"/>
      <c r="M1537" s="91"/>
      <c r="N1537" s="91"/>
      <c r="O1537" s="92"/>
    </row>
    <row r="1538" spans="1:15" ht="21" customHeight="1">
      <c r="A1538" s="37" t="s">
        <v>9</v>
      </c>
      <c r="B1538" s="38"/>
      <c r="C1538" s="39"/>
      <c r="D1538" s="90" t="s">
        <v>10</v>
      </c>
      <c r="E1538" s="91"/>
      <c r="F1538" s="91"/>
      <c r="G1538" s="91"/>
      <c r="H1538" s="91"/>
      <c r="I1538" s="91"/>
      <c r="J1538" s="91"/>
      <c r="K1538" s="91"/>
      <c r="L1538" s="91"/>
      <c r="M1538" s="91"/>
      <c r="N1538" s="91"/>
      <c r="O1538" s="92"/>
    </row>
    <row r="1539" spans="1:15" ht="22.05" customHeight="1">
      <c r="A1539" s="37" t="s">
        <v>11</v>
      </c>
      <c r="B1539" s="38"/>
      <c r="C1539" s="39"/>
      <c r="D1539" s="90" t="s">
        <v>12</v>
      </c>
      <c r="E1539" s="91"/>
      <c r="F1539" s="91"/>
      <c r="G1539" s="91"/>
      <c r="H1539" s="91"/>
      <c r="I1539" s="91"/>
      <c r="J1539" s="91"/>
      <c r="K1539" s="91"/>
      <c r="L1539" s="91"/>
      <c r="M1539" s="91"/>
      <c r="N1539" s="91"/>
      <c r="O1539" s="92"/>
    </row>
    <row r="1540" spans="1:15" ht="22.05" customHeight="1">
      <c r="A1540" s="37" t="s">
        <v>13</v>
      </c>
      <c r="B1540" s="38"/>
      <c r="C1540" s="39"/>
      <c r="D1540" s="90" t="s">
        <v>495</v>
      </c>
      <c r="E1540" s="91"/>
      <c r="F1540" s="91"/>
      <c r="G1540" s="91"/>
      <c r="H1540" s="91"/>
      <c r="I1540" s="91"/>
      <c r="J1540" s="91"/>
      <c r="K1540" s="91"/>
      <c r="L1540" s="91"/>
      <c r="M1540" s="91"/>
      <c r="N1540" s="91"/>
      <c r="O1540" s="92"/>
    </row>
    <row r="1541" spans="1:15" ht="21" customHeight="1">
      <c r="A1541" s="37" t="s">
        <v>15</v>
      </c>
      <c r="B1541" s="38"/>
      <c r="C1541" s="39"/>
      <c r="D1541" s="90" t="s">
        <v>496</v>
      </c>
      <c r="E1541" s="91"/>
      <c r="F1541" s="91"/>
      <c r="G1541" s="91"/>
      <c r="H1541" s="91"/>
      <c r="I1541" s="91"/>
      <c r="J1541" s="91"/>
      <c r="K1541" s="91"/>
      <c r="L1541" s="91"/>
      <c r="M1541" s="91"/>
      <c r="N1541" s="91"/>
      <c r="O1541" s="92"/>
    </row>
    <row r="1542" spans="1:15" ht="22.05" customHeight="1">
      <c r="A1542" s="37" t="s">
        <v>17</v>
      </c>
      <c r="B1542" s="38"/>
      <c r="C1542" s="39"/>
      <c r="D1542" s="90" t="s">
        <v>10</v>
      </c>
      <c r="E1542" s="91"/>
      <c r="F1542" s="91"/>
      <c r="G1542" s="91"/>
      <c r="H1542" s="91"/>
      <c r="I1542" s="91"/>
      <c r="J1542" s="91"/>
      <c r="K1542" s="91"/>
      <c r="L1542" s="91"/>
      <c r="M1542" s="91"/>
      <c r="N1542" s="91"/>
      <c r="O1542" s="92"/>
    </row>
    <row r="1543" spans="1:15" ht="22.05" customHeight="1">
      <c r="A1543" s="37" t="s">
        <v>18</v>
      </c>
      <c r="B1543" s="38"/>
      <c r="C1543" s="39"/>
      <c r="D1543" s="90" t="s">
        <v>10</v>
      </c>
      <c r="E1543" s="91"/>
      <c r="F1543" s="91"/>
      <c r="G1543" s="91"/>
      <c r="H1543" s="91"/>
      <c r="I1543" s="91"/>
      <c r="J1543" s="91"/>
      <c r="K1543" s="91"/>
      <c r="L1543" s="91"/>
      <c r="M1543" s="91"/>
      <c r="N1543" s="91"/>
      <c r="O1543" s="92"/>
    </row>
    <row r="1544" spans="1:15" ht="22.05" customHeight="1">
      <c r="A1544" s="37" t="s">
        <v>19</v>
      </c>
      <c r="B1544" s="38"/>
      <c r="C1544" s="39"/>
      <c r="D1544" s="90" t="s">
        <v>20</v>
      </c>
      <c r="E1544" s="91"/>
      <c r="F1544" s="91"/>
      <c r="G1544" s="91"/>
      <c r="H1544" s="91"/>
      <c r="I1544" s="91"/>
      <c r="J1544" s="91"/>
      <c r="K1544" s="91"/>
      <c r="L1544" s="91"/>
      <c r="M1544" s="91"/>
      <c r="N1544" s="91"/>
      <c r="O1544" s="92"/>
    </row>
    <row r="1545" spans="1:15" ht="21" customHeight="1">
      <c r="A1545" s="37" t="s">
        <v>21</v>
      </c>
      <c r="B1545" s="38"/>
      <c r="C1545" s="39"/>
      <c r="D1545" s="90" t="s">
        <v>22</v>
      </c>
      <c r="E1545" s="91"/>
      <c r="F1545" s="91"/>
      <c r="G1545" s="91"/>
      <c r="H1545" s="91"/>
      <c r="I1545" s="91"/>
      <c r="J1545" s="91"/>
      <c r="K1545" s="91"/>
      <c r="L1545" s="91"/>
      <c r="M1545" s="91"/>
      <c r="N1545" s="91"/>
      <c r="O1545" s="92"/>
    </row>
    <row r="1546" spans="1:15" ht="22.05" customHeight="1">
      <c r="A1546" s="37" t="s">
        <v>23</v>
      </c>
      <c r="B1546" s="38"/>
      <c r="C1546" s="39"/>
      <c r="D1546" s="90" t="s">
        <v>24</v>
      </c>
      <c r="E1546" s="91"/>
      <c r="F1546" s="91"/>
      <c r="G1546" s="91"/>
      <c r="H1546" s="91"/>
      <c r="I1546" s="91"/>
      <c r="J1546" s="91"/>
      <c r="K1546" s="91"/>
      <c r="L1546" s="91"/>
      <c r="M1546" s="91"/>
      <c r="N1546" s="91"/>
      <c r="O1546" s="92"/>
    </row>
    <row r="1547" spans="1:15" ht="22.05" customHeight="1">
      <c r="A1547" s="37" t="s">
        <v>25</v>
      </c>
      <c r="B1547" s="38"/>
      <c r="C1547" s="39"/>
      <c r="D1547" s="90" t="s">
        <v>26</v>
      </c>
      <c r="E1547" s="91"/>
      <c r="F1547" s="91"/>
      <c r="G1547" s="91"/>
      <c r="H1547" s="91"/>
      <c r="I1547" s="91"/>
      <c r="J1547" s="91"/>
      <c r="K1547" s="91"/>
      <c r="L1547" s="91"/>
      <c r="M1547" s="91"/>
      <c r="N1547" s="91"/>
      <c r="O1547" s="92"/>
    </row>
    <row r="1548" spans="1:15" ht="21" customHeight="1">
      <c r="A1548" s="37" t="s">
        <v>670</v>
      </c>
      <c r="B1548" s="38"/>
      <c r="C1548" s="39"/>
      <c r="D1548" s="90" t="s">
        <v>27</v>
      </c>
      <c r="E1548" s="91"/>
      <c r="F1548" s="91"/>
      <c r="G1548" s="91"/>
      <c r="H1548" s="91"/>
      <c r="I1548" s="91"/>
      <c r="J1548" s="91"/>
      <c r="K1548" s="91"/>
      <c r="L1548" s="91"/>
      <c r="M1548" s="91"/>
      <c r="N1548" s="91"/>
      <c r="O1548" s="92"/>
    </row>
    <row r="1549" spans="1:15" ht="22.05" customHeight="1">
      <c r="A1549" s="37" t="s">
        <v>675</v>
      </c>
      <c r="B1549" s="38"/>
      <c r="C1549" s="39"/>
      <c r="D1549" s="90" t="s">
        <v>497</v>
      </c>
      <c r="E1549" s="91"/>
      <c r="F1549" s="91"/>
      <c r="G1549" s="91"/>
      <c r="H1549" s="91"/>
      <c r="I1549" s="91"/>
      <c r="J1549" s="91"/>
      <c r="K1549" s="91"/>
      <c r="L1549" s="91"/>
      <c r="M1549" s="91"/>
      <c r="N1549" s="91"/>
      <c r="O1549" s="92"/>
    </row>
    <row r="1550" spans="1:15" ht="21.45" customHeight="1">
      <c r="A1550" s="37" t="s">
        <v>676</v>
      </c>
      <c r="B1550" s="38"/>
      <c r="C1550" s="39"/>
      <c r="D1550" s="90" t="s">
        <v>498</v>
      </c>
      <c r="E1550" s="91"/>
      <c r="F1550" s="91"/>
      <c r="G1550" s="91"/>
      <c r="H1550" s="91"/>
      <c r="I1550" s="91"/>
      <c r="J1550" s="91"/>
      <c r="K1550" s="91"/>
      <c r="L1550" s="91"/>
      <c r="M1550" s="91"/>
      <c r="N1550" s="91"/>
      <c r="O1550" s="92"/>
    </row>
    <row r="1551" spans="1:15" ht="20.55" customHeight="1">
      <c r="A1551" s="93"/>
      <c r="B1551" s="93"/>
      <c r="C1551" s="1"/>
      <c r="D1551" s="93"/>
      <c r="E1551" s="93"/>
      <c r="F1551" s="93"/>
      <c r="G1551" s="93"/>
      <c r="H1551" s="93"/>
      <c r="I1551" s="93"/>
      <c r="J1551" s="5"/>
      <c r="K1551" s="36"/>
      <c r="L1551" s="36"/>
      <c r="M1551" s="5"/>
      <c r="N1551" s="5"/>
      <c r="O1551" s="5"/>
    </row>
    <row r="1552" spans="1:15" ht="22.95" customHeight="1">
      <c r="A1552" s="101" t="s">
        <v>29</v>
      </c>
      <c r="B1552" s="102"/>
      <c r="C1552" s="102"/>
      <c r="D1552" s="102"/>
      <c r="E1552" s="102"/>
      <c r="F1552" s="102"/>
      <c r="G1552" s="102"/>
      <c r="H1552" s="102"/>
      <c r="I1552" s="102"/>
      <c r="J1552" s="102"/>
      <c r="K1552" s="102"/>
      <c r="L1552" s="102"/>
      <c r="M1552" s="102"/>
      <c r="N1552" s="102"/>
      <c r="O1552" s="103"/>
    </row>
    <row r="1553" spans="1:15" ht="24" customHeight="1">
      <c r="A1553" s="101" t="s">
        <v>30</v>
      </c>
      <c r="B1553" s="102"/>
      <c r="C1553" s="103"/>
      <c r="D1553" s="101" t="s">
        <v>31</v>
      </c>
      <c r="E1553" s="102"/>
      <c r="F1553" s="102"/>
      <c r="G1553" s="102"/>
      <c r="H1553" s="102"/>
      <c r="I1553" s="102"/>
      <c r="J1553" s="102"/>
      <c r="K1553" s="102"/>
      <c r="L1553" s="102"/>
      <c r="M1553" s="103"/>
      <c r="N1553" s="104" t="s">
        <v>32</v>
      </c>
      <c r="O1553" s="105"/>
    </row>
    <row r="1554" spans="1:15" ht="21" customHeight="1">
      <c r="A1554" s="37" t="s">
        <v>33</v>
      </c>
      <c r="B1554" s="38"/>
      <c r="C1554" s="39"/>
      <c r="D1554" s="37" t="s">
        <v>34</v>
      </c>
      <c r="E1554" s="38"/>
      <c r="F1554" s="38"/>
      <c r="G1554" s="38"/>
      <c r="H1554" s="38"/>
      <c r="I1554" s="38"/>
      <c r="J1554" s="38"/>
      <c r="K1554" s="38"/>
      <c r="L1554" s="38"/>
      <c r="M1554" s="39"/>
      <c r="N1554" s="97" t="s">
        <v>35</v>
      </c>
      <c r="O1554" s="98"/>
    </row>
    <row r="1555" spans="1:15" ht="19.95" customHeight="1">
      <c r="A1555" s="37" t="s">
        <v>36</v>
      </c>
      <c r="B1555" s="38"/>
      <c r="C1555" s="39"/>
      <c r="D1555" s="37" t="s">
        <v>37</v>
      </c>
      <c r="E1555" s="38"/>
      <c r="F1555" s="38"/>
      <c r="G1555" s="38"/>
      <c r="H1555" s="38"/>
      <c r="I1555" s="38"/>
      <c r="J1555" s="38"/>
      <c r="K1555" s="38"/>
      <c r="L1555" s="38"/>
      <c r="M1555" s="39"/>
      <c r="N1555" s="97">
        <v>177423534</v>
      </c>
      <c r="O1555" s="98"/>
    </row>
    <row r="1556" spans="1:15" ht="19.95" customHeight="1">
      <c r="A1556" s="37" t="s">
        <v>38</v>
      </c>
      <c r="B1556" s="38"/>
      <c r="C1556" s="39"/>
      <c r="D1556" s="37" t="s">
        <v>499</v>
      </c>
      <c r="E1556" s="38"/>
      <c r="F1556" s="38"/>
      <c r="G1556" s="38"/>
      <c r="H1556" s="38"/>
      <c r="I1556" s="38"/>
      <c r="J1556" s="38"/>
      <c r="K1556" s="38"/>
      <c r="L1556" s="38"/>
      <c r="M1556" s="39"/>
      <c r="N1556" s="97" t="s">
        <v>500</v>
      </c>
      <c r="O1556" s="98"/>
    </row>
    <row r="1557" spans="1:15" ht="20.55" customHeight="1">
      <c r="A1557" s="37" t="s">
        <v>41</v>
      </c>
      <c r="B1557" s="38"/>
      <c r="C1557" s="39"/>
      <c r="D1557" s="37" t="s">
        <v>501</v>
      </c>
      <c r="E1557" s="38"/>
      <c r="F1557" s="38"/>
      <c r="G1557" s="38"/>
      <c r="H1557" s="38"/>
      <c r="I1557" s="38"/>
      <c r="J1557" s="38"/>
      <c r="K1557" s="38"/>
      <c r="L1557" s="38"/>
      <c r="M1557" s="39"/>
      <c r="N1557" s="99">
        <v>0.94</v>
      </c>
      <c r="O1557" s="100"/>
    </row>
    <row r="1558" spans="1:15" ht="20.55" customHeight="1">
      <c r="A1558" s="93"/>
      <c r="B1558" s="93"/>
      <c r="C1558" s="1"/>
      <c r="D1558" s="93"/>
      <c r="E1558" s="93"/>
      <c r="F1558" s="93"/>
      <c r="G1558" s="93"/>
      <c r="H1558" s="93"/>
      <c r="I1558" s="93"/>
      <c r="J1558" s="5"/>
      <c r="K1558" s="36"/>
      <c r="L1558" s="36"/>
      <c r="M1558" s="5"/>
      <c r="N1558" s="5"/>
      <c r="O1558" s="5"/>
    </row>
    <row r="1559" spans="1:15" ht="37.049999999999997" customHeight="1">
      <c r="A1559" s="101" t="s">
        <v>43</v>
      </c>
      <c r="B1559" s="102"/>
      <c r="C1559" s="102"/>
      <c r="D1559" s="102"/>
      <c r="E1559" s="102"/>
      <c r="F1559" s="102"/>
      <c r="G1559" s="102"/>
      <c r="H1559" s="102"/>
      <c r="I1559" s="102"/>
      <c r="J1559" s="102"/>
      <c r="K1559" s="102"/>
      <c r="L1559" s="102"/>
      <c r="M1559" s="102"/>
      <c r="N1559" s="102"/>
      <c r="O1559" s="103"/>
    </row>
    <row r="1560" spans="1:15" ht="21" customHeight="1">
      <c r="A1560" s="37" t="s">
        <v>15</v>
      </c>
      <c r="B1560" s="38"/>
      <c r="C1560" s="39"/>
      <c r="D1560" s="90" t="s">
        <v>496</v>
      </c>
      <c r="E1560" s="91"/>
      <c r="F1560" s="91"/>
      <c r="G1560" s="91"/>
      <c r="H1560" s="91"/>
      <c r="I1560" s="91"/>
      <c r="J1560" s="91"/>
      <c r="K1560" s="91"/>
      <c r="L1560" s="91"/>
      <c r="M1560" s="91"/>
      <c r="N1560" s="91"/>
      <c r="O1560" s="92"/>
    </row>
    <row r="1561" spans="1:15" ht="19.95" customHeight="1">
      <c r="A1561" s="37" t="s">
        <v>19</v>
      </c>
      <c r="B1561" s="38"/>
      <c r="C1561" s="39"/>
      <c r="D1561" s="90" t="s">
        <v>20</v>
      </c>
      <c r="E1561" s="91"/>
      <c r="F1561" s="91"/>
      <c r="G1561" s="91"/>
      <c r="H1561" s="91"/>
      <c r="I1561" s="91"/>
      <c r="J1561" s="91"/>
      <c r="K1561" s="91"/>
      <c r="L1561" s="91"/>
      <c r="M1561" s="91"/>
      <c r="N1561" s="91"/>
      <c r="O1561" s="92"/>
    </row>
    <row r="1562" spans="1:15" ht="19.95" customHeight="1">
      <c r="A1562" s="37" t="s">
        <v>21</v>
      </c>
      <c r="B1562" s="38"/>
      <c r="C1562" s="39"/>
      <c r="D1562" s="90" t="s">
        <v>44</v>
      </c>
      <c r="E1562" s="91"/>
      <c r="F1562" s="91"/>
      <c r="G1562" s="91"/>
      <c r="H1562" s="91"/>
      <c r="I1562" s="91"/>
      <c r="J1562" s="91"/>
      <c r="K1562" s="91"/>
      <c r="L1562" s="91"/>
      <c r="M1562" s="91"/>
      <c r="N1562" s="91"/>
      <c r="O1562" s="92"/>
    </row>
    <row r="1563" spans="1:15" ht="21" customHeight="1">
      <c r="A1563" s="37" t="s">
        <v>45</v>
      </c>
      <c r="B1563" s="38"/>
      <c r="C1563" s="39"/>
      <c r="D1563" s="90" t="s">
        <v>502</v>
      </c>
      <c r="E1563" s="91"/>
      <c r="F1563" s="91"/>
      <c r="G1563" s="91"/>
      <c r="H1563" s="91"/>
      <c r="I1563" s="91"/>
      <c r="J1563" s="91"/>
      <c r="K1563" s="91"/>
      <c r="L1563" s="91"/>
      <c r="M1563" s="91"/>
      <c r="N1563" s="91"/>
      <c r="O1563" s="92"/>
    </row>
    <row r="1564" spans="1:15" ht="19.95" customHeight="1">
      <c r="A1564" s="37" t="s">
        <v>23</v>
      </c>
      <c r="B1564" s="38"/>
      <c r="C1564" s="39"/>
      <c r="D1564" s="90" t="s">
        <v>24</v>
      </c>
      <c r="E1564" s="91"/>
      <c r="F1564" s="91"/>
      <c r="G1564" s="91"/>
      <c r="H1564" s="91"/>
      <c r="I1564" s="91"/>
      <c r="J1564" s="91"/>
      <c r="K1564" s="91"/>
      <c r="L1564" s="91"/>
      <c r="M1564" s="91"/>
      <c r="N1564" s="91"/>
      <c r="O1564" s="92"/>
    </row>
    <row r="1565" spans="1:15" ht="19.5" customHeight="1">
      <c r="A1565" s="37" t="s">
        <v>47</v>
      </c>
      <c r="B1565" s="38"/>
      <c r="C1565" s="39"/>
      <c r="D1565" s="90" t="s">
        <v>48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2"/>
    </row>
    <row r="1566" spans="1:15" ht="20.55" customHeight="1">
      <c r="A1566" s="93"/>
      <c r="B1566" s="93"/>
      <c r="C1566" s="1"/>
      <c r="D1566" s="93"/>
      <c r="E1566" s="93"/>
      <c r="F1566" s="93"/>
      <c r="G1566" s="93"/>
      <c r="H1566" s="93"/>
      <c r="I1566" s="93"/>
      <c r="J1566" s="5"/>
      <c r="K1566" s="36"/>
      <c r="L1566" s="36"/>
      <c r="M1566" s="5"/>
      <c r="N1566" s="5"/>
      <c r="O1566" s="5"/>
    </row>
    <row r="1567" spans="1:15" ht="37.950000000000003" customHeight="1">
      <c r="A1567" s="87" t="s">
        <v>49</v>
      </c>
      <c r="B1567" s="88"/>
      <c r="C1567" s="88"/>
      <c r="D1567" s="88"/>
      <c r="E1567" s="88"/>
      <c r="F1567" s="88"/>
      <c r="G1567" s="88"/>
      <c r="H1567" s="88"/>
      <c r="I1567" s="88"/>
      <c r="J1567" s="88"/>
      <c r="K1567" s="88"/>
      <c r="L1567" s="88"/>
      <c r="M1567" s="88"/>
      <c r="N1567" s="88"/>
      <c r="O1567" s="89"/>
    </row>
    <row r="1568" spans="1:15" ht="19.95" customHeight="1">
      <c r="A1568" s="61" t="s">
        <v>50</v>
      </c>
      <c r="B1568" s="62"/>
      <c r="C1568" s="65" t="s">
        <v>51</v>
      </c>
      <c r="D1568" s="66"/>
      <c r="E1568" s="67"/>
      <c r="F1568" s="71" t="s">
        <v>52</v>
      </c>
      <c r="G1568" s="72"/>
      <c r="H1568" s="72"/>
      <c r="I1568" s="72"/>
      <c r="J1568" s="72"/>
      <c r="K1568" s="72"/>
      <c r="L1568" s="72"/>
      <c r="M1568" s="72"/>
      <c r="N1568" s="73"/>
      <c r="O1568" s="74" t="s">
        <v>53</v>
      </c>
    </row>
    <row r="1569" spans="1:15" ht="21" customHeight="1">
      <c r="A1569" s="63"/>
      <c r="B1569" s="64"/>
      <c r="C1569" s="68"/>
      <c r="D1569" s="69"/>
      <c r="E1569" s="70"/>
      <c r="F1569" s="76" t="s">
        <v>54</v>
      </c>
      <c r="G1569" s="77"/>
      <c r="H1569" s="71" t="s">
        <v>55</v>
      </c>
      <c r="I1569" s="73"/>
      <c r="J1569" s="94" t="s">
        <v>56</v>
      </c>
      <c r="K1569" s="95"/>
      <c r="L1569" s="96"/>
      <c r="M1569" s="80" t="s">
        <v>57</v>
      </c>
      <c r="N1569" s="82"/>
      <c r="O1569" s="75"/>
    </row>
    <row r="1570" spans="1:15" ht="30" customHeight="1">
      <c r="A1570" s="83">
        <v>5</v>
      </c>
      <c r="B1570" s="84"/>
      <c r="C1570" s="46" t="s">
        <v>58</v>
      </c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8"/>
      <c r="O1570" s="13">
        <v>177423534</v>
      </c>
    </row>
    <row r="1571" spans="1:15" ht="31.05" customHeight="1">
      <c r="A1571" s="46" t="s">
        <v>272</v>
      </c>
      <c r="B1571" s="48"/>
      <c r="C1571" s="46" t="s">
        <v>273</v>
      </c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8"/>
      <c r="O1571" s="13">
        <v>177423534</v>
      </c>
    </row>
    <row r="1572" spans="1:15" ht="31.05" customHeight="1">
      <c r="A1572" s="85">
        <v>37378</v>
      </c>
      <c r="B1572" s="86"/>
      <c r="C1572" s="46" t="s">
        <v>274</v>
      </c>
      <c r="D1572" s="47"/>
      <c r="E1572" s="47"/>
      <c r="F1572" s="47"/>
      <c r="G1572" s="47"/>
      <c r="H1572" s="47"/>
      <c r="I1572" s="47"/>
      <c r="J1572" s="47"/>
      <c r="K1572" s="47"/>
      <c r="L1572" s="47"/>
      <c r="M1572" s="47"/>
      <c r="N1572" s="48"/>
      <c r="O1572" s="13">
        <v>177423534</v>
      </c>
    </row>
    <row r="1573" spans="1:15" ht="19.95" customHeight="1">
      <c r="A1573" s="46" t="s">
        <v>275</v>
      </c>
      <c r="B1573" s="48"/>
      <c r="C1573" s="46" t="s">
        <v>276</v>
      </c>
      <c r="D1573" s="47"/>
      <c r="E1573" s="47"/>
      <c r="F1573" s="47"/>
      <c r="G1573" s="47"/>
      <c r="H1573" s="47"/>
      <c r="I1573" s="47"/>
      <c r="J1573" s="47"/>
      <c r="K1573" s="47"/>
      <c r="L1573" s="47"/>
      <c r="M1573" s="47"/>
      <c r="N1573" s="48"/>
      <c r="O1573" s="6">
        <v>84220709</v>
      </c>
    </row>
    <row r="1574" spans="1:15" ht="19.95" customHeight="1">
      <c r="A1574" s="46" t="s">
        <v>277</v>
      </c>
      <c r="B1574" s="48"/>
      <c r="C1574" s="46" t="s">
        <v>278</v>
      </c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8"/>
      <c r="O1574" s="6">
        <v>84220709</v>
      </c>
    </row>
    <row r="1575" spans="1:15" ht="31.05" customHeight="1">
      <c r="A1575" s="30" t="s">
        <v>503</v>
      </c>
      <c r="B1575" s="32"/>
      <c r="C1575" s="46" t="s">
        <v>504</v>
      </c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8"/>
      <c r="O1575" s="6">
        <v>58005509</v>
      </c>
    </row>
    <row r="1576" spans="1:15" ht="30.75" customHeight="1">
      <c r="A1576" s="40"/>
      <c r="B1576" s="42"/>
      <c r="C1576" s="30" t="s">
        <v>505</v>
      </c>
      <c r="D1576" s="31"/>
      <c r="E1576" s="31"/>
      <c r="F1576" s="31"/>
      <c r="G1576" s="31"/>
      <c r="H1576" s="31"/>
      <c r="I1576" s="31"/>
      <c r="J1576" s="31"/>
      <c r="K1576" s="31"/>
      <c r="L1576" s="31"/>
      <c r="M1576" s="31"/>
      <c r="N1576" s="32"/>
      <c r="O1576" s="6">
        <v>58005509</v>
      </c>
    </row>
    <row r="1577" spans="1:15" ht="37.950000000000003" customHeight="1">
      <c r="A1577" s="87" t="s">
        <v>49</v>
      </c>
      <c r="B1577" s="88"/>
      <c r="C1577" s="88"/>
      <c r="D1577" s="88"/>
      <c r="E1577" s="88"/>
      <c r="F1577" s="88"/>
      <c r="G1577" s="88"/>
      <c r="H1577" s="88"/>
      <c r="I1577" s="88"/>
      <c r="J1577" s="88"/>
      <c r="K1577" s="88"/>
      <c r="L1577" s="88"/>
      <c r="M1577" s="88"/>
      <c r="N1577" s="88"/>
      <c r="O1577" s="89"/>
    </row>
    <row r="1578" spans="1:15" ht="19.95" customHeight="1">
      <c r="A1578" s="61" t="s">
        <v>50</v>
      </c>
      <c r="B1578" s="62"/>
      <c r="C1578" s="65" t="s">
        <v>51</v>
      </c>
      <c r="D1578" s="66"/>
      <c r="E1578" s="67"/>
      <c r="F1578" s="71" t="s">
        <v>52</v>
      </c>
      <c r="G1578" s="72"/>
      <c r="H1578" s="72"/>
      <c r="I1578" s="72"/>
      <c r="J1578" s="72"/>
      <c r="K1578" s="72"/>
      <c r="L1578" s="72"/>
      <c r="M1578" s="72"/>
      <c r="N1578" s="73"/>
      <c r="O1578" s="74" t="s">
        <v>53</v>
      </c>
    </row>
    <row r="1579" spans="1:15" ht="21" customHeight="1">
      <c r="A1579" s="63"/>
      <c r="B1579" s="64"/>
      <c r="C1579" s="68"/>
      <c r="D1579" s="69"/>
      <c r="E1579" s="70"/>
      <c r="F1579" s="76" t="s">
        <v>54</v>
      </c>
      <c r="G1579" s="77"/>
      <c r="H1579" s="71" t="s">
        <v>55</v>
      </c>
      <c r="I1579" s="73"/>
      <c r="J1579" s="94" t="s">
        <v>56</v>
      </c>
      <c r="K1579" s="95"/>
      <c r="L1579" s="96"/>
      <c r="M1579" s="80" t="s">
        <v>57</v>
      </c>
      <c r="N1579" s="82"/>
      <c r="O1579" s="75"/>
    </row>
    <row r="1580" spans="1:15" ht="19.95" customHeight="1">
      <c r="A1580" s="40"/>
      <c r="B1580" s="42"/>
      <c r="C1580" s="46" t="s">
        <v>69</v>
      </c>
      <c r="D1580" s="47"/>
      <c r="E1580" s="47"/>
      <c r="F1580" s="47"/>
      <c r="G1580" s="47"/>
      <c r="H1580" s="47"/>
      <c r="I1580" s="47"/>
      <c r="J1580" s="47"/>
      <c r="K1580" s="47"/>
      <c r="L1580" s="47"/>
      <c r="M1580" s="47"/>
      <c r="N1580" s="48"/>
      <c r="O1580" s="8">
        <v>30643659</v>
      </c>
    </row>
    <row r="1581" spans="1:15" ht="70.95" customHeight="1">
      <c r="A1581" s="30"/>
      <c r="B1581" s="32"/>
      <c r="C1581" s="49" t="s">
        <v>506</v>
      </c>
      <c r="D1581" s="50"/>
      <c r="E1581" s="51"/>
      <c r="F1581" s="52">
        <v>4</v>
      </c>
      <c r="G1581" s="53"/>
      <c r="H1581" s="54" t="s">
        <v>289</v>
      </c>
      <c r="I1581" s="55"/>
      <c r="J1581" s="56">
        <v>6901725</v>
      </c>
      <c r="K1581" s="119"/>
      <c r="L1581" s="57"/>
      <c r="M1581" s="56">
        <v>0.11</v>
      </c>
      <c r="N1581" s="57"/>
      <c r="O1581" s="7">
        <v>30643659</v>
      </c>
    </row>
    <row r="1582" spans="1:15" ht="19.95" customHeight="1">
      <c r="A1582" s="40"/>
      <c r="B1582" s="42"/>
      <c r="C1582" s="46" t="s">
        <v>507</v>
      </c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8"/>
      <c r="O1582" s="8">
        <v>20000000</v>
      </c>
    </row>
    <row r="1583" spans="1:15" ht="61.05" customHeight="1">
      <c r="A1583" s="30"/>
      <c r="B1583" s="32"/>
      <c r="C1583" s="49" t="s">
        <v>508</v>
      </c>
      <c r="D1583" s="50"/>
      <c r="E1583" s="51"/>
      <c r="F1583" s="54" t="s">
        <v>509</v>
      </c>
      <c r="G1583" s="55"/>
      <c r="H1583" s="54" t="s">
        <v>280</v>
      </c>
      <c r="I1583" s="55"/>
      <c r="J1583" s="56">
        <v>2453950</v>
      </c>
      <c r="K1583" s="119"/>
      <c r="L1583" s="57"/>
      <c r="M1583" s="56">
        <v>0</v>
      </c>
      <c r="N1583" s="57"/>
      <c r="O1583" s="7">
        <v>20000000</v>
      </c>
    </row>
    <row r="1584" spans="1:15" ht="19.95" customHeight="1">
      <c r="A1584" s="40"/>
      <c r="B1584" s="42"/>
      <c r="C1584" s="46" t="s">
        <v>510</v>
      </c>
      <c r="D1584" s="47"/>
      <c r="E1584" s="47"/>
      <c r="F1584" s="47"/>
      <c r="G1584" s="47"/>
      <c r="H1584" s="47"/>
      <c r="I1584" s="47"/>
      <c r="J1584" s="47"/>
      <c r="K1584" s="47"/>
      <c r="L1584" s="47"/>
      <c r="M1584" s="47"/>
      <c r="N1584" s="48"/>
      <c r="O1584" s="8">
        <v>7361850</v>
      </c>
    </row>
    <row r="1585" spans="1:15" ht="60" customHeight="1">
      <c r="A1585" s="30"/>
      <c r="B1585" s="32"/>
      <c r="C1585" s="49" t="s">
        <v>508</v>
      </c>
      <c r="D1585" s="50"/>
      <c r="E1585" s="51"/>
      <c r="F1585" s="52">
        <v>3</v>
      </c>
      <c r="G1585" s="53"/>
      <c r="H1585" s="54" t="s">
        <v>289</v>
      </c>
      <c r="I1585" s="55"/>
      <c r="J1585" s="56">
        <v>2453950</v>
      </c>
      <c r="K1585" s="119"/>
      <c r="L1585" s="57"/>
      <c r="M1585" s="56">
        <v>0</v>
      </c>
      <c r="N1585" s="57"/>
      <c r="O1585" s="7">
        <v>7361850</v>
      </c>
    </row>
    <row r="1586" spans="1:15" ht="31.05" customHeight="1">
      <c r="A1586" s="30" t="s">
        <v>511</v>
      </c>
      <c r="B1586" s="32"/>
      <c r="C1586" s="46" t="s">
        <v>512</v>
      </c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8"/>
      <c r="O1586" s="8">
        <v>26215200</v>
      </c>
    </row>
    <row r="1587" spans="1:15" ht="31.05" customHeight="1">
      <c r="A1587" s="40"/>
      <c r="B1587" s="42"/>
      <c r="C1587" s="30" t="s">
        <v>513</v>
      </c>
      <c r="D1587" s="31"/>
      <c r="E1587" s="31"/>
      <c r="F1587" s="31"/>
      <c r="G1587" s="31"/>
      <c r="H1587" s="31"/>
      <c r="I1587" s="31"/>
      <c r="J1587" s="31"/>
      <c r="K1587" s="31"/>
      <c r="L1587" s="31"/>
      <c r="M1587" s="31"/>
      <c r="N1587" s="32"/>
      <c r="O1587" s="8">
        <v>26215200</v>
      </c>
    </row>
    <row r="1588" spans="1:15" ht="19.95" customHeight="1">
      <c r="A1588" s="40"/>
      <c r="B1588" s="42"/>
      <c r="C1588" s="46" t="s">
        <v>514</v>
      </c>
      <c r="D1588" s="47"/>
      <c r="E1588" s="47"/>
      <c r="F1588" s="47"/>
      <c r="G1588" s="47"/>
      <c r="H1588" s="47"/>
      <c r="I1588" s="47"/>
      <c r="J1588" s="47"/>
      <c r="K1588" s="47"/>
      <c r="L1588" s="47"/>
      <c r="M1588" s="47"/>
      <c r="N1588" s="48"/>
      <c r="O1588" s="8">
        <v>26215200</v>
      </c>
    </row>
    <row r="1589" spans="1:15" ht="60" customHeight="1">
      <c r="A1589" s="30"/>
      <c r="B1589" s="32"/>
      <c r="C1589" s="49" t="s">
        <v>515</v>
      </c>
      <c r="D1589" s="50"/>
      <c r="E1589" s="51"/>
      <c r="F1589" s="52">
        <v>1</v>
      </c>
      <c r="G1589" s="53"/>
      <c r="H1589" s="54" t="s">
        <v>289</v>
      </c>
      <c r="I1589" s="55"/>
      <c r="J1589" s="56">
        <v>26215200</v>
      </c>
      <c r="K1589" s="119"/>
      <c r="L1589" s="57"/>
      <c r="M1589" s="56">
        <v>0</v>
      </c>
      <c r="N1589" s="57"/>
      <c r="O1589" s="7">
        <v>26215200</v>
      </c>
    </row>
    <row r="1590" spans="1:15" ht="21" customHeight="1">
      <c r="A1590" s="46" t="s">
        <v>290</v>
      </c>
      <c r="B1590" s="48"/>
      <c r="C1590" s="46" t="s">
        <v>291</v>
      </c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8"/>
      <c r="O1590" s="8">
        <v>93202825</v>
      </c>
    </row>
    <row r="1591" spans="1:15" ht="19.95" customHeight="1">
      <c r="A1591" s="46" t="s">
        <v>292</v>
      </c>
      <c r="B1591" s="48"/>
      <c r="C1591" s="46" t="s">
        <v>293</v>
      </c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8"/>
      <c r="O1591" s="8">
        <v>62404725</v>
      </c>
    </row>
    <row r="1592" spans="1:15" ht="31.05" customHeight="1">
      <c r="A1592" s="30" t="s">
        <v>294</v>
      </c>
      <c r="B1592" s="32"/>
      <c r="C1592" s="46" t="s">
        <v>295</v>
      </c>
      <c r="D1592" s="47"/>
      <c r="E1592" s="47"/>
      <c r="F1592" s="47"/>
      <c r="G1592" s="47"/>
      <c r="H1592" s="47"/>
      <c r="I1592" s="47"/>
      <c r="J1592" s="47"/>
      <c r="K1592" s="47"/>
      <c r="L1592" s="47"/>
      <c r="M1592" s="47"/>
      <c r="N1592" s="48"/>
      <c r="O1592" s="8">
        <v>62404725</v>
      </c>
    </row>
    <row r="1593" spans="1:15" ht="31.05" customHeight="1">
      <c r="A1593" s="40"/>
      <c r="B1593" s="42"/>
      <c r="C1593" s="30" t="s">
        <v>516</v>
      </c>
      <c r="D1593" s="31"/>
      <c r="E1593" s="31"/>
      <c r="F1593" s="31"/>
      <c r="G1593" s="31"/>
      <c r="H1593" s="31"/>
      <c r="I1593" s="31"/>
      <c r="J1593" s="31"/>
      <c r="K1593" s="31"/>
      <c r="L1593" s="31"/>
      <c r="M1593" s="31"/>
      <c r="N1593" s="32"/>
      <c r="O1593" s="8">
        <v>62404725</v>
      </c>
    </row>
    <row r="1594" spans="1:15" ht="19.95" customHeight="1">
      <c r="A1594" s="40"/>
      <c r="B1594" s="42"/>
      <c r="C1594" s="46" t="s">
        <v>69</v>
      </c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8"/>
      <c r="O1594" s="8">
        <v>62404725</v>
      </c>
    </row>
    <row r="1595" spans="1:15" ht="70.95" customHeight="1">
      <c r="A1595" s="30"/>
      <c r="B1595" s="32"/>
      <c r="C1595" s="49" t="s">
        <v>297</v>
      </c>
      <c r="D1595" s="50"/>
      <c r="E1595" s="51"/>
      <c r="F1595" s="52">
        <v>3</v>
      </c>
      <c r="G1595" s="53"/>
      <c r="H1595" s="54" t="s">
        <v>289</v>
      </c>
      <c r="I1595" s="55"/>
      <c r="J1595" s="56">
        <v>20801575</v>
      </c>
      <c r="K1595" s="119"/>
      <c r="L1595" s="57"/>
      <c r="M1595" s="56">
        <v>0</v>
      </c>
      <c r="N1595" s="57"/>
      <c r="O1595" s="7">
        <v>62404725</v>
      </c>
    </row>
    <row r="1596" spans="1:15" ht="70.05" customHeight="1">
      <c r="A1596" s="30"/>
      <c r="B1596" s="32"/>
      <c r="C1596" s="49" t="s">
        <v>517</v>
      </c>
      <c r="D1596" s="50"/>
      <c r="E1596" s="51"/>
      <c r="F1596" s="54" t="s">
        <v>334</v>
      </c>
      <c r="G1596" s="55"/>
      <c r="H1596" s="54" t="s">
        <v>289</v>
      </c>
      <c r="I1596" s="55"/>
      <c r="J1596" s="56">
        <v>14785650</v>
      </c>
      <c r="K1596" s="119"/>
      <c r="L1596" s="57"/>
      <c r="M1596" s="56">
        <v>0</v>
      </c>
      <c r="N1596" s="57"/>
      <c r="O1596" s="7">
        <v>0</v>
      </c>
    </row>
    <row r="1597" spans="1:15" ht="21" customHeight="1">
      <c r="A1597" s="46" t="s">
        <v>300</v>
      </c>
      <c r="B1597" s="48"/>
      <c r="C1597" s="46" t="s">
        <v>301</v>
      </c>
      <c r="D1597" s="47"/>
      <c r="E1597" s="47"/>
      <c r="F1597" s="47"/>
      <c r="G1597" s="47"/>
      <c r="H1597" s="47"/>
      <c r="I1597" s="47"/>
      <c r="J1597" s="47"/>
      <c r="K1597" s="47"/>
      <c r="L1597" s="47"/>
      <c r="M1597" s="47"/>
      <c r="N1597" s="48"/>
      <c r="O1597" s="8">
        <v>30798100</v>
      </c>
    </row>
    <row r="1598" spans="1:15" ht="30" customHeight="1">
      <c r="A1598" s="30" t="s">
        <v>302</v>
      </c>
      <c r="B1598" s="32"/>
      <c r="C1598" s="46" t="s">
        <v>303</v>
      </c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8"/>
      <c r="O1598" s="8">
        <v>30798100</v>
      </c>
    </row>
    <row r="1599" spans="1:15" ht="31.05" customHeight="1">
      <c r="A1599" s="40"/>
      <c r="B1599" s="42"/>
      <c r="C1599" s="30" t="s">
        <v>516</v>
      </c>
      <c r="D1599" s="31"/>
      <c r="E1599" s="31"/>
      <c r="F1599" s="31"/>
      <c r="G1599" s="31"/>
      <c r="H1599" s="31"/>
      <c r="I1599" s="31"/>
      <c r="J1599" s="31"/>
      <c r="K1599" s="31"/>
      <c r="L1599" s="31"/>
      <c r="M1599" s="31"/>
      <c r="N1599" s="32"/>
      <c r="O1599" s="8">
        <v>30798100</v>
      </c>
    </row>
    <row r="1600" spans="1:15" ht="19.95" customHeight="1">
      <c r="A1600" s="40"/>
      <c r="B1600" s="42"/>
      <c r="C1600" s="46" t="s">
        <v>69</v>
      </c>
      <c r="D1600" s="47"/>
      <c r="E1600" s="47"/>
      <c r="F1600" s="47"/>
      <c r="G1600" s="47"/>
      <c r="H1600" s="47"/>
      <c r="I1600" s="47"/>
      <c r="J1600" s="47"/>
      <c r="K1600" s="47"/>
      <c r="L1600" s="47"/>
      <c r="M1600" s="47"/>
      <c r="N1600" s="48"/>
      <c r="O1600" s="8">
        <v>30798100</v>
      </c>
    </row>
    <row r="1601" spans="1:15" ht="70.95" customHeight="1">
      <c r="A1601" s="30"/>
      <c r="B1601" s="32"/>
      <c r="C1601" s="49" t="s">
        <v>518</v>
      </c>
      <c r="D1601" s="50"/>
      <c r="E1601" s="51"/>
      <c r="F1601" s="52">
        <v>4</v>
      </c>
      <c r="G1601" s="53"/>
      <c r="H1601" s="54" t="s">
        <v>289</v>
      </c>
      <c r="I1601" s="55"/>
      <c r="J1601" s="56">
        <v>7699525</v>
      </c>
      <c r="K1601" s="119"/>
      <c r="L1601" s="57"/>
      <c r="M1601" s="56">
        <v>0</v>
      </c>
      <c r="N1601" s="57"/>
      <c r="O1601" s="7">
        <v>30798100</v>
      </c>
    </row>
    <row r="1602" spans="1:15" ht="31.05" customHeight="1">
      <c r="A1602" s="27" t="s">
        <v>89</v>
      </c>
      <c r="B1602" s="28"/>
      <c r="C1602" s="28"/>
      <c r="D1602" s="28"/>
      <c r="E1602" s="28"/>
      <c r="F1602" s="28"/>
      <c r="G1602" s="28"/>
      <c r="H1602" s="28"/>
      <c r="I1602" s="28"/>
      <c r="J1602" s="28"/>
      <c r="K1602" s="28"/>
      <c r="L1602" s="28"/>
      <c r="M1602" s="28"/>
      <c r="N1602" s="29"/>
      <c r="O1602" s="13">
        <v>177423534</v>
      </c>
    </row>
    <row r="1603" spans="1:15" ht="153" customHeight="1">
      <c r="A1603" s="30"/>
      <c r="B1603" s="31"/>
      <c r="C1603" s="31"/>
      <c r="D1603" s="31"/>
      <c r="E1603" s="31"/>
      <c r="F1603" s="31"/>
      <c r="G1603" s="32"/>
      <c r="H1603" s="33" t="s">
        <v>90</v>
      </c>
      <c r="I1603" s="34"/>
      <c r="J1603" s="34"/>
      <c r="K1603" s="34"/>
      <c r="L1603" s="34"/>
      <c r="M1603" s="34"/>
      <c r="N1603" s="34"/>
      <c r="O1603" s="35"/>
    </row>
    <row r="1604" spans="1:15" ht="21" customHeight="1">
      <c r="A1604" s="37" t="s">
        <v>91</v>
      </c>
      <c r="B1604" s="38"/>
      <c r="C1604" s="39"/>
      <c r="D1604" s="2" t="s">
        <v>48</v>
      </c>
      <c r="E1604" s="40"/>
      <c r="F1604" s="41"/>
      <c r="G1604" s="41"/>
      <c r="H1604" s="41"/>
      <c r="I1604" s="41"/>
      <c r="J1604" s="41"/>
      <c r="K1604" s="41"/>
      <c r="L1604" s="41"/>
      <c r="M1604" s="41"/>
      <c r="N1604" s="41"/>
      <c r="O1604" s="42"/>
    </row>
    <row r="1605" spans="1:15" ht="19.95" customHeight="1">
      <c r="A1605" s="37" t="s">
        <v>92</v>
      </c>
      <c r="B1605" s="38"/>
      <c r="C1605" s="39"/>
      <c r="D1605" s="2" t="s">
        <v>48</v>
      </c>
      <c r="E1605" s="40"/>
      <c r="F1605" s="41"/>
      <c r="G1605" s="41"/>
      <c r="H1605" s="41"/>
      <c r="I1605" s="41"/>
      <c r="J1605" s="41"/>
      <c r="K1605" s="41"/>
      <c r="L1605" s="41"/>
      <c r="M1605" s="41"/>
      <c r="N1605" s="41"/>
      <c r="O1605" s="42"/>
    </row>
    <row r="1606" spans="1:15" ht="19.95" customHeight="1">
      <c r="A1606" s="37" t="s">
        <v>93</v>
      </c>
      <c r="B1606" s="38"/>
      <c r="C1606" s="39"/>
      <c r="D1606" s="2" t="s">
        <v>48</v>
      </c>
      <c r="E1606" s="40"/>
      <c r="F1606" s="41"/>
      <c r="G1606" s="41"/>
      <c r="H1606" s="41"/>
      <c r="I1606" s="41"/>
      <c r="J1606" s="41"/>
      <c r="K1606" s="41"/>
      <c r="L1606" s="41"/>
      <c r="M1606" s="41"/>
      <c r="N1606" s="41"/>
      <c r="O1606" s="42"/>
    </row>
    <row r="1607" spans="1:15" ht="21" customHeight="1">
      <c r="A1607" s="43">
        <v>1</v>
      </c>
      <c r="B1607" s="44"/>
      <c r="C1607" s="44"/>
      <c r="D1607" s="44"/>
      <c r="E1607" s="44"/>
      <c r="F1607" s="44"/>
      <c r="G1607" s="44"/>
      <c r="H1607" s="44"/>
      <c r="I1607" s="44"/>
      <c r="J1607" s="44"/>
      <c r="K1607" s="44"/>
      <c r="L1607" s="44"/>
      <c r="M1607" s="44"/>
      <c r="N1607" s="44"/>
      <c r="O1607" s="45"/>
    </row>
    <row r="1608" spans="1:15" ht="19.95" customHeight="1">
      <c r="A1608" s="43">
        <v>2</v>
      </c>
      <c r="B1608" s="44"/>
      <c r="C1608" s="44"/>
      <c r="D1608" s="44"/>
      <c r="E1608" s="44"/>
      <c r="F1608" s="44"/>
      <c r="G1608" s="44"/>
      <c r="H1608" s="44"/>
      <c r="I1608" s="44"/>
      <c r="J1608" s="44"/>
      <c r="K1608" s="44"/>
      <c r="L1608" s="44"/>
      <c r="M1608" s="44"/>
      <c r="N1608" s="44"/>
      <c r="O1608" s="45"/>
    </row>
    <row r="1609" spans="1:15" ht="20.55" customHeight="1">
      <c r="A1609" s="37" t="s">
        <v>94</v>
      </c>
      <c r="B1609" s="38"/>
      <c r="C1609" s="38"/>
      <c r="D1609" s="38"/>
      <c r="E1609" s="38"/>
      <c r="F1609" s="38"/>
      <c r="G1609" s="38"/>
      <c r="H1609" s="38"/>
      <c r="I1609" s="38"/>
      <c r="J1609" s="38"/>
      <c r="K1609" s="38"/>
      <c r="L1609" s="38"/>
      <c r="M1609" s="38"/>
      <c r="N1609" s="38"/>
      <c r="O1609" s="39"/>
    </row>
    <row r="1610" spans="1:15" ht="20.55" customHeight="1">
      <c r="A1610" s="1"/>
      <c r="B1610" s="93"/>
      <c r="C1610" s="93"/>
      <c r="D1610" s="1"/>
      <c r="E1610" s="93"/>
      <c r="F1610" s="93"/>
      <c r="G1610" s="93"/>
      <c r="H1610" s="93"/>
      <c r="I1610" s="93"/>
      <c r="J1610" s="93"/>
      <c r="K1610" s="93"/>
      <c r="L1610" s="36"/>
      <c r="M1610" s="36"/>
      <c r="N1610" s="36"/>
      <c r="O1610" s="36"/>
    </row>
    <row r="1611" spans="1:15" ht="21" customHeight="1">
      <c r="A1611" s="18" t="s">
        <v>95</v>
      </c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20"/>
    </row>
    <row r="1612" spans="1:15" ht="22.05" customHeight="1">
      <c r="A1612" s="3" t="s">
        <v>96</v>
      </c>
      <c r="B1612" s="18" t="s">
        <v>97</v>
      </c>
      <c r="C1612" s="19"/>
      <c r="D1612" s="19"/>
      <c r="E1612" s="19"/>
      <c r="F1612" s="20"/>
      <c r="G1612" s="18" t="s">
        <v>98</v>
      </c>
      <c r="H1612" s="20"/>
      <c r="I1612" s="18" t="s">
        <v>99</v>
      </c>
      <c r="J1612" s="19"/>
      <c r="K1612" s="20"/>
      <c r="L1612" s="21" t="s">
        <v>100</v>
      </c>
      <c r="M1612" s="22"/>
      <c r="N1612" s="22"/>
      <c r="O1612" s="23"/>
    </row>
    <row r="1613" spans="1:15" ht="21" customHeight="1">
      <c r="A1613" s="24" t="s">
        <v>101</v>
      </c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6"/>
    </row>
    <row r="1614" spans="1:15" ht="64.05" customHeight="1">
      <c r="A1614" s="106" t="s">
        <v>0</v>
      </c>
      <c r="B1614" s="107"/>
      <c r="C1614" s="107"/>
      <c r="D1614" s="107"/>
      <c r="E1614" s="107"/>
      <c r="F1614" s="107"/>
      <c r="G1614" s="107"/>
      <c r="H1614" s="107"/>
      <c r="I1614" s="107"/>
      <c r="J1614" s="108"/>
      <c r="K1614" s="109" t="s">
        <v>1</v>
      </c>
      <c r="L1614" s="110"/>
      <c r="M1614" s="110"/>
      <c r="N1614" s="110"/>
      <c r="O1614" s="111"/>
    </row>
    <row r="1615" spans="1:15" ht="23.55" customHeight="1">
      <c r="A1615" s="101" t="s">
        <v>674</v>
      </c>
      <c r="B1615" s="102"/>
      <c r="C1615" s="102"/>
      <c r="D1615" s="102"/>
      <c r="E1615" s="102"/>
      <c r="F1615" s="102"/>
      <c r="G1615" s="102"/>
      <c r="H1615" s="102"/>
      <c r="I1615" s="102"/>
      <c r="J1615" s="102"/>
      <c r="K1615" s="102"/>
      <c r="L1615" s="102"/>
      <c r="M1615" s="102"/>
      <c r="N1615" s="102"/>
      <c r="O1615" s="103"/>
    </row>
    <row r="1616" spans="1:15" ht="20.55" customHeight="1">
      <c r="A1616" s="93"/>
      <c r="B1616" s="93"/>
      <c r="C1616" s="1"/>
      <c r="D1616" s="93"/>
      <c r="E1616" s="93"/>
      <c r="F1616" s="93"/>
      <c r="G1616" s="93"/>
      <c r="H1616" s="93"/>
      <c r="I1616" s="93"/>
      <c r="J1616" s="5"/>
      <c r="K1616" s="36"/>
      <c r="L1616" s="36"/>
      <c r="M1616" s="5"/>
      <c r="N1616" s="5"/>
      <c r="O1616" s="5"/>
    </row>
    <row r="1617" spans="1:15" ht="37.049999999999997" customHeight="1">
      <c r="A1617" s="101" t="s">
        <v>2</v>
      </c>
      <c r="B1617" s="102"/>
      <c r="C1617" s="102"/>
      <c r="D1617" s="102"/>
      <c r="E1617" s="102"/>
      <c r="F1617" s="102"/>
      <c r="G1617" s="102"/>
      <c r="H1617" s="102"/>
      <c r="I1617" s="102"/>
      <c r="J1617" s="102"/>
      <c r="K1617" s="102"/>
      <c r="L1617" s="102"/>
      <c r="M1617" s="102"/>
      <c r="N1617" s="102"/>
      <c r="O1617" s="103"/>
    </row>
    <row r="1618" spans="1:15" ht="21" customHeight="1">
      <c r="A1618" s="37" t="s">
        <v>3</v>
      </c>
      <c r="B1618" s="38"/>
      <c r="C1618" s="39"/>
      <c r="D1618" s="90" t="s">
        <v>4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2"/>
    </row>
    <row r="1619" spans="1:15" ht="22.05" customHeight="1">
      <c r="A1619" s="37" t="s">
        <v>5</v>
      </c>
      <c r="B1619" s="38"/>
      <c r="C1619" s="39"/>
      <c r="D1619" s="90" t="s">
        <v>6</v>
      </c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2"/>
    </row>
    <row r="1620" spans="1:15" ht="22.05" customHeight="1">
      <c r="A1620" s="37" t="s">
        <v>7</v>
      </c>
      <c r="B1620" s="38"/>
      <c r="C1620" s="39"/>
      <c r="D1620" s="90" t="s">
        <v>8</v>
      </c>
      <c r="E1620" s="91"/>
      <c r="F1620" s="91"/>
      <c r="G1620" s="91"/>
      <c r="H1620" s="91"/>
      <c r="I1620" s="91"/>
      <c r="J1620" s="91"/>
      <c r="K1620" s="91"/>
      <c r="L1620" s="91"/>
      <c r="M1620" s="91"/>
      <c r="N1620" s="91"/>
      <c r="O1620" s="92"/>
    </row>
    <row r="1621" spans="1:15" ht="21" customHeight="1">
      <c r="A1621" s="37" t="s">
        <v>9</v>
      </c>
      <c r="B1621" s="38"/>
      <c r="C1621" s="39"/>
      <c r="D1621" s="90" t="s">
        <v>10</v>
      </c>
      <c r="E1621" s="91"/>
      <c r="F1621" s="91"/>
      <c r="G1621" s="91"/>
      <c r="H1621" s="91"/>
      <c r="I1621" s="91"/>
      <c r="J1621" s="91"/>
      <c r="K1621" s="91"/>
      <c r="L1621" s="91"/>
      <c r="M1621" s="91"/>
      <c r="N1621" s="91"/>
      <c r="O1621" s="92"/>
    </row>
    <row r="1622" spans="1:15" ht="22.05" customHeight="1">
      <c r="A1622" s="37" t="s">
        <v>11</v>
      </c>
      <c r="B1622" s="38"/>
      <c r="C1622" s="39"/>
      <c r="D1622" s="90" t="s">
        <v>12</v>
      </c>
      <c r="E1622" s="91"/>
      <c r="F1622" s="91"/>
      <c r="G1622" s="91"/>
      <c r="H1622" s="91"/>
      <c r="I1622" s="91"/>
      <c r="J1622" s="91"/>
      <c r="K1622" s="91"/>
      <c r="L1622" s="91"/>
      <c r="M1622" s="91"/>
      <c r="N1622" s="91"/>
      <c r="O1622" s="92"/>
    </row>
    <row r="1623" spans="1:15" ht="22.05" customHeight="1">
      <c r="A1623" s="37" t="s">
        <v>13</v>
      </c>
      <c r="B1623" s="38"/>
      <c r="C1623" s="39"/>
      <c r="D1623" s="90" t="s">
        <v>519</v>
      </c>
      <c r="E1623" s="91"/>
      <c r="F1623" s="91"/>
      <c r="G1623" s="91"/>
      <c r="H1623" s="91"/>
      <c r="I1623" s="91"/>
      <c r="J1623" s="91"/>
      <c r="K1623" s="91"/>
      <c r="L1623" s="91"/>
      <c r="M1623" s="91"/>
      <c r="N1623" s="91"/>
      <c r="O1623" s="92"/>
    </row>
    <row r="1624" spans="1:15" ht="21" customHeight="1">
      <c r="A1624" s="37" t="s">
        <v>15</v>
      </c>
      <c r="B1624" s="38"/>
      <c r="C1624" s="39"/>
      <c r="D1624" s="90" t="s">
        <v>520</v>
      </c>
      <c r="E1624" s="91"/>
      <c r="F1624" s="91"/>
      <c r="G1624" s="91"/>
      <c r="H1624" s="91"/>
      <c r="I1624" s="91"/>
      <c r="J1624" s="91"/>
      <c r="K1624" s="91"/>
      <c r="L1624" s="91"/>
      <c r="M1624" s="91"/>
      <c r="N1624" s="91"/>
      <c r="O1624" s="92"/>
    </row>
    <row r="1625" spans="1:15" ht="22.05" customHeight="1">
      <c r="A1625" s="37" t="s">
        <v>17</v>
      </c>
      <c r="B1625" s="38"/>
      <c r="C1625" s="39"/>
      <c r="D1625" s="90" t="s">
        <v>10</v>
      </c>
      <c r="E1625" s="91"/>
      <c r="F1625" s="91"/>
      <c r="G1625" s="91"/>
      <c r="H1625" s="91"/>
      <c r="I1625" s="91"/>
      <c r="J1625" s="91"/>
      <c r="K1625" s="91"/>
      <c r="L1625" s="91"/>
      <c r="M1625" s="91"/>
      <c r="N1625" s="91"/>
      <c r="O1625" s="92"/>
    </row>
    <row r="1626" spans="1:15" ht="22.05" customHeight="1">
      <c r="A1626" s="37" t="s">
        <v>18</v>
      </c>
      <c r="B1626" s="38"/>
      <c r="C1626" s="39"/>
      <c r="D1626" s="90" t="s">
        <v>10</v>
      </c>
      <c r="E1626" s="91"/>
      <c r="F1626" s="91"/>
      <c r="G1626" s="91"/>
      <c r="H1626" s="91"/>
      <c r="I1626" s="91"/>
      <c r="J1626" s="91"/>
      <c r="K1626" s="91"/>
      <c r="L1626" s="91"/>
      <c r="M1626" s="91"/>
      <c r="N1626" s="91"/>
      <c r="O1626" s="92"/>
    </row>
    <row r="1627" spans="1:15" ht="22.05" customHeight="1">
      <c r="A1627" s="37" t="s">
        <v>19</v>
      </c>
      <c r="B1627" s="38"/>
      <c r="C1627" s="39"/>
      <c r="D1627" s="90" t="s">
        <v>20</v>
      </c>
      <c r="E1627" s="91"/>
      <c r="F1627" s="91"/>
      <c r="G1627" s="91"/>
      <c r="H1627" s="91"/>
      <c r="I1627" s="91"/>
      <c r="J1627" s="91"/>
      <c r="K1627" s="91"/>
      <c r="L1627" s="91"/>
      <c r="M1627" s="91"/>
      <c r="N1627" s="91"/>
      <c r="O1627" s="92"/>
    </row>
    <row r="1628" spans="1:15" ht="21" customHeight="1">
      <c r="A1628" s="37" t="s">
        <v>21</v>
      </c>
      <c r="B1628" s="38"/>
      <c r="C1628" s="39"/>
      <c r="D1628" s="90" t="s">
        <v>22</v>
      </c>
      <c r="E1628" s="91"/>
      <c r="F1628" s="91"/>
      <c r="G1628" s="91"/>
      <c r="H1628" s="91"/>
      <c r="I1628" s="91"/>
      <c r="J1628" s="91"/>
      <c r="K1628" s="91"/>
      <c r="L1628" s="91"/>
      <c r="M1628" s="91"/>
      <c r="N1628" s="91"/>
      <c r="O1628" s="92"/>
    </row>
    <row r="1629" spans="1:15" ht="22.05" customHeight="1">
      <c r="A1629" s="37" t="s">
        <v>23</v>
      </c>
      <c r="B1629" s="38"/>
      <c r="C1629" s="39"/>
      <c r="D1629" s="90" t="s">
        <v>24</v>
      </c>
      <c r="E1629" s="91"/>
      <c r="F1629" s="91"/>
      <c r="G1629" s="91"/>
      <c r="H1629" s="91"/>
      <c r="I1629" s="91"/>
      <c r="J1629" s="91"/>
      <c r="K1629" s="91"/>
      <c r="L1629" s="91"/>
      <c r="M1629" s="91"/>
      <c r="N1629" s="91"/>
      <c r="O1629" s="92"/>
    </row>
    <row r="1630" spans="1:15" ht="22.05" customHeight="1">
      <c r="A1630" s="37" t="s">
        <v>25</v>
      </c>
      <c r="B1630" s="38"/>
      <c r="C1630" s="39"/>
      <c r="D1630" s="90" t="s">
        <v>26</v>
      </c>
      <c r="E1630" s="91"/>
      <c r="F1630" s="91"/>
      <c r="G1630" s="91"/>
      <c r="H1630" s="91"/>
      <c r="I1630" s="91"/>
      <c r="J1630" s="91"/>
      <c r="K1630" s="91"/>
      <c r="L1630" s="91"/>
      <c r="M1630" s="91"/>
      <c r="N1630" s="91"/>
      <c r="O1630" s="92"/>
    </row>
    <row r="1631" spans="1:15" ht="21" customHeight="1">
      <c r="A1631" s="37" t="s">
        <v>670</v>
      </c>
      <c r="B1631" s="38"/>
      <c r="C1631" s="39"/>
      <c r="D1631" s="90" t="s">
        <v>27</v>
      </c>
      <c r="E1631" s="91"/>
      <c r="F1631" s="91"/>
      <c r="G1631" s="91"/>
      <c r="H1631" s="91"/>
      <c r="I1631" s="91"/>
      <c r="J1631" s="91"/>
      <c r="K1631" s="91"/>
      <c r="L1631" s="91"/>
      <c r="M1631" s="91"/>
      <c r="N1631" s="91"/>
      <c r="O1631" s="92"/>
    </row>
    <row r="1632" spans="1:15" ht="22.05" customHeight="1">
      <c r="A1632" s="37" t="s">
        <v>675</v>
      </c>
      <c r="B1632" s="38"/>
      <c r="C1632" s="39"/>
      <c r="D1632" s="90" t="s">
        <v>521</v>
      </c>
      <c r="E1632" s="91"/>
      <c r="F1632" s="91"/>
      <c r="G1632" s="91"/>
      <c r="H1632" s="91"/>
      <c r="I1632" s="91"/>
      <c r="J1632" s="91"/>
      <c r="K1632" s="91"/>
      <c r="L1632" s="91"/>
      <c r="M1632" s="91"/>
      <c r="N1632" s="91"/>
      <c r="O1632" s="92"/>
    </row>
    <row r="1633" spans="1:15" ht="21.45" customHeight="1">
      <c r="A1633" s="37" t="s">
        <v>676</v>
      </c>
      <c r="B1633" s="38"/>
      <c r="C1633" s="39"/>
      <c r="D1633" s="90" t="s">
        <v>522</v>
      </c>
      <c r="E1633" s="91"/>
      <c r="F1633" s="91"/>
      <c r="G1633" s="91"/>
      <c r="H1633" s="91"/>
      <c r="I1633" s="91"/>
      <c r="J1633" s="91"/>
      <c r="K1633" s="91"/>
      <c r="L1633" s="91"/>
      <c r="M1633" s="91"/>
      <c r="N1633" s="91"/>
      <c r="O1633" s="92"/>
    </row>
    <row r="1634" spans="1:15" ht="20.55" customHeight="1">
      <c r="A1634" s="93"/>
      <c r="B1634" s="93"/>
      <c r="C1634" s="1"/>
      <c r="D1634" s="93"/>
      <c r="E1634" s="93"/>
      <c r="F1634" s="93"/>
      <c r="G1634" s="93"/>
      <c r="H1634" s="93"/>
      <c r="I1634" s="93"/>
      <c r="J1634" s="5"/>
      <c r="K1634" s="36"/>
      <c r="L1634" s="36"/>
      <c r="M1634" s="5"/>
      <c r="N1634" s="5"/>
      <c r="O1634" s="5"/>
    </row>
    <row r="1635" spans="1:15" ht="22.95" customHeight="1">
      <c r="A1635" s="101" t="s">
        <v>29</v>
      </c>
      <c r="B1635" s="102"/>
      <c r="C1635" s="102"/>
      <c r="D1635" s="102"/>
      <c r="E1635" s="102"/>
      <c r="F1635" s="102"/>
      <c r="G1635" s="102"/>
      <c r="H1635" s="102"/>
      <c r="I1635" s="102"/>
      <c r="J1635" s="102"/>
      <c r="K1635" s="102"/>
      <c r="L1635" s="102"/>
      <c r="M1635" s="102"/>
      <c r="N1635" s="102"/>
      <c r="O1635" s="103"/>
    </row>
    <row r="1636" spans="1:15" ht="24" customHeight="1">
      <c r="A1636" s="101" t="s">
        <v>30</v>
      </c>
      <c r="B1636" s="102"/>
      <c r="C1636" s="103"/>
      <c r="D1636" s="101" t="s">
        <v>31</v>
      </c>
      <c r="E1636" s="102"/>
      <c r="F1636" s="102"/>
      <c r="G1636" s="102"/>
      <c r="H1636" s="102"/>
      <c r="I1636" s="102"/>
      <c r="J1636" s="102"/>
      <c r="K1636" s="102"/>
      <c r="L1636" s="102"/>
      <c r="M1636" s="103"/>
      <c r="N1636" s="104" t="s">
        <v>32</v>
      </c>
      <c r="O1636" s="105"/>
    </row>
    <row r="1637" spans="1:15" ht="21" customHeight="1">
      <c r="A1637" s="37" t="s">
        <v>33</v>
      </c>
      <c r="B1637" s="38"/>
      <c r="C1637" s="39"/>
      <c r="D1637" s="37" t="s">
        <v>34</v>
      </c>
      <c r="E1637" s="38"/>
      <c r="F1637" s="38"/>
      <c r="G1637" s="38"/>
      <c r="H1637" s="38"/>
      <c r="I1637" s="38"/>
      <c r="J1637" s="38"/>
      <c r="K1637" s="38"/>
      <c r="L1637" s="38"/>
      <c r="M1637" s="39"/>
      <c r="N1637" s="97" t="s">
        <v>35</v>
      </c>
      <c r="O1637" s="98"/>
    </row>
    <row r="1638" spans="1:15" ht="19.95" customHeight="1">
      <c r="A1638" s="37" t="s">
        <v>36</v>
      </c>
      <c r="B1638" s="38"/>
      <c r="C1638" s="39"/>
      <c r="D1638" s="37" t="s">
        <v>37</v>
      </c>
      <c r="E1638" s="38"/>
      <c r="F1638" s="38"/>
      <c r="G1638" s="38"/>
      <c r="H1638" s="38"/>
      <c r="I1638" s="38"/>
      <c r="J1638" s="38"/>
      <c r="K1638" s="38"/>
      <c r="L1638" s="38"/>
      <c r="M1638" s="39"/>
      <c r="N1638" s="97">
        <v>991153000</v>
      </c>
      <c r="O1638" s="98"/>
    </row>
    <row r="1639" spans="1:15" ht="19.95" customHeight="1">
      <c r="A1639" s="37" t="s">
        <v>38</v>
      </c>
      <c r="B1639" s="38"/>
      <c r="C1639" s="39"/>
      <c r="D1639" s="37" t="s">
        <v>523</v>
      </c>
      <c r="E1639" s="38"/>
      <c r="F1639" s="38"/>
      <c r="G1639" s="38"/>
      <c r="H1639" s="38"/>
      <c r="I1639" s="38"/>
      <c r="J1639" s="38"/>
      <c r="K1639" s="38"/>
      <c r="L1639" s="38"/>
      <c r="M1639" s="39"/>
      <c r="N1639" s="97" t="s">
        <v>106</v>
      </c>
      <c r="O1639" s="98"/>
    </row>
    <row r="1640" spans="1:15" ht="20.55" customHeight="1">
      <c r="A1640" s="37" t="s">
        <v>41</v>
      </c>
      <c r="B1640" s="38"/>
      <c r="C1640" s="39"/>
      <c r="D1640" s="37" t="s">
        <v>524</v>
      </c>
      <c r="E1640" s="38"/>
      <c r="F1640" s="38"/>
      <c r="G1640" s="38"/>
      <c r="H1640" s="38"/>
      <c r="I1640" s="38"/>
      <c r="J1640" s="38"/>
      <c r="K1640" s="38"/>
      <c r="L1640" s="38"/>
      <c r="M1640" s="39"/>
      <c r="N1640" s="99">
        <v>0.94</v>
      </c>
      <c r="O1640" s="100"/>
    </row>
    <row r="1641" spans="1:15" ht="20.55" customHeight="1">
      <c r="A1641" s="93"/>
      <c r="B1641" s="93"/>
      <c r="C1641" s="1"/>
      <c r="D1641" s="93"/>
      <c r="E1641" s="93"/>
      <c r="F1641" s="93"/>
      <c r="G1641" s="93"/>
      <c r="H1641" s="93"/>
      <c r="I1641" s="93"/>
      <c r="J1641" s="5"/>
      <c r="K1641" s="36"/>
      <c r="L1641" s="36"/>
      <c r="M1641" s="5"/>
      <c r="N1641" s="5"/>
      <c r="O1641" s="5"/>
    </row>
    <row r="1642" spans="1:15" ht="37.049999999999997" customHeight="1">
      <c r="A1642" s="101" t="s">
        <v>43</v>
      </c>
      <c r="B1642" s="102"/>
      <c r="C1642" s="102"/>
      <c r="D1642" s="102"/>
      <c r="E1642" s="102"/>
      <c r="F1642" s="102"/>
      <c r="G1642" s="102"/>
      <c r="H1642" s="102"/>
      <c r="I1642" s="102"/>
      <c r="J1642" s="102"/>
      <c r="K1642" s="102"/>
      <c r="L1642" s="102"/>
      <c r="M1642" s="102"/>
      <c r="N1642" s="102"/>
      <c r="O1642" s="103"/>
    </row>
    <row r="1643" spans="1:15" ht="21" customHeight="1">
      <c r="A1643" s="37" t="s">
        <v>15</v>
      </c>
      <c r="B1643" s="38"/>
      <c r="C1643" s="39"/>
      <c r="D1643" s="90" t="s">
        <v>520</v>
      </c>
      <c r="E1643" s="91"/>
      <c r="F1643" s="91"/>
      <c r="G1643" s="91"/>
      <c r="H1643" s="91"/>
      <c r="I1643" s="91"/>
      <c r="J1643" s="91"/>
      <c r="K1643" s="91"/>
      <c r="L1643" s="91"/>
      <c r="M1643" s="91"/>
      <c r="N1643" s="91"/>
      <c r="O1643" s="92"/>
    </row>
    <row r="1644" spans="1:15" ht="19.95" customHeight="1">
      <c r="A1644" s="37" t="s">
        <v>19</v>
      </c>
      <c r="B1644" s="38"/>
      <c r="C1644" s="39"/>
      <c r="D1644" s="90" t="s">
        <v>20</v>
      </c>
      <c r="E1644" s="91"/>
      <c r="F1644" s="91"/>
      <c r="G1644" s="91"/>
      <c r="H1644" s="91"/>
      <c r="I1644" s="91"/>
      <c r="J1644" s="91"/>
      <c r="K1644" s="91"/>
      <c r="L1644" s="91"/>
      <c r="M1644" s="91"/>
      <c r="N1644" s="91"/>
      <c r="O1644" s="92"/>
    </row>
    <row r="1645" spans="1:15" ht="19.95" customHeight="1">
      <c r="A1645" s="37" t="s">
        <v>21</v>
      </c>
      <c r="B1645" s="38"/>
      <c r="C1645" s="39"/>
      <c r="D1645" s="90" t="s">
        <v>44</v>
      </c>
      <c r="E1645" s="91"/>
      <c r="F1645" s="91"/>
      <c r="G1645" s="91"/>
      <c r="H1645" s="91"/>
      <c r="I1645" s="91"/>
      <c r="J1645" s="91"/>
      <c r="K1645" s="91"/>
      <c r="L1645" s="91"/>
      <c r="M1645" s="91"/>
      <c r="N1645" s="91"/>
      <c r="O1645" s="92"/>
    </row>
    <row r="1646" spans="1:15" ht="21" customHeight="1">
      <c r="A1646" s="37" t="s">
        <v>45</v>
      </c>
      <c r="B1646" s="38"/>
      <c r="C1646" s="39"/>
      <c r="D1646" s="90" t="s">
        <v>525</v>
      </c>
      <c r="E1646" s="91"/>
      <c r="F1646" s="91"/>
      <c r="G1646" s="91"/>
      <c r="H1646" s="91"/>
      <c r="I1646" s="91"/>
      <c r="J1646" s="91"/>
      <c r="K1646" s="91"/>
      <c r="L1646" s="91"/>
      <c r="M1646" s="91"/>
      <c r="N1646" s="91"/>
      <c r="O1646" s="92"/>
    </row>
    <row r="1647" spans="1:15" ht="19.95" customHeight="1">
      <c r="A1647" s="37" t="s">
        <v>23</v>
      </c>
      <c r="B1647" s="38"/>
      <c r="C1647" s="39"/>
      <c r="D1647" s="90" t="s">
        <v>24</v>
      </c>
      <c r="E1647" s="91"/>
      <c r="F1647" s="91"/>
      <c r="G1647" s="91"/>
      <c r="H1647" s="91"/>
      <c r="I1647" s="91"/>
      <c r="J1647" s="91"/>
      <c r="K1647" s="91"/>
      <c r="L1647" s="91"/>
      <c r="M1647" s="91"/>
      <c r="N1647" s="91"/>
      <c r="O1647" s="92"/>
    </row>
    <row r="1648" spans="1:15" ht="19.5" customHeight="1">
      <c r="A1648" s="37" t="s">
        <v>47</v>
      </c>
      <c r="B1648" s="38"/>
      <c r="C1648" s="39"/>
      <c r="D1648" s="90" t="s">
        <v>48</v>
      </c>
      <c r="E1648" s="91"/>
      <c r="F1648" s="91"/>
      <c r="G1648" s="91"/>
      <c r="H1648" s="91"/>
      <c r="I1648" s="91"/>
      <c r="J1648" s="91"/>
      <c r="K1648" s="91"/>
      <c r="L1648" s="91"/>
      <c r="M1648" s="91"/>
      <c r="N1648" s="91"/>
      <c r="O1648" s="92"/>
    </row>
    <row r="1649" spans="1:15" ht="20.55" customHeight="1">
      <c r="A1649" s="93"/>
      <c r="B1649" s="93"/>
      <c r="C1649" s="1"/>
      <c r="D1649" s="93"/>
      <c r="E1649" s="93"/>
      <c r="F1649" s="93"/>
      <c r="G1649" s="93"/>
      <c r="H1649" s="93"/>
      <c r="I1649" s="93"/>
      <c r="J1649" s="5"/>
      <c r="K1649" s="36"/>
      <c r="L1649" s="36"/>
      <c r="M1649" s="5"/>
      <c r="N1649" s="5"/>
      <c r="O1649" s="5"/>
    </row>
    <row r="1650" spans="1:15" ht="37.950000000000003" customHeight="1">
      <c r="A1650" s="87" t="s">
        <v>49</v>
      </c>
      <c r="B1650" s="88"/>
      <c r="C1650" s="88"/>
      <c r="D1650" s="88"/>
      <c r="E1650" s="88"/>
      <c r="F1650" s="88"/>
      <c r="G1650" s="88"/>
      <c r="H1650" s="88"/>
      <c r="I1650" s="88"/>
      <c r="J1650" s="88"/>
      <c r="K1650" s="88"/>
      <c r="L1650" s="88"/>
      <c r="M1650" s="88"/>
      <c r="N1650" s="88"/>
      <c r="O1650" s="89"/>
    </row>
    <row r="1651" spans="1:15" ht="19.95" customHeight="1">
      <c r="A1651" s="61" t="s">
        <v>50</v>
      </c>
      <c r="B1651" s="62"/>
      <c r="C1651" s="65" t="s">
        <v>51</v>
      </c>
      <c r="D1651" s="66"/>
      <c r="E1651" s="67"/>
      <c r="F1651" s="71" t="s">
        <v>52</v>
      </c>
      <c r="G1651" s="72"/>
      <c r="H1651" s="72"/>
      <c r="I1651" s="72"/>
      <c r="J1651" s="72"/>
      <c r="K1651" s="72"/>
      <c r="L1651" s="72"/>
      <c r="M1651" s="72"/>
      <c r="N1651" s="73"/>
      <c r="O1651" s="74" t="s">
        <v>53</v>
      </c>
    </row>
    <row r="1652" spans="1:15" ht="21" customHeight="1">
      <c r="A1652" s="63"/>
      <c r="B1652" s="64"/>
      <c r="C1652" s="68"/>
      <c r="D1652" s="69"/>
      <c r="E1652" s="70"/>
      <c r="F1652" s="76" t="s">
        <v>54</v>
      </c>
      <c r="G1652" s="77"/>
      <c r="H1652" s="71" t="s">
        <v>55</v>
      </c>
      <c r="I1652" s="73"/>
      <c r="J1652" s="94" t="s">
        <v>56</v>
      </c>
      <c r="K1652" s="95"/>
      <c r="L1652" s="96"/>
      <c r="M1652" s="80" t="s">
        <v>57</v>
      </c>
      <c r="N1652" s="82"/>
      <c r="O1652" s="75"/>
    </row>
    <row r="1653" spans="1:15" ht="30" customHeight="1">
      <c r="A1653" s="83">
        <v>5</v>
      </c>
      <c r="B1653" s="84"/>
      <c r="C1653" s="46" t="s">
        <v>58</v>
      </c>
      <c r="D1653" s="47"/>
      <c r="E1653" s="47"/>
      <c r="F1653" s="47"/>
      <c r="G1653" s="47"/>
      <c r="H1653" s="47"/>
      <c r="I1653" s="47"/>
      <c r="J1653" s="47"/>
      <c r="K1653" s="47"/>
      <c r="L1653" s="47"/>
      <c r="M1653" s="47"/>
      <c r="N1653" s="48"/>
      <c r="O1653" s="13">
        <v>991153000</v>
      </c>
    </row>
    <row r="1654" spans="1:15" ht="31.05" customHeight="1">
      <c r="A1654" s="46" t="s">
        <v>59</v>
      </c>
      <c r="B1654" s="48"/>
      <c r="C1654" s="46" t="s">
        <v>60</v>
      </c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8"/>
      <c r="O1654" s="13">
        <v>991153000</v>
      </c>
    </row>
    <row r="1655" spans="1:15" ht="31.05" customHeight="1">
      <c r="A1655" s="85">
        <v>37377</v>
      </c>
      <c r="B1655" s="86"/>
      <c r="C1655" s="46" t="s">
        <v>61</v>
      </c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8"/>
      <c r="O1655" s="13">
        <v>991153000</v>
      </c>
    </row>
    <row r="1656" spans="1:15" ht="30" customHeight="1">
      <c r="A1656" s="46" t="s">
        <v>138</v>
      </c>
      <c r="B1656" s="48"/>
      <c r="C1656" s="46" t="s">
        <v>139</v>
      </c>
      <c r="D1656" s="47"/>
      <c r="E1656" s="47"/>
      <c r="F1656" s="47"/>
      <c r="G1656" s="47"/>
      <c r="H1656" s="47"/>
      <c r="I1656" s="47"/>
      <c r="J1656" s="47"/>
      <c r="K1656" s="47"/>
      <c r="L1656" s="47"/>
      <c r="M1656" s="47"/>
      <c r="N1656" s="48"/>
      <c r="O1656" s="13">
        <v>991153000</v>
      </c>
    </row>
    <row r="1657" spans="1:15" ht="31.05" customHeight="1">
      <c r="A1657" s="46" t="s">
        <v>140</v>
      </c>
      <c r="B1657" s="48"/>
      <c r="C1657" s="46" t="s">
        <v>141</v>
      </c>
      <c r="D1657" s="47"/>
      <c r="E1657" s="47"/>
      <c r="F1657" s="47"/>
      <c r="G1657" s="47"/>
      <c r="H1657" s="47"/>
      <c r="I1657" s="47"/>
      <c r="J1657" s="47"/>
      <c r="K1657" s="47"/>
      <c r="L1657" s="47"/>
      <c r="M1657" s="47"/>
      <c r="N1657" s="48"/>
      <c r="O1657" s="13">
        <v>991153000</v>
      </c>
    </row>
    <row r="1658" spans="1:15" ht="30.75" customHeight="1">
      <c r="A1658" s="30" t="s">
        <v>526</v>
      </c>
      <c r="B1658" s="32"/>
      <c r="C1658" s="46" t="s">
        <v>527</v>
      </c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8"/>
      <c r="O1658" s="14">
        <v>12000000</v>
      </c>
    </row>
    <row r="1659" spans="1:15" ht="37.950000000000003" customHeight="1">
      <c r="A1659" s="87" t="s">
        <v>49</v>
      </c>
      <c r="B1659" s="88"/>
      <c r="C1659" s="88"/>
      <c r="D1659" s="88"/>
      <c r="E1659" s="88"/>
      <c r="F1659" s="88"/>
      <c r="G1659" s="88"/>
      <c r="H1659" s="88"/>
      <c r="I1659" s="88"/>
      <c r="J1659" s="88"/>
      <c r="K1659" s="88"/>
      <c r="L1659" s="88"/>
      <c r="M1659" s="88"/>
      <c r="N1659" s="88"/>
      <c r="O1659" s="89"/>
    </row>
    <row r="1660" spans="1:15" ht="19.95" customHeight="1">
      <c r="A1660" s="61" t="s">
        <v>50</v>
      </c>
      <c r="B1660" s="62"/>
      <c r="C1660" s="65" t="s">
        <v>51</v>
      </c>
      <c r="D1660" s="66"/>
      <c r="E1660" s="67"/>
      <c r="F1660" s="71" t="s">
        <v>52</v>
      </c>
      <c r="G1660" s="72"/>
      <c r="H1660" s="72"/>
      <c r="I1660" s="72"/>
      <c r="J1660" s="72"/>
      <c r="K1660" s="72"/>
      <c r="L1660" s="72"/>
      <c r="M1660" s="72"/>
      <c r="N1660" s="73"/>
      <c r="O1660" s="74" t="s">
        <v>53</v>
      </c>
    </row>
    <row r="1661" spans="1:15" ht="21" customHeight="1">
      <c r="A1661" s="63"/>
      <c r="B1661" s="64"/>
      <c r="C1661" s="68"/>
      <c r="D1661" s="69"/>
      <c r="E1661" s="70"/>
      <c r="F1661" s="76" t="s">
        <v>54</v>
      </c>
      <c r="G1661" s="77"/>
      <c r="H1661" s="71" t="s">
        <v>55</v>
      </c>
      <c r="I1661" s="73"/>
      <c r="J1661" s="94" t="s">
        <v>56</v>
      </c>
      <c r="K1661" s="95"/>
      <c r="L1661" s="96"/>
      <c r="M1661" s="80" t="s">
        <v>57</v>
      </c>
      <c r="N1661" s="82"/>
      <c r="O1661" s="75"/>
    </row>
    <row r="1662" spans="1:15" ht="30" customHeight="1">
      <c r="A1662" s="40"/>
      <c r="B1662" s="42"/>
      <c r="C1662" s="30" t="s">
        <v>528</v>
      </c>
      <c r="D1662" s="31"/>
      <c r="E1662" s="31"/>
      <c r="F1662" s="31"/>
      <c r="G1662" s="31"/>
      <c r="H1662" s="31"/>
      <c r="I1662" s="31"/>
      <c r="J1662" s="31"/>
      <c r="K1662" s="31"/>
      <c r="L1662" s="31"/>
      <c r="M1662" s="31"/>
      <c r="N1662" s="32"/>
      <c r="O1662" s="6">
        <v>12000000</v>
      </c>
    </row>
    <row r="1663" spans="1:15" ht="21" customHeight="1">
      <c r="A1663" s="40"/>
      <c r="B1663" s="42"/>
      <c r="C1663" s="46" t="s">
        <v>69</v>
      </c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8"/>
      <c r="O1663" s="6">
        <v>12000000</v>
      </c>
    </row>
    <row r="1664" spans="1:15" ht="60" customHeight="1">
      <c r="A1664" s="30"/>
      <c r="B1664" s="32"/>
      <c r="C1664" s="49" t="s">
        <v>529</v>
      </c>
      <c r="D1664" s="50"/>
      <c r="E1664" s="51"/>
      <c r="F1664" s="54" t="s">
        <v>146</v>
      </c>
      <c r="G1664" s="55"/>
      <c r="H1664" s="54" t="s">
        <v>530</v>
      </c>
      <c r="I1664" s="55"/>
      <c r="J1664" s="56">
        <v>1000000</v>
      </c>
      <c r="K1664" s="119"/>
      <c r="L1664" s="57"/>
      <c r="M1664" s="56">
        <v>0</v>
      </c>
      <c r="N1664" s="57"/>
      <c r="O1664" s="9">
        <v>12000000</v>
      </c>
    </row>
    <row r="1665" spans="1:15" ht="31.05" customHeight="1">
      <c r="A1665" s="30" t="s">
        <v>531</v>
      </c>
      <c r="B1665" s="32"/>
      <c r="C1665" s="46" t="s">
        <v>532</v>
      </c>
      <c r="D1665" s="47"/>
      <c r="E1665" s="47"/>
      <c r="F1665" s="47"/>
      <c r="G1665" s="47"/>
      <c r="H1665" s="47"/>
      <c r="I1665" s="47"/>
      <c r="J1665" s="47"/>
      <c r="K1665" s="47"/>
      <c r="L1665" s="47"/>
      <c r="M1665" s="47"/>
      <c r="N1665" s="48"/>
      <c r="O1665" s="6">
        <v>90000000</v>
      </c>
    </row>
    <row r="1666" spans="1:15" ht="31.05" customHeight="1">
      <c r="A1666" s="40"/>
      <c r="B1666" s="42"/>
      <c r="C1666" s="30" t="s">
        <v>528</v>
      </c>
      <c r="D1666" s="31"/>
      <c r="E1666" s="31"/>
      <c r="F1666" s="31"/>
      <c r="G1666" s="31"/>
      <c r="H1666" s="31"/>
      <c r="I1666" s="31"/>
      <c r="J1666" s="31"/>
      <c r="K1666" s="31"/>
      <c r="L1666" s="31"/>
      <c r="M1666" s="31"/>
      <c r="N1666" s="32"/>
      <c r="O1666" s="6">
        <v>84000000</v>
      </c>
    </row>
    <row r="1667" spans="1:15" ht="19.95" customHeight="1">
      <c r="A1667" s="40"/>
      <c r="B1667" s="42"/>
      <c r="C1667" s="46" t="s">
        <v>533</v>
      </c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8"/>
      <c r="O1667" s="6">
        <v>84000000</v>
      </c>
    </row>
    <row r="1668" spans="1:15" ht="60" customHeight="1">
      <c r="A1668" s="30"/>
      <c r="B1668" s="32"/>
      <c r="C1668" s="49" t="s">
        <v>534</v>
      </c>
      <c r="D1668" s="50"/>
      <c r="E1668" s="51"/>
      <c r="F1668" s="54" t="s">
        <v>146</v>
      </c>
      <c r="G1668" s="55"/>
      <c r="H1668" s="54" t="s">
        <v>530</v>
      </c>
      <c r="I1668" s="55"/>
      <c r="J1668" s="56">
        <v>7000000</v>
      </c>
      <c r="K1668" s="119"/>
      <c r="L1668" s="57"/>
      <c r="M1668" s="56">
        <v>0</v>
      </c>
      <c r="N1668" s="57"/>
      <c r="O1668" s="9">
        <v>84000000</v>
      </c>
    </row>
    <row r="1669" spans="1:15" ht="31.05" customHeight="1">
      <c r="A1669" s="40"/>
      <c r="B1669" s="42"/>
      <c r="C1669" s="30" t="s">
        <v>535</v>
      </c>
      <c r="D1669" s="31"/>
      <c r="E1669" s="31"/>
      <c r="F1669" s="31"/>
      <c r="G1669" s="31"/>
      <c r="H1669" s="31"/>
      <c r="I1669" s="31"/>
      <c r="J1669" s="31"/>
      <c r="K1669" s="31"/>
      <c r="L1669" s="31"/>
      <c r="M1669" s="31"/>
      <c r="N1669" s="32"/>
      <c r="O1669" s="6">
        <v>6000000</v>
      </c>
    </row>
    <row r="1670" spans="1:15" ht="19.95" customHeight="1">
      <c r="A1670" s="40"/>
      <c r="B1670" s="42"/>
      <c r="C1670" s="46" t="s">
        <v>69</v>
      </c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8"/>
      <c r="O1670" s="6">
        <v>6000000</v>
      </c>
    </row>
    <row r="1671" spans="1:15" ht="61.05" customHeight="1">
      <c r="A1671" s="30"/>
      <c r="B1671" s="32"/>
      <c r="C1671" s="49" t="s">
        <v>534</v>
      </c>
      <c r="D1671" s="50"/>
      <c r="E1671" s="51"/>
      <c r="F1671" s="54" t="s">
        <v>146</v>
      </c>
      <c r="G1671" s="55"/>
      <c r="H1671" s="54" t="s">
        <v>530</v>
      </c>
      <c r="I1671" s="55"/>
      <c r="J1671" s="56">
        <v>500000</v>
      </c>
      <c r="K1671" s="119"/>
      <c r="L1671" s="57"/>
      <c r="M1671" s="56">
        <v>0</v>
      </c>
      <c r="N1671" s="57"/>
      <c r="O1671" s="9">
        <v>6000000</v>
      </c>
    </row>
    <row r="1672" spans="1:15" ht="30" customHeight="1">
      <c r="A1672" s="30" t="s">
        <v>536</v>
      </c>
      <c r="B1672" s="32"/>
      <c r="C1672" s="46" t="s">
        <v>537</v>
      </c>
      <c r="D1672" s="47"/>
      <c r="E1672" s="47"/>
      <c r="F1672" s="47"/>
      <c r="G1672" s="47"/>
      <c r="H1672" s="47"/>
      <c r="I1672" s="47"/>
      <c r="J1672" s="47"/>
      <c r="K1672" s="47"/>
      <c r="L1672" s="47"/>
      <c r="M1672" s="47"/>
      <c r="N1672" s="48"/>
      <c r="O1672" s="13">
        <v>697153000</v>
      </c>
    </row>
    <row r="1673" spans="1:15" ht="31.05" customHeight="1">
      <c r="A1673" s="40"/>
      <c r="B1673" s="42"/>
      <c r="C1673" s="30" t="s">
        <v>528</v>
      </c>
      <c r="D1673" s="31"/>
      <c r="E1673" s="31"/>
      <c r="F1673" s="31"/>
      <c r="G1673" s="31"/>
      <c r="H1673" s="31"/>
      <c r="I1673" s="31"/>
      <c r="J1673" s="31"/>
      <c r="K1673" s="31"/>
      <c r="L1673" s="31"/>
      <c r="M1673" s="31"/>
      <c r="N1673" s="32"/>
      <c r="O1673" s="13">
        <v>678793000</v>
      </c>
    </row>
    <row r="1674" spans="1:15" ht="31.05" customHeight="1">
      <c r="A1674" s="40"/>
      <c r="B1674" s="42"/>
      <c r="C1674" s="46" t="s">
        <v>69</v>
      </c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8"/>
      <c r="O1674" s="13">
        <v>678793000</v>
      </c>
    </row>
    <row r="1675" spans="1:15" ht="81" customHeight="1">
      <c r="A1675" s="30"/>
      <c r="B1675" s="32"/>
      <c r="C1675" s="49" t="s">
        <v>538</v>
      </c>
      <c r="D1675" s="50"/>
      <c r="E1675" s="51"/>
      <c r="F1675" s="52">
        <v>399290</v>
      </c>
      <c r="G1675" s="53"/>
      <c r="H1675" s="54" t="s">
        <v>539</v>
      </c>
      <c r="I1675" s="55"/>
      <c r="J1675" s="56">
        <v>1700</v>
      </c>
      <c r="K1675" s="119"/>
      <c r="L1675" s="57"/>
      <c r="M1675" s="56">
        <v>0</v>
      </c>
      <c r="N1675" s="57"/>
      <c r="O1675" s="15">
        <v>678793000</v>
      </c>
    </row>
    <row r="1676" spans="1:15" ht="31.05" customHeight="1">
      <c r="A1676" s="40"/>
      <c r="B1676" s="42"/>
      <c r="C1676" s="30" t="s">
        <v>535</v>
      </c>
      <c r="D1676" s="31"/>
      <c r="E1676" s="31"/>
      <c r="F1676" s="31"/>
      <c r="G1676" s="31"/>
      <c r="H1676" s="31"/>
      <c r="I1676" s="31"/>
      <c r="J1676" s="31"/>
      <c r="K1676" s="31"/>
      <c r="L1676" s="31"/>
      <c r="M1676" s="31"/>
      <c r="N1676" s="32"/>
      <c r="O1676" s="6">
        <v>18360000</v>
      </c>
    </row>
    <row r="1677" spans="1:15" ht="81" customHeight="1">
      <c r="A1677" s="30"/>
      <c r="B1677" s="32"/>
      <c r="C1677" s="49" t="s">
        <v>538</v>
      </c>
      <c r="D1677" s="50"/>
      <c r="E1677" s="51"/>
      <c r="F1677" s="54" t="s">
        <v>540</v>
      </c>
      <c r="G1677" s="55"/>
      <c r="H1677" s="54" t="s">
        <v>541</v>
      </c>
      <c r="I1677" s="55"/>
      <c r="J1677" s="56">
        <v>1700</v>
      </c>
      <c r="K1677" s="119"/>
      <c r="L1677" s="57"/>
      <c r="M1677" s="56">
        <v>0</v>
      </c>
      <c r="N1677" s="57"/>
      <c r="O1677" s="9">
        <v>18360000</v>
      </c>
    </row>
    <row r="1678" spans="1:15" ht="30" customHeight="1">
      <c r="A1678" s="30" t="s">
        <v>542</v>
      </c>
      <c r="B1678" s="32"/>
      <c r="C1678" s="46" t="s">
        <v>543</v>
      </c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8"/>
      <c r="O1678" s="13">
        <v>192000000</v>
      </c>
    </row>
    <row r="1679" spans="1:15" ht="31.05" customHeight="1">
      <c r="A1679" s="40"/>
      <c r="B1679" s="42"/>
      <c r="C1679" s="30" t="s">
        <v>528</v>
      </c>
      <c r="D1679" s="31"/>
      <c r="E1679" s="31"/>
      <c r="F1679" s="31"/>
      <c r="G1679" s="31"/>
      <c r="H1679" s="31"/>
      <c r="I1679" s="31"/>
      <c r="J1679" s="31"/>
      <c r="K1679" s="31"/>
      <c r="L1679" s="31"/>
      <c r="M1679" s="31"/>
      <c r="N1679" s="32"/>
      <c r="O1679" s="13">
        <v>180000000</v>
      </c>
    </row>
    <row r="1680" spans="1:15" ht="31.05" customHeight="1">
      <c r="A1680" s="40"/>
      <c r="B1680" s="42"/>
      <c r="C1680" s="46" t="s">
        <v>69</v>
      </c>
      <c r="D1680" s="47"/>
      <c r="E1680" s="47"/>
      <c r="F1680" s="47"/>
      <c r="G1680" s="47"/>
      <c r="H1680" s="47"/>
      <c r="I1680" s="47"/>
      <c r="J1680" s="47"/>
      <c r="K1680" s="47"/>
      <c r="L1680" s="47"/>
      <c r="M1680" s="47"/>
      <c r="N1680" s="48"/>
      <c r="O1680" s="13">
        <v>180000000</v>
      </c>
    </row>
    <row r="1681" spans="1:15" ht="60" customHeight="1">
      <c r="A1681" s="30"/>
      <c r="B1681" s="32"/>
      <c r="C1681" s="116" t="s">
        <v>544</v>
      </c>
      <c r="D1681" s="117"/>
      <c r="E1681" s="118"/>
      <c r="F1681" s="54" t="s">
        <v>146</v>
      </c>
      <c r="G1681" s="55"/>
      <c r="H1681" s="54" t="s">
        <v>530</v>
      </c>
      <c r="I1681" s="55"/>
      <c r="J1681" s="56">
        <v>15000000</v>
      </c>
      <c r="K1681" s="119"/>
      <c r="L1681" s="57"/>
      <c r="M1681" s="56">
        <v>0</v>
      </c>
      <c r="N1681" s="57"/>
      <c r="O1681" s="15">
        <v>180000000</v>
      </c>
    </row>
    <row r="1682" spans="1:15" ht="31.05" customHeight="1">
      <c r="A1682" s="40"/>
      <c r="B1682" s="42"/>
      <c r="C1682" s="30" t="s">
        <v>535</v>
      </c>
      <c r="D1682" s="31"/>
      <c r="E1682" s="31"/>
      <c r="F1682" s="31"/>
      <c r="G1682" s="31"/>
      <c r="H1682" s="31"/>
      <c r="I1682" s="31"/>
      <c r="J1682" s="31"/>
      <c r="K1682" s="31"/>
      <c r="L1682" s="31"/>
      <c r="M1682" s="31"/>
      <c r="N1682" s="32"/>
      <c r="O1682" s="6">
        <v>12000000</v>
      </c>
    </row>
    <row r="1683" spans="1:15" ht="37.950000000000003" customHeight="1">
      <c r="A1683" s="87" t="s">
        <v>49</v>
      </c>
      <c r="B1683" s="88"/>
      <c r="C1683" s="88"/>
      <c r="D1683" s="88"/>
      <c r="E1683" s="88"/>
      <c r="F1683" s="88"/>
      <c r="G1683" s="88"/>
      <c r="H1683" s="88"/>
      <c r="I1683" s="88"/>
      <c r="J1683" s="88"/>
      <c r="K1683" s="88"/>
      <c r="L1683" s="88"/>
      <c r="M1683" s="88"/>
      <c r="N1683" s="88"/>
      <c r="O1683" s="89"/>
    </row>
    <row r="1684" spans="1:15" ht="19.95" customHeight="1">
      <c r="A1684" s="61" t="s">
        <v>50</v>
      </c>
      <c r="B1684" s="62"/>
      <c r="C1684" s="65" t="s">
        <v>51</v>
      </c>
      <c r="D1684" s="66"/>
      <c r="E1684" s="67"/>
      <c r="F1684" s="71" t="s">
        <v>52</v>
      </c>
      <c r="G1684" s="72"/>
      <c r="H1684" s="72"/>
      <c r="I1684" s="72"/>
      <c r="J1684" s="72"/>
      <c r="K1684" s="72"/>
      <c r="L1684" s="72"/>
      <c r="M1684" s="72"/>
      <c r="N1684" s="73"/>
      <c r="O1684" s="74" t="s">
        <v>53</v>
      </c>
    </row>
    <row r="1685" spans="1:15" ht="21" customHeight="1">
      <c r="A1685" s="63"/>
      <c r="B1685" s="64"/>
      <c r="C1685" s="68"/>
      <c r="D1685" s="69"/>
      <c r="E1685" s="70"/>
      <c r="F1685" s="76" t="s">
        <v>54</v>
      </c>
      <c r="G1685" s="77"/>
      <c r="H1685" s="71" t="s">
        <v>55</v>
      </c>
      <c r="I1685" s="73"/>
      <c r="J1685" s="78" t="s">
        <v>56</v>
      </c>
      <c r="K1685" s="79"/>
      <c r="L1685" s="80" t="s">
        <v>57</v>
      </c>
      <c r="M1685" s="81"/>
      <c r="N1685" s="82"/>
      <c r="O1685" s="75"/>
    </row>
    <row r="1686" spans="1:15" ht="60" customHeight="1">
      <c r="A1686" s="30"/>
      <c r="B1686" s="32"/>
      <c r="C1686" s="116" t="s">
        <v>544</v>
      </c>
      <c r="D1686" s="117"/>
      <c r="E1686" s="118"/>
      <c r="F1686" s="54" t="s">
        <v>146</v>
      </c>
      <c r="G1686" s="55"/>
      <c r="H1686" s="54" t="s">
        <v>530</v>
      </c>
      <c r="I1686" s="55"/>
      <c r="J1686" s="56">
        <v>1000000</v>
      </c>
      <c r="K1686" s="57"/>
      <c r="L1686" s="58">
        <v>0</v>
      </c>
      <c r="M1686" s="59"/>
      <c r="N1686" s="60"/>
      <c r="O1686" s="12">
        <v>12000000</v>
      </c>
    </row>
    <row r="1687" spans="1:15" ht="31.05" customHeight="1">
      <c r="A1687" s="27" t="s">
        <v>89</v>
      </c>
      <c r="B1687" s="28"/>
      <c r="C1687" s="28"/>
      <c r="D1687" s="28"/>
      <c r="E1687" s="28"/>
      <c r="F1687" s="28"/>
      <c r="G1687" s="28"/>
      <c r="H1687" s="28"/>
      <c r="I1687" s="28"/>
      <c r="J1687" s="28"/>
      <c r="K1687" s="28"/>
      <c r="L1687" s="28"/>
      <c r="M1687" s="28"/>
      <c r="N1687" s="29"/>
      <c r="O1687" s="13">
        <v>991153000</v>
      </c>
    </row>
    <row r="1688" spans="1:15" ht="153" customHeight="1">
      <c r="A1688" s="30"/>
      <c r="B1688" s="31"/>
      <c r="C1688" s="31"/>
      <c r="D1688" s="31"/>
      <c r="E1688" s="31"/>
      <c r="F1688" s="31"/>
      <c r="G1688" s="32"/>
      <c r="H1688" s="33" t="s">
        <v>90</v>
      </c>
      <c r="I1688" s="34"/>
      <c r="J1688" s="34"/>
      <c r="K1688" s="34"/>
      <c r="L1688" s="34"/>
      <c r="M1688" s="34"/>
      <c r="N1688" s="34"/>
      <c r="O1688" s="35"/>
    </row>
    <row r="1689" spans="1:15" ht="20.55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36"/>
      <c r="K1689" s="36"/>
      <c r="L1689" s="36"/>
      <c r="M1689" s="36"/>
      <c r="N1689" s="36"/>
      <c r="O1689" s="5"/>
    </row>
    <row r="1690" spans="1:15" ht="21" customHeight="1">
      <c r="A1690" s="37" t="s">
        <v>91</v>
      </c>
      <c r="B1690" s="38"/>
      <c r="C1690" s="39"/>
      <c r="D1690" s="2" t="s">
        <v>48</v>
      </c>
      <c r="E1690" s="40"/>
      <c r="F1690" s="41"/>
      <c r="G1690" s="41"/>
      <c r="H1690" s="41"/>
      <c r="I1690" s="41"/>
      <c r="J1690" s="41"/>
      <c r="K1690" s="41"/>
      <c r="L1690" s="41"/>
      <c r="M1690" s="41"/>
      <c r="N1690" s="41"/>
      <c r="O1690" s="42"/>
    </row>
    <row r="1691" spans="1:15" ht="19.95" customHeight="1">
      <c r="A1691" s="37" t="s">
        <v>92</v>
      </c>
      <c r="B1691" s="38"/>
      <c r="C1691" s="39"/>
      <c r="D1691" s="2" t="s">
        <v>48</v>
      </c>
      <c r="E1691" s="40"/>
      <c r="F1691" s="41"/>
      <c r="G1691" s="41"/>
      <c r="H1691" s="41"/>
      <c r="I1691" s="41"/>
      <c r="J1691" s="41"/>
      <c r="K1691" s="41"/>
      <c r="L1691" s="41"/>
      <c r="M1691" s="41"/>
      <c r="N1691" s="41"/>
      <c r="O1691" s="42"/>
    </row>
    <row r="1692" spans="1:15" ht="19.95" customHeight="1">
      <c r="A1692" s="37" t="s">
        <v>93</v>
      </c>
      <c r="B1692" s="38"/>
      <c r="C1692" s="39"/>
      <c r="D1692" s="2" t="s">
        <v>48</v>
      </c>
      <c r="E1692" s="40"/>
      <c r="F1692" s="41"/>
      <c r="G1692" s="41"/>
      <c r="H1692" s="41"/>
      <c r="I1692" s="41"/>
      <c r="J1692" s="41"/>
      <c r="K1692" s="41"/>
      <c r="L1692" s="41"/>
      <c r="M1692" s="41"/>
      <c r="N1692" s="41"/>
      <c r="O1692" s="42"/>
    </row>
    <row r="1693" spans="1:15" ht="21" customHeight="1">
      <c r="A1693" s="43">
        <v>1</v>
      </c>
      <c r="B1693" s="44"/>
      <c r="C1693" s="44"/>
      <c r="D1693" s="44"/>
      <c r="E1693" s="44"/>
      <c r="F1693" s="44"/>
      <c r="G1693" s="44"/>
      <c r="H1693" s="44"/>
      <c r="I1693" s="44"/>
      <c r="J1693" s="44"/>
      <c r="K1693" s="44"/>
      <c r="L1693" s="44"/>
      <c r="M1693" s="44"/>
      <c r="N1693" s="44"/>
      <c r="O1693" s="45"/>
    </row>
    <row r="1694" spans="1:15" ht="19.95" customHeight="1">
      <c r="A1694" s="43">
        <v>2</v>
      </c>
      <c r="B1694" s="44"/>
      <c r="C1694" s="44"/>
      <c r="D1694" s="44"/>
      <c r="E1694" s="44"/>
      <c r="F1694" s="44"/>
      <c r="G1694" s="44"/>
      <c r="H1694" s="44"/>
      <c r="I1694" s="44"/>
      <c r="J1694" s="44"/>
      <c r="K1694" s="44"/>
      <c r="L1694" s="44"/>
      <c r="M1694" s="44"/>
      <c r="N1694" s="44"/>
      <c r="O1694" s="45"/>
    </row>
    <row r="1695" spans="1:15" ht="19.5" customHeight="1">
      <c r="A1695" s="37" t="s">
        <v>94</v>
      </c>
      <c r="B1695" s="38"/>
      <c r="C1695" s="38"/>
      <c r="D1695" s="38"/>
      <c r="E1695" s="38"/>
      <c r="F1695" s="38"/>
      <c r="G1695" s="38"/>
      <c r="H1695" s="38"/>
      <c r="I1695" s="38"/>
      <c r="J1695" s="38"/>
      <c r="K1695" s="38"/>
      <c r="L1695" s="38"/>
      <c r="M1695" s="38"/>
      <c r="N1695" s="38"/>
      <c r="O1695" s="39"/>
    </row>
    <row r="1696" spans="1:15" ht="20.5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36"/>
      <c r="K1696" s="36"/>
      <c r="L1696" s="36"/>
      <c r="M1696" s="36"/>
      <c r="N1696" s="36"/>
      <c r="O1696" s="5"/>
    </row>
    <row r="1697" spans="1:15" ht="22.05" customHeight="1">
      <c r="A1697" s="18" t="s">
        <v>95</v>
      </c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20"/>
    </row>
    <row r="1698" spans="1:15" ht="21" customHeight="1">
      <c r="A1698" s="3" t="s">
        <v>96</v>
      </c>
      <c r="B1698" s="18" t="s">
        <v>97</v>
      </c>
      <c r="C1698" s="19"/>
      <c r="D1698" s="19"/>
      <c r="E1698" s="19"/>
      <c r="F1698" s="20"/>
      <c r="G1698" s="18" t="s">
        <v>98</v>
      </c>
      <c r="H1698" s="20"/>
      <c r="I1698" s="18" t="s">
        <v>99</v>
      </c>
      <c r="J1698" s="19"/>
      <c r="K1698" s="20"/>
      <c r="L1698" s="21" t="s">
        <v>100</v>
      </c>
      <c r="M1698" s="22"/>
      <c r="N1698" s="22"/>
      <c r="O1698" s="23"/>
    </row>
    <row r="1699" spans="1:15" ht="22.05" customHeight="1">
      <c r="A1699" s="24" t="s">
        <v>101</v>
      </c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6"/>
    </row>
    <row r="1700" spans="1:15" ht="64.05" customHeight="1">
      <c r="A1700" s="106" t="s">
        <v>0</v>
      </c>
      <c r="B1700" s="107"/>
      <c r="C1700" s="107"/>
      <c r="D1700" s="107"/>
      <c r="E1700" s="107"/>
      <c r="F1700" s="107"/>
      <c r="G1700" s="107"/>
      <c r="H1700" s="107"/>
      <c r="I1700" s="107"/>
      <c r="J1700" s="108"/>
      <c r="K1700" s="109" t="s">
        <v>1</v>
      </c>
      <c r="L1700" s="110"/>
      <c r="M1700" s="110"/>
      <c r="N1700" s="110"/>
      <c r="O1700" s="111"/>
    </row>
    <row r="1701" spans="1:15" ht="23.55" customHeight="1">
      <c r="A1701" s="101" t="s">
        <v>674</v>
      </c>
      <c r="B1701" s="102"/>
      <c r="C1701" s="102"/>
      <c r="D1701" s="102"/>
      <c r="E1701" s="102"/>
      <c r="F1701" s="102"/>
      <c r="G1701" s="102"/>
      <c r="H1701" s="102"/>
      <c r="I1701" s="102"/>
      <c r="J1701" s="102"/>
      <c r="K1701" s="102"/>
      <c r="L1701" s="102"/>
      <c r="M1701" s="102"/>
      <c r="N1701" s="102"/>
      <c r="O1701" s="103"/>
    </row>
    <row r="1702" spans="1:15" ht="20.55" customHeight="1">
      <c r="A1702" s="93"/>
      <c r="B1702" s="93"/>
      <c r="C1702" s="1"/>
      <c r="D1702" s="93"/>
      <c r="E1702" s="93"/>
      <c r="F1702" s="93"/>
      <c r="G1702" s="93"/>
      <c r="H1702" s="93"/>
      <c r="I1702" s="93"/>
      <c r="J1702" s="5"/>
      <c r="K1702" s="36"/>
      <c r="L1702" s="36"/>
      <c r="M1702" s="5"/>
      <c r="N1702" s="5"/>
      <c r="O1702" s="5"/>
    </row>
    <row r="1703" spans="1:15" ht="37.049999999999997" customHeight="1">
      <c r="A1703" s="101" t="s">
        <v>2</v>
      </c>
      <c r="B1703" s="102"/>
      <c r="C1703" s="102"/>
      <c r="D1703" s="102"/>
      <c r="E1703" s="102"/>
      <c r="F1703" s="102"/>
      <c r="G1703" s="102"/>
      <c r="H1703" s="102"/>
      <c r="I1703" s="102"/>
      <c r="J1703" s="102"/>
      <c r="K1703" s="102"/>
      <c r="L1703" s="102"/>
      <c r="M1703" s="102"/>
      <c r="N1703" s="102"/>
      <c r="O1703" s="103"/>
    </row>
    <row r="1704" spans="1:15" ht="21" customHeight="1">
      <c r="A1704" s="37" t="s">
        <v>3</v>
      </c>
      <c r="B1704" s="38"/>
      <c r="C1704" s="39"/>
      <c r="D1704" s="90" t="s">
        <v>4</v>
      </c>
      <c r="E1704" s="91"/>
      <c r="F1704" s="91"/>
      <c r="G1704" s="91"/>
      <c r="H1704" s="91"/>
      <c r="I1704" s="91"/>
      <c r="J1704" s="91"/>
      <c r="K1704" s="91"/>
      <c r="L1704" s="91"/>
      <c r="M1704" s="91"/>
      <c r="N1704" s="91"/>
      <c r="O1704" s="92"/>
    </row>
    <row r="1705" spans="1:15" ht="22.05" customHeight="1">
      <c r="A1705" s="37" t="s">
        <v>5</v>
      </c>
      <c r="B1705" s="38"/>
      <c r="C1705" s="39"/>
      <c r="D1705" s="90" t="s">
        <v>6</v>
      </c>
      <c r="E1705" s="91"/>
      <c r="F1705" s="91"/>
      <c r="G1705" s="91"/>
      <c r="H1705" s="91"/>
      <c r="I1705" s="91"/>
      <c r="J1705" s="91"/>
      <c r="K1705" s="91"/>
      <c r="L1705" s="91"/>
      <c r="M1705" s="91"/>
      <c r="N1705" s="91"/>
      <c r="O1705" s="92"/>
    </row>
    <row r="1706" spans="1:15" ht="22.05" customHeight="1">
      <c r="A1706" s="37" t="s">
        <v>7</v>
      </c>
      <c r="B1706" s="38"/>
      <c r="C1706" s="39"/>
      <c r="D1706" s="90" t="s">
        <v>8</v>
      </c>
      <c r="E1706" s="91"/>
      <c r="F1706" s="91"/>
      <c r="G1706" s="91"/>
      <c r="H1706" s="91"/>
      <c r="I1706" s="91"/>
      <c r="J1706" s="91"/>
      <c r="K1706" s="91"/>
      <c r="L1706" s="91"/>
      <c r="M1706" s="91"/>
      <c r="N1706" s="91"/>
      <c r="O1706" s="92"/>
    </row>
    <row r="1707" spans="1:15" ht="21" customHeight="1">
      <c r="A1707" s="37" t="s">
        <v>9</v>
      </c>
      <c r="B1707" s="38"/>
      <c r="C1707" s="39"/>
      <c r="D1707" s="90" t="s">
        <v>10</v>
      </c>
      <c r="E1707" s="91"/>
      <c r="F1707" s="91"/>
      <c r="G1707" s="91"/>
      <c r="H1707" s="91"/>
      <c r="I1707" s="91"/>
      <c r="J1707" s="91"/>
      <c r="K1707" s="91"/>
      <c r="L1707" s="91"/>
      <c r="M1707" s="91"/>
      <c r="N1707" s="91"/>
      <c r="O1707" s="92"/>
    </row>
    <row r="1708" spans="1:15" ht="22.05" customHeight="1">
      <c r="A1708" s="37" t="s">
        <v>11</v>
      </c>
      <c r="B1708" s="38"/>
      <c r="C1708" s="39"/>
      <c r="D1708" s="90" t="s">
        <v>12</v>
      </c>
      <c r="E1708" s="91"/>
      <c r="F1708" s="91"/>
      <c r="G1708" s="91"/>
      <c r="H1708" s="91"/>
      <c r="I1708" s="91"/>
      <c r="J1708" s="91"/>
      <c r="K1708" s="91"/>
      <c r="L1708" s="91"/>
      <c r="M1708" s="91"/>
      <c r="N1708" s="91"/>
      <c r="O1708" s="92"/>
    </row>
    <row r="1709" spans="1:15" ht="22.05" customHeight="1">
      <c r="A1709" s="37" t="s">
        <v>13</v>
      </c>
      <c r="B1709" s="38"/>
      <c r="C1709" s="39"/>
      <c r="D1709" s="90" t="s">
        <v>519</v>
      </c>
      <c r="E1709" s="91"/>
      <c r="F1709" s="91"/>
      <c r="G1709" s="91"/>
      <c r="H1709" s="91"/>
      <c r="I1709" s="91"/>
      <c r="J1709" s="91"/>
      <c r="K1709" s="91"/>
      <c r="L1709" s="91"/>
      <c r="M1709" s="91"/>
      <c r="N1709" s="91"/>
      <c r="O1709" s="92"/>
    </row>
    <row r="1710" spans="1:15" ht="21" customHeight="1">
      <c r="A1710" s="37" t="s">
        <v>15</v>
      </c>
      <c r="B1710" s="38"/>
      <c r="C1710" s="39"/>
      <c r="D1710" s="90" t="s">
        <v>545</v>
      </c>
      <c r="E1710" s="91"/>
      <c r="F1710" s="91"/>
      <c r="G1710" s="91"/>
      <c r="H1710" s="91"/>
      <c r="I1710" s="91"/>
      <c r="J1710" s="91"/>
      <c r="K1710" s="91"/>
      <c r="L1710" s="91"/>
      <c r="M1710" s="91"/>
      <c r="N1710" s="91"/>
      <c r="O1710" s="92"/>
    </row>
    <row r="1711" spans="1:15" ht="22.05" customHeight="1">
      <c r="A1711" s="37" t="s">
        <v>17</v>
      </c>
      <c r="B1711" s="38"/>
      <c r="C1711" s="39"/>
      <c r="D1711" s="90" t="s">
        <v>10</v>
      </c>
      <c r="E1711" s="91"/>
      <c r="F1711" s="91"/>
      <c r="G1711" s="91"/>
      <c r="H1711" s="91"/>
      <c r="I1711" s="91"/>
      <c r="J1711" s="91"/>
      <c r="K1711" s="91"/>
      <c r="L1711" s="91"/>
      <c r="M1711" s="91"/>
      <c r="N1711" s="91"/>
      <c r="O1711" s="92"/>
    </row>
    <row r="1712" spans="1:15" ht="22.05" customHeight="1">
      <c r="A1712" s="37" t="s">
        <v>18</v>
      </c>
      <c r="B1712" s="38"/>
      <c r="C1712" s="39"/>
      <c r="D1712" s="90" t="s">
        <v>10</v>
      </c>
      <c r="E1712" s="91"/>
      <c r="F1712" s="91"/>
      <c r="G1712" s="91"/>
      <c r="H1712" s="91"/>
      <c r="I1712" s="91"/>
      <c r="J1712" s="91"/>
      <c r="K1712" s="91"/>
      <c r="L1712" s="91"/>
      <c r="M1712" s="91"/>
      <c r="N1712" s="91"/>
      <c r="O1712" s="92"/>
    </row>
    <row r="1713" spans="1:15" ht="22.05" customHeight="1">
      <c r="A1713" s="37" t="s">
        <v>19</v>
      </c>
      <c r="B1713" s="38"/>
      <c r="C1713" s="39"/>
      <c r="D1713" s="90" t="s">
        <v>20</v>
      </c>
      <c r="E1713" s="91"/>
      <c r="F1713" s="91"/>
      <c r="G1713" s="91"/>
      <c r="H1713" s="91"/>
      <c r="I1713" s="91"/>
      <c r="J1713" s="91"/>
      <c r="K1713" s="91"/>
      <c r="L1713" s="91"/>
      <c r="M1713" s="91"/>
      <c r="N1713" s="91"/>
      <c r="O1713" s="92"/>
    </row>
    <row r="1714" spans="1:15" ht="21" customHeight="1">
      <c r="A1714" s="37" t="s">
        <v>21</v>
      </c>
      <c r="B1714" s="38"/>
      <c r="C1714" s="39"/>
      <c r="D1714" s="90" t="s">
        <v>22</v>
      </c>
      <c r="E1714" s="91"/>
      <c r="F1714" s="91"/>
      <c r="G1714" s="91"/>
      <c r="H1714" s="91"/>
      <c r="I1714" s="91"/>
      <c r="J1714" s="91"/>
      <c r="K1714" s="91"/>
      <c r="L1714" s="91"/>
      <c r="M1714" s="91"/>
      <c r="N1714" s="91"/>
      <c r="O1714" s="92"/>
    </row>
    <row r="1715" spans="1:15" ht="22.05" customHeight="1">
      <c r="A1715" s="37" t="s">
        <v>23</v>
      </c>
      <c r="B1715" s="38"/>
      <c r="C1715" s="39"/>
      <c r="D1715" s="90" t="s">
        <v>24</v>
      </c>
      <c r="E1715" s="91"/>
      <c r="F1715" s="91"/>
      <c r="G1715" s="91"/>
      <c r="H1715" s="91"/>
      <c r="I1715" s="91"/>
      <c r="J1715" s="91"/>
      <c r="K1715" s="91"/>
      <c r="L1715" s="91"/>
      <c r="M1715" s="91"/>
      <c r="N1715" s="91"/>
      <c r="O1715" s="92"/>
    </row>
    <row r="1716" spans="1:15" ht="22.05" customHeight="1">
      <c r="A1716" s="37" t="s">
        <v>25</v>
      </c>
      <c r="B1716" s="38"/>
      <c r="C1716" s="39"/>
      <c r="D1716" s="90" t="s">
        <v>26</v>
      </c>
      <c r="E1716" s="91"/>
      <c r="F1716" s="91"/>
      <c r="G1716" s="91"/>
      <c r="H1716" s="91"/>
      <c r="I1716" s="91"/>
      <c r="J1716" s="91"/>
      <c r="K1716" s="91"/>
      <c r="L1716" s="91"/>
      <c r="M1716" s="91"/>
      <c r="N1716" s="91"/>
      <c r="O1716" s="92"/>
    </row>
    <row r="1717" spans="1:15" ht="21" customHeight="1">
      <c r="A1717" s="37" t="s">
        <v>670</v>
      </c>
      <c r="B1717" s="38"/>
      <c r="C1717" s="39"/>
      <c r="D1717" s="90" t="s">
        <v>27</v>
      </c>
      <c r="E1717" s="91"/>
      <c r="F1717" s="91"/>
      <c r="G1717" s="91"/>
      <c r="H1717" s="91"/>
      <c r="I1717" s="91"/>
      <c r="J1717" s="91"/>
      <c r="K1717" s="91"/>
      <c r="L1717" s="91"/>
      <c r="M1717" s="91"/>
      <c r="N1717" s="91"/>
      <c r="O1717" s="92"/>
    </row>
    <row r="1718" spans="1:15" ht="22.05" customHeight="1">
      <c r="A1718" s="37" t="s">
        <v>675</v>
      </c>
      <c r="B1718" s="38"/>
      <c r="C1718" s="39"/>
      <c r="D1718" s="90" t="s">
        <v>546</v>
      </c>
      <c r="E1718" s="91"/>
      <c r="F1718" s="91"/>
      <c r="G1718" s="91"/>
      <c r="H1718" s="91"/>
      <c r="I1718" s="91"/>
      <c r="J1718" s="91"/>
      <c r="K1718" s="91"/>
      <c r="L1718" s="91"/>
      <c r="M1718" s="91"/>
      <c r="N1718" s="91"/>
      <c r="O1718" s="92"/>
    </row>
    <row r="1719" spans="1:15" ht="21.45" customHeight="1">
      <c r="A1719" s="37" t="s">
        <v>676</v>
      </c>
      <c r="B1719" s="38"/>
      <c r="C1719" s="39"/>
      <c r="D1719" s="90" t="s">
        <v>547</v>
      </c>
      <c r="E1719" s="91"/>
      <c r="F1719" s="91"/>
      <c r="G1719" s="91"/>
      <c r="H1719" s="91"/>
      <c r="I1719" s="91"/>
      <c r="J1719" s="91"/>
      <c r="K1719" s="91"/>
      <c r="L1719" s="91"/>
      <c r="M1719" s="91"/>
      <c r="N1719" s="91"/>
      <c r="O1719" s="92"/>
    </row>
    <row r="1720" spans="1:15" ht="20.55" customHeight="1">
      <c r="A1720" s="93"/>
      <c r="B1720" s="93"/>
      <c r="C1720" s="1"/>
      <c r="D1720" s="93"/>
      <c r="E1720" s="93"/>
      <c r="F1720" s="93"/>
      <c r="G1720" s="93"/>
      <c r="H1720" s="93"/>
      <c r="I1720" s="93"/>
      <c r="J1720" s="5"/>
      <c r="K1720" s="36"/>
      <c r="L1720" s="36"/>
      <c r="M1720" s="5"/>
      <c r="N1720" s="5"/>
      <c r="O1720" s="5"/>
    </row>
    <row r="1721" spans="1:15" ht="22.95" customHeight="1">
      <c r="A1721" s="101" t="s">
        <v>29</v>
      </c>
      <c r="B1721" s="102"/>
      <c r="C1721" s="102"/>
      <c r="D1721" s="102"/>
      <c r="E1721" s="102"/>
      <c r="F1721" s="102"/>
      <c r="G1721" s="102"/>
      <c r="H1721" s="102"/>
      <c r="I1721" s="102"/>
      <c r="J1721" s="102"/>
      <c r="K1721" s="102"/>
      <c r="L1721" s="102"/>
      <c r="M1721" s="102"/>
      <c r="N1721" s="102"/>
      <c r="O1721" s="103"/>
    </row>
    <row r="1722" spans="1:15" ht="24" customHeight="1">
      <c r="A1722" s="101" t="s">
        <v>30</v>
      </c>
      <c r="B1722" s="102"/>
      <c r="C1722" s="103"/>
      <c r="D1722" s="101" t="s">
        <v>31</v>
      </c>
      <c r="E1722" s="102"/>
      <c r="F1722" s="102"/>
      <c r="G1722" s="102"/>
      <c r="H1722" s="102"/>
      <c r="I1722" s="102"/>
      <c r="J1722" s="102"/>
      <c r="K1722" s="102"/>
      <c r="L1722" s="102"/>
      <c r="M1722" s="103"/>
      <c r="N1722" s="104" t="s">
        <v>32</v>
      </c>
      <c r="O1722" s="105"/>
    </row>
    <row r="1723" spans="1:15" ht="21" customHeight="1">
      <c r="A1723" s="37" t="s">
        <v>33</v>
      </c>
      <c r="B1723" s="38"/>
      <c r="C1723" s="39"/>
      <c r="D1723" s="37" t="s">
        <v>34</v>
      </c>
      <c r="E1723" s="38"/>
      <c r="F1723" s="38"/>
      <c r="G1723" s="38"/>
      <c r="H1723" s="38"/>
      <c r="I1723" s="38"/>
      <c r="J1723" s="38"/>
      <c r="K1723" s="38"/>
      <c r="L1723" s="38"/>
      <c r="M1723" s="39"/>
      <c r="N1723" s="97" t="s">
        <v>35</v>
      </c>
      <c r="O1723" s="98"/>
    </row>
    <row r="1724" spans="1:15" ht="19.95" customHeight="1">
      <c r="A1724" s="37" t="s">
        <v>36</v>
      </c>
      <c r="B1724" s="38"/>
      <c r="C1724" s="39"/>
      <c r="D1724" s="37" t="s">
        <v>37</v>
      </c>
      <c r="E1724" s="38"/>
      <c r="F1724" s="38"/>
      <c r="G1724" s="38"/>
      <c r="H1724" s="38"/>
      <c r="I1724" s="38"/>
      <c r="J1724" s="38"/>
      <c r="K1724" s="38"/>
      <c r="L1724" s="38"/>
      <c r="M1724" s="39"/>
      <c r="N1724" s="97">
        <v>721876145</v>
      </c>
      <c r="O1724" s="98"/>
    </row>
    <row r="1725" spans="1:15" ht="19.95" customHeight="1">
      <c r="A1725" s="37" t="s">
        <v>38</v>
      </c>
      <c r="B1725" s="38"/>
      <c r="C1725" s="39"/>
      <c r="D1725" s="37" t="s">
        <v>548</v>
      </c>
      <c r="E1725" s="38"/>
      <c r="F1725" s="38"/>
      <c r="G1725" s="38"/>
      <c r="H1725" s="38"/>
      <c r="I1725" s="38"/>
      <c r="J1725" s="38"/>
      <c r="K1725" s="38"/>
      <c r="L1725" s="38"/>
      <c r="M1725" s="39"/>
      <c r="N1725" s="97" t="s">
        <v>136</v>
      </c>
      <c r="O1725" s="98"/>
    </row>
    <row r="1726" spans="1:15" ht="20.55" customHeight="1">
      <c r="A1726" s="37" t="s">
        <v>41</v>
      </c>
      <c r="B1726" s="38"/>
      <c r="C1726" s="39"/>
      <c r="D1726" s="37" t="s">
        <v>524</v>
      </c>
      <c r="E1726" s="38"/>
      <c r="F1726" s="38"/>
      <c r="G1726" s="38"/>
      <c r="H1726" s="38"/>
      <c r="I1726" s="38"/>
      <c r="J1726" s="38"/>
      <c r="K1726" s="38"/>
      <c r="L1726" s="38"/>
      <c r="M1726" s="39"/>
      <c r="N1726" s="99">
        <v>0.94</v>
      </c>
      <c r="O1726" s="100"/>
    </row>
    <row r="1727" spans="1:15" ht="20.55" customHeight="1">
      <c r="A1727" s="93"/>
      <c r="B1727" s="93"/>
      <c r="C1727" s="1"/>
      <c r="D1727" s="93"/>
      <c r="E1727" s="93"/>
      <c r="F1727" s="93"/>
      <c r="G1727" s="93"/>
      <c r="H1727" s="93"/>
      <c r="I1727" s="93"/>
      <c r="J1727" s="5"/>
      <c r="K1727" s="36"/>
      <c r="L1727" s="36"/>
      <c r="M1727" s="5"/>
      <c r="N1727" s="5"/>
      <c r="O1727" s="5"/>
    </row>
    <row r="1728" spans="1:15" ht="37.049999999999997" customHeight="1">
      <c r="A1728" s="101" t="s">
        <v>43</v>
      </c>
      <c r="B1728" s="102"/>
      <c r="C1728" s="102"/>
      <c r="D1728" s="102"/>
      <c r="E1728" s="102"/>
      <c r="F1728" s="102"/>
      <c r="G1728" s="102"/>
      <c r="H1728" s="102"/>
      <c r="I1728" s="102"/>
      <c r="J1728" s="102"/>
      <c r="K1728" s="102"/>
      <c r="L1728" s="102"/>
      <c r="M1728" s="102"/>
      <c r="N1728" s="102"/>
      <c r="O1728" s="103"/>
    </row>
    <row r="1729" spans="1:15" ht="21" customHeight="1">
      <c r="A1729" s="37" t="s">
        <v>15</v>
      </c>
      <c r="B1729" s="38"/>
      <c r="C1729" s="39"/>
      <c r="D1729" s="90" t="s">
        <v>545</v>
      </c>
      <c r="E1729" s="91"/>
      <c r="F1729" s="91"/>
      <c r="G1729" s="91"/>
      <c r="H1729" s="91"/>
      <c r="I1729" s="91"/>
      <c r="J1729" s="91"/>
      <c r="K1729" s="91"/>
      <c r="L1729" s="91"/>
      <c r="M1729" s="91"/>
      <c r="N1729" s="91"/>
      <c r="O1729" s="92"/>
    </row>
    <row r="1730" spans="1:15" ht="19.95" customHeight="1">
      <c r="A1730" s="37" t="s">
        <v>19</v>
      </c>
      <c r="B1730" s="38"/>
      <c r="C1730" s="39"/>
      <c r="D1730" s="90" t="s">
        <v>20</v>
      </c>
      <c r="E1730" s="91"/>
      <c r="F1730" s="91"/>
      <c r="G1730" s="91"/>
      <c r="H1730" s="91"/>
      <c r="I1730" s="91"/>
      <c r="J1730" s="91"/>
      <c r="K1730" s="91"/>
      <c r="L1730" s="91"/>
      <c r="M1730" s="91"/>
      <c r="N1730" s="91"/>
      <c r="O1730" s="92"/>
    </row>
    <row r="1731" spans="1:15" ht="19.95" customHeight="1">
      <c r="A1731" s="37" t="s">
        <v>21</v>
      </c>
      <c r="B1731" s="38"/>
      <c r="C1731" s="39"/>
      <c r="D1731" s="90" t="s">
        <v>44</v>
      </c>
      <c r="E1731" s="91"/>
      <c r="F1731" s="91"/>
      <c r="G1731" s="91"/>
      <c r="H1731" s="91"/>
      <c r="I1731" s="91"/>
      <c r="J1731" s="91"/>
      <c r="K1731" s="91"/>
      <c r="L1731" s="91"/>
      <c r="M1731" s="91"/>
      <c r="N1731" s="91"/>
      <c r="O1731" s="92"/>
    </row>
    <row r="1732" spans="1:15" ht="21" customHeight="1">
      <c r="A1732" s="37" t="s">
        <v>45</v>
      </c>
      <c r="B1732" s="38"/>
      <c r="C1732" s="39"/>
      <c r="D1732" s="90" t="s">
        <v>549</v>
      </c>
      <c r="E1732" s="91"/>
      <c r="F1732" s="91"/>
      <c r="G1732" s="91"/>
      <c r="H1732" s="91"/>
      <c r="I1732" s="91"/>
      <c r="J1732" s="91"/>
      <c r="K1732" s="91"/>
      <c r="L1732" s="91"/>
      <c r="M1732" s="91"/>
      <c r="N1732" s="91"/>
      <c r="O1732" s="92"/>
    </row>
    <row r="1733" spans="1:15" ht="19.95" customHeight="1">
      <c r="A1733" s="37" t="s">
        <v>23</v>
      </c>
      <c r="B1733" s="38"/>
      <c r="C1733" s="39"/>
      <c r="D1733" s="90" t="s">
        <v>24</v>
      </c>
      <c r="E1733" s="91"/>
      <c r="F1733" s="91"/>
      <c r="G1733" s="91"/>
      <c r="H1733" s="91"/>
      <c r="I1733" s="91"/>
      <c r="J1733" s="91"/>
      <c r="K1733" s="91"/>
      <c r="L1733" s="91"/>
      <c r="M1733" s="91"/>
      <c r="N1733" s="91"/>
      <c r="O1733" s="92"/>
    </row>
    <row r="1734" spans="1:15" ht="19.5" customHeight="1">
      <c r="A1734" s="37" t="s">
        <v>47</v>
      </c>
      <c r="B1734" s="38"/>
      <c r="C1734" s="39"/>
      <c r="D1734" s="90" t="s">
        <v>48</v>
      </c>
      <c r="E1734" s="91"/>
      <c r="F1734" s="91"/>
      <c r="G1734" s="91"/>
      <c r="H1734" s="91"/>
      <c r="I1734" s="91"/>
      <c r="J1734" s="91"/>
      <c r="K1734" s="91"/>
      <c r="L1734" s="91"/>
      <c r="M1734" s="91"/>
      <c r="N1734" s="91"/>
      <c r="O1734" s="92"/>
    </row>
    <row r="1735" spans="1:15" ht="20.55" customHeight="1">
      <c r="A1735" s="93"/>
      <c r="B1735" s="93"/>
      <c r="C1735" s="1"/>
      <c r="D1735" s="93"/>
      <c r="E1735" s="93"/>
      <c r="F1735" s="93"/>
      <c r="G1735" s="93"/>
      <c r="H1735" s="93"/>
      <c r="I1735" s="93"/>
      <c r="J1735" s="5"/>
      <c r="K1735" s="36"/>
      <c r="L1735" s="36"/>
      <c r="M1735" s="5"/>
      <c r="N1735" s="5"/>
      <c r="O1735" s="5"/>
    </row>
    <row r="1736" spans="1:15" ht="37.950000000000003" customHeight="1">
      <c r="A1736" s="87" t="s">
        <v>49</v>
      </c>
      <c r="B1736" s="88"/>
      <c r="C1736" s="88"/>
      <c r="D1736" s="88"/>
      <c r="E1736" s="88"/>
      <c r="F1736" s="88"/>
      <c r="G1736" s="88"/>
      <c r="H1736" s="88"/>
      <c r="I1736" s="88"/>
      <c r="J1736" s="88"/>
      <c r="K1736" s="88"/>
      <c r="L1736" s="88"/>
      <c r="M1736" s="88"/>
      <c r="N1736" s="88"/>
      <c r="O1736" s="89"/>
    </row>
    <row r="1737" spans="1:15" ht="19.95" customHeight="1">
      <c r="A1737" s="61" t="s">
        <v>50</v>
      </c>
      <c r="B1737" s="62"/>
      <c r="C1737" s="65" t="s">
        <v>51</v>
      </c>
      <c r="D1737" s="66"/>
      <c r="E1737" s="67"/>
      <c r="F1737" s="71" t="s">
        <v>52</v>
      </c>
      <c r="G1737" s="72"/>
      <c r="H1737" s="72"/>
      <c r="I1737" s="72"/>
      <c r="J1737" s="72"/>
      <c r="K1737" s="72"/>
      <c r="L1737" s="72"/>
      <c r="M1737" s="72"/>
      <c r="N1737" s="73"/>
      <c r="O1737" s="74" t="s">
        <v>53</v>
      </c>
    </row>
    <row r="1738" spans="1:15" ht="21" customHeight="1">
      <c r="A1738" s="63"/>
      <c r="B1738" s="64"/>
      <c r="C1738" s="68"/>
      <c r="D1738" s="69"/>
      <c r="E1738" s="70"/>
      <c r="F1738" s="76" t="s">
        <v>54</v>
      </c>
      <c r="G1738" s="77"/>
      <c r="H1738" s="71" t="s">
        <v>55</v>
      </c>
      <c r="I1738" s="73"/>
      <c r="J1738" s="94" t="s">
        <v>56</v>
      </c>
      <c r="K1738" s="95"/>
      <c r="L1738" s="96"/>
      <c r="M1738" s="80" t="s">
        <v>57</v>
      </c>
      <c r="N1738" s="82"/>
      <c r="O1738" s="75"/>
    </row>
    <row r="1739" spans="1:15" ht="30" customHeight="1">
      <c r="A1739" s="83">
        <v>5</v>
      </c>
      <c r="B1739" s="84"/>
      <c r="C1739" s="46" t="s">
        <v>58</v>
      </c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8"/>
      <c r="O1739" s="13">
        <v>721876145</v>
      </c>
    </row>
    <row r="1740" spans="1:15" ht="31.05" customHeight="1">
      <c r="A1740" s="46" t="s">
        <v>59</v>
      </c>
      <c r="B1740" s="48"/>
      <c r="C1740" s="46" t="s">
        <v>60</v>
      </c>
      <c r="D1740" s="47"/>
      <c r="E1740" s="47"/>
      <c r="F1740" s="47"/>
      <c r="G1740" s="47"/>
      <c r="H1740" s="47"/>
      <c r="I1740" s="47"/>
      <c r="J1740" s="47"/>
      <c r="K1740" s="47"/>
      <c r="L1740" s="47"/>
      <c r="M1740" s="47"/>
      <c r="N1740" s="48"/>
      <c r="O1740" s="13">
        <v>721876145</v>
      </c>
    </row>
    <row r="1741" spans="1:15" ht="31.05" customHeight="1">
      <c r="A1741" s="85">
        <v>37377</v>
      </c>
      <c r="B1741" s="86"/>
      <c r="C1741" s="46" t="s">
        <v>61</v>
      </c>
      <c r="D1741" s="47"/>
      <c r="E1741" s="47"/>
      <c r="F1741" s="47"/>
      <c r="G1741" s="47"/>
      <c r="H1741" s="47"/>
      <c r="I1741" s="47"/>
      <c r="J1741" s="47"/>
      <c r="K1741" s="47"/>
      <c r="L1741" s="47"/>
      <c r="M1741" s="47"/>
      <c r="N1741" s="48"/>
      <c r="O1741" s="13">
        <v>721876145</v>
      </c>
    </row>
    <row r="1742" spans="1:15" ht="30" customHeight="1">
      <c r="A1742" s="46" t="s">
        <v>62</v>
      </c>
      <c r="B1742" s="48"/>
      <c r="C1742" s="46" t="s">
        <v>63</v>
      </c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8"/>
      <c r="O1742" s="13">
        <v>102630000</v>
      </c>
    </row>
    <row r="1743" spans="1:15" ht="31.05" customHeight="1">
      <c r="A1743" s="46" t="s">
        <v>64</v>
      </c>
      <c r="B1743" s="48"/>
      <c r="C1743" s="46" t="s">
        <v>65</v>
      </c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8"/>
      <c r="O1743" s="13">
        <v>102630000</v>
      </c>
    </row>
    <row r="1744" spans="1:15" ht="30.75" customHeight="1">
      <c r="A1744" s="30" t="s">
        <v>83</v>
      </c>
      <c r="B1744" s="32"/>
      <c r="C1744" s="46" t="s">
        <v>84</v>
      </c>
      <c r="D1744" s="47"/>
      <c r="E1744" s="47"/>
      <c r="F1744" s="47"/>
      <c r="G1744" s="47"/>
      <c r="H1744" s="47"/>
      <c r="I1744" s="47"/>
      <c r="J1744" s="47"/>
      <c r="K1744" s="47"/>
      <c r="L1744" s="47"/>
      <c r="M1744" s="47"/>
      <c r="N1744" s="48"/>
      <c r="O1744" s="13">
        <v>102630000</v>
      </c>
    </row>
    <row r="1745" spans="1:15" ht="37.950000000000003" customHeight="1">
      <c r="A1745" s="87" t="s">
        <v>49</v>
      </c>
      <c r="B1745" s="88"/>
      <c r="C1745" s="88"/>
      <c r="D1745" s="88"/>
      <c r="E1745" s="88"/>
      <c r="F1745" s="88"/>
      <c r="G1745" s="88"/>
      <c r="H1745" s="88"/>
      <c r="I1745" s="88"/>
      <c r="J1745" s="88"/>
      <c r="K1745" s="88"/>
      <c r="L1745" s="88"/>
      <c r="M1745" s="88"/>
      <c r="N1745" s="88"/>
      <c r="O1745" s="89"/>
    </row>
    <row r="1746" spans="1:15" ht="19.95" customHeight="1">
      <c r="A1746" s="61" t="s">
        <v>50</v>
      </c>
      <c r="B1746" s="62"/>
      <c r="C1746" s="65" t="s">
        <v>51</v>
      </c>
      <c r="D1746" s="66"/>
      <c r="E1746" s="67"/>
      <c r="F1746" s="71" t="s">
        <v>52</v>
      </c>
      <c r="G1746" s="72"/>
      <c r="H1746" s="72"/>
      <c r="I1746" s="72"/>
      <c r="J1746" s="72"/>
      <c r="K1746" s="72"/>
      <c r="L1746" s="72"/>
      <c r="M1746" s="72"/>
      <c r="N1746" s="73"/>
      <c r="O1746" s="74" t="s">
        <v>53</v>
      </c>
    </row>
    <row r="1747" spans="1:15" ht="21" customHeight="1">
      <c r="A1747" s="63"/>
      <c r="B1747" s="64"/>
      <c r="C1747" s="68"/>
      <c r="D1747" s="69"/>
      <c r="E1747" s="70"/>
      <c r="F1747" s="76" t="s">
        <v>54</v>
      </c>
      <c r="G1747" s="77"/>
      <c r="H1747" s="71" t="s">
        <v>55</v>
      </c>
      <c r="I1747" s="73"/>
      <c r="J1747" s="94" t="s">
        <v>56</v>
      </c>
      <c r="K1747" s="95"/>
      <c r="L1747" s="96"/>
      <c r="M1747" s="80" t="s">
        <v>57</v>
      </c>
      <c r="N1747" s="82"/>
      <c r="O1747" s="75"/>
    </row>
    <row r="1748" spans="1:15" ht="30" customHeight="1">
      <c r="A1748" s="40"/>
      <c r="B1748" s="42"/>
      <c r="C1748" s="30" t="s">
        <v>85</v>
      </c>
      <c r="D1748" s="31"/>
      <c r="E1748" s="31"/>
      <c r="F1748" s="31"/>
      <c r="G1748" s="31"/>
      <c r="H1748" s="31"/>
      <c r="I1748" s="31"/>
      <c r="J1748" s="31"/>
      <c r="K1748" s="31"/>
      <c r="L1748" s="31"/>
      <c r="M1748" s="31"/>
      <c r="N1748" s="32"/>
      <c r="O1748" s="13">
        <v>102630000</v>
      </c>
    </row>
    <row r="1749" spans="1:15" ht="21" customHeight="1">
      <c r="A1749" s="40"/>
      <c r="B1749" s="42"/>
      <c r="C1749" s="46" t="s">
        <v>550</v>
      </c>
      <c r="D1749" s="47"/>
      <c r="E1749" s="47"/>
      <c r="F1749" s="47"/>
      <c r="G1749" s="47"/>
      <c r="H1749" s="47"/>
      <c r="I1749" s="47"/>
      <c r="J1749" s="47"/>
      <c r="K1749" s="47"/>
      <c r="L1749" s="47"/>
      <c r="M1749" s="47"/>
      <c r="N1749" s="48"/>
      <c r="O1749" s="6">
        <v>56430000</v>
      </c>
    </row>
    <row r="1750" spans="1:15" ht="70.95" customHeight="1">
      <c r="A1750" s="30"/>
      <c r="B1750" s="32"/>
      <c r="C1750" s="49" t="s">
        <v>86</v>
      </c>
      <c r="D1750" s="50"/>
      <c r="E1750" s="51"/>
      <c r="F1750" s="52">
        <v>1140</v>
      </c>
      <c r="G1750" s="53"/>
      <c r="H1750" s="54" t="s">
        <v>87</v>
      </c>
      <c r="I1750" s="55"/>
      <c r="J1750" s="56">
        <v>33000</v>
      </c>
      <c r="K1750" s="119"/>
      <c r="L1750" s="57"/>
      <c r="M1750" s="56">
        <v>0</v>
      </c>
      <c r="N1750" s="57"/>
      <c r="O1750" s="9">
        <v>37620000</v>
      </c>
    </row>
    <row r="1751" spans="1:15" ht="70.05" customHeight="1">
      <c r="A1751" s="30"/>
      <c r="B1751" s="32"/>
      <c r="C1751" s="49" t="s">
        <v>88</v>
      </c>
      <c r="D1751" s="50"/>
      <c r="E1751" s="51"/>
      <c r="F1751" s="52">
        <v>1140</v>
      </c>
      <c r="G1751" s="53"/>
      <c r="H1751" s="54" t="s">
        <v>87</v>
      </c>
      <c r="I1751" s="55"/>
      <c r="J1751" s="56">
        <v>16500</v>
      </c>
      <c r="K1751" s="119"/>
      <c r="L1751" s="57"/>
      <c r="M1751" s="56">
        <v>0</v>
      </c>
      <c r="N1751" s="57"/>
      <c r="O1751" s="9">
        <v>18810000</v>
      </c>
    </row>
    <row r="1752" spans="1:15" ht="21" customHeight="1">
      <c r="A1752" s="40"/>
      <c r="B1752" s="42"/>
      <c r="C1752" s="46" t="s">
        <v>551</v>
      </c>
      <c r="D1752" s="47"/>
      <c r="E1752" s="47"/>
      <c r="F1752" s="47"/>
      <c r="G1752" s="47"/>
      <c r="H1752" s="47"/>
      <c r="I1752" s="47"/>
      <c r="J1752" s="47"/>
      <c r="K1752" s="47"/>
      <c r="L1752" s="47"/>
      <c r="M1752" s="47"/>
      <c r="N1752" s="48"/>
      <c r="O1752" s="6">
        <v>26400000</v>
      </c>
    </row>
    <row r="1753" spans="1:15" ht="70.05" customHeight="1">
      <c r="A1753" s="30"/>
      <c r="B1753" s="32"/>
      <c r="C1753" s="49" t="s">
        <v>88</v>
      </c>
      <c r="D1753" s="50"/>
      <c r="E1753" s="51"/>
      <c r="F1753" s="52">
        <v>1200</v>
      </c>
      <c r="G1753" s="53"/>
      <c r="H1753" s="54" t="s">
        <v>87</v>
      </c>
      <c r="I1753" s="55"/>
      <c r="J1753" s="56">
        <v>16500</v>
      </c>
      <c r="K1753" s="119"/>
      <c r="L1753" s="57"/>
      <c r="M1753" s="56">
        <v>0</v>
      </c>
      <c r="N1753" s="57"/>
      <c r="O1753" s="9">
        <v>19800000</v>
      </c>
    </row>
    <row r="1754" spans="1:15" ht="70.95" customHeight="1">
      <c r="A1754" s="30"/>
      <c r="B1754" s="32"/>
      <c r="C1754" s="49" t="s">
        <v>86</v>
      </c>
      <c r="D1754" s="50"/>
      <c r="E1754" s="51"/>
      <c r="F1754" s="52">
        <v>200</v>
      </c>
      <c r="G1754" s="53"/>
      <c r="H1754" s="54" t="s">
        <v>87</v>
      </c>
      <c r="I1754" s="55"/>
      <c r="J1754" s="56">
        <v>33000</v>
      </c>
      <c r="K1754" s="119"/>
      <c r="L1754" s="57"/>
      <c r="M1754" s="56">
        <v>0</v>
      </c>
      <c r="N1754" s="57"/>
      <c r="O1754" s="9">
        <v>6600000</v>
      </c>
    </row>
    <row r="1755" spans="1:15" ht="19.95" customHeight="1">
      <c r="A1755" s="40"/>
      <c r="B1755" s="42"/>
      <c r="C1755" s="46" t="s">
        <v>552</v>
      </c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8"/>
      <c r="O1755" s="6">
        <v>19800000</v>
      </c>
    </row>
    <row r="1756" spans="1:15" ht="70.95" customHeight="1">
      <c r="A1756" s="30"/>
      <c r="B1756" s="32"/>
      <c r="C1756" s="49" t="s">
        <v>88</v>
      </c>
      <c r="D1756" s="50"/>
      <c r="E1756" s="51"/>
      <c r="F1756" s="52">
        <v>1200</v>
      </c>
      <c r="G1756" s="53"/>
      <c r="H1756" s="54" t="s">
        <v>87</v>
      </c>
      <c r="I1756" s="55"/>
      <c r="J1756" s="56">
        <v>16500</v>
      </c>
      <c r="K1756" s="119"/>
      <c r="L1756" s="57"/>
      <c r="M1756" s="56">
        <v>0</v>
      </c>
      <c r="N1756" s="57"/>
      <c r="O1756" s="9">
        <v>19800000</v>
      </c>
    </row>
    <row r="1757" spans="1:15" ht="31.05" customHeight="1">
      <c r="A1757" s="46" t="s">
        <v>138</v>
      </c>
      <c r="B1757" s="48"/>
      <c r="C1757" s="46" t="s">
        <v>139</v>
      </c>
      <c r="D1757" s="47"/>
      <c r="E1757" s="47"/>
      <c r="F1757" s="47"/>
      <c r="G1757" s="47"/>
      <c r="H1757" s="47"/>
      <c r="I1757" s="47"/>
      <c r="J1757" s="47"/>
      <c r="K1757" s="47"/>
      <c r="L1757" s="47"/>
      <c r="M1757" s="47"/>
      <c r="N1757" s="48"/>
      <c r="O1757" s="13">
        <v>619246145</v>
      </c>
    </row>
    <row r="1758" spans="1:15" ht="31.05" customHeight="1">
      <c r="A1758" s="46" t="s">
        <v>140</v>
      </c>
      <c r="B1758" s="48"/>
      <c r="C1758" s="46" t="s">
        <v>141</v>
      </c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8"/>
      <c r="O1758" s="13">
        <v>556450000</v>
      </c>
    </row>
    <row r="1759" spans="1:15" ht="30" customHeight="1">
      <c r="A1759" s="30" t="s">
        <v>553</v>
      </c>
      <c r="B1759" s="32"/>
      <c r="C1759" s="46" t="s">
        <v>554</v>
      </c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8"/>
      <c r="O1759" s="6">
        <v>5200000</v>
      </c>
    </row>
    <row r="1760" spans="1:15" ht="31.05" customHeight="1">
      <c r="A1760" s="40"/>
      <c r="B1760" s="42"/>
      <c r="C1760" s="30" t="s">
        <v>555</v>
      </c>
      <c r="D1760" s="31"/>
      <c r="E1760" s="31"/>
      <c r="F1760" s="31"/>
      <c r="G1760" s="31"/>
      <c r="H1760" s="31"/>
      <c r="I1760" s="31"/>
      <c r="J1760" s="31"/>
      <c r="K1760" s="31"/>
      <c r="L1760" s="31"/>
      <c r="M1760" s="31"/>
      <c r="N1760" s="32"/>
      <c r="O1760" s="6">
        <v>5200000</v>
      </c>
    </row>
    <row r="1761" spans="1:15" ht="19.95" customHeight="1">
      <c r="A1761" s="40"/>
      <c r="B1761" s="42"/>
      <c r="C1761" s="46" t="s">
        <v>69</v>
      </c>
      <c r="D1761" s="47"/>
      <c r="E1761" s="47"/>
      <c r="F1761" s="47"/>
      <c r="G1761" s="47"/>
      <c r="H1761" s="47"/>
      <c r="I1761" s="47"/>
      <c r="J1761" s="47"/>
      <c r="K1761" s="47"/>
      <c r="L1761" s="47"/>
      <c r="M1761" s="47"/>
      <c r="N1761" s="48"/>
      <c r="O1761" s="6">
        <v>5200000</v>
      </c>
    </row>
    <row r="1762" spans="1:15" ht="70.95" customHeight="1">
      <c r="A1762" s="30"/>
      <c r="B1762" s="32"/>
      <c r="C1762" s="49" t="s">
        <v>556</v>
      </c>
      <c r="D1762" s="50"/>
      <c r="E1762" s="51"/>
      <c r="F1762" s="52">
        <v>13</v>
      </c>
      <c r="G1762" s="53"/>
      <c r="H1762" s="54" t="s">
        <v>557</v>
      </c>
      <c r="I1762" s="55"/>
      <c r="J1762" s="56">
        <v>400000</v>
      </c>
      <c r="K1762" s="119"/>
      <c r="L1762" s="57"/>
      <c r="M1762" s="56">
        <v>0</v>
      </c>
      <c r="N1762" s="57"/>
      <c r="O1762" s="9">
        <v>5200000</v>
      </c>
    </row>
    <row r="1763" spans="1:15" ht="31.05" customHeight="1">
      <c r="A1763" s="30" t="s">
        <v>558</v>
      </c>
      <c r="B1763" s="32"/>
      <c r="C1763" s="46" t="s">
        <v>559</v>
      </c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8"/>
      <c r="O1763" s="6">
        <v>40800000</v>
      </c>
    </row>
    <row r="1764" spans="1:15" ht="30" customHeight="1">
      <c r="A1764" s="40"/>
      <c r="B1764" s="42"/>
      <c r="C1764" s="30" t="s">
        <v>560</v>
      </c>
      <c r="D1764" s="31"/>
      <c r="E1764" s="31"/>
      <c r="F1764" s="31"/>
      <c r="G1764" s="31"/>
      <c r="H1764" s="31"/>
      <c r="I1764" s="31"/>
      <c r="J1764" s="31"/>
      <c r="K1764" s="31"/>
      <c r="L1764" s="31"/>
      <c r="M1764" s="31"/>
      <c r="N1764" s="32"/>
      <c r="O1764" s="6">
        <v>40800000</v>
      </c>
    </row>
    <row r="1765" spans="1:15" ht="21" customHeight="1">
      <c r="A1765" s="40"/>
      <c r="B1765" s="42"/>
      <c r="C1765" s="46" t="s">
        <v>69</v>
      </c>
      <c r="D1765" s="47"/>
      <c r="E1765" s="47"/>
      <c r="F1765" s="47"/>
      <c r="G1765" s="47"/>
      <c r="H1765" s="47"/>
      <c r="I1765" s="47"/>
      <c r="J1765" s="47"/>
      <c r="K1765" s="47"/>
      <c r="L1765" s="47"/>
      <c r="M1765" s="47"/>
      <c r="N1765" s="48"/>
      <c r="O1765" s="6">
        <v>40800000</v>
      </c>
    </row>
    <row r="1766" spans="1:15" ht="60" customHeight="1">
      <c r="A1766" s="30"/>
      <c r="B1766" s="32"/>
      <c r="C1766" s="49" t="s">
        <v>561</v>
      </c>
      <c r="D1766" s="50"/>
      <c r="E1766" s="51"/>
      <c r="F1766" s="54" t="s">
        <v>483</v>
      </c>
      <c r="G1766" s="55"/>
      <c r="H1766" s="54" t="s">
        <v>154</v>
      </c>
      <c r="I1766" s="55"/>
      <c r="J1766" s="56">
        <v>1700000</v>
      </c>
      <c r="K1766" s="119"/>
      <c r="L1766" s="57"/>
      <c r="M1766" s="56">
        <v>0</v>
      </c>
      <c r="N1766" s="57"/>
      <c r="O1766" s="9">
        <v>40800000</v>
      </c>
    </row>
    <row r="1767" spans="1:15" ht="31.05" customHeight="1">
      <c r="A1767" s="30" t="s">
        <v>562</v>
      </c>
      <c r="B1767" s="32"/>
      <c r="C1767" s="46" t="s">
        <v>563</v>
      </c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8"/>
      <c r="O1767" s="6">
        <v>96000000</v>
      </c>
    </row>
    <row r="1768" spans="1:15" ht="31.05" customHeight="1">
      <c r="A1768" s="40"/>
      <c r="B1768" s="42"/>
      <c r="C1768" s="30" t="s">
        <v>564</v>
      </c>
      <c r="D1768" s="31"/>
      <c r="E1768" s="31"/>
      <c r="F1768" s="31"/>
      <c r="G1768" s="31"/>
      <c r="H1768" s="31"/>
      <c r="I1768" s="31"/>
      <c r="J1768" s="31"/>
      <c r="K1768" s="31"/>
      <c r="L1768" s="31"/>
      <c r="M1768" s="31"/>
      <c r="N1768" s="32"/>
      <c r="O1768" s="6">
        <v>96000000</v>
      </c>
    </row>
    <row r="1769" spans="1:15" ht="19.95" customHeight="1">
      <c r="A1769" s="40"/>
      <c r="B1769" s="42"/>
      <c r="C1769" s="46" t="s">
        <v>69</v>
      </c>
      <c r="D1769" s="47"/>
      <c r="E1769" s="47"/>
      <c r="F1769" s="47"/>
      <c r="G1769" s="47"/>
      <c r="H1769" s="47"/>
      <c r="I1769" s="47"/>
      <c r="J1769" s="47"/>
      <c r="K1769" s="47"/>
      <c r="L1769" s="47"/>
      <c r="M1769" s="47"/>
      <c r="N1769" s="48"/>
      <c r="O1769" s="6">
        <v>96000000</v>
      </c>
    </row>
    <row r="1770" spans="1:15" ht="60" customHeight="1">
      <c r="A1770" s="30"/>
      <c r="B1770" s="32"/>
      <c r="C1770" s="49" t="s">
        <v>565</v>
      </c>
      <c r="D1770" s="50"/>
      <c r="E1770" s="51"/>
      <c r="F1770" s="54" t="s">
        <v>484</v>
      </c>
      <c r="G1770" s="55"/>
      <c r="H1770" s="54" t="s">
        <v>154</v>
      </c>
      <c r="I1770" s="55"/>
      <c r="J1770" s="56">
        <v>2000000</v>
      </c>
      <c r="K1770" s="119"/>
      <c r="L1770" s="57"/>
      <c r="M1770" s="56">
        <v>0</v>
      </c>
      <c r="N1770" s="57"/>
      <c r="O1770" s="9">
        <v>96000000</v>
      </c>
    </row>
    <row r="1771" spans="1:15" ht="31.05" customHeight="1">
      <c r="A1771" s="30" t="s">
        <v>566</v>
      </c>
      <c r="B1771" s="32"/>
      <c r="C1771" s="46" t="s">
        <v>567</v>
      </c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8"/>
      <c r="O1771" s="6">
        <v>35250000</v>
      </c>
    </row>
    <row r="1772" spans="1:15" ht="31.05" customHeight="1">
      <c r="A1772" s="40"/>
      <c r="B1772" s="42"/>
      <c r="C1772" s="30" t="s">
        <v>568</v>
      </c>
      <c r="D1772" s="31"/>
      <c r="E1772" s="31"/>
      <c r="F1772" s="31"/>
      <c r="G1772" s="31"/>
      <c r="H1772" s="31"/>
      <c r="I1772" s="31"/>
      <c r="J1772" s="31"/>
      <c r="K1772" s="31"/>
      <c r="L1772" s="31"/>
      <c r="M1772" s="31"/>
      <c r="N1772" s="32"/>
      <c r="O1772" s="6">
        <v>35250000</v>
      </c>
    </row>
    <row r="1773" spans="1:15" ht="19.95" customHeight="1">
      <c r="A1773" s="40"/>
      <c r="B1773" s="42"/>
      <c r="C1773" s="46" t="s">
        <v>69</v>
      </c>
      <c r="D1773" s="47"/>
      <c r="E1773" s="47"/>
      <c r="F1773" s="47"/>
      <c r="G1773" s="47"/>
      <c r="H1773" s="47"/>
      <c r="I1773" s="47"/>
      <c r="J1773" s="47"/>
      <c r="K1773" s="47"/>
      <c r="L1773" s="47"/>
      <c r="M1773" s="47"/>
      <c r="N1773" s="48"/>
      <c r="O1773" s="6">
        <v>35250000</v>
      </c>
    </row>
    <row r="1774" spans="1:15" ht="37.950000000000003" customHeight="1">
      <c r="A1774" s="87" t="s">
        <v>49</v>
      </c>
      <c r="B1774" s="88"/>
      <c r="C1774" s="88"/>
      <c r="D1774" s="88"/>
      <c r="E1774" s="88"/>
      <c r="F1774" s="88"/>
      <c r="G1774" s="88"/>
      <c r="H1774" s="88"/>
      <c r="I1774" s="88"/>
      <c r="J1774" s="88"/>
      <c r="K1774" s="88"/>
      <c r="L1774" s="88"/>
      <c r="M1774" s="88"/>
      <c r="N1774" s="88"/>
      <c r="O1774" s="89"/>
    </row>
    <row r="1775" spans="1:15" ht="19.95" customHeight="1">
      <c r="A1775" s="61" t="s">
        <v>50</v>
      </c>
      <c r="B1775" s="62"/>
      <c r="C1775" s="65" t="s">
        <v>51</v>
      </c>
      <c r="D1775" s="66"/>
      <c r="E1775" s="67"/>
      <c r="F1775" s="71" t="s">
        <v>52</v>
      </c>
      <c r="G1775" s="72"/>
      <c r="H1775" s="72"/>
      <c r="I1775" s="72"/>
      <c r="J1775" s="72"/>
      <c r="K1775" s="72"/>
      <c r="L1775" s="72"/>
      <c r="M1775" s="72"/>
      <c r="N1775" s="73"/>
      <c r="O1775" s="74" t="s">
        <v>53</v>
      </c>
    </row>
    <row r="1776" spans="1:15" ht="21" customHeight="1">
      <c r="A1776" s="63"/>
      <c r="B1776" s="64"/>
      <c r="C1776" s="68"/>
      <c r="D1776" s="69"/>
      <c r="E1776" s="70"/>
      <c r="F1776" s="76" t="s">
        <v>54</v>
      </c>
      <c r="G1776" s="77"/>
      <c r="H1776" s="71" t="s">
        <v>55</v>
      </c>
      <c r="I1776" s="73"/>
      <c r="J1776" s="94" t="s">
        <v>56</v>
      </c>
      <c r="K1776" s="95"/>
      <c r="L1776" s="96"/>
      <c r="M1776" s="80" t="s">
        <v>57</v>
      </c>
      <c r="N1776" s="82"/>
      <c r="O1776" s="75"/>
    </row>
    <row r="1777" spans="1:15" ht="70.05" customHeight="1">
      <c r="A1777" s="30"/>
      <c r="B1777" s="32"/>
      <c r="C1777" s="49" t="s">
        <v>569</v>
      </c>
      <c r="D1777" s="50"/>
      <c r="E1777" s="51"/>
      <c r="F1777" s="54" t="s">
        <v>570</v>
      </c>
      <c r="G1777" s="55"/>
      <c r="H1777" s="54" t="s">
        <v>571</v>
      </c>
      <c r="I1777" s="55"/>
      <c r="J1777" s="56">
        <v>117500</v>
      </c>
      <c r="K1777" s="119"/>
      <c r="L1777" s="57"/>
      <c r="M1777" s="56">
        <v>0</v>
      </c>
      <c r="N1777" s="57"/>
      <c r="O1777" s="7">
        <v>35250000</v>
      </c>
    </row>
    <row r="1778" spans="1:15" ht="31.05" customHeight="1">
      <c r="A1778" s="30" t="s">
        <v>572</v>
      </c>
      <c r="B1778" s="32"/>
      <c r="C1778" s="46" t="s">
        <v>573</v>
      </c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8"/>
      <c r="O1778" s="8">
        <v>0</v>
      </c>
    </row>
    <row r="1779" spans="1:15" ht="31.05" customHeight="1">
      <c r="A1779" s="40"/>
      <c r="B1779" s="42"/>
      <c r="C1779" s="30" t="s">
        <v>574</v>
      </c>
      <c r="D1779" s="31"/>
      <c r="E1779" s="31"/>
      <c r="F1779" s="31"/>
      <c r="G1779" s="31"/>
      <c r="H1779" s="31"/>
      <c r="I1779" s="31"/>
      <c r="J1779" s="31"/>
      <c r="K1779" s="31"/>
      <c r="L1779" s="31"/>
      <c r="M1779" s="31"/>
      <c r="N1779" s="32"/>
      <c r="O1779" s="8">
        <v>0</v>
      </c>
    </row>
    <row r="1780" spans="1:15" ht="19.95" customHeight="1">
      <c r="A1780" s="40"/>
      <c r="B1780" s="42"/>
      <c r="C1780" s="46" t="s">
        <v>69</v>
      </c>
      <c r="D1780" s="47"/>
      <c r="E1780" s="47"/>
      <c r="F1780" s="47"/>
      <c r="G1780" s="47"/>
      <c r="H1780" s="47"/>
      <c r="I1780" s="47"/>
      <c r="J1780" s="47"/>
      <c r="K1780" s="47"/>
      <c r="L1780" s="47"/>
      <c r="M1780" s="47"/>
      <c r="N1780" s="48"/>
      <c r="O1780" s="8">
        <v>0</v>
      </c>
    </row>
    <row r="1781" spans="1:15" ht="81" customHeight="1">
      <c r="A1781" s="30"/>
      <c r="B1781" s="32"/>
      <c r="C1781" s="49" t="s">
        <v>575</v>
      </c>
      <c r="D1781" s="50"/>
      <c r="E1781" s="51"/>
      <c r="F1781" s="54" t="s">
        <v>334</v>
      </c>
      <c r="G1781" s="55"/>
      <c r="H1781" s="54" t="s">
        <v>185</v>
      </c>
      <c r="I1781" s="55"/>
      <c r="J1781" s="56">
        <v>50000000</v>
      </c>
      <c r="K1781" s="119"/>
      <c r="L1781" s="57"/>
      <c r="M1781" s="56">
        <v>0</v>
      </c>
      <c r="N1781" s="57"/>
      <c r="O1781" s="7">
        <v>0</v>
      </c>
    </row>
    <row r="1782" spans="1:15" ht="81" customHeight="1">
      <c r="A1782" s="30"/>
      <c r="B1782" s="32"/>
      <c r="C1782" s="49" t="s">
        <v>576</v>
      </c>
      <c r="D1782" s="50"/>
      <c r="E1782" s="51"/>
      <c r="F1782" s="54" t="s">
        <v>334</v>
      </c>
      <c r="G1782" s="55"/>
      <c r="H1782" s="54" t="s">
        <v>185</v>
      </c>
      <c r="I1782" s="55"/>
      <c r="J1782" s="56">
        <v>25000000</v>
      </c>
      <c r="K1782" s="119"/>
      <c r="L1782" s="57"/>
      <c r="M1782" s="56">
        <v>0</v>
      </c>
      <c r="N1782" s="57"/>
      <c r="O1782" s="7">
        <v>0</v>
      </c>
    </row>
    <row r="1783" spans="1:15" ht="31.05" customHeight="1">
      <c r="A1783" s="30" t="s">
        <v>142</v>
      </c>
      <c r="B1783" s="32"/>
      <c r="C1783" s="46" t="s">
        <v>143</v>
      </c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8"/>
      <c r="O1783" s="13">
        <v>379200000</v>
      </c>
    </row>
    <row r="1784" spans="1:15" ht="31.05" customHeight="1">
      <c r="A1784" s="40"/>
      <c r="B1784" s="42"/>
      <c r="C1784" s="30" t="s">
        <v>564</v>
      </c>
      <c r="D1784" s="31"/>
      <c r="E1784" s="31"/>
      <c r="F1784" s="31"/>
      <c r="G1784" s="31"/>
      <c r="H1784" s="31"/>
      <c r="I1784" s="31"/>
      <c r="J1784" s="31"/>
      <c r="K1784" s="31"/>
      <c r="L1784" s="31"/>
      <c r="M1784" s="31"/>
      <c r="N1784" s="32"/>
      <c r="O1784" s="13">
        <v>175200000</v>
      </c>
    </row>
    <row r="1785" spans="1:15" ht="31.05" customHeight="1">
      <c r="A1785" s="40"/>
      <c r="B1785" s="42"/>
      <c r="C1785" s="46" t="s">
        <v>577</v>
      </c>
      <c r="D1785" s="47"/>
      <c r="E1785" s="47"/>
      <c r="F1785" s="47"/>
      <c r="G1785" s="47"/>
      <c r="H1785" s="47"/>
      <c r="I1785" s="47"/>
      <c r="J1785" s="47"/>
      <c r="K1785" s="47"/>
      <c r="L1785" s="47"/>
      <c r="M1785" s="47"/>
      <c r="N1785" s="48"/>
      <c r="O1785" s="13">
        <v>175200000</v>
      </c>
    </row>
    <row r="1786" spans="1:15" ht="81" customHeight="1">
      <c r="A1786" s="30"/>
      <c r="B1786" s="32"/>
      <c r="C1786" s="49" t="s">
        <v>578</v>
      </c>
      <c r="D1786" s="50"/>
      <c r="E1786" s="51"/>
      <c r="F1786" s="54" t="s">
        <v>483</v>
      </c>
      <c r="G1786" s="55"/>
      <c r="H1786" s="54" t="s">
        <v>147</v>
      </c>
      <c r="I1786" s="55"/>
      <c r="J1786" s="56">
        <v>2300000</v>
      </c>
      <c r="K1786" s="119"/>
      <c r="L1786" s="57"/>
      <c r="M1786" s="56">
        <v>0</v>
      </c>
      <c r="N1786" s="57"/>
      <c r="O1786" s="7">
        <v>55200000</v>
      </c>
    </row>
    <row r="1787" spans="1:15" ht="81" customHeight="1">
      <c r="A1787" s="30"/>
      <c r="B1787" s="32"/>
      <c r="C1787" s="49" t="s">
        <v>579</v>
      </c>
      <c r="D1787" s="50"/>
      <c r="E1787" s="51"/>
      <c r="F1787" s="54" t="s">
        <v>580</v>
      </c>
      <c r="G1787" s="55"/>
      <c r="H1787" s="54" t="s">
        <v>147</v>
      </c>
      <c r="I1787" s="55"/>
      <c r="J1787" s="56">
        <v>2000000</v>
      </c>
      <c r="K1787" s="119"/>
      <c r="L1787" s="57"/>
      <c r="M1787" s="56">
        <v>0</v>
      </c>
      <c r="N1787" s="57"/>
      <c r="O1787" s="15">
        <v>120000000</v>
      </c>
    </row>
    <row r="1788" spans="1:15" ht="30" customHeight="1">
      <c r="A1788" s="40"/>
      <c r="B1788" s="42"/>
      <c r="C1788" s="30" t="s">
        <v>560</v>
      </c>
      <c r="D1788" s="31"/>
      <c r="E1788" s="31"/>
      <c r="F1788" s="31"/>
      <c r="G1788" s="31"/>
      <c r="H1788" s="31"/>
      <c r="I1788" s="31"/>
      <c r="J1788" s="31"/>
      <c r="K1788" s="31"/>
      <c r="L1788" s="31"/>
      <c r="M1788" s="31"/>
      <c r="N1788" s="32"/>
      <c r="O1788" s="13">
        <v>204000000</v>
      </c>
    </row>
    <row r="1789" spans="1:15" ht="31.05" customHeight="1">
      <c r="A1789" s="40"/>
      <c r="B1789" s="42"/>
      <c r="C1789" s="46" t="s">
        <v>581</v>
      </c>
      <c r="D1789" s="47"/>
      <c r="E1789" s="47"/>
      <c r="F1789" s="47"/>
      <c r="G1789" s="47"/>
      <c r="H1789" s="47"/>
      <c r="I1789" s="47"/>
      <c r="J1789" s="47"/>
      <c r="K1789" s="47"/>
      <c r="L1789" s="47"/>
      <c r="M1789" s="47"/>
      <c r="N1789" s="48"/>
      <c r="O1789" s="13">
        <v>204000000</v>
      </c>
    </row>
    <row r="1790" spans="1:15" ht="81" customHeight="1">
      <c r="A1790" s="30"/>
      <c r="B1790" s="32"/>
      <c r="C1790" s="49" t="s">
        <v>582</v>
      </c>
      <c r="D1790" s="50"/>
      <c r="E1790" s="51"/>
      <c r="F1790" s="54" t="s">
        <v>583</v>
      </c>
      <c r="G1790" s="55"/>
      <c r="H1790" s="54" t="s">
        <v>147</v>
      </c>
      <c r="I1790" s="55"/>
      <c r="J1790" s="56">
        <v>1700000</v>
      </c>
      <c r="K1790" s="119"/>
      <c r="L1790" s="57"/>
      <c r="M1790" s="56">
        <v>0</v>
      </c>
      <c r="N1790" s="57"/>
      <c r="O1790" s="15">
        <v>204000000</v>
      </c>
    </row>
    <row r="1791" spans="1:15" ht="21" customHeight="1">
      <c r="A1791" s="46" t="s">
        <v>148</v>
      </c>
      <c r="B1791" s="48"/>
      <c r="C1791" s="46" t="s">
        <v>149</v>
      </c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8"/>
      <c r="O1791" s="8">
        <v>62796145</v>
      </c>
    </row>
    <row r="1792" spans="1:15" ht="30" customHeight="1">
      <c r="A1792" s="30" t="s">
        <v>150</v>
      </c>
      <c r="B1792" s="32"/>
      <c r="C1792" s="46" t="s">
        <v>151</v>
      </c>
      <c r="D1792" s="47"/>
      <c r="E1792" s="47"/>
      <c r="F1792" s="47"/>
      <c r="G1792" s="47"/>
      <c r="H1792" s="47"/>
      <c r="I1792" s="47"/>
      <c r="J1792" s="47"/>
      <c r="K1792" s="47"/>
      <c r="L1792" s="47"/>
      <c r="M1792" s="47"/>
      <c r="N1792" s="48"/>
      <c r="O1792" s="8">
        <v>59502145</v>
      </c>
    </row>
    <row r="1793" spans="1:15" ht="31.05" customHeight="1">
      <c r="A1793" s="40"/>
      <c r="B1793" s="42"/>
      <c r="C1793" s="30" t="s">
        <v>152</v>
      </c>
      <c r="D1793" s="31"/>
      <c r="E1793" s="31"/>
      <c r="F1793" s="31"/>
      <c r="G1793" s="31"/>
      <c r="H1793" s="31"/>
      <c r="I1793" s="31"/>
      <c r="J1793" s="31"/>
      <c r="K1793" s="31"/>
      <c r="L1793" s="31"/>
      <c r="M1793" s="31"/>
      <c r="N1793" s="32"/>
      <c r="O1793" s="8">
        <v>59502145</v>
      </c>
    </row>
    <row r="1794" spans="1:15" ht="19.95" customHeight="1">
      <c r="A1794" s="40"/>
      <c r="B1794" s="42"/>
      <c r="C1794" s="46" t="s">
        <v>69</v>
      </c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8"/>
      <c r="O1794" s="8">
        <v>56185632</v>
      </c>
    </row>
    <row r="1795" spans="1:15" ht="70.95" customHeight="1">
      <c r="A1795" s="30"/>
      <c r="B1795" s="32"/>
      <c r="C1795" s="49" t="s">
        <v>153</v>
      </c>
      <c r="D1795" s="50"/>
      <c r="E1795" s="51"/>
      <c r="F1795" s="54" t="s">
        <v>584</v>
      </c>
      <c r="G1795" s="55"/>
      <c r="H1795" s="54" t="s">
        <v>154</v>
      </c>
      <c r="I1795" s="55"/>
      <c r="J1795" s="56">
        <v>195089</v>
      </c>
      <c r="K1795" s="119"/>
      <c r="L1795" s="57"/>
      <c r="M1795" s="56">
        <v>0</v>
      </c>
      <c r="N1795" s="57"/>
      <c r="O1795" s="7">
        <v>56185632</v>
      </c>
    </row>
    <row r="1796" spans="1:15" ht="19.95" customHeight="1">
      <c r="A1796" s="40"/>
      <c r="B1796" s="42"/>
      <c r="C1796" s="46" t="s">
        <v>673</v>
      </c>
      <c r="D1796" s="47"/>
      <c r="E1796" s="47"/>
      <c r="F1796" s="47"/>
      <c r="G1796" s="47"/>
      <c r="H1796" s="47"/>
      <c r="I1796" s="47"/>
      <c r="J1796" s="47"/>
      <c r="K1796" s="47"/>
      <c r="L1796" s="47"/>
      <c r="M1796" s="47"/>
      <c r="N1796" s="48"/>
      <c r="O1796" s="8">
        <v>3316513</v>
      </c>
    </row>
    <row r="1797" spans="1:15" ht="70.95" customHeight="1">
      <c r="A1797" s="30"/>
      <c r="B1797" s="32"/>
      <c r="C1797" s="49" t="s">
        <v>153</v>
      </c>
      <c r="D1797" s="50"/>
      <c r="E1797" s="51"/>
      <c r="F1797" s="52">
        <v>17</v>
      </c>
      <c r="G1797" s="53"/>
      <c r="H1797" s="54" t="s">
        <v>585</v>
      </c>
      <c r="I1797" s="55"/>
      <c r="J1797" s="56">
        <v>195089</v>
      </c>
      <c r="K1797" s="119"/>
      <c r="L1797" s="57"/>
      <c r="M1797" s="56">
        <v>0</v>
      </c>
      <c r="N1797" s="57"/>
      <c r="O1797" s="7">
        <v>3316513</v>
      </c>
    </row>
    <row r="1798" spans="1:15" ht="30.75" customHeight="1">
      <c r="A1798" s="30" t="s">
        <v>155</v>
      </c>
      <c r="B1798" s="32"/>
      <c r="C1798" s="46" t="s">
        <v>156</v>
      </c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8"/>
      <c r="O1798" s="8">
        <v>1464000</v>
      </c>
    </row>
    <row r="1799" spans="1:15" ht="37.950000000000003" customHeight="1">
      <c r="A1799" s="87" t="s">
        <v>49</v>
      </c>
      <c r="B1799" s="88"/>
      <c r="C1799" s="88"/>
      <c r="D1799" s="88"/>
      <c r="E1799" s="88"/>
      <c r="F1799" s="88"/>
      <c r="G1799" s="88"/>
      <c r="H1799" s="88"/>
      <c r="I1799" s="88"/>
      <c r="J1799" s="88"/>
      <c r="K1799" s="88"/>
      <c r="L1799" s="88"/>
      <c r="M1799" s="88"/>
      <c r="N1799" s="88"/>
      <c r="O1799" s="89"/>
    </row>
    <row r="1800" spans="1:15" ht="19.95" customHeight="1">
      <c r="A1800" s="61" t="s">
        <v>50</v>
      </c>
      <c r="B1800" s="62"/>
      <c r="C1800" s="65" t="s">
        <v>51</v>
      </c>
      <c r="D1800" s="66"/>
      <c r="E1800" s="67"/>
      <c r="F1800" s="71" t="s">
        <v>52</v>
      </c>
      <c r="G1800" s="72"/>
      <c r="H1800" s="72"/>
      <c r="I1800" s="72"/>
      <c r="J1800" s="72"/>
      <c r="K1800" s="72"/>
      <c r="L1800" s="72"/>
      <c r="M1800" s="72"/>
      <c r="N1800" s="73"/>
      <c r="O1800" s="74" t="s">
        <v>53</v>
      </c>
    </row>
    <row r="1801" spans="1:15" ht="21" customHeight="1">
      <c r="A1801" s="63"/>
      <c r="B1801" s="64"/>
      <c r="C1801" s="68"/>
      <c r="D1801" s="69"/>
      <c r="E1801" s="70"/>
      <c r="F1801" s="76" t="s">
        <v>54</v>
      </c>
      <c r="G1801" s="77"/>
      <c r="H1801" s="71" t="s">
        <v>55</v>
      </c>
      <c r="I1801" s="73"/>
      <c r="J1801" s="78" t="s">
        <v>56</v>
      </c>
      <c r="K1801" s="79"/>
      <c r="L1801" s="80" t="s">
        <v>57</v>
      </c>
      <c r="M1801" s="81"/>
      <c r="N1801" s="82"/>
      <c r="O1801" s="75"/>
    </row>
    <row r="1802" spans="1:15" ht="30" customHeight="1">
      <c r="A1802" s="40"/>
      <c r="B1802" s="42"/>
      <c r="C1802" s="30" t="s">
        <v>152</v>
      </c>
      <c r="D1802" s="31"/>
      <c r="E1802" s="31"/>
      <c r="F1802" s="31"/>
      <c r="G1802" s="31"/>
      <c r="H1802" s="31"/>
      <c r="I1802" s="31"/>
      <c r="J1802" s="31"/>
      <c r="K1802" s="31"/>
      <c r="L1802" s="31"/>
      <c r="M1802" s="31"/>
      <c r="N1802" s="32"/>
      <c r="O1802" s="8">
        <v>1464000</v>
      </c>
    </row>
    <row r="1803" spans="1:15" ht="21" customHeight="1">
      <c r="A1803" s="40"/>
      <c r="B1803" s="42"/>
      <c r="C1803" s="46" t="s">
        <v>69</v>
      </c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8"/>
      <c r="O1803" s="8">
        <v>1382400</v>
      </c>
    </row>
    <row r="1804" spans="1:15" ht="70.95" customHeight="1">
      <c r="A1804" s="30"/>
      <c r="B1804" s="32"/>
      <c r="C1804" s="49" t="s">
        <v>157</v>
      </c>
      <c r="D1804" s="50"/>
      <c r="E1804" s="51"/>
      <c r="F1804" s="54" t="s">
        <v>584</v>
      </c>
      <c r="G1804" s="55"/>
      <c r="H1804" s="54" t="s">
        <v>154</v>
      </c>
      <c r="I1804" s="55"/>
      <c r="J1804" s="56">
        <v>4800</v>
      </c>
      <c r="K1804" s="57"/>
      <c r="L1804" s="58">
        <v>0</v>
      </c>
      <c r="M1804" s="59"/>
      <c r="N1804" s="60"/>
      <c r="O1804" s="7">
        <v>1382400</v>
      </c>
    </row>
    <row r="1805" spans="1:15" ht="19.95" customHeight="1">
      <c r="A1805" s="40"/>
      <c r="B1805" s="42"/>
      <c r="C1805" s="46" t="s">
        <v>673</v>
      </c>
      <c r="D1805" s="47"/>
      <c r="E1805" s="47"/>
      <c r="F1805" s="47"/>
      <c r="G1805" s="47"/>
      <c r="H1805" s="47"/>
      <c r="I1805" s="47"/>
      <c r="J1805" s="47"/>
      <c r="K1805" s="47"/>
      <c r="L1805" s="47"/>
      <c r="M1805" s="47"/>
      <c r="N1805" s="48"/>
      <c r="O1805" s="8">
        <v>81600</v>
      </c>
    </row>
    <row r="1806" spans="1:15" ht="70.95" customHeight="1">
      <c r="A1806" s="30"/>
      <c r="B1806" s="32"/>
      <c r="C1806" s="49" t="s">
        <v>157</v>
      </c>
      <c r="D1806" s="50"/>
      <c r="E1806" s="51"/>
      <c r="F1806" s="52">
        <v>17</v>
      </c>
      <c r="G1806" s="53"/>
      <c r="H1806" s="54" t="s">
        <v>585</v>
      </c>
      <c r="I1806" s="55"/>
      <c r="J1806" s="56">
        <v>4800</v>
      </c>
      <c r="K1806" s="57"/>
      <c r="L1806" s="58">
        <v>0</v>
      </c>
      <c r="M1806" s="59"/>
      <c r="N1806" s="60"/>
      <c r="O1806" s="7">
        <v>81600</v>
      </c>
    </row>
    <row r="1807" spans="1:15" ht="30" customHeight="1">
      <c r="A1807" s="30" t="s">
        <v>158</v>
      </c>
      <c r="B1807" s="32"/>
      <c r="C1807" s="46" t="s">
        <v>159</v>
      </c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8"/>
      <c r="O1807" s="8">
        <v>1830000</v>
      </c>
    </row>
    <row r="1808" spans="1:15" ht="31.05" customHeight="1">
      <c r="A1808" s="40"/>
      <c r="B1808" s="42"/>
      <c r="C1808" s="30" t="s">
        <v>152</v>
      </c>
      <c r="D1808" s="31"/>
      <c r="E1808" s="31"/>
      <c r="F1808" s="31"/>
      <c r="G1808" s="31"/>
      <c r="H1808" s="31"/>
      <c r="I1808" s="31"/>
      <c r="J1808" s="31"/>
      <c r="K1808" s="31"/>
      <c r="L1808" s="31"/>
      <c r="M1808" s="31"/>
      <c r="N1808" s="32"/>
      <c r="O1808" s="8">
        <v>1830000</v>
      </c>
    </row>
    <row r="1809" spans="1:15" ht="19.95" customHeight="1">
      <c r="A1809" s="40"/>
      <c r="B1809" s="42"/>
      <c r="C1809" s="46" t="s">
        <v>69</v>
      </c>
      <c r="D1809" s="47"/>
      <c r="E1809" s="47"/>
      <c r="F1809" s="47"/>
      <c r="G1809" s="47"/>
      <c r="H1809" s="47"/>
      <c r="I1809" s="47"/>
      <c r="J1809" s="47"/>
      <c r="K1809" s="47"/>
      <c r="L1809" s="47"/>
      <c r="M1809" s="47"/>
      <c r="N1809" s="48"/>
      <c r="O1809" s="8">
        <v>1728000</v>
      </c>
    </row>
    <row r="1810" spans="1:15" ht="70.95" customHeight="1">
      <c r="A1810" s="30"/>
      <c r="B1810" s="32"/>
      <c r="C1810" s="49" t="s">
        <v>160</v>
      </c>
      <c r="D1810" s="50"/>
      <c r="E1810" s="51"/>
      <c r="F1810" s="54" t="s">
        <v>584</v>
      </c>
      <c r="G1810" s="55"/>
      <c r="H1810" s="54" t="s">
        <v>154</v>
      </c>
      <c r="I1810" s="55"/>
      <c r="J1810" s="56">
        <v>6000</v>
      </c>
      <c r="K1810" s="57"/>
      <c r="L1810" s="58">
        <v>0</v>
      </c>
      <c r="M1810" s="59"/>
      <c r="N1810" s="60"/>
      <c r="O1810" s="7">
        <v>1728000</v>
      </c>
    </row>
    <row r="1811" spans="1:15" ht="19.95" customHeight="1">
      <c r="A1811" s="40"/>
      <c r="B1811" s="42"/>
      <c r="C1811" s="46" t="s">
        <v>673</v>
      </c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8"/>
      <c r="O1811" s="8">
        <v>102000</v>
      </c>
    </row>
    <row r="1812" spans="1:15" ht="70.95" customHeight="1">
      <c r="A1812" s="30"/>
      <c r="B1812" s="32"/>
      <c r="C1812" s="49" t="s">
        <v>160</v>
      </c>
      <c r="D1812" s="50"/>
      <c r="E1812" s="51"/>
      <c r="F1812" s="52">
        <v>17</v>
      </c>
      <c r="G1812" s="53"/>
      <c r="H1812" s="54" t="s">
        <v>585</v>
      </c>
      <c r="I1812" s="55"/>
      <c r="J1812" s="56">
        <v>6000</v>
      </c>
      <c r="K1812" s="57"/>
      <c r="L1812" s="58">
        <v>0</v>
      </c>
      <c r="M1812" s="59"/>
      <c r="N1812" s="60"/>
      <c r="O1812" s="7">
        <v>102000</v>
      </c>
    </row>
    <row r="1813" spans="1:15" ht="31.05" customHeight="1">
      <c r="A1813" s="27" t="s">
        <v>89</v>
      </c>
      <c r="B1813" s="28"/>
      <c r="C1813" s="28"/>
      <c r="D1813" s="28"/>
      <c r="E1813" s="28"/>
      <c r="F1813" s="28"/>
      <c r="G1813" s="28"/>
      <c r="H1813" s="28"/>
      <c r="I1813" s="28"/>
      <c r="J1813" s="28"/>
      <c r="K1813" s="28"/>
      <c r="L1813" s="28"/>
      <c r="M1813" s="28"/>
      <c r="N1813" s="29"/>
      <c r="O1813" s="13">
        <v>721876145</v>
      </c>
    </row>
    <row r="1814" spans="1:15" ht="153" customHeight="1">
      <c r="A1814" s="30"/>
      <c r="B1814" s="31"/>
      <c r="C1814" s="31"/>
      <c r="D1814" s="31"/>
      <c r="E1814" s="31"/>
      <c r="F1814" s="31"/>
      <c r="G1814" s="32"/>
      <c r="H1814" s="33" t="s">
        <v>90</v>
      </c>
      <c r="I1814" s="34"/>
      <c r="J1814" s="34"/>
      <c r="K1814" s="34"/>
      <c r="L1814" s="34"/>
      <c r="M1814" s="34"/>
      <c r="N1814" s="34"/>
      <c r="O1814" s="35"/>
    </row>
    <row r="1815" spans="1:15" ht="20.5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36"/>
      <c r="K1815" s="36"/>
      <c r="L1815" s="36"/>
      <c r="M1815" s="36"/>
      <c r="N1815" s="36"/>
      <c r="O1815" s="5"/>
    </row>
    <row r="1816" spans="1:15" ht="21" customHeight="1">
      <c r="A1816" s="37" t="s">
        <v>91</v>
      </c>
      <c r="B1816" s="38"/>
      <c r="C1816" s="39"/>
      <c r="D1816" s="2" t="s">
        <v>48</v>
      </c>
      <c r="E1816" s="40"/>
      <c r="F1816" s="41"/>
      <c r="G1816" s="41"/>
      <c r="H1816" s="41"/>
      <c r="I1816" s="41"/>
      <c r="J1816" s="41"/>
      <c r="K1816" s="41"/>
      <c r="L1816" s="41"/>
      <c r="M1816" s="41"/>
      <c r="N1816" s="41"/>
      <c r="O1816" s="42"/>
    </row>
    <row r="1817" spans="1:15" ht="19.95" customHeight="1">
      <c r="A1817" s="37" t="s">
        <v>92</v>
      </c>
      <c r="B1817" s="38"/>
      <c r="C1817" s="39"/>
      <c r="D1817" s="2" t="s">
        <v>48</v>
      </c>
      <c r="E1817" s="40"/>
      <c r="F1817" s="41"/>
      <c r="G1817" s="41"/>
      <c r="H1817" s="41"/>
      <c r="I1817" s="41"/>
      <c r="J1817" s="41"/>
      <c r="K1817" s="41"/>
      <c r="L1817" s="41"/>
      <c r="M1817" s="41"/>
      <c r="N1817" s="41"/>
      <c r="O1817" s="42"/>
    </row>
    <row r="1818" spans="1:15" ht="19.95" customHeight="1">
      <c r="A1818" s="37" t="s">
        <v>93</v>
      </c>
      <c r="B1818" s="38"/>
      <c r="C1818" s="39"/>
      <c r="D1818" s="2" t="s">
        <v>48</v>
      </c>
      <c r="E1818" s="40"/>
      <c r="F1818" s="41"/>
      <c r="G1818" s="41"/>
      <c r="H1818" s="41"/>
      <c r="I1818" s="41"/>
      <c r="J1818" s="41"/>
      <c r="K1818" s="41"/>
      <c r="L1818" s="41"/>
      <c r="M1818" s="41"/>
      <c r="N1818" s="41"/>
      <c r="O1818" s="42"/>
    </row>
    <row r="1819" spans="1:15" ht="21" customHeight="1">
      <c r="A1819" s="43">
        <v>1</v>
      </c>
      <c r="B1819" s="44"/>
      <c r="C1819" s="44"/>
      <c r="D1819" s="44"/>
      <c r="E1819" s="44"/>
      <c r="F1819" s="44"/>
      <c r="G1819" s="44"/>
      <c r="H1819" s="44"/>
      <c r="I1819" s="44"/>
      <c r="J1819" s="44"/>
      <c r="K1819" s="44"/>
      <c r="L1819" s="44"/>
      <c r="M1819" s="44"/>
      <c r="N1819" s="44"/>
      <c r="O1819" s="45"/>
    </row>
    <row r="1820" spans="1:15" ht="19.95" customHeight="1">
      <c r="A1820" s="43">
        <v>2</v>
      </c>
      <c r="B1820" s="44"/>
      <c r="C1820" s="44"/>
      <c r="D1820" s="44"/>
      <c r="E1820" s="44"/>
      <c r="F1820" s="44"/>
      <c r="G1820" s="44"/>
      <c r="H1820" s="44"/>
      <c r="I1820" s="44"/>
      <c r="J1820" s="44"/>
      <c r="K1820" s="44"/>
      <c r="L1820" s="44"/>
      <c r="M1820" s="44"/>
      <c r="N1820" s="44"/>
      <c r="O1820" s="45"/>
    </row>
    <row r="1821" spans="1:15" ht="20.55" customHeight="1">
      <c r="A1821" s="37" t="s">
        <v>94</v>
      </c>
      <c r="B1821" s="38"/>
      <c r="C1821" s="38"/>
      <c r="D1821" s="38"/>
      <c r="E1821" s="38"/>
      <c r="F1821" s="38"/>
      <c r="G1821" s="38"/>
      <c r="H1821" s="38"/>
      <c r="I1821" s="38"/>
      <c r="J1821" s="38"/>
      <c r="K1821" s="38"/>
      <c r="L1821" s="38"/>
      <c r="M1821" s="38"/>
      <c r="N1821" s="38"/>
      <c r="O1821" s="39"/>
    </row>
    <row r="1822" spans="1:15" ht="20.5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36"/>
      <c r="K1822" s="36"/>
      <c r="L1822" s="36"/>
      <c r="M1822" s="36"/>
      <c r="N1822" s="36"/>
      <c r="O1822" s="5"/>
    </row>
    <row r="1823" spans="1:15" ht="21" customHeight="1">
      <c r="A1823" s="18" t="s">
        <v>95</v>
      </c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20"/>
    </row>
    <row r="1824" spans="1:15" ht="22.05" customHeight="1">
      <c r="A1824" s="3" t="s">
        <v>96</v>
      </c>
      <c r="B1824" s="18" t="s">
        <v>97</v>
      </c>
      <c r="C1824" s="19"/>
      <c r="D1824" s="19"/>
      <c r="E1824" s="19"/>
      <c r="F1824" s="20"/>
      <c r="G1824" s="18" t="s">
        <v>98</v>
      </c>
      <c r="H1824" s="20"/>
      <c r="I1824" s="18" t="s">
        <v>99</v>
      </c>
      <c r="J1824" s="19"/>
      <c r="K1824" s="20"/>
      <c r="L1824" s="21" t="s">
        <v>100</v>
      </c>
      <c r="M1824" s="22"/>
      <c r="N1824" s="22"/>
      <c r="O1824" s="23"/>
    </row>
    <row r="1825" spans="1:15" ht="21" customHeight="1">
      <c r="A1825" s="24" t="s">
        <v>101</v>
      </c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6"/>
    </row>
    <row r="1826" spans="1:15" ht="64.05" customHeight="1">
      <c r="A1826" s="106" t="s">
        <v>0</v>
      </c>
      <c r="B1826" s="107"/>
      <c r="C1826" s="107"/>
      <c r="D1826" s="107"/>
      <c r="E1826" s="107"/>
      <c r="F1826" s="107"/>
      <c r="G1826" s="107"/>
      <c r="H1826" s="107"/>
      <c r="I1826" s="107"/>
      <c r="J1826" s="108"/>
      <c r="K1826" s="109" t="s">
        <v>1</v>
      </c>
      <c r="L1826" s="110"/>
      <c r="M1826" s="110"/>
      <c r="N1826" s="110"/>
      <c r="O1826" s="111"/>
    </row>
    <row r="1827" spans="1:15" ht="23.55" customHeight="1">
      <c r="A1827" s="101" t="s">
        <v>674</v>
      </c>
      <c r="B1827" s="102"/>
      <c r="C1827" s="102"/>
      <c r="D1827" s="102"/>
      <c r="E1827" s="102"/>
      <c r="F1827" s="102"/>
      <c r="G1827" s="102"/>
      <c r="H1827" s="102"/>
      <c r="I1827" s="102"/>
      <c r="J1827" s="102"/>
      <c r="K1827" s="102"/>
      <c r="L1827" s="102"/>
      <c r="M1827" s="102"/>
      <c r="N1827" s="102"/>
      <c r="O1827" s="103"/>
    </row>
    <row r="1828" spans="1:15" ht="20.55" customHeight="1">
      <c r="A1828" s="93"/>
      <c r="B1828" s="93"/>
      <c r="C1828" s="1"/>
      <c r="D1828" s="93"/>
      <c r="E1828" s="93"/>
      <c r="F1828" s="93"/>
      <c r="G1828" s="93"/>
      <c r="H1828" s="93"/>
      <c r="I1828" s="93"/>
      <c r="J1828" s="5"/>
      <c r="K1828" s="36"/>
      <c r="L1828" s="36"/>
      <c r="M1828" s="5"/>
      <c r="N1828" s="5"/>
      <c r="O1828" s="5"/>
    </row>
    <row r="1829" spans="1:15" ht="37.049999999999997" customHeight="1">
      <c r="A1829" s="101" t="s">
        <v>2</v>
      </c>
      <c r="B1829" s="102"/>
      <c r="C1829" s="102"/>
      <c r="D1829" s="102"/>
      <c r="E1829" s="102"/>
      <c r="F1829" s="102"/>
      <c r="G1829" s="102"/>
      <c r="H1829" s="102"/>
      <c r="I1829" s="102"/>
      <c r="J1829" s="102"/>
      <c r="K1829" s="102"/>
      <c r="L1829" s="102"/>
      <c r="M1829" s="102"/>
      <c r="N1829" s="102"/>
      <c r="O1829" s="103"/>
    </row>
    <row r="1830" spans="1:15" ht="21" customHeight="1">
      <c r="A1830" s="37" t="s">
        <v>3</v>
      </c>
      <c r="B1830" s="38"/>
      <c r="C1830" s="39"/>
      <c r="D1830" s="90" t="s">
        <v>4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2"/>
    </row>
    <row r="1831" spans="1:15" ht="22.05" customHeight="1">
      <c r="A1831" s="37" t="s">
        <v>5</v>
      </c>
      <c r="B1831" s="38"/>
      <c r="C1831" s="39"/>
      <c r="D1831" s="90" t="s">
        <v>6</v>
      </c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2"/>
    </row>
    <row r="1832" spans="1:15" ht="22.05" customHeight="1">
      <c r="A1832" s="37" t="s">
        <v>7</v>
      </c>
      <c r="B1832" s="38"/>
      <c r="C1832" s="39"/>
      <c r="D1832" s="90" t="s">
        <v>8</v>
      </c>
      <c r="E1832" s="91"/>
      <c r="F1832" s="91"/>
      <c r="G1832" s="91"/>
      <c r="H1832" s="91"/>
      <c r="I1832" s="91"/>
      <c r="J1832" s="91"/>
      <c r="K1832" s="91"/>
      <c r="L1832" s="91"/>
      <c r="M1832" s="91"/>
      <c r="N1832" s="91"/>
      <c r="O1832" s="92"/>
    </row>
    <row r="1833" spans="1:15" ht="21" customHeight="1">
      <c r="A1833" s="37" t="s">
        <v>9</v>
      </c>
      <c r="B1833" s="38"/>
      <c r="C1833" s="39"/>
      <c r="D1833" s="90" t="s">
        <v>10</v>
      </c>
      <c r="E1833" s="91"/>
      <c r="F1833" s="91"/>
      <c r="G1833" s="91"/>
      <c r="H1833" s="91"/>
      <c r="I1833" s="91"/>
      <c r="J1833" s="91"/>
      <c r="K1833" s="91"/>
      <c r="L1833" s="91"/>
      <c r="M1833" s="91"/>
      <c r="N1833" s="91"/>
      <c r="O1833" s="92"/>
    </row>
    <row r="1834" spans="1:15" ht="22.05" customHeight="1">
      <c r="A1834" s="37" t="s">
        <v>11</v>
      </c>
      <c r="B1834" s="38"/>
      <c r="C1834" s="39"/>
      <c r="D1834" s="90" t="s">
        <v>12</v>
      </c>
      <c r="E1834" s="91"/>
      <c r="F1834" s="91"/>
      <c r="G1834" s="91"/>
      <c r="H1834" s="91"/>
      <c r="I1834" s="91"/>
      <c r="J1834" s="91"/>
      <c r="K1834" s="91"/>
      <c r="L1834" s="91"/>
      <c r="M1834" s="91"/>
      <c r="N1834" s="91"/>
      <c r="O1834" s="92"/>
    </row>
    <row r="1835" spans="1:15" ht="22.05" customHeight="1">
      <c r="A1835" s="37" t="s">
        <v>13</v>
      </c>
      <c r="B1835" s="38"/>
      <c r="C1835" s="39"/>
      <c r="D1835" s="90" t="s">
        <v>586</v>
      </c>
      <c r="E1835" s="91"/>
      <c r="F1835" s="91"/>
      <c r="G1835" s="91"/>
      <c r="H1835" s="91"/>
      <c r="I1835" s="91"/>
      <c r="J1835" s="91"/>
      <c r="K1835" s="91"/>
      <c r="L1835" s="91"/>
      <c r="M1835" s="91"/>
      <c r="N1835" s="91"/>
      <c r="O1835" s="92"/>
    </row>
    <row r="1836" spans="1:15" ht="21" customHeight="1">
      <c r="A1836" s="37" t="s">
        <v>15</v>
      </c>
      <c r="B1836" s="38"/>
      <c r="C1836" s="39"/>
      <c r="D1836" s="90" t="s">
        <v>587</v>
      </c>
      <c r="E1836" s="91"/>
      <c r="F1836" s="91"/>
      <c r="G1836" s="91"/>
      <c r="H1836" s="91"/>
      <c r="I1836" s="91"/>
      <c r="J1836" s="91"/>
      <c r="K1836" s="91"/>
      <c r="L1836" s="91"/>
      <c r="M1836" s="91"/>
      <c r="N1836" s="91"/>
      <c r="O1836" s="92"/>
    </row>
    <row r="1837" spans="1:15" ht="22.05" customHeight="1">
      <c r="A1837" s="37" t="s">
        <v>17</v>
      </c>
      <c r="B1837" s="38"/>
      <c r="C1837" s="39"/>
      <c r="D1837" s="90" t="s">
        <v>10</v>
      </c>
      <c r="E1837" s="91"/>
      <c r="F1837" s="91"/>
      <c r="G1837" s="91"/>
      <c r="H1837" s="91"/>
      <c r="I1837" s="91"/>
      <c r="J1837" s="91"/>
      <c r="K1837" s="91"/>
      <c r="L1837" s="91"/>
      <c r="M1837" s="91"/>
      <c r="N1837" s="91"/>
      <c r="O1837" s="92"/>
    </row>
    <row r="1838" spans="1:15" ht="22.05" customHeight="1">
      <c r="A1838" s="37" t="s">
        <v>18</v>
      </c>
      <c r="B1838" s="38"/>
      <c r="C1838" s="39"/>
      <c r="D1838" s="90" t="s">
        <v>10</v>
      </c>
      <c r="E1838" s="91"/>
      <c r="F1838" s="91"/>
      <c r="G1838" s="91"/>
      <c r="H1838" s="91"/>
      <c r="I1838" s="91"/>
      <c r="J1838" s="91"/>
      <c r="K1838" s="91"/>
      <c r="L1838" s="91"/>
      <c r="M1838" s="91"/>
      <c r="N1838" s="91"/>
      <c r="O1838" s="92"/>
    </row>
    <row r="1839" spans="1:15" ht="22.05" customHeight="1">
      <c r="A1839" s="37" t="s">
        <v>19</v>
      </c>
      <c r="B1839" s="38"/>
      <c r="C1839" s="39"/>
      <c r="D1839" s="90" t="s">
        <v>20</v>
      </c>
      <c r="E1839" s="91"/>
      <c r="F1839" s="91"/>
      <c r="G1839" s="91"/>
      <c r="H1839" s="91"/>
      <c r="I1839" s="91"/>
      <c r="J1839" s="91"/>
      <c r="K1839" s="91"/>
      <c r="L1839" s="91"/>
      <c r="M1839" s="91"/>
      <c r="N1839" s="91"/>
      <c r="O1839" s="92"/>
    </row>
    <row r="1840" spans="1:15" ht="21" customHeight="1">
      <c r="A1840" s="37" t="s">
        <v>21</v>
      </c>
      <c r="B1840" s="38"/>
      <c r="C1840" s="39"/>
      <c r="D1840" s="90" t="s">
        <v>588</v>
      </c>
      <c r="E1840" s="91"/>
      <c r="F1840" s="91"/>
      <c r="G1840" s="91"/>
      <c r="H1840" s="91"/>
      <c r="I1840" s="91"/>
      <c r="J1840" s="91"/>
      <c r="K1840" s="91"/>
      <c r="L1840" s="91"/>
      <c r="M1840" s="91"/>
      <c r="N1840" s="91"/>
      <c r="O1840" s="92"/>
    </row>
    <row r="1841" spans="1:15" ht="22.05" customHeight="1">
      <c r="A1841" s="37" t="s">
        <v>23</v>
      </c>
      <c r="B1841" s="38"/>
      <c r="C1841" s="39"/>
      <c r="D1841" s="90" t="s">
        <v>24</v>
      </c>
      <c r="E1841" s="91"/>
      <c r="F1841" s="91"/>
      <c r="G1841" s="91"/>
      <c r="H1841" s="91"/>
      <c r="I1841" s="91"/>
      <c r="J1841" s="91"/>
      <c r="K1841" s="91"/>
      <c r="L1841" s="91"/>
      <c r="M1841" s="91"/>
      <c r="N1841" s="91"/>
      <c r="O1841" s="92"/>
    </row>
    <row r="1842" spans="1:15" ht="22.05" customHeight="1">
      <c r="A1842" s="37" t="s">
        <v>25</v>
      </c>
      <c r="B1842" s="38"/>
      <c r="C1842" s="39"/>
      <c r="D1842" s="90" t="s">
        <v>589</v>
      </c>
      <c r="E1842" s="91"/>
      <c r="F1842" s="91"/>
      <c r="G1842" s="91"/>
      <c r="H1842" s="91"/>
      <c r="I1842" s="91"/>
      <c r="J1842" s="91"/>
      <c r="K1842" s="91"/>
      <c r="L1842" s="91"/>
      <c r="M1842" s="91"/>
      <c r="N1842" s="91"/>
      <c r="O1842" s="92"/>
    </row>
    <row r="1843" spans="1:15" ht="21" customHeight="1">
      <c r="A1843" s="37" t="s">
        <v>670</v>
      </c>
      <c r="B1843" s="38"/>
      <c r="C1843" s="39"/>
      <c r="D1843" s="90" t="s">
        <v>27</v>
      </c>
      <c r="E1843" s="91"/>
      <c r="F1843" s="91"/>
      <c r="G1843" s="91"/>
      <c r="H1843" s="91"/>
      <c r="I1843" s="91"/>
      <c r="J1843" s="91"/>
      <c r="K1843" s="91"/>
      <c r="L1843" s="91"/>
      <c r="M1843" s="91"/>
      <c r="N1843" s="91"/>
      <c r="O1843" s="92"/>
    </row>
    <row r="1844" spans="1:15" ht="22.05" customHeight="1">
      <c r="A1844" s="37" t="s">
        <v>675</v>
      </c>
      <c r="B1844" s="38"/>
      <c r="C1844" s="39"/>
      <c r="D1844" s="90" t="s">
        <v>590</v>
      </c>
      <c r="E1844" s="91"/>
      <c r="F1844" s="91"/>
      <c r="G1844" s="91"/>
      <c r="H1844" s="91"/>
      <c r="I1844" s="91"/>
      <c r="J1844" s="91"/>
      <c r="K1844" s="91"/>
      <c r="L1844" s="91"/>
      <c r="M1844" s="91"/>
      <c r="N1844" s="91"/>
      <c r="O1844" s="92"/>
    </row>
    <row r="1845" spans="1:15" ht="21.45" customHeight="1">
      <c r="A1845" s="37" t="s">
        <v>676</v>
      </c>
      <c r="B1845" s="38"/>
      <c r="C1845" s="39"/>
      <c r="D1845" s="90" t="s">
        <v>591</v>
      </c>
      <c r="E1845" s="91"/>
      <c r="F1845" s="91"/>
      <c r="G1845" s="91"/>
      <c r="H1845" s="91"/>
      <c r="I1845" s="91"/>
      <c r="J1845" s="91"/>
      <c r="K1845" s="91"/>
      <c r="L1845" s="91"/>
      <c r="M1845" s="91"/>
      <c r="N1845" s="91"/>
      <c r="O1845" s="92"/>
    </row>
    <row r="1846" spans="1:15" ht="20.55" customHeight="1">
      <c r="A1846" s="93"/>
      <c r="B1846" s="93"/>
      <c r="C1846" s="1"/>
      <c r="D1846" s="93"/>
      <c r="E1846" s="93"/>
      <c r="F1846" s="93"/>
      <c r="G1846" s="93"/>
      <c r="H1846" s="93"/>
      <c r="I1846" s="93"/>
      <c r="J1846" s="5"/>
      <c r="K1846" s="36"/>
      <c r="L1846" s="36"/>
      <c r="M1846" s="5"/>
      <c r="N1846" s="5"/>
      <c r="O1846" s="5"/>
    </row>
    <row r="1847" spans="1:15" ht="22.95" customHeight="1">
      <c r="A1847" s="101" t="s">
        <v>29</v>
      </c>
      <c r="B1847" s="102"/>
      <c r="C1847" s="102"/>
      <c r="D1847" s="102"/>
      <c r="E1847" s="102"/>
      <c r="F1847" s="102"/>
      <c r="G1847" s="102"/>
      <c r="H1847" s="102"/>
      <c r="I1847" s="102"/>
      <c r="J1847" s="102"/>
      <c r="K1847" s="102"/>
      <c r="L1847" s="102"/>
      <c r="M1847" s="102"/>
      <c r="N1847" s="102"/>
      <c r="O1847" s="103"/>
    </row>
    <row r="1848" spans="1:15" ht="24" customHeight="1">
      <c r="A1848" s="101" t="s">
        <v>30</v>
      </c>
      <c r="B1848" s="102"/>
      <c r="C1848" s="103"/>
      <c r="D1848" s="101" t="s">
        <v>31</v>
      </c>
      <c r="E1848" s="102"/>
      <c r="F1848" s="102"/>
      <c r="G1848" s="102"/>
      <c r="H1848" s="102"/>
      <c r="I1848" s="102"/>
      <c r="J1848" s="102"/>
      <c r="K1848" s="102"/>
      <c r="L1848" s="102"/>
      <c r="M1848" s="103"/>
      <c r="N1848" s="104" t="s">
        <v>32</v>
      </c>
      <c r="O1848" s="105"/>
    </row>
    <row r="1849" spans="1:15" ht="21" customHeight="1">
      <c r="A1849" s="37" t="s">
        <v>33</v>
      </c>
      <c r="B1849" s="38"/>
      <c r="C1849" s="39"/>
      <c r="D1849" s="37" t="s">
        <v>34</v>
      </c>
      <c r="E1849" s="38"/>
      <c r="F1849" s="38"/>
      <c r="G1849" s="38"/>
      <c r="H1849" s="38"/>
      <c r="I1849" s="38"/>
      <c r="J1849" s="38"/>
      <c r="K1849" s="38"/>
      <c r="L1849" s="38"/>
      <c r="M1849" s="39"/>
      <c r="N1849" s="97" t="s">
        <v>35</v>
      </c>
      <c r="O1849" s="98"/>
    </row>
    <row r="1850" spans="1:15" ht="19.95" customHeight="1">
      <c r="A1850" s="37" t="s">
        <v>36</v>
      </c>
      <c r="B1850" s="38"/>
      <c r="C1850" s="39"/>
      <c r="D1850" s="37" t="s">
        <v>37</v>
      </c>
      <c r="E1850" s="38"/>
      <c r="F1850" s="38"/>
      <c r="G1850" s="38"/>
      <c r="H1850" s="38"/>
      <c r="I1850" s="38"/>
      <c r="J1850" s="38"/>
      <c r="K1850" s="38"/>
      <c r="L1850" s="38"/>
      <c r="M1850" s="39"/>
      <c r="N1850" s="97">
        <v>246330000</v>
      </c>
      <c r="O1850" s="98"/>
    </row>
    <row r="1851" spans="1:15" ht="19.95" customHeight="1">
      <c r="A1851" s="37" t="s">
        <v>38</v>
      </c>
      <c r="B1851" s="38"/>
      <c r="C1851" s="39"/>
      <c r="D1851" s="37" t="s">
        <v>592</v>
      </c>
      <c r="E1851" s="38"/>
      <c r="F1851" s="38"/>
      <c r="G1851" s="38"/>
      <c r="H1851" s="38"/>
      <c r="I1851" s="38"/>
      <c r="J1851" s="38"/>
      <c r="K1851" s="38"/>
      <c r="L1851" s="38"/>
      <c r="M1851" s="39"/>
      <c r="N1851" s="97" t="s">
        <v>593</v>
      </c>
      <c r="O1851" s="98"/>
    </row>
    <row r="1852" spans="1:15" ht="20.55" customHeight="1">
      <c r="A1852" s="37" t="s">
        <v>41</v>
      </c>
      <c r="B1852" s="38"/>
      <c r="C1852" s="39"/>
      <c r="D1852" s="37" t="s">
        <v>594</v>
      </c>
      <c r="E1852" s="38"/>
      <c r="F1852" s="38"/>
      <c r="G1852" s="38"/>
      <c r="H1852" s="38"/>
      <c r="I1852" s="38"/>
      <c r="J1852" s="38"/>
      <c r="K1852" s="38"/>
      <c r="L1852" s="38"/>
      <c r="M1852" s="39"/>
      <c r="N1852" s="99">
        <v>0.92</v>
      </c>
      <c r="O1852" s="100"/>
    </row>
    <row r="1853" spans="1:15" ht="20.55" customHeight="1">
      <c r="A1853" s="93"/>
      <c r="B1853" s="93"/>
      <c r="C1853" s="1"/>
      <c r="D1853" s="93"/>
      <c r="E1853" s="93"/>
      <c r="F1853" s="93"/>
      <c r="G1853" s="93"/>
      <c r="H1853" s="93"/>
      <c r="I1853" s="93"/>
      <c r="J1853" s="5"/>
      <c r="K1853" s="36"/>
      <c r="L1853" s="36"/>
      <c r="M1853" s="5"/>
      <c r="N1853" s="5"/>
      <c r="O1853" s="5"/>
    </row>
    <row r="1854" spans="1:15" ht="37.049999999999997" customHeight="1">
      <c r="A1854" s="101" t="s">
        <v>43</v>
      </c>
      <c r="B1854" s="102"/>
      <c r="C1854" s="102"/>
      <c r="D1854" s="102"/>
      <c r="E1854" s="102"/>
      <c r="F1854" s="102"/>
      <c r="G1854" s="102"/>
      <c r="H1854" s="102"/>
      <c r="I1854" s="102"/>
      <c r="J1854" s="102"/>
      <c r="K1854" s="102"/>
      <c r="L1854" s="102"/>
      <c r="M1854" s="102"/>
      <c r="N1854" s="102"/>
      <c r="O1854" s="103"/>
    </row>
    <row r="1855" spans="1:15" ht="21" customHeight="1">
      <c r="A1855" s="37" t="s">
        <v>15</v>
      </c>
      <c r="B1855" s="38"/>
      <c r="C1855" s="39"/>
      <c r="D1855" s="90" t="s">
        <v>587</v>
      </c>
      <c r="E1855" s="91"/>
      <c r="F1855" s="91"/>
      <c r="G1855" s="91"/>
      <c r="H1855" s="91"/>
      <c r="I1855" s="91"/>
      <c r="J1855" s="91"/>
      <c r="K1855" s="91"/>
      <c r="L1855" s="91"/>
      <c r="M1855" s="91"/>
      <c r="N1855" s="91"/>
      <c r="O1855" s="92"/>
    </row>
    <row r="1856" spans="1:15" ht="19.95" customHeight="1">
      <c r="A1856" s="37" t="s">
        <v>19</v>
      </c>
      <c r="B1856" s="38"/>
      <c r="C1856" s="39"/>
      <c r="D1856" s="90" t="s">
        <v>20</v>
      </c>
      <c r="E1856" s="91"/>
      <c r="F1856" s="91"/>
      <c r="G1856" s="91"/>
      <c r="H1856" s="91"/>
      <c r="I1856" s="91"/>
      <c r="J1856" s="91"/>
      <c r="K1856" s="91"/>
      <c r="L1856" s="91"/>
      <c r="M1856" s="91"/>
      <c r="N1856" s="91"/>
      <c r="O1856" s="92"/>
    </row>
    <row r="1857" spans="1:15" ht="19.95" customHeight="1">
      <c r="A1857" s="37" t="s">
        <v>21</v>
      </c>
      <c r="B1857" s="38"/>
      <c r="C1857" s="39"/>
      <c r="D1857" s="90" t="s">
        <v>595</v>
      </c>
      <c r="E1857" s="91"/>
      <c r="F1857" s="91"/>
      <c r="G1857" s="91"/>
      <c r="H1857" s="91"/>
      <c r="I1857" s="91"/>
      <c r="J1857" s="91"/>
      <c r="K1857" s="91"/>
      <c r="L1857" s="91"/>
      <c r="M1857" s="91"/>
      <c r="N1857" s="91"/>
      <c r="O1857" s="92"/>
    </row>
    <row r="1858" spans="1:15" ht="21" customHeight="1">
      <c r="A1858" s="37" t="s">
        <v>45</v>
      </c>
      <c r="B1858" s="38"/>
      <c r="C1858" s="39"/>
      <c r="D1858" s="90" t="s">
        <v>596</v>
      </c>
      <c r="E1858" s="91"/>
      <c r="F1858" s="91"/>
      <c r="G1858" s="91"/>
      <c r="H1858" s="91"/>
      <c r="I1858" s="91"/>
      <c r="J1858" s="91"/>
      <c r="K1858" s="91"/>
      <c r="L1858" s="91"/>
      <c r="M1858" s="91"/>
      <c r="N1858" s="91"/>
      <c r="O1858" s="92"/>
    </row>
    <row r="1859" spans="1:15" ht="19.95" customHeight="1">
      <c r="A1859" s="37" t="s">
        <v>23</v>
      </c>
      <c r="B1859" s="38"/>
      <c r="C1859" s="39"/>
      <c r="D1859" s="90" t="s">
        <v>24</v>
      </c>
      <c r="E1859" s="91"/>
      <c r="F1859" s="91"/>
      <c r="G1859" s="91"/>
      <c r="H1859" s="91"/>
      <c r="I1859" s="91"/>
      <c r="J1859" s="91"/>
      <c r="K1859" s="91"/>
      <c r="L1859" s="91"/>
      <c r="M1859" s="91"/>
      <c r="N1859" s="91"/>
      <c r="O1859" s="92"/>
    </row>
    <row r="1860" spans="1:15" ht="19.5" customHeight="1">
      <c r="A1860" s="37" t="s">
        <v>47</v>
      </c>
      <c r="B1860" s="38"/>
      <c r="C1860" s="39"/>
      <c r="D1860" s="90" t="s">
        <v>48</v>
      </c>
      <c r="E1860" s="91"/>
      <c r="F1860" s="91"/>
      <c r="G1860" s="91"/>
      <c r="H1860" s="91"/>
      <c r="I1860" s="91"/>
      <c r="J1860" s="91"/>
      <c r="K1860" s="91"/>
      <c r="L1860" s="91"/>
      <c r="M1860" s="91"/>
      <c r="N1860" s="91"/>
      <c r="O1860" s="92"/>
    </row>
    <row r="1861" spans="1:15" ht="20.55" customHeight="1">
      <c r="A1861" s="93"/>
      <c r="B1861" s="93"/>
      <c r="C1861" s="1"/>
      <c r="D1861" s="93"/>
      <c r="E1861" s="93"/>
      <c r="F1861" s="93"/>
      <c r="G1861" s="93"/>
      <c r="H1861" s="93"/>
      <c r="I1861" s="93"/>
      <c r="J1861" s="5"/>
      <c r="K1861" s="36"/>
      <c r="L1861" s="36"/>
      <c r="M1861" s="5"/>
      <c r="N1861" s="5"/>
      <c r="O1861" s="5"/>
    </row>
    <row r="1862" spans="1:15" ht="37.950000000000003" customHeight="1">
      <c r="A1862" s="87" t="s">
        <v>49</v>
      </c>
      <c r="B1862" s="88"/>
      <c r="C1862" s="88"/>
      <c r="D1862" s="88"/>
      <c r="E1862" s="88"/>
      <c r="F1862" s="88"/>
      <c r="G1862" s="88"/>
      <c r="H1862" s="88"/>
      <c r="I1862" s="88"/>
      <c r="J1862" s="88"/>
      <c r="K1862" s="88"/>
      <c r="L1862" s="88"/>
      <c r="M1862" s="88"/>
      <c r="N1862" s="88"/>
      <c r="O1862" s="89"/>
    </row>
    <row r="1863" spans="1:15" ht="19.95" customHeight="1">
      <c r="A1863" s="61" t="s">
        <v>50</v>
      </c>
      <c r="B1863" s="62"/>
      <c r="C1863" s="65" t="s">
        <v>51</v>
      </c>
      <c r="D1863" s="66"/>
      <c r="E1863" s="67"/>
      <c r="F1863" s="71" t="s">
        <v>52</v>
      </c>
      <c r="G1863" s="72"/>
      <c r="H1863" s="72"/>
      <c r="I1863" s="72"/>
      <c r="J1863" s="72"/>
      <c r="K1863" s="72"/>
      <c r="L1863" s="72"/>
      <c r="M1863" s="72"/>
      <c r="N1863" s="73"/>
      <c r="O1863" s="74" t="s">
        <v>53</v>
      </c>
    </row>
    <row r="1864" spans="1:15" ht="21" customHeight="1">
      <c r="A1864" s="63"/>
      <c r="B1864" s="64"/>
      <c r="C1864" s="68"/>
      <c r="D1864" s="69"/>
      <c r="E1864" s="70"/>
      <c r="F1864" s="76" t="s">
        <v>54</v>
      </c>
      <c r="G1864" s="77"/>
      <c r="H1864" s="71" t="s">
        <v>55</v>
      </c>
      <c r="I1864" s="73"/>
      <c r="J1864" s="94" t="s">
        <v>56</v>
      </c>
      <c r="K1864" s="95"/>
      <c r="L1864" s="96"/>
      <c r="M1864" s="80" t="s">
        <v>57</v>
      </c>
      <c r="N1864" s="82"/>
      <c r="O1864" s="75"/>
    </row>
    <row r="1865" spans="1:15" ht="30" customHeight="1">
      <c r="A1865" s="83">
        <v>5</v>
      </c>
      <c r="B1865" s="84"/>
      <c r="C1865" s="46" t="s">
        <v>58</v>
      </c>
      <c r="D1865" s="47"/>
      <c r="E1865" s="47"/>
      <c r="F1865" s="47"/>
      <c r="G1865" s="47"/>
      <c r="H1865" s="47"/>
      <c r="I1865" s="47"/>
      <c r="J1865" s="47"/>
      <c r="K1865" s="47"/>
      <c r="L1865" s="47"/>
      <c r="M1865" s="47"/>
      <c r="N1865" s="48"/>
      <c r="O1865" s="13">
        <v>246330000</v>
      </c>
    </row>
    <row r="1866" spans="1:15" ht="31.05" customHeight="1">
      <c r="A1866" s="46" t="s">
        <v>59</v>
      </c>
      <c r="B1866" s="48"/>
      <c r="C1866" s="46" t="s">
        <v>60</v>
      </c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8"/>
      <c r="O1866" s="13">
        <v>246330000</v>
      </c>
    </row>
    <row r="1867" spans="1:15" ht="31.05" customHeight="1">
      <c r="A1867" s="85">
        <v>37377</v>
      </c>
      <c r="B1867" s="86"/>
      <c r="C1867" s="46" t="s">
        <v>61</v>
      </c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8"/>
      <c r="O1867" s="13">
        <v>246330000</v>
      </c>
    </row>
    <row r="1868" spans="1:15" ht="19.95" customHeight="1">
      <c r="A1868" s="46" t="s">
        <v>138</v>
      </c>
      <c r="B1868" s="48"/>
      <c r="C1868" s="46" t="s">
        <v>139</v>
      </c>
      <c r="D1868" s="47"/>
      <c r="E1868" s="47"/>
      <c r="F1868" s="47"/>
      <c r="G1868" s="47"/>
      <c r="H1868" s="47"/>
      <c r="I1868" s="47"/>
      <c r="J1868" s="47"/>
      <c r="K1868" s="47"/>
      <c r="L1868" s="47"/>
      <c r="M1868" s="47"/>
      <c r="N1868" s="48"/>
      <c r="O1868" s="6">
        <v>22000000</v>
      </c>
    </row>
    <row r="1869" spans="1:15" ht="19.95" customHeight="1">
      <c r="A1869" s="46" t="s">
        <v>140</v>
      </c>
      <c r="B1869" s="48"/>
      <c r="C1869" s="46" t="s">
        <v>141</v>
      </c>
      <c r="D1869" s="47"/>
      <c r="E1869" s="47"/>
      <c r="F1869" s="47"/>
      <c r="G1869" s="47"/>
      <c r="H1869" s="47"/>
      <c r="I1869" s="47"/>
      <c r="J1869" s="47"/>
      <c r="K1869" s="47"/>
      <c r="L1869" s="47"/>
      <c r="M1869" s="47"/>
      <c r="N1869" s="48"/>
      <c r="O1869" s="6">
        <v>22000000</v>
      </c>
    </row>
    <row r="1870" spans="1:15" ht="31.05" customHeight="1">
      <c r="A1870" s="30" t="s">
        <v>597</v>
      </c>
      <c r="B1870" s="32"/>
      <c r="C1870" s="46" t="s">
        <v>598</v>
      </c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8"/>
      <c r="O1870" s="6">
        <v>22000000</v>
      </c>
    </row>
    <row r="1871" spans="1:15" ht="30.75" customHeight="1">
      <c r="A1871" s="40"/>
      <c r="B1871" s="42"/>
      <c r="C1871" s="30" t="s">
        <v>599</v>
      </c>
      <c r="D1871" s="31"/>
      <c r="E1871" s="31"/>
      <c r="F1871" s="31"/>
      <c r="G1871" s="31"/>
      <c r="H1871" s="31"/>
      <c r="I1871" s="31"/>
      <c r="J1871" s="31"/>
      <c r="K1871" s="31"/>
      <c r="L1871" s="31"/>
      <c r="M1871" s="31"/>
      <c r="N1871" s="32"/>
      <c r="O1871" s="6">
        <v>22000000</v>
      </c>
    </row>
    <row r="1872" spans="1:15" ht="37.950000000000003" customHeight="1">
      <c r="A1872" s="87" t="s">
        <v>49</v>
      </c>
      <c r="B1872" s="88"/>
      <c r="C1872" s="88"/>
      <c r="D1872" s="88"/>
      <c r="E1872" s="88"/>
      <c r="F1872" s="88"/>
      <c r="G1872" s="88"/>
      <c r="H1872" s="88"/>
      <c r="I1872" s="88"/>
      <c r="J1872" s="88"/>
      <c r="K1872" s="88"/>
      <c r="L1872" s="88"/>
      <c r="M1872" s="88"/>
      <c r="N1872" s="88"/>
      <c r="O1872" s="89"/>
    </row>
    <row r="1873" spans="1:15" ht="19.95" customHeight="1">
      <c r="A1873" s="61" t="s">
        <v>50</v>
      </c>
      <c r="B1873" s="62"/>
      <c r="C1873" s="65" t="s">
        <v>51</v>
      </c>
      <c r="D1873" s="66"/>
      <c r="E1873" s="67"/>
      <c r="F1873" s="71" t="s">
        <v>52</v>
      </c>
      <c r="G1873" s="72"/>
      <c r="H1873" s="72"/>
      <c r="I1873" s="72"/>
      <c r="J1873" s="72"/>
      <c r="K1873" s="72"/>
      <c r="L1873" s="72"/>
      <c r="M1873" s="72"/>
      <c r="N1873" s="73"/>
      <c r="O1873" s="74" t="s">
        <v>53</v>
      </c>
    </row>
    <row r="1874" spans="1:15" ht="21" customHeight="1">
      <c r="A1874" s="63"/>
      <c r="B1874" s="64"/>
      <c r="C1874" s="68"/>
      <c r="D1874" s="69"/>
      <c r="E1874" s="70"/>
      <c r="F1874" s="76" t="s">
        <v>54</v>
      </c>
      <c r="G1874" s="77"/>
      <c r="H1874" s="71" t="s">
        <v>55</v>
      </c>
      <c r="I1874" s="73"/>
      <c r="J1874" s="78" t="s">
        <v>56</v>
      </c>
      <c r="K1874" s="79"/>
      <c r="L1874" s="80" t="s">
        <v>57</v>
      </c>
      <c r="M1874" s="81"/>
      <c r="N1874" s="82"/>
      <c r="O1874" s="75"/>
    </row>
    <row r="1875" spans="1:15" ht="19.95" customHeight="1">
      <c r="A1875" s="40"/>
      <c r="B1875" s="42"/>
      <c r="C1875" s="46" t="s">
        <v>69</v>
      </c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8"/>
      <c r="O1875" s="8">
        <v>22000000</v>
      </c>
    </row>
    <row r="1876" spans="1:15" ht="60" customHeight="1">
      <c r="A1876" s="30"/>
      <c r="B1876" s="32"/>
      <c r="C1876" s="116" t="s">
        <v>600</v>
      </c>
      <c r="D1876" s="117"/>
      <c r="E1876" s="118"/>
      <c r="F1876" s="52">
        <v>4</v>
      </c>
      <c r="G1876" s="53"/>
      <c r="H1876" s="54" t="s">
        <v>601</v>
      </c>
      <c r="I1876" s="55"/>
      <c r="J1876" s="56">
        <v>2000000</v>
      </c>
      <c r="K1876" s="57"/>
      <c r="L1876" s="58">
        <v>0</v>
      </c>
      <c r="M1876" s="59"/>
      <c r="N1876" s="60"/>
      <c r="O1876" s="7">
        <v>8000000</v>
      </c>
    </row>
    <row r="1877" spans="1:15" ht="61.05" customHeight="1">
      <c r="A1877" s="30"/>
      <c r="B1877" s="32"/>
      <c r="C1877" s="116" t="s">
        <v>600</v>
      </c>
      <c r="D1877" s="117"/>
      <c r="E1877" s="118"/>
      <c r="F1877" s="52">
        <v>1</v>
      </c>
      <c r="G1877" s="53"/>
      <c r="H1877" s="54" t="s">
        <v>601</v>
      </c>
      <c r="I1877" s="55"/>
      <c r="J1877" s="56">
        <v>500000</v>
      </c>
      <c r="K1877" s="57"/>
      <c r="L1877" s="58">
        <v>0</v>
      </c>
      <c r="M1877" s="59"/>
      <c r="N1877" s="60"/>
      <c r="O1877" s="7">
        <v>500000</v>
      </c>
    </row>
    <row r="1878" spans="1:15" ht="60" customHeight="1">
      <c r="A1878" s="30"/>
      <c r="B1878" s="32"/>
      <c r="C1878" s="116" t="s">
        <v>600</v>
      </c>
      <c r="D1878" s="117"/>
      <c r="E1878" s="118"/>
      <c r="F1878" s="52">
        <v>3</v>
      </c>
      <c r="G1878" s="53"/>
      <c r="H1878" s="54" t="s">
        <v>601</v>
      </c>
      <c r="I1878" s="55"/>
      <c r="J1878" s="56">
        <v>1000000</v>
      </c>
      <c r="K1878" s="57"/>
      <c r="L1878" s="58">
        <v>0</v>
      </c>
      <c r="M1878" s="59"/>
      <c r="N1878" s="60"/>
      <c r="O1878" s="7">
        <v>3000000</v>
      </c>
    </row>
    <row r="1879" spans="1:15" ht="61.05" customHeight="1">
      <c r="A1879" s="30"/>
      <c r="B1879" s="32"/>
      <c r="C1879" s="116" t="s">
        <v>600</v>
      </c>
      <c r="D1879" s="117"/>
      <c r="E1879" s="118"/>
      <c r="F1879" s="52">
        <v>7</v>
      </c>
      <c r="G1879" s="53"/>
      <c r="H1879" s="54" t="s">
        <v>601</v>
      </c>
      <c r="I1879" s="55"/>
      <c r="J1879" s="56">
        <v>1500000</v>
      </c>
      <c r="K1879" s="57"/>
      <c r="L1879" s="58">
        <v>0</v>
      </c>
      <c r="M1879" s="59"/>
      <c r="N1879" s="60"/>
      <c r="O1879" s="7">
        <v>10500000</v>
      </c>
    </row>
    <row r="1880" spans="1:15" ht="30" customHeight="1">
      <c r="A1880" s="46" t="s">
        <v>602</v>
      </c>
      <c r="B1880" s="48"/>
      <c r="C1880" s="46" t="s">
        <v>603</v>
      </c>
      <c r="D1880" s="47"/>
      <c r="E1880" s="47"/>
      <c r="F1880" s="47"/>
      <c r="G1880" s="47"/>
      <c r="H1880" s="47"/>
      <c r="I1880" s="47"/>
      <c r="J1880" s="47"/>
      <c r="K1880" s="47"/>
      <c r="L1880" s="47"/>
      <c r="M1880" s="47"/>
      <c r="N1880" s="48"/>
      <c r="O1880" s="13">
        <v>224330000</v>
      </c>
    </row>
    <row r="1881" spans="1:15" ht="31.05" customHeight="1">
      <c r="A1881" s="46" t="s">
        <v>604</v>
      </c>
      <c r="B1881" s="48"/>
      <c r="C1881" s="46" t="s">
        <v>605</v>
      </c>
      <c r="D1881" s="47"/>
      <c r="E1881" s="47"/>
      <c r="F1881" s="47"/>
      <c r="G1881" s="47"/>
      <c r="H1881" s="47"/>
      <c r="I1881" s="47"/>
      <c r="J1881" s="47"/>
      <c r="K1881" s="47"/>
      <c r="L1881" s="47"/>
      <c r="M1881" s="47"/>
      <c r="N1881" s="48"/>
      <c r="O1881" s="13">
        <v>224330000</v>
      </c>
    </row>
    <row r="1882" spans="1:15" ht="31.05" customHeight="1">
      <c r="A1882" s="30" t="s">
        <v>606</v>
      </c>
      <c r="B1882" s="32"/>
      <c r="C1882" s="46" t="s">
        <v>607</v>
      </c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8"/>
      <c r="O1882" s="13">
        <v>224330000</v>
      </c>
    </row>
    <row r="1883" spans="1:15" ht="30" customHeight="1">
      <c r="A1883" s="40"/>
      <c r="B1883" s="42"/>
      <c r="C1883" s="30" t="s">
        <v>608</v>
      </c>
      <c r="D1883" s="31"/>
      <c r="E1883" s="31"/>
      <c r="F1883" s="31"/>
      <c r="G1883" s="31"/>
      <c r="H1883" s="31"/>
      <c r="I1883" s="31"/>
      <c r="J1883" s="31"/>
      <c r="K1883" s="31"/>
      <c r="L1883" s="31"/>
      <c r="M1883" s="31"/>
      <c r="N1883" s="32"/>
      <c r="O1883" s="13">
        <v>224330000</v>
      </c>
    </row>
    <row r="1884" spans="1:15" ht="31.05" customHeight="1">
      <c r="A1884" s="40"/>
      <c r="B1884" s="42"/>
      <c r="C1884" s="46" t="s">
        <v>69</v>
      </c>
      <c r="D1884" s="47"/>
      <c r="E1884" s="47"/>
      <c r="F1884" s="47"/>
      <c r="G1884" s="47"/>
      <c r="H1884" s="47"/>
      <c r="I1884" s="47"/>
      <c r="J1884" s="47"/>
      <c r="K1884" s="47"/>
      <c r="L1884" s="47"/>
      <c r="M1884" s="47"/>
      <c r="N1884" s="48"/>
      <c r="O1884" s="13">
        <v>224330000</v>
      </c>
    </row>
    <row r="1885" spans="1:15" ht="81" customHeight="1">
      <c r="A1885" s="30"/>
      <c r="B1885" s="32"/>
      <c r="C1885" s="49" t="s">
        <v>609</v>
      </c>
      <c r="D1885" s="50"/>
      <c r="E1885" s="51"/>
      <c r="F1885" s="52">
        <v>2</v>
      </c>
      <c r="G1885" s="53"/>
      <c r="H1885" s="54" t="s">
        <v>601</v>
      </c>
      <c r="I1885" s="55"/>
      <c r="J1885" s="56">
        <v>10500000</v>
      </c>
      <c r="K1885" s="57"/>
      <c r="L1885" s="58">
        <v>0</v>
      </c>
      <c r="M1885" s="59"/>
      <c r="N1885" s="60"/>
      <c r="O1885" s="7">
        <v>21000000</v>
      </c>
    </row>
    <row r="1886" spans="1:15" ht="70.95" customHeight="1">
      <c r="A1886" s="30"/>
      <c r="B1886" s="32"/>
      <c r="C1886" s="49" t="s">
        <v>610</v>
      </c>
      <c r="D1886" s="50"/>
      <c r="E1886" s="51"/>
      <c r="F1886" s="52">
        <v>11</v>
      </c>
      <c r="G1886" s="53"/>
      <c r="H1886" s="54" t="s">
        <v>601</v>
      </c>
      <c r="I1886" s="55"/>
      <c r="J1886" s="56">
        <v>15000000</v>
      </c>
      <c r="K1886" s="57"/>
      <c r="L1886" s="58">
        <v>0</v>
      </c>
      <c r="M1886" s="59"/>
      <c r="N1886" s="60"/>
      <c r="O1886" s="16">
        <v>165000000</v>
      </c>
    </row>
    <row r="1887" spans="1:15" ht="81" customHeight="1">
      <c r="A1887" s="30"/>
      <c r="B1887" s="32"/>
      <c r="C1887" s="49" t="s">
        <v>611</v>
      </c>
      <c r="D1887" s="50"/>
      <c r="E1887" s="51"/>
      <c r="F1887" s="52">
        <v>1</v>
      </c>
      <c r="G1887" s="53"/>
      <c r="H1887" s="54" t="s">
        <v>601</v>
      </c>
      <c r="I1887" s="55"/>
      <c r="J1887" s="56">
        <v>38330000</v>
      </c>
      <c r="K1887" s="57"/>
      <c r="L1887" s="58">
        <v>0</v>
      </c>
      <c r="M1887" s="59"/>
      <c r="N1887" s="60"/>
      <c r="O1887" s="7">
        <v>38330000</v>
      </c>
    </row>
    <row r="1888" spans="1:15" ht="31.05" customHeight="1">
      <c r="A1888" s="27" t="s">
        <v>89</v>
      </c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9"/>
      <c r="O1888" s="13">
        <v>246330000</v>
      </c>
    </row>
    <row r="1889" spans="1:15" ht="153" customHeight="1">
      <c r="A1889" s="30"/>
      <c r="B1889" s="31"/>
      <c r="C1889" s="31"/>
      <c r="D1889" s="31"/>
      <c r="E1889" s="31"/>
      <c r="F1889" s="31"/>
      <c r="G1889" s="32"/>
      <c r="H1889" s="33" t="s">
        <v>90</v>
      </c>
      <c r="I1889" s="34"/>
      <c r="J1889" s="34"/>
      <c r="K1889" s="34"/>
      <c r="L1889" s="34"/>
      <c r="M1889" s="34"/>
      <c r="N1889" s="34"/>
      <c r="O1889" s="35"/>
    </row>
    <row r="1890" spans="1:15" ht="20.55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36"/>
      <c r="K1890" s="36"/>
      <c r="L1890" s="36"/>
      <c r="M1890" s="36"/>
      <c r="N1890" s="36"/>
      <c r="O1890" s="5"/>
    </row>
    <row r="1891" spans="1:15" ht="21" customHeight="1">
      <c r="A1891" s="37" t="s">
        <v>91</v>
      </c>
      <c r="B1891" s="38"/>
      <c r="C1891" s="39"/>
      <c r="D1891" s="2" t="s">
        <v>48</v>
      </c>
      <c r="E1891" s="40"/>
      <c r="F1891" s="41"/>
      <c r="G1891" s="41"/>
      <c r="H1891" s="41"/>
      <c r="I1891" s="41"/>
      <c r="J1891" s="41"/>
      <c r="K1891" s="41"/>
      <c r="L1891" s="41"/>
      <c r="M1891" s="41"/>
      <c r="N1891" s="41"/>
      <c r="O1891" s="42"/>
    </row>
    <row r="1892" spans="1:15" ht="19.95" customHeight="1">
      <c r="A1892" s="37" t="s">
        <v>92</v>
      </c>
      <c r="B1892" s="38"/>
      <c r="C1892" s="39"/>
      <c r="D1892" s="2" t="s">
        <v>48</v>
      </c>
      <c r="E1892" s="40"/>
      <c r="F1892" s="41"/>
      <c r="G1892" s="41"/>
      <c r="H1892" s="41"/>
      <c r="I1892" s="41"/>
      <c r="J1892" s="41"/>
      <c r="K1892" s="41"/>
      <c r="L1892" s="41"/>
      <c r="M1892" s="41"/>
      <c r="N1892" s="41"/>
      <c r="O1892" s="42"/>
    </row>
    <row r="1893" spans="1:15" ht="19.95" customHeight="1">
      <c r="A1893" s="37" t="s">
        <v>93</v>
      </c>
      <c r="B1893" s="38"/>
      <c r="C1893" s="39"/>
      <c r="D1893" s="2" t="s">
        <v>48</v>
      </c>
      <c r="E1893" s="40"/>
      <c r="F1893" s="41"/>
      <c r="G1893" s="41"/>
      <c r="H1893" s="41"/>
      <c r="I1893" s="41"/>
      <c r="J1893" s="41"/>
      <c r="K1893" s="41"/>
      <c r="L1893" s="41"/>
      <c r="M1893" s="41"/>
      <c r="N1893" s="41"/>
      <c r="O1893" s="42"/>
    </row>
    <row r="1894" spans="1:15" ht="21" customHeight="1">
      <c r="A1894" s="43">
        <v>1</v>
      </c>
      <c r="B1894" s="44"/>
      <c r="C1894" s="44"/>
      <c r="D1894" s="44"/>
      <c r="E1894" s="44"/>
      <c r="F1894" s="44"/>
      <c r="G1894" s="44"/>
      <c r="H1894" s="44"/>
      <c r="I1894" s="44"/>
      <c r="J1894" s="44"/>
      <c r="K1894" s="44"/>
      <c r="L1894" s="44"/>
      <c r="M1894" s="44"/>
      <c r="N1894" s="44"/>
      <c r="O1894" s="45"/>
    </row>
    <row r="1895" spans="1:15" ht="19.95" customHeight="1">
      <c r="A1895" s="43">
        <v>2</v>
      </c>
      <c r="B1895" s="44"/>
      <c r="C1895" s="44"/>
      <c r="D1895" s="44"/>
      <c r="E1895" s="44"/>
      <c r="F1895" s="44"/>
      <c r="G1895" s="44"/>
      <c r="H1895" s="44"/>
      <c r="I1895" s="44"/>
      <c r="J1895" s="44"/>
      <c r="K1895" s="44"/>
      <c r="L1895" s="44"/>
      <c r="M1895" s="44"/>
      <c r="N1895" s="44"/>
      <c r="O1895" s="45"/>
    </row>
    <row r="1896" spans="1:15" ht="19.5" customHeight="1">
      <c r="A1896" s="37" t="s">
        <v>94</v>
      </c>
      <c r="B1896" s="38"/>
      <c r="C1896" s="38"/>
      <c r="D1896" s="38"/>
      <c r="E1896" s="38"/>
      <c r="F1896" s="38"/>
      <c r="G1896" s="38"/>
      <c r="H1896" s="38"/>
      <c r="I1896" s="38"/>
      <c r="J1896" s="38"/>
      <c r="K1896" s="38"/>
      <c r="L1896" s="38"/>
      <c r="M1896" s="38"/>
      <c r="N1896" s="38"/>
      <c r="O1896" s="39"/>
    </row>
    <row r="1897" spans="1:15" ht="20.55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36"/>
      <c r="K1897" s="36"/>
      <c r="L1897" s="36"/>
      <c r="M1897" s="36"/>
      <c r="N1897" s="36"/>
      <c r="O1897" s="5"/>
    </row>
    <row r="1898" spans="1:15" ht="22.05" customHeight="1">
      <c r="A1898" s="18" t="s">
        <v>95</v>
      </c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20"/>
    </row>
    <row r="1899" spans="1:15" ht="23.25" customHeight="1">
      <c r="A1899" s="4" t="s">
        <v>96</v>
      </c>
      <c r="B1899" s="120" t="s">
        <v>97</v>
      </c>
      <c r="C1899" s="121"/>
      <c r="D1899" s="121"/>
      <c r="E1899" s="121"/>
      <c r="F1899" s="122"/>
      <c r="G1899" s="120" t="s">
        <v>98</v>
      </c>
      <c r="H1899" s="122"/>
      <c r="I1899" s="120" t="s">
        <v>99</v>
      </c>
      <c r="J1899" s="121"/>
      <c r="K1899" s="122"/>
      <c r="L1899" s="123" t="s">
        <v>100</v>
      </c>
      <c r="M1899" s="124"/>
      <c r="N1899" s="124"/>
      <c r="O1899" s="125"/>
    </row>
    <row r="1900" spans="1:15" ht="22.05" customHeight="1">
      <c r="A1900" s="18" t="s">
        <v>95</v>
      </c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20"/>
    </row>
    <row r="1901" spans="1:15" ht="21" customHeight="1">
      <c r="A1901" s="3" t="s">
        <v>96</v>
      </c>
      <c r="B1901" s="18" t="s">
        <v>97</v>
      </c>
      <c r="C1901" s="19"/>
      <c r="D1901" s="19"/>
      <c r="E1901" s="19"/>
      <c r="F1901" s="20"/>
      <c r="G1901" s="18" t="s">
        <v>98</v>
      </c>
      <c r="H1901" s="20"/>
      <c r="I1901" s="18" t="s">
        <v>99</v>
      </c>
      <c r="J1901" s="19"/>
      <c r="K1901" s="20"/>
      <c r="L1901" s="21" t="s">
        <v>100</v>
      </c>
      <c r="M1901" s="22"/>
      <c r="N1901" s="22"/>
      <c r="O1901" s="23"/>
    </row>
    <row r="1902" spans="1:15" ht="22.05" customHeight="1">
      <c r="A1902" s="24" t="s">
        <v>101</v>
      </c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6"/>
    </row>
    <row r="1903" spans="1:15" ht="64.05" customHeight="1">
      <c r="A1903" s="106" t="s">
        <v>0</v>
      </c>
      <c r="B1903" s="107"/>
      <c r="C1903" s="107"/>
      <c r="D1903" s="107"/>
      <c r="E1903" s="107"/>
      <c r="F1903" s="107"/>
      <c r="G1903" s="107"/>
      <c r="H1903" s="107"/>
      <c r="I1903" s="107"/>
      <c r="J1903" s="108"/>
      <c r="K1903" s="109" t="s">
        <v>1</v>
      </c>
      <c r="L1903" s="110"/>
      <c r="M1903" s="110"/>
      <c r="N1903" s="110"/>
      <c r="O1903" s="111"/>
    </row>
    <row r="1904" spans="1:15" ht="23.55" customHeight="1">
      <c r="A1904" s="101" t="s">
        <v>674</v>
      </c>
      <c r="B1904" s="102"/>
      <c r="C1904" s="102"/>
      <c r="D1904" s="102"/>
      <c r="E1904" s="102"/>
      <c r="F1904" s="102"/>
      <c r="G1904" s="102"/>
      <c r="H1904" s="102"/>
      <c r="I1904" s="102"/>
      <c r="J1904" s="102"/>
      <c r="K1904" s="102"/>
      <c r="L1904" s="102"/>
      <c r="M1904" s="102"/>
      <c r="N1904" s="102"/>
      <c r="O1904" s="103"/>
    </row>
    <row r="1905" spans="1:15" ht="20.55" customHeight="1">
      <c r="A1905" s="93"/>
      <c r="B1905" s="93"/>
      <c r="C1905" s="1"/>
      <c r="D1905" s="93"/>
      <c r="E1905" s="93"/>
      <c r="F1905" s="93"/>
      <c r="G1905" s="93"/>
      <c r="H1905" s="93"/>
      <c r="I1905" s="93"/>
      <c r="J1905" s="5"/>
      <c r="K1905" s="36"/>
      <c r="L1905" s="36"/>
      <c r="M1905" s="5"/>
      <c r="N1905" s="5"/>
      <c r="O1905" s="5"/>
    </row>
    <row r="1906" spans="1:15" ht="37.049999999999997" customHeight="1">
      <c r="A1906" s="101" t="s">
        <v>2</v>
      </c>
      <c r="B1906" s="102"/>
      <c r="C1906" s="102"/>
      <c r="D1906" s="102"/>
      <c r="E1906" s="102"/>
      <c r="F1906" s="102"/>
      <c r="G1906" s="102"/>
      <c r="H1906" s="102"/>
      <c r="I1906" s="102"/>
      <c r="J1906" s="102"/>
      <c r="K1906" s="102"/>
      <c r="L1906" s="102"/>
      <c r="M1906" s="102"/>
      <c r="N1906" s="102"/>
      <c r="O1906" s="103"/>
    </row>
    <row r="1907" spans="1:15" ht="21" customHeight="1">
      <c r="A1907" s="37" t="s">
        <v>3</v>
      </c>
      <c r="B1907" s="38"/>
      <c r="C1907" s="39"/>
      <c r="D1907" s="90" t="s">
        <v>4</v>
      </c>
      <c r="E1907" s="91"/>
      <c r="F1907" s="91"/>
      <c r="G1907" s="91"/>
      <c r="H1907" s="91"/>
      <c r="I1907" s="91"/>
      <c r="J1907" s="91"/>
      <c r="K1907" s="91"/>
      <c r="L1907" s="91"/>
      <c r="M1907" s="91"/>
      <c r="N1907" s="91"/>
      <c r="O1907" s="92"/>
    </row>
    <row r="1908" spans="1:15" ht="22.05" customHeight="1">
      <c r="A1908" s="37" t="s">
        <v>5</v>
      </c>
      <c r="B1908" s="38"/>
      <c r="C1908" s="39"/>
      <c r="D1908" s="90" t="s">
        <v>6</v>
      </c>
      <c r="E1908" s="91"/>
      <c r="F1908" s="91"/>
      <c r="G1908" s="91"/>
      <c r="H1908" s="91"/>
      <c r="I1908" s="91"/>
      <c r="J1908" s="91"/>
      <c r="K1908" s="91"/>
      <c r="L1908" s="91"/>
      <c r="M1908" s="91"/>
      <c r="N1908" s="91"/>
      <c r="O1908" s="92"/>
    </row>
    <row r="1909" spans="1:15" ht="22.05" customHeight="1">
      <c r="A1909" s="37" t="s">
        <v>7</v>
      </c>
      <c r="B1909" s="38"/>
      <c r="C1909" s="39"/>
      <c r="D1909" s="90" t="s">
        <v>8</v>
      </c>
      <c r="E1909" s="91"/>
      <c r="F1909" s="91"/>
      <c r="G1909" s="91"/>
      <c r="H1909" s="91"/>
      <c r="I1909" s="91"/>
      <c r="J1909" s="91"/>
      <c r="K1909" s="91"/>
      <c r="L1909" s="91"/>
      <c r="M1909" s="91"/>
      <c r="N1909" s="91"/>
      <c r="O1909" s="92"/>
    </row>
    <row r="1910" spans="1:15" ht="21" customHeight="1">
      <c r="A1910" s="37" t="s">
        <v>9</v>
      </c>
      <c r="B1910" s="38"/>
      <c r="C1910" s="39"/>
      <c r="D1910" s="90" t="s">
        <v>10</v>
      </c>
      <c r="E1910" s="91"/>
      <c r="F1910" s="91"/>
      <c r="G1910" s="91"/>
      <c r="H1910" s="91"/>
      <c r="I1910" s="91"/>
      <c r="J1910" s="91"/>
      <c r="K1910" s="91"/>
      <c r="L1910" s="91"/>
      <c r="M1910" s="91"/>
      <c r="N1910" s="91"/>
      <c r="O1910" s="92"/>
    </row>
    <row r="1911" spans="1:15" ht="22.05" customHeight="1">
      <c r="A1911" s="37" t="s">
        <v>11</v>
      </c>
      <c r="B1911" s="38"/>
      <c r="C1911" s="39"/>
      <c r="D1911" s="90" t="s">
        <v>12</v>
      </c>
      <c r="E1911" s="91"/>
      <c r="F1911" s="91"/>
      <c r="G1911" s="91"/>
      <c r="H1911" s="91"/>
      <c r="I1911" s="91"/>
      <c r="J1911" s="91"/>
      <c r="K1911" s="91"/>
      <c r="L1911" s="91"/>
      <c r="M1911" s="91"/>
      <c r="N1911" s="91"/>
      <c r="O1911" s="92"/>
    </row>
    <row r="1912" spans="1:15" ht="22.05" customHeight="1">
      <c r="A1912" s="37" t="s">
        <v>13</v>
      </c>
      <c r="B1912" s="38"/>
      <c r="C1912" s="39"/>
      <c r="D1912" s="90" t="s">
        <v>586</v>
      </c>
      <c r="E1912" s="91"/>
      <c r="F1912" s="91"/>
      <c r="G1912" s="91"/>
      <c r="H1912" s="91"/>
      <c r="I1912" s="91"/>
      <c r="J1912" s="91"/>
      <c r="K1912" s="91"/>
      <c r="L1912" s="91"/>
      <c r="M1912" s="91"/>
      <c r="N1912" s="91"/>
      <c r="O1912" s="92"/>
    </row>
    <row r="1913" spans="1:15" ht="21" customHeight="1">
      <c r="A1913" s="37" t="s">
        <v>15</v>
      </c>
      <c r="B1913" s="38"/>
      <c r="C1913" s="39"/>
      <c r="D1913" s="90" t="s">
        <v>612</v>
      </c>
      <c r="E1913" s="91"/>
      <c r="F1913" s="91"/>
      <c r="G1913" s="91"/>
      <c r="H1913" s="91"/>
      <c r="I1913" s="91"/>
      <c r="J1913" s="91"/>
      <c r="K1913" s="91"/>
      <c r="L1913" s="91"/>
      <c r="M1913" s="91"/>
      <c r="N1913" s="91"/>
      <c r="O1913" s="92"/>
    </row>
    <row r="1914" spans="1:15" ht="22.05" customHeight="1">
      <c r="A1914" s="37" t="s">
        <v>17</v>
      </c>
      <c r="B1914" s="38"/>
      <c r="C1914" s="39"/>
      <c r="D1914" s="90" t="s">
        <v>10</v>
      </c>
      <c r="E1914" s="91"/>
      <c r="F1914" s="91"/>
      <c r="G1914" s="91"/>
      <c r="H1914" s="91"/>
      <c r="I1914" s="91"/>
      <c r="J1914" s="91"/>
      <c r="K1914" s="91"/>
      <c r="L1914" s="91"/>
      <c r="M1914" s="91"/>
      <c r="N1914" s="91"/>
      <c r="O1914" s="92"/>
    </row>
    <row r="1915" spans="1:15" ht="22.05" customHeight="1">
      <c r="A1915" s="37" t="s">
        <v>18</v>
      </c>
      <c r="B1915" s="38"/>
      <c r="C1915" s="39"/>
      <c r="D1915" s="90" t="s">
        <v>10</v>
      </c>
      <c r="E1915" s="91"/>
      <c r="F1915" s="91"/>
      <c r="G1915" s="91"/>
      <c r="H1915" s="91"/>
      <c r="I1915" s="91"/>
      <c r="J1915" s="91"/>
      <c r="K1915" s="91"/>
      <c r="L1915" s="91"/>
      <c r="M1915" s="91"/>
      <c r="N1915" s="91"/>
      <c r="O1915" s="92"/>
    </row>
    <row r="1916" spans="1:15" ht="22.05" customHeight="1">
      <c r="A1916" s="37" t="s">
        <v>19</v>
      </c>
      <c r="B1916" s="38"/>
      <c r="C1916" s="39"/>
      <c r="D1916" s="90" t="s">
        <v>20</v>
      </c>
      <c r="E1916" s="91"/>
      <c r="F1916" s="91"/>
      <c r="G1916" s="91"/>
      <c r="H1916" s="91"/>
      <c r="I1916" s="91"/>
      <c r="J1916" s="91"/>
      <c r="K1916" s="91"/>
      <c r="L1916" s="91"/>
      <c r="M1916" s="91"/>
      <c r="N1916" s="91"/>
      <c r="O1916" s="92"/>
    </row>
    <row r="1917" spans="1:15" ht="21" customHeight="1">
      <c r="A1917" s="37" t="s">
        <v>21</v>
      </c>
      <c r="B1917" s="38"/>
      <c r="C1917" s="39"/>
      <c r="D1917" s="90" t="s">
        <v>588</v>
      </c>
      <c r="E1917" s="91"/>
      <c r="F1917" s="91"/>
      <c r="G1917" s="91"/>
      <c r="H1917" s="91"/>
      <c r="I1917" s="91"/>
      <c r="J1917" s="91"/>
      <c r="K1917" s="91"/>
      <c r="L1917" s="91"/>
      <c r="M1917" s="91"/>
      <c r="N1917" s="91"/>
      <c r="O1917" s="92"/>
    </row>
    <row r="1918" spans="1:15" ht="22.05" customHeight="1">
      <c r="A1918" s="37" t="s">
        <v>23</v>
      </c>
      <c r="B1918" s="38"/>
      <c r="C1918" s="39"/>
      <c r="D1918" s="90" t="s">
        <v>24</v>
      </c>
      <c r="E1918" s="91"/>
      <c r="F1918" s="91"/>
      <c r="G1918" s="91"/>
      <c r="H1918" s="91"/>
      <c r="I1918" s="91"/>
      <c r="J1918" s="91"/>
      <c r="K1918" s="91"/>
      <c r="L1918" s="91"/>
      <c r="M1918" s="91"/>
      <c r="N1918" s="91"/>
      <c r="O1918" s="92"/>
    </row>
    <row r="1919" spans="1:15" ht="22.05" customHeight="1">
      <c r="A1919" s="37" t="s">
        <v>25</v>
      </c>
      <c r="B1919" s="38"/>
      <c r="C1919" s="39"/>
      <c r="D1919" s="90" t="s">
        <v>589</v>
      </c>
      <c r="E1919" s="91"/>
      <c r="F1919" s="91"/>
      <c r="G1919" s="91"/>
      <c r="H1919" s="91"/>
      <c r="I1919" s="91"/>
      <c r="J1919" s="91"/>
      <c r="K1919" s="91"/>
      <c r="L1919" s="91"/>
      <c r="M1919" s="91"/>
      <c r="N1919" s="91"/>
      <c r="O1919" s="92"/>
    </row>
    <row r="1920" spans="1:15" ht="21" customHeight="1">
      <c r="A1920" s="37" t="s">
        <v>670</v>
      </c>
      <c r="B1920" s="38"/>
      <c r="C1920" s="39"/>
      <c r="D1920" s="90" t="s">
        <v>27</v>
      </c>
      <c r="E1920" s="91"/>
      <c r="F1920" s="91"/>
      <c r="G1920" s="91"/>
      <c r="H1920" s="91"/>
      <c r="I1920" s="91"/>
      <c r="J1920" s="91"/>
      <c r="K1920" s="91"/>
      <c r="L1920" s="91"/>
      <c r="M1920" s="91"/>
      <c r="N1920" s="91"/>
      <c r="O1920" s="92"/>
    </row>
    <row r="1921" spans="1:15" ht="22.05" customHeight="1">
      <c r="A1921" s="37" t="s">
        <v>675</v>
      </c>
      <c r="B1921" s="38"/>
      <c r="C1921" s="39"/>
      <c r="D1921" s="90" t="s">
        <v>613</v>
      </c>
      <c r="E1921" s="91"/>
      <c r="F1921" s="91"/>
      <c r="G1921" s="91"/>
      <c r="H1921" s="91"/>
      <c r="I1921" s="91"/>
      <c r="J1921" s="91"/>
      <c r="K1921" s="91"/>
      <c r="L1921" s="91"/>
      <c r="M1921" s="91"/>
      <c r="N1921" s="91"/>
      <c r="O1921" s="92"/>
    </row>
    <row r="1922" spans="1:15" ht="21.45" customHeight="1">
      <c r="A1922" s="37" t="s">
        <v>676</v>
      </c>
      <c r="B1922" s="38"/>
      <c r="C1922" s="39"/>
      <c r="D1922" s="90" t="s">
        <v>614</v>
      </c>
      <c r="E1922" s="91"/>
      <c r="F1922" s="91"/>
      <c r="G1922" s="91"/>
      <c r="H1922" s="91"/>
      <c r="I1922" s="91"/>
      <c r="J1922" s="91"/>
      <c r="K1922" s="91"/>
      <c r="L1922" s="91"/>
      <c r="M1922" s="91"/>
      <c r="N1922" s="91"/>
      <c r="O1922" s="92"/>
    </row>
    <row r="1923" spans="1:15" ht="20.55" customHeight="1">
      <c r="A1923" s="93"/>
      <c r="B1923" s="93"/>
      <c r="C1923" s="1"/>
      <c r="D1923" s="93"/>
      <c r="E1923" s="93"/>
      <c r="F1923" s="93"/>
      <c r="G1923" s="93"/>
      <c r="H1923" s="93"/>
      <c r="I1923" s="93"/>
      <c r="J1923" s="5"/>
      <c r="K1923" s="36"/>
      <c r="L1923" s="36"/>
      <c r="M1923" s="5"/>
      <c r="N1923" s="5"/>
      <c r="O1923" s="5"/>
    </row>
    <row r="1924" spans="1:15" ht="22.95" customHeight="1">
      <c r="A1924" s="101" t="s">
        <v>29</v>
      </c>
      <c r="B1924" s="102"/>
      <c r="C1924" s="102"/>
      <c r="D1924" s="102"/>
      <c r="E1924" s="102"/>
      <c r="F1924" s="102"/>
      <c r="G1924" s="102"/>
      <c r="H1924" s="102"/>
      <c r="I1924" s="102"/>
      <c r="J1924" s="102"/>
      <c r="K1924" s="102"/>
      <c r="L1924" s="102"/>
      <c r="M1924" s="102"/>
      <c r="N1924" s="102"/>
      <c r="O1924" s="103"/>
    </row>
    <row r="1925" spans="1:15" ht="24" customHeight="1">
      <c r="A1925" s="101" t="s">
        <v>30</v>
      </c>
      <c r="B1925" s="102"/>
      <c r="C1925" s="103"/>
      <c r="D1925" s="101" t="s">
        <v>31</v>
      </c>
      <c r="E1925" s="102"/>
      <c r="F1925" s="102"/>
      <c r="G1925" s="102"/>
      <c r="H1925" s="102"/>
      <c r="I1925" s="102"/>
      <c r="J1925" s="102"/>
      <c r="K1925" s="102"/>
      <c r="L1925" s="102"/>
      <c r="M1925" s="103"/>
      <c r="N1925" s="104" t="s">
        <v>32</v>
      </c>
      <c r="O1925" s="105"/>
    </row>
    <row r="1926" spans="1:15" ht="21" customHeight="1">
      <c r="A1926" s="37" t="s">
        <v>33</v>
      </c>
      <c r="B1926" s="38"/>
      <c r="C1926" s="39"/>
      <c r="D1926" s="37" t="s">
        <v>34</v>
      </c>
      <c r="E1926" s="38"/>
      <c r="F1926" s="38"/>
      <c r="G1926" s="38"/>
      <c r="H1926" s="38"/>
      <c r="I1926" s="38"/>
      <c r="J1926" s="38"/>
      <c r="K1926" s="38"/>
      <c r="L1926" s="38"/>
      <c r="M1926" s="39"/>
      <c r="N1926" s="97" t="s">
        <v>35</v>
      </c>
      <c r="O1926" s="98"/>
    </row>
    <row r="1927" spans="1:15" ht="19.95" customHeight="1">
      <c r="A1927" s="37" t="s">
        <v>36</v>
      </c>
      <c r="B1927" s="38"/>
      <c r="C1927" s="39"/>
      <c r="D1927" s="37" t="s">
        <v>37</v>
      </c>
      <c r="E1927" s="38"/>
      <c r="F1927" s="38"/>
      <c r="G1927" s="38"/>
      <c r="H1927" s="38"/>
      <c r="I1927" s="38"/>
      <c r="J1927" s="38"/>
      <c r="K1927" s="38"/>
      <c r="L1927" s="38"/>
      <c r="M1927" s="39"/>
      <c r="N1927" s="97">
        <v>226400000</v>
      </c>
      <c r="O1927" s="98"/>
    </row>
    <row r="1928" spans="1:15" ht="19.95" customHeight="1">
      <c r="A1928" s="37" t="s">
        <v>38</v>
      </c>
      <c r="B1928" s="38"/>
      <c r="C1928" s="39"/>
      <c r="D1928" s="37" t="s">
        <v>615</v>
      </c>
      <c r="E1928" s="38"/>
      <c r="F1928" s="38"/>
      <c r="G1928" s="38"/>
      <c r="H1928" s="38"/>
      <c r="I1928" s="38"/>
      <c r="J1928" s="38"/>
      <c r="K1928" s="38"/>
      <c r="L1928" s="38"/>
      <c r="M1928" s="39"/>
      <c r="N1928" s="97" t="s">
        <v>616</v>
      </c>
      <c r="O1928" s="98"/>
    </row>
    <row r="1929" spans="1:15" ht="20.55" customHeight="1">
      <c r="A1929" s="37" t="s">
        <v>41</v>
      </c>
      <c r="B1929" s="38"/>
      <c r="C1929" s="39"/>
      <c r="D1929" s="37" t="s">
        <v>594</v>
      </c>
      <c r="E1929" s="38"/>
      <c r="F1929" s="38"/>
      <c r="G1929" s="38"/>
      <c r="H1929" s="38"/>
      <c r="I1929" s="38"/>
      <c r="J1929" s="38"/>
      <c r="K1929" s="38"/>
      <c r="L1929" s="38"/>
      <c r="M1929" s="39"/>
      <c r="N1929" s="99">
        <v>0.92</v>
      </c>
      <c r="O1929" s="100"/>
    </row>
    <row r="1930" spans="1:15" ht="20.55" customHeight="1">
      <c r="A1930" s="93"/>
      <c r="B1930" s="93"/>
      <c r="C1930" s="1"/>
      <c r="D1930" s="93"/>
      <c r="E1930" s="93"/>
      <c r="F1930" s="93"/>
      <c r="G1930" s="93"/>
      <c r="H1930" s="93"/>
      <c r="I1930" s="93"/>
      <c r="J1930" s="5"/>
      <c r="K1930" s="36"/>
      <c r="L1930" s="36"/>
      <c r="M1930" s="5"/>
      <c r="N1930" s="5"/>
      <c r="O1930" s="5"/>
    </row>
    <row r="1931" spans="1:15" ht="37.049999999999997" customHeight="1">
      <c r="A1931" s="101" t="s">
        <v>43</v>
      </c>
      <c r="B1931" s="102"/>
      <c r="C1931" s="102"/>
      <c r="D1931" s="102"/>
      <c r="E1931" s="102"/>
      <c r="F1931" s="102"/>
      <c r="G1931" s="102"/>
      <c r="H1931" s="102"/>
      <c r="I1931" s="102"/>
      <c r="J1931" s="102"/>
      <c r="K1931" s="102"/>
      <c r="L1931" s="102"/>
      <c r="M1931" s="102"/>
      <c r="N1931" s="102"/>
      <c r="O1931" s="103"/>
    </row>
    <row r="1932" spans="1:15" ht="21" customHeight="1">
      <c r="A1932" s="37" t="s">
        <v>15</v>
      </c>
      <c r="B1932" s="38"/>
      <c r="C1932" s="39"/>
      <c r="D1932" s="90" t="s">
        <v>612</v>
      </c>
      <c r="E1932" s="91"/>
      <c r="F1932" s="91"/>
      <c r="G1932" s="91"/>
      <c r="H1932" s="91"/>
      <c r="I1932" s="91"/>
      <c r="J1932" s="91"/>
      <c r="K1932" s="91"/>
      <c r="L1932" s="91"/>
      <c r="M1932" s="91"/>
      <c r="N1932" s="91"/>
      <c r="O1932" s="92"/>
    </row>
    <row r="1933" spans="1:15" ht="19.95" customHeight="1">
      <c r="A1933" s="37" t="s">
        <v>19</v>
      </c>
      <c r="B1933" s="38"/>
      <c r="C1933" s="39"/>
      <c r="D1933" s="90" t="s">
        <v>20</v>
      </c>
      <c r="E1933" s="91"/>
      <c r="F1933" s="91"/>
      <c r="G1933" s="91"/>
      <c r="H1933" s="91"/>
      <c r="I1933" s="91"/>
      <c r="J1933" s="91"/>
      <c r="K1933" s="91"/>
      <c r="L1933" s="91"/>
      <c r="M1933" s="91"/>
      <c r="N1933" s="91"/>
      <c r="O1933" s="92"/>
    </row>
    <row r="1934" spans="1:15" ht="19.95" customHeight="1">
      <c r="A1934" s="37" t="s">
        <v>21</v>
      </c>
      <c r="B1934" s="38"/>
      <c r="C1934" s="39"/>
      <c r="D1934" s="90" t="s">
        <v>595</v>
      </c>
      <c r="E1934" s="91"/>
      <c r="F1934" s="91"/>
      <c r="G1934" s="91"/>
      <c r="H1934" s="91"/>
      <c r="I1934" s="91"/>
      <c r="J1934" s="91"/>
      <c r="K1934" s="91"/>
      <c r="L1934" s="91"/>
      <c r="M1934" s="91"/>
      <c r="N1934" s="91"/>
      <c r="O1934" s="92"/>
    </row>
    <row r="1935" spans="1:15" ht="21" customHeight="1">
      <c r="A1935" s="37" t="s">
        <v>45</v>
      </c>
      <c r="B1935" s="38"/>
      <c r="C1935" s="39"/>
      <c r="D1935" s="90" t="s">
        <v>617</v>
      </c>
      <c r="E1935" s="91"/>
      <c r="F1935" s="91"/>
      <c r="G1935" s="91"/>
      <c r="H1935" s="91"/>
      <c r="I1935" s="91"/>
      <c r="J1935" s="91"/>
      <c r="K1935" s="91"/>
      <c r="L1935" s="91"/>
      <c r="M1935" s="91"/>
      <c r="N1935" s="91"/>
      <c r="O1935" s="92"/>
    </row>
    <row r="1936" spans="1:15" ht="19.95" customHeight="1">
      <c r="A1936" s="37" t="s">
        <v>23</v>
      </c>
      <c r="B1936" s="38"/>
      <c r="C1936" s="39"/>
      <c r="D1936" s="90" t="s">
        <v>24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2"/>
    </row>
    <row r="1937" spans="1:15" ht="19.5" customHeight="1">
      <c r="A1937" s="37" t="s">
        <v>47</v>
      </c>
      <c r="B1937" s="38"/>
      <c r="C1937" s="39"/>
      <c r="D1937" s="90" t="s">
        <v>48</v>
      </c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2"/>
    </row>
    <row r="1938" spans="1:15" ht="20.55" customHeight="1">
      <c r="A1938" s="93"/>
      <c r="B1938" s="93"/>
      <c r="C1938" s="1"/>
      <c r="D1938" s="93"/>
      <c r="E1938" s="93"/>
      <c r="F1938" s="93"/>
      <c r="G1938" s="93"/>
      <c r="H1938" s="93"/>
      <c r="I1938" s="93"/>
      <c r="J1938" s="5"/>
      <c r="K1938" s="36"/>
      <c r="L1938" s="36"/>
      <c r="M1938" s="5"/>
      <c r="N1938" s="5"/>
      <c r="O1938" s="5"/>
    </row>
    <row r="1939" spans="1:15" ht="37.950000000000003" customHeight="1">
      <c r="A1939" s="87" t="s">
        <v>49</v>
      </c>
      <c r="B1939" s="88"/>
      <c r="C1939" s="88"/>
      <c r="D1939" s="88"/>
      <c r="E1939" s="88"/>
      <c r="F1939" s="88"/>
      <c r="G1939" s="88"/>
      <c r="H1939" s="88"/>
      <c r="I1939" s="88"/>
      <c r="J1939" s="88"/>
      <c r="K1939" s="88"/>
      <c r="L1939" s="88"/>
      <c r="M1939" s="88"/>
      <c r="N1939" s="88"/>
      <c r="O1939" s="89"/>
    </row>
    <row r="1940" spans="1:15" ht="19.95" customHeight="1">
      <c r="A1940" s="61" t="s">
        <v>50</v>
      </c>
      <c r="B1940" s="62"/>
      <c r="C1940" s="65" t="s">
        <v>51</v>
      </c>
      <c r="D1940" s="66"/>
      <c r="E1940" s="67"/>
      <c r="F1940" s="71" t="s">
        <v>52</v>
      </c>
      <c r="G1940" s="72"/>
      <c r="H1940" s="72"/>
      <c r="I1940" s="72"/>
      <c r="J1940" s="72"/>
      <c r="K1940" s="72"/>
      <c r="L1940" s="72"/>
      <c r="M1940" s="72"/>
      <c r="N1940" s="73"/>
      <c r="O1940" s="74" t="s">
        <v>53</v>
      </c>
    </row>
    <row r="1941" spans="1:15" ht="21" customHeight="1">
      <c r="A1941" s="63"/>
      <c r="B1941" s="64"/>
      <c r="C1941" s="68"/>
      <c r="D1941" s="69"/>
      <c r="E1941" s="70"/>
      <c r="F1941" s="76" t="s">
        <v>54</v>
      </c>
      <c r="G1941" s="77"/>
      <c r="H1941" s="71" t="s">
        <v>55</v>
      </c>
      <c r="I1941" s="73"/>
      <c r="J1941" s="94" t="s">
        <v>56</v>
      </c>
      <c r="K1941" s="95"/>
      <c r="L1941" s="96"/>
      <c r="M1941" s="80" t="s">
        <v>57</v>
      </c>
      <c r="N1941" s="82"/>
      <c r="O1941" s="75"/>
    </row>
    <row r="1942" spans="1:15" ht="30" customHeight="1">
      <c r="A1942" s="83">
        <v>5</v>
      </c>
      <c r="B1942" s="84"/>
      <c r="C1942" s="46" t="s">
        <v>58</v>
      </c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8"/>
      <c r="O1942" s="13">
        <v>226400000</v>
      </c>
    </row>
    <row r="1943" spans="1:15" ht="31.05" customHeight="1">
      <c r="A1943" s="46" t="s">
        <v>59</v>
      </c>
      <c r="B1943" s="48"/>
      <c r="C1943" s="46" t="s">
        <v>60</v>
      </c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8"/>
      <c r="O1943" s="13">
        <v>226400000</v>
      </c>
    </row>
    <row r="1944" spans="1:15" ht="31.05" customHeight="1">
      <c r="A1944" s="85">
        <v>37377</v>
      </c>
      <c r="B1944" s="86"/>
      <c r="C1944" s="46" t="s">
        <v>61</v>
      </c>
      <c r="D1944" s="47"/>
      <c r="E1944" s="47"/>
      <c r="F1944" s="47"/>
      <c r="G1944" s="47"/>
      <c r="H1944" s="47"/>
      <c r="I1944" s="47"/>
      <c r="J1944" s="47"/>
      <c r="K1944" s="47"/>
      <c r="L1944" s="47"/>
      <c r="M1944" s="47"/>
      <c r="N1944" s="48"/>
      <c r="O1944" s="13">
        <v>226400000</v>
      </c>
    </row>
    <row r="1945" spans="1:15" ht="19.95" customHeight="1">
      <c r="A1945" s="46" t="s">
        <v>138</v>
      </c>
      <c r="B1945" s="48"/>
      <c r="C1945" s="46" t="s">
        <v>139</v>
      </c>
      <c r="D1945" s="47"/>
      <c r="E1945" s="47"/>
      <c r="F1945" s="47"/>
      <c r="G1945" s="47"/>
      <c r="H1945" s="47"/>
      <c r="I1945" s="47"/>
      <c r="J1945" s="47"/>
      <c r="K1945" s="47"/>
      <c r="L1945" s="47"/>
      <c r="M1945" s="47"/>
      <c r="N1945" s="48"/>
      <c r="O1945" s="6">
        <v>17400000</v>
      </c>
    </row>
    <row r="1946" spans="1:15" ht="19.95" customHeight="1">
      <c r="A1946" s="46" t="s">
        <v>140</v>
      </c>
      <c r="B1946" s="48"/>
      <c r="C1946" s="46" t="s">
        <v>141</v>
      </c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8"/>
      <c r="O1946" s="6">
        <v>17400000</v>
      </c>
    </row>
    <row r="1947" spans="1:15" ht="31.05" customHeight="1">
      <c r="A1947" s="30" t="s">
        <v>597</v>
      </c>
      <c r="B1947" s="32"/>
      <c r="C1947" s="46" t="s">
        <v>598</v>
      </c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8"/>
      <c r="O1947" s="6">
        <v>17400000</v>
      </c>
    </row>
    <row r="1948" spans="1:15" ht="30.75" customHeight="1">
      <c r="A1948" s="40"/>
      <c r="B1948" s="42"/>
      <c r="C1948" s="30" t="s">
        <v>599</v>
      </c>
      <c r="D1948" s="31"/>
      <c r="E1948" s="31"/>
      <c r="F1948" s="31"/>
      <c r="G1948" s="31"/>
      <c r="H1948" s="31"/>
      <c r="I1948" s="31"/>
      <c r="J1948" s="31"/>
      <c r="K1948" s="31"/>
      <c r="L1948" s="31"/>
      <c r="M1948" s="31"/>
      <c r="N1948" s="32"/>
      <c r="O1948" s="6">
        <v>17400000</v>
      </c>
    </row>
    <row r="1949" spans="1:15" ht="37.950000000000003" customHeight="1">
      <c r="A1949" s="87" t="s">
        <v>49</v>
      </c>
      <c r="B1949" s="88"/>
      <c r="C1949" s="88"/>
      <c r="D1949" s="88"/>
      <c r="E1949" s="88"/>
      <c r="F1949" s="88"/>
      <c r="G1949" s="88"/>
      <c r="H1949" s="88"/>
      <c r="I1949" s="88"/>
      <c r="J1949" s="88"/>
      <c r="K1949" s="88"/>
      <c r="L1949" s="88"/>
      <c r="M1949" s="88"/>
      <c r="N1949" s="88"/>
      <c r="O1949" s="89"/>
    </row>
    <row r="1950" spans="1:15" ht="19.95" customHeight="1">
      <c r="A1950" s="61" t="s">
        <v>50</v>
      </c>
      <c r="B1950" s="62"/>
      <c r="C1950" s="65" t="s">
        <v>51</v>
      </c>
      <c r="D1950" s="66"/>
      <c r="E1950" s="67"/>
      <c r="F1950" s="71" t="s">
        <v>52</v>
      </c>
      <c r="G1950" s="72"/>
      <c r="H1950" s="72"/>
      <c r="I1950" s="72"/>
      <c r="J1950" s="72"/>
      <c r="K1950" s="72"/>
      <c r="L1950" s="72"/>
      <c r="M1950" s="72"/>
      <c r="N1950" s="73"/>
      <c r="O1950" s="74" t="s">
        <v>53</v>
      </c>
    </row>
    <row r="1951" spans="1:15" ht="21" customHeight="1">
      <c r="A1951" s="63"/>
      <c r="B1951" s="64"/>
      <c r="C1951" s="68"/>
      <c r="D1951" s="69"/>
      <c r="E1951" s="70"/>
      <c r="F1951" s="76" t="s">
        <v>54</v>
      </c>
      <c r="G1951" s="77"/>
      <c r="H1951" s="71" t="s">
        <v>55</v>
      </c>
      <c r="I1951" s="73"/>
      <c r="J1951" s="94" t="s">
        <v>56</v>
      </c>
      <c r="K1951" s="95"/>
      <c r="L1951" s="96"/>
      <c r="M1951" s="80" t="s">
        <v>57</v>
      </c>
      <c r="N1951" s="82"/>
      <c r="O1951" s="75"/>
    </row>
    <row r="1952" spans="1:15" ht="19.95" customHeight="1">
      <c r="A1952" s="40"/>
      <c r="B1952" s="42"/>
      <c r="C1952" s="46" t="s">
        <v>69</v>
      </c>
      <c r="D1952" s="47"/>
      <c r="E1952" s="47"/>
      <c r="F1952" s="47"/>
      <c r="G1952" s="47"/>
      <c r="H1952" s="47"/>
      <c r="I1952" s="47"/>
      <c r="J1952" s="47"/>
      <c r="K1952" s="47"/>
      <c r="L1952" s="47"/>
      <c r="M1952" s="47"/>
      <c r="N1952" s="48"/>
      <c r="O1952" s="8">
        <v>17400000</v>
      </c>
    </row>
    <row r="1953" spans="1:15" ht="60" customHeight="1">
      <c r="A1953" s="30"/>
      <c r="B1953" s="32"/>
      <c r="C1953" s="116" t="s">
        <v>600</v>
      </c>
      <c r="D1953" s="117"/>
      <c r="E1953" s="118"/>
      <c r="F1953" s="52">
        <v>1</v>
      </c>
      <c r="G1953" s="53"/>
      <c r="H1953" s="54" t="s">
        <v>601</v>
      </c>
      <c r="I1953" s="55"/>
      <c r="J1953" s="56">
        <v>2000000</v>
      </c>
      <c r="K1953" s="119"/>
      <c r="L1953" s="57"/>
      <c r="M1953" s="56">
        <v>0</v>
      </c>
      <c r="N1953" s="57"/>
      <c r="O1953" s="7">
        <v>2000000</v>
      </c>
    </row>
    <row r="1954" spans="1:15" ht="61.05" customHeight="1">
      <c r="A1954" s="30"/>
      <c r="B1954" s="32"/>
      <c r="C1954" s="49" t="s">
        <v>618</v>
      </c>
      <c r="D1954" s="50"/>
      <c r="E1954" s="51"/>
      <c r="F1954" s="52">
        <v>2</v>
      </c>
      <c r="G1954" s="53"/>
      <c r="H1954" s="54" t="s">
        <v>601</v>
      </c>
      <c r="I1954" s="55"/>
      <c r="J1954" s="56">
        <v>200000</v>
      </c>
      <c r="K1954" s="119"/>
      <c r="L1954" s="57"/>
      <c r="M1954" s="56">
        <v>0</v>
      </c>
      <c r="N1954" s="57"/>
      <c r="O1954" s="7">
        <v>400000</v>
      </c>
    </row>
    <row r="1955" spans="1:15" ht="60" customHeight="1">
      <c r="A1955" s="30"/>
      <c r="B1955" s="32"/>
      <c r="C1955" s="116" t="s">
        <v>600</v>
      </c>
      <c r="D1955" s="117"/>
      <c r="E1955" s="118"/>
      <c r="F1955" s="52">
        <v>2</v>
      </c>
      <c r="G1955" s="53"/>
      <c r="H1955" s="54" t="s">
        <v>601</v>
      </c>
      <c r="I1955" s="55"/>
      <c r="J1955" s="56">
        <v>2500000</v>
      </c>
      <c r="K1955" s="119"/>
      <c r="L1955" s="57"/>
      <c r="M1955" s="56">
        <v>0</v>
      </c>
      <c r="N1955" s="57"/>
      <c r="O1955" s="7">
        <v>5000000</v>
      </c>
    </row>
    <row r="1956" spans="1:15" ht="61.05" customHeight="1">
      <c r="A1956" s="30"/>
      <c r="B1956" s="32"/>
      <c r="C1956" s="116" t="s">
        <v>600</v>
      </c>
      <c r="D1956" s="117"/>
      <c r="E1956" s="118"/>
      <c r="F1956" s="52">
        <v>4</v>
      </c>
      <c r="G1956" s="53"/>
      <c r="H1956" s="54" t="s">
        <v>601</v>
      </c>
      <c r="I1956" s="55"/>
      <c r="J1956" s="56">
        <v>1500000</v>
      </c>
      <c r="K1956" s="119"/>
      <c r="L1956" s="57"/>
      <c r="M1956" s="56">
        <v>0</v>
      </c>
      <c r="N1956" s="57"/>
      <c r="O1956" s="7">
        <v>6000000</v>
      </c>
    </row>
    <row r="1957" spans="1:15" ht="60" customHeight="1">
      <c r="A1957" s="30"/>
      <c r="B1957" s="32"/>
      <c r="C1957" s="116" t="s">
        <v>600</v>
      </c>
      <c r="D1957" s="117"/>
      <c r="E1957" s="118"/>
      <c r="F1957" s="52">
        <v>4</v>
      </c>
      <c r="G1957" s="53"/>
      <c r="H1957" s="54" t="s">
        <v>601</v>
      </c>
      <c r="I1957" s="55"/>
      <c r="J1957" s="56">
        <v>1000000</v>
      </c>
      <c r="K1957" s="119"/>
      <c r="L1957" s="57"/>
      <c r="M1957" s="56">
        <v>0</v>
      </c>
      <c r="N1957" s="57"/>
      <c r="O1957" s="7">
        <v>4000000</v>
      </c>
    </row>
    <row r="1958" spans="1:15" ht="31.05" customHeight="1">
      <c r="A1958" s="46" t="s">
        <v>602</v>
      </c>
      <c r="B1958" s="48"/>
      <c r="C1958" s="46" t="s">
        <v>603</v>
      </c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8"/>
      <c r="O1958" s="13">
        <v>209000000</v>
      </c>
    </row>
    <row r="1959" spans="1:15" ht="30" customHeight="1">
      <c r="A1959" s="46" t="s">
        <v>604</v>
      </c>
      <c r="B1959" s="48"/>
      <c r="C1959" s="46" t="s">
        <v>605</v>
      </c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8"/>
      <c r="O1959" s="13">
        <v>209000000</v>
      </c>
    </row>
    <row r="1960" spans="1:15" ht="31.05" customHeight="1">
      <c r="A1960" s="30" t="s">
        <v>606</v>
      </c>
      <c r="B1960" s="32"/>
      <c r="C1960" s="46" t="s">
        <v>607</v>
      </c>
      <c r="D1960" s="47"/>
      <c r="E1960" s="47"/>
      <c r="F1960" s="47"/>
      <c r="G1960" s="47"/>
      <c r="H1960" s="47"/>
      <c r="I1960" s="47"/>
      <c r="J1960" s="47"/>
      <c r="K1960" s="47"/>
      <c r="L1960" s="47"/>
      <c r="M1960" s="47"/>
      <c r="N1960" s="48"/>
      <c r="O1960" s="13">
        <v>189000000</v>
      </c>
    </row>
    <row r="1961" spans="1:15" ht="31.05" customHeight="1">
      <c r="A1961" s="40"/>
      <c r="B1961" s="42"/>
      <c r="C1961" s="30" t="s">
        <v>608</v>
      </c>
      <c r="D1961" s="31"/>
      <c r="E1961" s="31"/>
      <c r="F1961" s="31"/>
      <c r="G1961" s="31"/>
      <c r="H1961" s="31"/>
      <c r="I1961" s="31"/>
      <c r="J1961" s="31"/>
      <c r="K1961" s="31"/>
      <c r="L1961" s="31"/>
      <c r="M1961" s="31"/>
      <c r="N1961" s="32"/>
      <c r="O1961" s="13">
        <v>189000000</v>
      </c>
    </row>
    <row r="1962" spans="1:15" ht="31.05" customHeight="1">
      <c r="A1962" s="40"/>
      <c r="B1962" s="42"/>
      <c r="C1962" s="46" t="s">
        <v>69</v>
      </c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8"/>
      <c r="O1962" s="13">
        <v>189000000</v>
      </c>
    </row>
    <row r="1963" spans="1:15" ht="70.05" customHeight="1">
      <c r="A1963" s="30"/>
      <c r="B1963" s="32"/>
      <c r="C1963" s="49" t="s">
        <v>610</v>
      </c>
      <c r="D1963" s="50"/>
      <c r="E1963" s="51"/>
      <c r="F1963" s="52">
        <v>12</v>
      </c>
      <c r="G1963" s="53"/>
      <c r="H1963" s="54" t="s">
        <v>601</v>
      </c>
      <c r="I1963" s="55"/>
      <c r="J1963" s="56">
        <v>15000000</v>
      </c>
      <c r="K1963" s="119"/>
      <c r="L1963" s="57"/>
      <c r="M1963" s="56">
        <v>0</v>
      </c>
      <c r="N1963" s="57"/>
      <c r="O1963" s="16">
        <v>180000000</v>
      </c>
    </row>
    <row r="1964" spans="1:15" ht="81" customHeight="1">
      <c r="A1964" s="30"/>
      <c r="B1964" s="32"/>
      <c r="C1964" s="49" t="s">
        <v>619</v>
      </c>
      <c r="D1964" s="50"/>
      <c r="E1964" s="51"/>
      <c r="F1964" s="52">
        <v>1</v>
      </c>
      <c r="G1964" s="53"/>
      <c r="H1964" s="54" t="s">
        <v>601</v>
      </c>
      <c r="I1964" s="55"/>
      <c r="J1964" s="56">
        <v>9000000</v>
      </c>
      <c r="K1964" s="119"/>
      <c r="L1964" s="57"/>
      <c r="M1964" s="56">
        <v>0</v>
      </c>
      <c r="N1964" s="57"/>
      <c r="O1964" s="7">
        <v>9000000</v>
      </c>
    </row>
    <row r="1965" spans="1:15" ht="31.05" customHeight="1">
      <c r="A1965" s="30" t="s">
        <v>620</v>
      </c>
      <c r="B1965" s="32"/>
      <c r="C1965" s="46" t="s">
        <v>621</v>
      </c>
      <c r="D1965" s="47"/>
      <c r="E1965" s="47"/>
      <c r="F1965" s="47"/>
      <c r="G1965" s="47"/>
      <c r="H1965" s="47"/>
      <c r="I1965" s="47"/>
      <c r="J1965" s="47"/>
      <c r="K1965" s="47"/>
      <c r="L1965" s="47"/>
      <c r="M1965" s="47"/>
      <c r="N1965" s="48"/>
      <c r="O1965" s="8">
        <v>20000000</v>
      </c>
    </row>
    <row r="1966" spans="1:15" ht="31.05" customHeight="1">
      <c r="A1966" s="40"/>
      <c r="B1966" s="42"/>
      <c r="C1966" s="30" t="s">
        <v>608</v>
      </c>
      <c r="D1966" s="31"/>
      <c r="E1966" s="31"/>
      <c r="F1966" s="31"/>
      <c r="G1966" s="31"/>
      <c r="H1966" s="31"/>
      <c r="I1966" s="31"/>
      <c r="J1966" s="31"/>
      <c r="K1966" s="31"/>
      <c r="L1966" s="31"/>
      <c r="M1966" s="31"/>
      <c r="N1966" s="32"/>
      <c r="O1966" s="8">
        <v>20000000</v>
      </c>
    </row>
    <row r="1967" spans="1:15" ht="19.95" customHeight="1">
      <c r="A1967" s="40"/>
      <c r="B1967" s="42"/>
      <c r="C1967" s="46" t="s">
        <v>69</v>
      </c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8"/>
      <c r="O1967" s="8">
        <v>20000000</v>
      </c>
    </row>
    <row r="1968" spans="1:15" ht="70.95" customHeight="1">
      <c r="A1968" s="30"/>
      <c r="B1968" s="32"/>
      <c r="C1968" s="49" t="s">
        <v>622</v>
      </c>
      <c r="D1968" s="50"/>
      <c r="E1968" s="51"/>
      <c r="F1968" s="52">
        <v>10</v>
      </c>
      <c r="G1968" s="53"/>
      <c r="H1968" s="54" t="s">
        <v>601</v>
      </c>
      <c r="I1968" s="55"/>
      <c r="J1968" s="56">
        <v>2000000</v>
      </c>
      <c r="K1968" s="119"/>
      <c r="L1968" s="57"/>
      <c r="M1968" s="56">
        <v>0</v>
      </c>
      <c r="N1968" s="57"/>
      <c r="O1968" s="7">
        <v>20000000</v>
      </c>
    </row>
    <row r="1969" spans="1:15" ht="31.05" customHeight="1">
      <c r="A1969" s="27" t="s">
        <v>89</v>
      </c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9"/>
      <c r="O1969" s="13">
        <v>226400000</v>
      </c>
    </row>
    <row r="1970" spans="1:15" ht="153" customHeight="1">
      <c r="A1970" s="30"/>
      <c r="B1970" s="31"/>
      <c r="C1970" s="31"/>
      <c r="D1970" s="31"/>
      <c r="E1970" s="31"/>
      <c r="F1970" s="31"/>
      <c r="G1970" s="32"/>
      <c r="H1970" s="33" t="s">
        <v>90</v>
      </c>
      <c r="I1970" s="34"/>
      <c r="J1970" s="34"/>
      <c r="K1970" s="34"/>
      <c r="L1970" s="34"/>
      <c r="M1970" s="34"/>
      <c r="N1970" s="34"/>
      <c r="O1970" s="35"/>
    </row>
    <row r="1971" spans="1:15" ht="21" customHeight="1">
      <c r="A1971" s="37" t="s">
        <v>91</v>
      </c>
      <c r="B1971" s="38"/>
      <c r="C1971" s="39"/>
      <c r="D1971" s="2" t="s">
        <v>48</v>
      </c>
      <c r="E1971" s="40"/>
      <c r="F1971" s="41"/>
      <c r="G1971" s="41"/>
      <c r="H1971" s="41"/>
      <c r="I1971" s="41"/>
      <c r="J1971" s="41"/>
      <c r="K1971" s="41"/>
      <c r="L1971" s="41"/>
      <c r="M1971" s="41"/>
      <c r="N1971" s="41"/>
      <c r="O1971" s="42"/>
    </row>
    <row r="1972" spans="1:15" ht="19.95" customHeight="1">
      <c r="A1972" s="37" t="s">
        <v>92</v>
      </c>
      <c r="B1972" s="38"/>
      <c r="C1972" s="39"/>
      <c r="D1972" s="2" t="s">
        <v>48</v>
      </c>
      <c r="E1972" s="40"/>
      <c r="F1972" s="41"/>
      <c r="G1972" s="41"/>
      <c r="H1972" s="41"/>
      <c r="I1972" s="41"/>
      <c r="J1972" s="41"/>
      <c r="K1972" s="41"/>
      <c r="L1972" s="41"/>
      <c r="M1972" s="41"/>
      <c r="N1972" s="41"/>
      <c r="O1972" s="42"/>
    </row>
    <row r="1973" spans="1:15" ht="19.95" customHeight="1">
      <c r="A1973" s="37" t="s">
        <v>93</v>
      </c>
      <c r="B1973" s="38"/>
      <c r="C1973" s="39"/>
      <c r="D1973" s="2" t="s">
        <v>48</v>
      </c>
      <c r="E1973" s="40"/>
      <c r="F1973" s="41"/>
      <c r="G1973" s="41"/>
      <c r="H1973" s="41"/>
      <c r="I1973" s="41"/>
      <c r="J1973" s="41"/>
      <c r="K1973" s="41"/>
      <c r="L1973" s="41"/>
      <c r="M1973" s="41"/>
      <c r="N1973" s="41"/>
      <c r="O1973" s="42"/>
    </row>
    <row r="1974" spans="1:15" ht="21" customHeight="1">
      <c r="A1974" s="43">
        <v>1</v>
      </c>
      <c r="B1974" s="44"/>
      <c r="C1974" s="44"/>
      <c r="D1974" s="44"/>
      <c r="E1974" s="44"/>
      <c r="F1974" s="44"/>
      <c r="G1974" s="44"/>
      <c r="H1974" s="44"/>
      <c r="I1974" s="44"/>
      <c r="J1974" s="44"/>
      <c r="K1974" s="44"/>
      <c r="L1974" s="44"/>
      <c r="M1974" s="44"/>
      <c r="N1974" s="44"/>
      <c r="O1974" s="45"/>
    </row>
    <row r="1975" spans="1:15" ht="19.95" customHeight="1">
      <c r="A1975" s="43">
        <v>2</v>
      </c>
      <c r="B1975" s="44"/>
      <c r="C1975" s="44"/>
      <c r="D1975" s="44"/>
      <c r="E1975" s="44"/>
      <c r="F1975" s="44"/>
      <c r="G1975" s="44"/>
      <c r="H1975" s="44"/>
      <c r="I1975" s="44"/>
      <c r="J1975" s="44"/>
      <c r="K1975" s="44"/>
      <c r="L1975" s="44"/>
      <c r="M1975" s="44"/>
      <c r="N1975" s="44"/>
      <c r="O1975" s="45"/>
    </row>
    <row r="1976" spans="1:15" ht="20.55" customHeight="1">
      <c r="A1976" s="37" t="s">
        <v>94</v>
      </c>
      <c r="B1976" s="38"/>
      <c r="C1976" s="38"/>
      <c r="D1976" s="38"/>
      <c r="E1976" s="38"/>
      <c r="F1976" s="38"/>
      <c r="G1976" s="38"/>
      <c r="H1976" s="38"/>
      <c r="I1976" s="38"/>
      <c r="J1976" s="38"/>
      <c r="K1976" s="38"/>
      <c r="L1976" s="38"/>
      <c r="M1976" s="38"/>
      <c r="N1976" s="38"/>
      <c r="O1976" s="39"/>
    </row>
    <row r="1977" spans="1:15" ht="20.55" customHeight="1">
      <c r="A1977" s="1"/>
      <c r="B1977" s="93"/>
      <c r="C1977" s="93"/>
      <c r="D1977" s="1"/>
      <c r="E1977" s="93"/>
      <c r="F1977" s="93"/>
      <c r="G1977" s="93"/>
      <c r="H1977" s="93"/>
      <c r="I1977" s="93"/>
      <c r="J1977" s="93"/>
      <c r="K1977" s="93"/>
      <c r="L1977" s="36"/>
      <c r="M1977" s="36"/>
      <c r="N1977" s="36"/>
      <c r="O1977" s="36"/>
    </row>
    <row r="1978" spans="1:15" ht="21" customHeight="1">
      <c r="A1978" s="18" t="s">
        <v>95</v>
      </c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20"/>
    </row>
    <row r="1979" spans="1:15" ht="22.05" customHeight="1">
      <c r="A1979" s="3" t="s">
        <v>96</v>
      </c>
      <c r="B1979" s="18" t="s">
        <v>97</v>
      </c>
      <c r="C1979" s="19"/>
      <c r="D1979" s="19"/>
      <c r="E1979" s="19"/>
      <c r="F1979" s="20"/>
      <c r="G1979" s="18" t="s">
        <v>98</v>
      </c>
      <c r="H1979" s="20"/>
      <c r="I1979" s="18" t="s">
        <v>99</v>
      </c>
      <c r="J1979" s="19"/>
      <c r="K1979" s="20"/>
      <c r="L1979" s="21" t="s">
        <v>100</v>
      </c>
      <c r="M1979" s="22"/>
      <c r="N1979" s="22"/>
      <c r="O1979" s="23"/>
    </row>
    <row r="1980" spans="1:15" ht="21" customHeight="1">
      <c r="A1980" s="24" t="s">
        <v>101</v>
      </c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6"/>
    </row>
    <row r="1981" spans="1:15" ht="64.05" customHeight="1">
      <c r="A1981" s="106" t="s">
        <v>0</v>
      </c>
      <c r="B1981" s="107"/>
      <c r="C1981" s="107"/>
      <c r="D1981" s="107"/>
      <c r="E1981" s="107"/>
      <c r="F1981" s="107"/>
      <c r="G1981" s="107"/>
      <c r="H1981" s="107"/>
      <c r="I1981" s="107"/>
      <c r="J1981" s="108"/>
      <c r="K1981" s="109" t="s">
        <v>1</v>
      </c>
      <c r="L1981" s="110"/>
      <c r="M1981" s="110"/>
      <c r="N1981" s="110"/>
      <c r="O1981" s="111"/>
    </row>
    <row r="1982" spans="1:15" ht="23.55" customHeight="1">
      <c r="A1982" s="101" t="s">
        <v>674</v>
      </c>
      <c r="B1982" s="102"/>
      <c r="C1982" s="102"/>
      <c r="D1982" s="102"/>
      <c r="E1982" s="102"/>
      <c r="F1982" s="102"/>
      <c r="G1982" s="102"/>
      <c r="H1982" s="102"/>
      <c r="I1982" s="102"/>
      <c r="J1982" s="102"/>
      <c r="K1982" s="102"/>
      <c r="L1982" s="102"/>
      <c r="M1982" s="102"/>
      <c r="N1982" s="102"/>
      <c r="O1982" s="103"/>
    </row>
    <row r="1983" spans="1:15" ht="20.55" customHeight="1">
      <c r="A1983" s="93"/>
      <c r="B1983" s="93"/>
      <c r="C1983" s="1"/>
      <c r="D1983" s="93"/>
      <c r="E1983" s="93"/>
      <c r="F1983" s="93"/>
      <c r="G1983" s="93"/>
      <c r="H1983" s="93"/>
      <c r="I1983" s="93"/>
      <c r="J1983" s="5"/>
      <c r="K1983" s="36"/>
      <c r="L1983" s="36"/>
      <c r="M1983" s="5"/>
      <c r="N1983" s="5"/>
      <c r="O1983" s="5"/>
    </row>
    <row r="1984" spans="1:15" ht="37.049999999999997" customHeight="1">
      <c r="A1984" s="101" t="s">
        <v>2</v>
      </c>
      <c r="B1984" s="102"/>
      <c r="C1984" s="102"/>
      <c r="D1984" s="102"/>
      <c r="E1984" s="102"/>
      <c r="F1984" s="102"/>
      <c r="G1984" s="102"/>
      <c r="H1984" s="102"/>
      <c r="I1984" s="102"/>
      <c r="J1984" s="102"/>
      <c r="K1984" s="102"/>
      <c r="L1984" s="102"/>
      <c r="M1984" s="102"/>
      <c r="N1984" s="102"/>
      <c r="O1984" s="103"/>
    </row>
    <row r="1985" spans="1:15" ht="21" customHeight="1">
      <c r="A1985" s="37" t="s">
        <v>3</v>
      </c>
      <c r="B1985" s="38"/>
      <c r="C1985" s="39"/>
      <c r="D1985" s="90" t="s">
        <v>4</v>
      </c>
      <c r="E1985" s="91"/>
      <c r="F1985" s="91"/>
      <c r="G1985" s="91"/>
      <c r="H1985" s="91"/>
      <c r="I1985" s="91"/>
      <c r="J1985" s="91"/>
      <c r="K1985" s="91"/>
      <c r="L1985" s="91"/>
      <c r="M1985" s="91"/>
      <c r="N1985" s="91"/>
      <c r="O1985" s="92"/>
    </row>
    <row r="1986" spans="1:15" ht="22.05" customHeight="1">
      <c r="A1986" s="37" t="s">
        <v>5</v>
      </c>
      <c r="B1986" s="38"/>
      <c r="C1986" s="39"/>
      <c r="D1986" s="90" t="s">
        <v>6</v>
      </c>
      <c r="E1986" s="91"/>
      <c r="F1986" s="91"/>
      <c r="G1986" s="91"/>
      <c r="H1986" s="91"/>
      <c r="I1986" s="91"/>
      <c r="J1986" s="91"/>
      <c r="K1986" s="91"/>
      <c r="L1986" s="91"/>
      <c r="M1986" s="91"/>
      <c r="N1986" s="91"/>
      <c r="O1986" s="92"/>
    </row>
    <row r="1987" spans="1:15" ht="22.05" customHeight="1">
      <c r="A1987" s="37" t="s">
        <v>7</v>
      </c>
      <c r="B1987" s="38"/>
      <c r="C1987" s="39"/>
      <c r="D1987" s="90" t="s">
        <v>8</v>
      </c>
      <c r="E1987" s="91"/>
      <c r="F1987" s="91"/>
      <c r="G1987" s="91"/>
      <c r="H1987" s="91"/>
      <c r="I1987" s="91"/>
      <c r="J1987" s="91"/>
      <c r="K1987" s="91"/>
      <c r="L1987" s="91"/>
      <c r="M1987" s="91"/>
      <c r="N1987" s="91"/>
      <c r="O1987" s="92"/>
    </row>
    <row r="1988" spans="1:15" ht="21" customHeight="1">
      <c r="A1988" s="37" t="s">
        <v>9</v>
      </c>
      <c r="B1988" s="38"/>
      <c r="C1988" s="39"/>
      <c r="D1988" s="90" t="s">
        <v>10</v>
      </c>
      <c r="E1988" s="91"/>
      <c r="F1988" s="91"/>
      <c r="G1988" s="91"/>
      <c r="H1988" s="91"/>
      <c r="I1988" s="91"/>
      <c r="J1988" s="91"/>
      <c r="K1988" s="91"/>
      <c r="L1988" s="91"/>
      <c r="M1988" s="91"/>
      <c r="N1988" s="91"/>
      <c r="O1988" s="92"/>
    </row>
    <row r="1989" spans="1:15" ht="22.05" customHeight="1">
      <c r="A1989" s="37" t="s">
        <v>11</v>
      </c>
      <c r="B1989" s="38"/>
      <c r="C1989" s="39"/>
      <c r="D1989" s="90" t="s">
        <v>12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2"/>
    </row>
    <row r="1990" spans="1:15" ht="22.05" customHeight="1">
      <c r="A1990" s="37" t="s">
        <v>13</v>
      </c>
      <c r="B1990" s="38"/>
      <c r="C1990" s="39"/>
      <c r="D1990" s="90" t="s">
        <v>586</v>
      </c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2"/>
    </row>
    <row r="1991" spans="1:15" ht="21" customHeight="1">
      <c r="A1991" s="37" t="s">
        <v>15</v>
      </c>
      <c r="B1991" s="38"/>
      <c r="C1991" s="39"/>
      <c r="D1991" s="90" t="s">
        <v>623</v>
      </c>
      <c r="E1991" s="91"/>
      <c r="F1991" s="91"/>
      <c r="G1991" s="91"/>
      <c r="H1991" s="91"/>
      <c r="I1991" s="91"/>
      <c r="J1991" s="91"/>
      <c r="K1991" s="91"/>
      <c r="L1991" s="91"/>
      <c r="M1991" s="91"/>
      <c r="N1991" s="91"/>
      <c r="O1991" s="92"/>
    </row>
    <row r="1992" spans="1:15" ht="22.05" customHeight="1">
      <c r="A1992" s="37" t="s">
        <v>17</v>
      </c>
      <c r="B1992" s="38"/>
      <c r="C1992" s="39"/>
      <c r="D1992" s="90" t="s">
        <v>10</v>
      </c>
      <c r="E1992" s="91"/>
      <c r="F1992" s="91"/>
      <c r="G1992" s="91"/>
      <c r="H1992" s="91"/>
      <c r="I1992" s="91"/>
      <c r="J1992" s="91"/>
      <c r="K1992" s="91"/>
      <c r="L1992" s="91"/>
      <c r="M1992" s="91"/>
      <c r="N1992" s="91"/>
      <c r="O1992" s="92"/>
    </row>
    <row r="1993" spans="1:15" ht="22.05" customHeight="1">
      <c r="A1993" s="37" t="s">
        <v>18</v>
      </c>
      <c r="B1993" s="38"/>
      <c r="C1993" s="39"/>
      <c r="D1993" s="90" t="s">
        <v>10</v>
      </c>
      <c r="E1993" s="91"/>
      <c r="F1993" s="91"/>
      <c r="G1993" s="91"/>
      <c r="H1993" s="91"/>
      <c r="I1993" s="91"/>
      <c r="J1993" s="91"/>
      <c r="K1993" s="91"/>
      <c r="L1993" s="91"/>
      <c r="M1993" s="91"/>
      <c r="N1993" s="91"/>
      <c r="O1993" s="92"/>
    </row>
    <row r="1994" spans="1:15" ht="22.05" customHeight="1">
      <c r="A1994" s="37" t="s">
        <v>19</v>
      </c>
      <c r="B1994" s="38"/>
      <c r="C1994" s="39"/>
      <c r="D1994" s="90" t="s">
        <v>20</v>
      </c>
      <c r="E1994" s="91"/>
      <c r="F1994" s="91"/>
      <c r="G1994" s="91"/>
      <c r="H1994" s="91"/>
      <c r="I1994" s="91"/>
      <c r="J1994" s="91"/>
      <c r="K1994" s="91"/>
      <c r="L1994" s="91"/>
      <c r="M1994" s="91"/>
      <c r="N1994" s="91"/>
      <c r="O1994" s="92"/>
    </row>
    <row r="1995" spans="1:15" ht="21" customHeight="1">
      <c r="A1995" s="37" t="s">
        <v>21</v>
      </c>
      <c r="B1995" s="38"/>
      <c r="C1995" s="39"/>
      <c r="D1995" s="90" t="s">
        <v>588</v>
      </c>
      <c r="E1995" s="91"/>
      <c r="F1995" s="91"/>
      <c r="G1995" s="91"/>
      <c r="H1995" s="91"/>
      <c r="I1995" s="91"/>
      <c r="J1995" s="91"/>
      <c r="K1995" s="91"/>
      <c r="L1995" s="91"/>
      <c r="M1995" s="91"/>
      <c r="N1995" s="91"/>
      <c r="O1995" s="92"/>
    </row>
    <row r="1996" spans="1:15" ht="22.05" customHeight="1">
      <c r="A1996" s="37" t="s">
        <v>23</v>
      </c>
      <c r="B1996" s="38"/>
      <c r="C1996" s="39"/>
      <c r="D1996" s="90" t="s">
        <v>24</v>
      </c>
      <c r="E1996" s="91"/>
      <c r="F1996" s="91"/>
      <c r="G1996" s="91"/>
      <c r="H1996" s="91"/>
      <c r="I1996" s="91"/>
      <c r="J1996" s="91"/>
      <c r="K1996" s="91"/>
      <c r="L1996" s="91"/>
      <c r="M1996" s="91"/>
      <c r="N1996" s="91"/>
      <c r="O1996" s="92"/>
    </row>
    <row r="1997" spans="1:15" ht="22.05" customHeight="1">
      <c r="A1997" s="37" t="s">
        <v>25</v>
      </c>
      <c r="B1997" s="38"/>
      <c r="C1997" s="39"/>
      <c r="D1997" s="90" t="s">
        <v>589</v>
      </c>
      <c r="E1997" s="91"/>
      <c r="F1997" s="91"/>
      <c r="G1997" s="91"/>
      <c r="H1997" s="91"/>
      <c r="I1997" s="91"/>
      <c r="J1997" s="91"/>
      <c r="K1997" s="91"/>
      <c r="L1997" s="91"/>
      <c r="M1997" s="91"/>
      <c r="N1997" s="91"/>
      <c r="O1997" s="92"/>
    </row>
    <row r="1998" spans="1:15" ht="21" customHeight="1">
      <c r="A1998" s="37" t="s">
        <v>670</v>
      </c>
      <c r="B1998" s="38"/>
      <c r="C1998" s="39"/>
      <c r="D1998" s="90" t="s">
        <v>27</v>
      </c>
      <c r="E1998" s="91"/>
      <c r="F1998" s="91"/>
      <c r="G1998" s="91"/>
      <c r="H1998" s="91"/>
      <c r="I1998" s="91"/>
      <c r="J1998" s="91"/>
      <c r="K1998" s="91"/>
      <c r="L1998" s="91"/>
      <c r="M1998" s="91"/>
      <c r="N1998" s="91"/>
      <c r="O1998" s="92"/>
    </row>
    <row r="1999" spans="1:15" ht="22.05" customHeight="1">
      <c r="A1999" s="37" t="s">
        <v>675</v>
      </c>
      <c r="B1999" s="38"/>
      <c r="C1999" s="39"/>
      <c r="D1999" s="90" t="s">
        <v>624</v>
      </c>
      <c r="E1999" s="91"/>
      <c r="F1999" s="91"/>
      <c r="G1999" s="91"/>
      <c r="H1999" s="91"/>
      <c r="I1999" s="91"/>
      <c r="J1999" s="91"/>
      <c r="K1999" s="91"/>
      <c r="L1999" s="91"/>
      <c r="M1999" s="91"/>
      <c r="N1999" s="91"/>
      <c r="O1999" s="92"/>
    </row>
    <row r="2000" spans="1:15" ht="21.45" customHeight="1">
      <c r="A2000" s="37" t="s">
        <v>676</v>
      </c>
      <c r="B2000" s="38"/>
      <c r="C2000" s="39"/>
      <c r="D2000" s="90" t="s">
        <v>625</v>
      </c>
      <c r="E2000" s="91"/>
      <c r="F2000" s="91"/>
      <c r="G2000" s="91"/>
      <c r="H2000" s="91"/>
      <c r="I2000" s="91"/>
      <c r="J2000" s="91"/>
      <c r="K2000" s="91"/>
      <c r="L2000" s="91"/>
      <c r="M2000" s="91"/>
      <c r="N2000" s="91"/>
      <c r="O2000" s="92"/>
    </row>
    <row r="2001" spans="1:15" ht="20.55" customHeight="1">
      <c r="A2001" s="93"/>
      <c r="B2001" s="93"/>
      <c r="C2001" s="1"/>
      <c r="D2001" s="93"/>
      <c r="E2001" s="93"/>
      <c r="F2001" s="93"/>
      <c r="G2001" s="93"/>
      <c r="H2001" s="93"/>
      <c r="I2001" s="93"/>
      <c r="J2001" s="5"/>
      <c r="K2001" s="36"/>
      <c r="L2001" s="36"/>
      <c r="M2001" s="5"/>
      <c r="N2001" s="5"/>
      <c r="O2001" s="5"/>
    </row>
    <row r="2002" spans="1:15" ht="22.95" customHeight="1">
      <c r="A2002" s="101" t="s">
        <v>29</v>
      </c>
      <c r="B2002" s="102"/>
      <c r="C2002" s="102"/>
      <c r="D2002" s="102"/>
      <c r="E2002" s="102"/>
      <c r="F2002" s="102"/>
      <c r="G2002" s="102"/>
      <c r="H2002" s="102"/>
      <c r="I2002" s="102"/>
      <c r="J2002" s="102"/>
      <c r="K2002" s="102"/>
      <c r="L2002" s="102"/>
      <c r="M2002" s="102"/>
      <c r="N2002" s="102"/>
      <c r="O2002" s="103"/>
    </row>
    <row r="2003" spans="1:15" ht="24" customHeight="1">
      <c r="A2003" s="101" t="s">
        <v>30</v>
      </c>
      <c r="B2003" s="102"/>
      <c r="C2003" s="103"/>
      <c r="D2003" s="101" t="s">
        <v>31</v>
      </c>
      <c r="E2003" s="102"/>
      <c r="F2003" s="102"/>
      <c r="G2003" s="102"/>
      <c r="H2003" s="102"/>
      <c r="I2003" s="102"/>
      <c r="J2003" s="102"/>
      <c r="K2003" s="102"/>
      <c r="L2003" s="102"/>
      <c r="M2003" s="103"/>
      <c r="N2003" s="104" t="s">
        <v>32</v>
      </c>
      <c r="O2003" s="105"/>
    </row>
    <row r="2004" spans="1:15" ht="21" customHeight="1">
      <c r="A2004" s="37" t="s">
        <v>33</v>
      </c>
      <c r="B2004" s="38"/>
      <c r="C2004" s="39"/>
      <c r="D2004" s="37" t="s">
        <v>34</v>
      </c>
      <c r="E2004" s="38"/>
      <c r="F2004" s="38"/>
      <c r="G2004" s="38"/>
      <c r="H2004" s="38"/>
      <c r="I2004" s="38"/>
      <c r="J2004" s="38"/>
      <c r="K2004" s="38"/>
      <c r="L2004" s="38"/>
      <c r="M2004" s="39"/>
      <c r="N2004" s="97" t="s">
        <v>35</v>
      </c>
      <c r="O2004" s="98"/>
    </row>
    <row r="2005" spans="1:15" ht="19.95" customHeight="1">
      <c r="A2005" s="37" t="s">
        <v>36</v>
      </c>
      <c r="B2005" s="38"/>
      <c r="C2005" s="39"/>
      <c r="D2005" s="37" t="s">
        <v>37</v>
      </c>
      <c r="E2005" s="38"/>
      <c r="F2005" s="38"/>
      <c r="G2005" s="38"/>
      <c r="H2005" s="38"/>
      <c r="I2005" s="38"/>
      <c r="J2005" s="38"/>
      <c r="K2005" s="38"/>
      <c r="L2005" s="38"/>
      <c r="M2005" s="39"/>
      <c r="N2005" s="97">
        <v>156070000</v>
      </c>
      <c r="O2005" s="98"/>
    </row>
    <row r="2006" spans="1:15" ht="19.95" customHeight="1">
      <c r="A2006" s="37" t="s">
        <v>38</v>
      </c>
      <c r="B2006" s="38"/>
      <c r="C2006" s="39"/>
      <c r="D2006" s="37" t="s">
        <v>626</v>
      </c>
      <c r="E2006" s="38"/>
      <c r="F2006" s="38"/>
      <c r="G2006" s="38"/>
      <c r="H2006" s="38"/>
      <c r="I2006" s="38"/>
      <c r="J2006" s="38"/>
      <c r="K2006" s="38"/>
      <c r="L2006" s="38"/>
      <c r="M2006" s="39"/>
      <c r="N2006" s="97" t="s">
        <v>627</v>
      </c>
      <c r="O2006" s="98"/>
    </row>
    <row r="2007" spans="1:15" ht="20.55" customHeight="1">
      <c r="A2007" s="37" t="s">
        <v>41</v>
      </c>
      <c r="B2007" s="38"/>
      <c r="C2007" s="39"/>
      <c r="D2007" s="37" t="s">
        <v>594</v>
      </c>
      <c r="E2007" s="38"/>
      <c r="F2007" s="38"/>
      <c r="G2007" s="38"/>
      <c r="H2007" s="38"/>
      <c r="I2007" s="38"/>
      <c r="J2007" s="38"/>
      <c r="K2007" s="38"/>
      <c r="L2007" s="38"/>
      <c r="M2007" s="39"/>
      <c r="N2007" s="99">
        <v>0.92</v>
      </c>
      <c r="O2007" s="100"/>
    </row>
    <row r="2008" spans="1:15" ht="20.55" customHeight="1">
      <c r="A2008" s="93"/>
      <c r="B2008" s="93"/>
      <c r="C2008" s="1"/>
      <c r="D2008" s="93"/>
      <c r="E2008" s="93"/>
      <c r="F2008" s="93"/>
      <c r="G2008" s="93"/>
      <c r="H2008" s="93"/>
      <c r="I2008" s="93"/>
      <c r="J2008" s="5"/>
      <c r="K2008" s="36"/>
      <c r="L2008" s="36"/>
      <c r="M2008" s="5"/>
      <c r="N2008" s="5"/>
      <c r="O2008" s="5"/>
    </row>
    <row r="2009" spans="1:15" ht="37.049999999999997" customHeight="1">
      <c r="A2009" s="101" t="s">
        <v>43</v>
      </c>
      <c r="B2009" s="102"/>
      <c r="C2009" s="102"/>
      <c r="D2009" s="102"/>
      <c r="E2009" s="102"/>
      <c r="F2009" s="102"/>
      <c r="G2009" s="102"/>
      <c r="H2009" s="102"/>
      <c r="I2009" s="102"/>
      <c r="J2009" s="102"/>
      <c r="K2009" s="102"/>
      <c r="L2009" s="102"/>
      <c r="M2009" s="102"/>
      <c r="N2009" s="102"/>
      <c r="O2009" s="103"/>
    </row>
    <row r="2010" spans="1:15" ht="21" customHeight="1">
      <c r="A2010" s="37" t="s">
        <v>15</v>
      </c>
      <c r="B2010" s="38"/>
      <c r="C2010" s="39"/>
      <c r="D2010" s="90" t="s">
        <v>623</v>
      </c>
      <c r="E2010" s="91"/>
      <c r="F2010" s="91"/>
      <c r="G2010" s="91"/>
      <c r="H2010" s="91"/>
      <c r="I2010" s="91"/>
      <c r="J2010" s="91"/>
      <c r="K2010" s="91"/>
      <c r="L2010" s="91"/>
      <c r="M2010" s="91"/>
      <c r="N2010" s="91"/>
      <c r="O2010" s="92"/>
    </row>
    <row r="2011" spans="1:15" ht="19.95" customHeight="1">
      <c r="A2011" s="37" t="s">
        <v>19</v>
      </c>
      <c r="B2011" s="38"/>
      <c r="C2011" s="39"/>
      <c r="D2011" s="90" t="s">
        <v>20</v>
      </c>
      <c r="E2011" s="91"/>
      <c r="F2011" s="91"/>
      <c r="G2011" s="91"/>
      <c r="H2011" s="91"/>
      <c r="I2011" s="91"/>
      <c r="J2011" s="91"/>
      <c r="K2011" s="91"/>
      <c r="L2011" s="91"/>
      <c r="M2011" s="91"/>
      <c r="N2011" s="91"/>
      <c r="O2011" s="92"/>
    </row>
    <row r="2012" spans="1:15" ht="19.95" customHeight="1">
      <c r="A2012" s="37" t="s">
        <v>21</v>
      </c>
      <c r="B2012" s="38"/>
      <c r="C2012" s="39"/>
      <c r="D2012" s="90" t="s">
        <v>595</v>
      </c>
      <c r="E2012" s="91"/>
      <c r="F2012" s="91"/>
      <c r="G2012" s="91"/>
      <c r="H2012" s="91"/>
      <c r="I2012" s="91"/>
      <c r="J2012" s="91"/>
      <c r="K2012" s="91"/>
      <c r="L2012" s="91"/>
      <c r="M2012" s="91"/>
      <c r="N2012" s="91"/>
      <c r="O2012" s="92"/>
    </row>
    <row r="2013" spans="1:15" ht="21" customHeight="1">
      <c r="A2013" s="37" t="s">
        <v>45</v>
      </c>
      <c r="B2013" s="38"/>
      <c r="C2013" s="39"/>
      <c r="D2013" s="90" t="s">
        <v>628</v>
      </c>
      <c r="E2013" s="91"/>
      <c r="F2013" s="91"/>
      <c r="G2013" s="91"/>
      <c r="H2013" s="91"/>
      <c r="I2013" s="91"/>
      <c r="J2013" s="91"/>
      <c r="K2013" s="91"/>
      <c r="L2013" s="91"/>
      <c r="M2013" s="91"/>
      <c r="N2013" s="91"/>
      <c r="O2013" s="92"/>
    </row>
    <row r="2014" spans="1:15" ht="19.95" customHeight="1">
      <c r="A2014" s="37" t="s">
        <v>23</v>
      </c>
      <c r="B2014" s="38"/>
      <c r="C2014" s="39"/>
      <c r="D2014" s="90" t="s">
        <v>24</v>
      </c>
      <c r="E2014" s="91"/>
      <c r="F2014" s="91"/>
      <c r="G2014" s="91"/>
      <c r="H2014" s="91"/>
      <c r="I2014" s="91"/>
      <c r="J2014" s="91"/>
      <c r="K2014" s="91"/>
      <c r="L2014" s="91"/>
      <c r="M2014" s="91"/>
      <c r="N2014" s="91"/>
      <c r="O2014" s="92"/>
    </row>
    <row r="2015" spans="1:15" ht="19.5" customHeight="1">
      <c r="A2015" s="37" t="s">
        <v>47</v>
      </c>
      <c r="B2015" s="38"/>
      <c r="C2015" s="39"/>
      <c r="D2015" s="90" t="s">
        <v>48</v>
      </c>
      <c r="E2015" s="91"/>
      <c r="F2015" s="91"/>
      <c r="G2015" s="91"/>
      <c r="H2015" s="91"/>
      <c r="I2015" s="91"/>
      <c r="J2015" s="91"/>
      <c r="K2015" s="91"/>
      <c r="L2015" s="91"/>
      <c r="M2015" s="91"/>
      <c r="N2015" s="91"/>
      <c r="O2015" s="92"/>
    </row>
    <row r="2016" spans="1:15" ht="20.55" customHeight="1">
      <c r="A2016" s="93"/>
      <c r="B2016" s="93"/>
      <c r="C2016" s="1"/>
      <c r="D2016" s="93"/>
      <c r="E2016" s="93"/>
      <c r="F2016" s="93"/>
      <c r="G2016" s="93"/>
      <c r="H2016" s="93"/>
      <c r="I2016" s="93"/>
      <c r="J2016" s="5"/>
      <c r="K2016" s="36"/>
      <c r="L2016" s="36"/>
      <c r="M2016" s="5"/>
      <c r="N2016" s="5"/>
      <c r="O2016" s="5"/>
    </row>
    <row r="2017" spans="1:15" ht="37.950000000000003" customHeight="1">
      <c r="A2017" s="87" t="s">
        <v>49</v>
      </c>
      <c r="B2017" s="88"/>
      <c r="C2017" s="88"/>
      <c r="D2017" s="88"/>
      <c r="E2017" s="88"/>
      <c r="F2017" s="88"/>
      <c r="G2017" s="88"/>
      <c r="H2017" s="88"/>
      <c r="I2017" s="88"/>
      <c r="J2017" s="88"/>
      <c r="K2017" s="88"/>
      <c r="L2017" s="88"/>
      <c r="M2017" s="88"/>
      <c r="N2017" s="88"/>
      <c r="O2017" s="89"/>
    </row>
    <row r="2018" spans="1:15" ht="19.95" customHeight="1">
      <c r="A2018" s="61" t="s">
        <v>50</v>
      </c>
      <c r="B2018" s="62"/>
      <c r="C2018" s="65" t="s">
        <v>51</v>
      </c>
      <c r="D2018" s="66"/>
      <c r="E2018" s="67"/>
      <c r="F2018" s="71" t="s">
        <v>52</v>
      </c>
      <c r="G2018" s="72"/>
      <c r="H2018" s="72"/>
      <c r="I2018" s="72"/>
      <c r="J2018" s="72"/>
      <c r="K2018" s="72"/>
      <c r="L2018" s="72"/>
      <c r="M2018" s="72"/>
      <c r="N2018" s="73"/>
      <c r="O2018" s="74" t="s">
        <v>53</v>
      </c>
    </row>
    <row r="2019" spans="1:15" ht="21" customHeight="1">
      <c r="A2019" s="63"/>
      <c r="B2019" s="64"/>
      <c r="C2019" s="68"/>
      <c r="D2019" s="69"/>
      <c r="E2019" s="70"/>
      <c r="F2019" s="76" t="s">
        <v>54</v>
      </c>
      <c r="G2019" s="77"/>
      <c r="H2019" s="71" t="s">
        <v>55</v>
      </c>
      <c r="I2019" s="73"/>
      <c r="J2019" s="94" t="s">
        <v>56</v>
      </c>
      <c r="K2019" s="95"/>
      <c r="L2019" s="96"/>
      <c r="M2019" s="80" t="s">
        <v>57</v>
      </c>
      <c r="N2019" s="82"/>
      <c r="O2019" s="75"/>
    </row>
    <row r="2020" spans="1:15" ht="30" customHeight="1">
      <c r="A2020" s="83">
        <v>5</v>
      </c>
      <c r="B2020" s="84"/>
      <c r="C2020" s="46" t="s">
        <v>58</v>
      </c>
      <c r="D2020" s="47"/>
      <c r="E2020" s="47"/>
      <c r="F2020" s="47"/>
      <c r="G2020" s="47"/>
      <c r="H2020" s="47"/>
      <c r="I2020" s="47"/>
      <c r="J2020" s="47"/>
      <c r="K2020" s="47"/>
      <c r="L2020" s="47"/>
      <c r="M2020" s="47"/>
      <c r="N2020" s="48"/>
      <c r="O2020" s="13">
        <v>156070000</v>
      </c>
    </row>
    <row r="2021" spans="1:15" ht="31.05" customHeight="1">
      <c r="A2021" s="46" t="s">
        <v>59</v>
      </c>
      <c r="B2021" s="48"/>
      <c r="C2021" s="46" t="s">
        <v>60</v>
      </c>
      <c r="D2021" s="47"/>
      <c r="E2021" s="47"/>
      <c r="F2021" s="47"/>
      <c r="G2021" s="47"/>
      <c r="H2021" s="47"/>
      <c r="I2021" s="47"/>
      <c r="J2021" s="47"/>
      <c r="K2021" s="47"/>
      <c r="L2021" s="47"/>
      <c r="M2021" s="47"/>
      <c r="N2021" s="48"/>
      <c r="O2021" s="13">
        <v>156070000</v>
      </c>
    </row>
    <row r="2022" spans="1:15" ht="31.05" customHeight="1">
      <c r="A2022" s="85">
        <v>37377</v>
      </c>
      <c r="B2022" s="86"/>
      <c r="C2022" s="46" t="s">
        <v>61</v>
      </c>
      <c r="D2022" s="47"/>
      <c r="E2022" s="47"/>
      <c r="F2022" s="47"/>
      <c r="G2022" s="47"/>
      <c r="H2022" s="47"/>
      <c r="I2022" s="47"/>
      <c r="J2022" s="47"/>
      <c r="K2022" s="47"/>
      <c r="L2022" s="47"/>
      <c r="M2022" s="47"/>
      <c r="N2022" s="48"/>
      <c r="O2022" s="13">
        <v>156070000</v>
      </c>
    </row>
    <row r="2023" spans="1:15" ht="30" customHeight="1">
      <c r="A2023" s="46" t="s">
        <v>602</v>
      </c>
      <c r="B2023" s="48"/>
      <c r="C2023" s="46" t="s">
        <v>603</v>
      </c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8"/>
      <c r="O2023" s="13">
        <v>156070000</v>
      </c>
    </row>
    <row r="2024" spans="1:15" ht="31.05" customHeight="1">
      <c r="A2024" s="46" t="s">
        <v>604</v>
      </c>
      <c r="B2024" s="48"/>
      <c r="C2024" s="46" t="s">
        <v>605</v>
      </c>
      <c r="D2024" s="47"/>
      <c r="E2024" s="47"/>
      <c r="F2024" s="47"/>
      <c r="G2024" s="47"/>
      <c r="H2024" s="47"/>
      <c r="I2024" s="47"/>
      <c r="J2024" s="47"/>
      <c r="K2024" s="47"/>
      <c r="L2024" s="47"/>
      <c r="M2024" s="47"/>
      <c r="N2024" s="48"/>
      <c r="O2024" s="13">
        <v>156070000</v>
      </c>
    </row>
    <row r="2025" spans="1:15" ht="30.75" customHeight="1">
      <c r="A2025" s="30" t="s">
        <v>629</v>
      </c>
      <c r="B2025" s="32"/>
      <c r="C2025" s="46" t="s">
        <v>630</v>
      </c>
      <c r="D2025" s="47"/>
      <c r="E2025" s="47"/>
      <c r="F2025" s="47"/>
      <c r="G2025" s="47"/>
      <c r="H2025" s="47"/>
      <c r="I2025" s="47"/>
      <c r="J2025" s="47"/>
      <c r="K2025" s="47"/>
      <c r="L2025" s="47"/>
      <c r="M2025" s="47"/>
      <c r="N2025" s="48"/>
      <c r="O2025" s="14">
        <v>40000000</v>
      </c>
    </row>
    <row r="2026" spans="1:15" ht="37.950000000000003" customHeight="1">
      <c r="A2026" s="87" t="s">
        <v>49</v>
      </c>
      <c r="B2026" s="88"/>
      <c r="C2026" s="88"/>
      <c r="D2026" s="88"/>
      <c r="E2026" s="88"/>
      <c r="F2026" s="88"/>
      <c r="G2026" s="88"/>
      <c r="H2026" s="88"/>
      <c r="I2026" s="88"/>
      <c r="J2026" s="88"/>
      <c r="K2026" s="88"/>
      <c r="L2026" s="88"/>
      <c r="M2026" s="88"/>
      <c r="N2026" s="88"/>
      <c r="O2026" s="89"/>
    </row>
    <row r="2027" spans="1:15" ht="19.95" customHeight="1">
      <c r="A2027" s="61" t="s">
        <v>50</v>
      </c>
      <c r="B2027" s="62"/>
      <c r="C2027" s="65" t="s">
        <v>51</v>
      </c>
      <c r="D2027" s="66"/>
      <c r="E2027" s="67"/>
      <c r="F2027" s="71" t="s">
        <v>52</v>
      </c>
      <c r="G2027" s="72"/>
      <c r="H2027" s="72"/>
      <c r="I2027" s="72"/>
      <c r="J2027" s="72"/>
      <c r="K2027" s="72"/>
      <c r="L2027" s="72"/>
      <c r="M2027" s="72"/>
      <c r="N2027" s="73"/>
      <c r="O2027" s="74" t="s">
        <v>53</v>
      </c>
    </row>
    <row r="2028" spans="1:15" ht="21" customHeight="1">
      <c r="A2028" s="63"/>
      <c r="B2028" s="64"/>
      <c r="C2028" s="68"/>
      <c r="D2028" s="69"/>
      <c r="E2028" s="70"/>
      <c r="F2028" s="76" t="s">
        <v>54</v>
      </c>
      <c r="G2028" s="77"/>
      <c r="H2028" s="71" t="s">
        <v>55</v>
      </c>
      <c r="I2028" s="73"/>
      <c r="J2028" s="78" t="s">
        <v>56</v>
      </c>
      <c r="K2028" s="79"/>
      <c r="L2028" s="80" t="s">
        <v>57</v>
      </c>
      <c r="M2028" s="81"/>
      <c r="N2028" s="82"/>
      <c r="O2028" s="75"/>
    </row>
    <row r="2029" spans="1:15" ht="30" customHeight="1">
      <c r="A2029" s="40"/>
      <c r="B2029" s="42"/>
      <c r="C2029" s="30" t="s">
        <v>242</v>
      </c>
      <c r="D2029" s="31"/>
      <c r="E2029" s="31"/>
      <c r="F2029" s="31"/>
      <c r="G2029" s="31"/>
      <c r="H2029" s="31"/>
      <c r="I2029" s="31"/>
      <c r="J2029" s="31"/>
      <c r="K2029" s="31"/>
      <c r="L2029" s="31"/>
      <c r="M2029" s="31"/>
      <c r="N2029" s="32"/>
      <c r="O2029" s="6">
        <v>40000000</v>
      </c>
    </row>
    <row r="2030" spans="1:15" ht="21" customHeight="1">
      <c r="A2030" s="40"/>
      <c r="B2030" s="42"/>
      <c r="C2030" s="46" t="s">
        <v>631</v>
      </c>
      <c r="D2030" s="47"/>
      <c r="E2030" s="47"/>
      <c r="F2030" s="47"/>
      <c r="G2030" s="47"/>
      <c r="H2030" s="47"/>
      <c r="I2030" s="47"/>
      <c r="J2030" s="47"/>
      <c r="K2030" s="47"/>
      <c r="L2030" s="47"/>
      <c r="M2030" s="47"/>
      <c r="N2030" s="48"/>
      <c r="O2030" s="6">
        <v>40000000</v>
      </c>
    </row>
    <row r="2031" spans="1:15" ht="70.95" customHeight="1">
      <c r="A2031" s="30"/>
      <c r="B2031" s="32"/>
      <c r="C2031" s="49" t="s">
        <v>632</v>
      </c>
      <c r="D2031" s="50"/>
      <c r="E2031" s="51"/>
      <c r="F2031" s="52">
        <v>10</v>
      </c>
      <c r="G2031" s="53"/>
      <c r="H2031" s="54" t="s">
        <v>289</v>
      </c>
      <c r="I2031" s="55"/>
      <c r="J2031" s="56">
        <v>4000000</v>
      </c>
      <c r="K2031" s="57"/>
      <c r="L2031" s="58">
        <v>0</v>
      </c>
      <c r="M2031" s="59"/>
      <c r="N2031" s="60"/>
      <c r="O2031" s="9">
        <v>40000000</v>
      </c>
    </row>
    <row r="2032" spans="1:15" ht="30" customHeight="1">
      <c r="A2032" s="30" t="s">
        <v>633</v>
      </c>
      <c r="B2032" s="32"/>
      <c r="C2032" s="46" t="s">
        <v>634</v>
      </c>
      <c r="D2032" s="47"/>
      <c r="E2032" s="47"/>
      <c r="F2032" s="47"/>
      <c r="G2032" s="47"/>
      <c r="H2032" s="47"/>
      <c r="I2032" s="47"/>
      <c r="J2032" s="47"/>
      <c r="K2032" s="47"/>
      <c r="L2032" s="47"/>
      <c r="M2032" s="47"/>
      <c r="N2032" s="48"/>
      <c r="O2032" s="6">
        <v>70150000</v>
      </c>
    </row>
    <row r="2033" spans="1:15" ht="31.05" customHeight="1">
      <c r="A2033" s="40"/>
      <c r="B2033" s="42"/>
      <c r="C2033" s="30" t="s">
        <v>635</v>
      </c>
      <c r="D2033" s="31"/>
      <c r="E2033" s="31"/>
      <c r="F2033" s="31"/>
      <c r="G2033" s="31"/>
      <c r="H2033" s="31"/>
      <c r="I2033" s="31"/>
      <c r="J2033" s="31"/>
      <c r="K2033" s="31"/>
      <c r="L2033" s="31"/>
      <c r="M2033" s="31"/>
      <c r="N2033" s="32"/>
      <c r="O2033" s="6">
        <v>70150000</v>
      </c>
    </row>
    <row r="2034" spans="1:15" ht="19.95" customHeight="1">
      <c r="A2034" s="40"/>
      <c r="B2034" s="42"/>
      <c r="C2034" s="46" t="s">
        <v>69</v>
      </c>
      <c r="D2034" s="47"/>
      <c r="E2034" s="47"/>
      <c r="F2034" s="47"/>
      <c r="G2034" s="47"/>
      <c r="H2034" s="47"/>
      <c r="I2034" s="47"/>
      <c r="J2034" s="47"/>
      <c r="K2034" s="47"/>
      <c r="L2034" s="47"/>
      <c r="M2034" s="47"/>
      <c r="N2034" s="48"/>
      <c r="O2034" s="6">
        <v>70150000</v>
      </c>
    </row>
    <row r="2035" spans="1:15" ht="61.05" customHeight="1">
      <c r="A2035" s="30"/>
      <c r="B2035" s="32"/>
      <c r="C2035" s="116" t="s">
        <v>636</v>
      </c>
      <c r="D2035" s="117"/>
      <c r="E2035" s="118"/>
      <c r="F2035" s="52">
        <v>115</v>
      </c>
      <c r="G2035" s="53"/>
      <c r="H2035" s="54" t="s">
        <v>601</v>
      </c>
      <c r="I2035" s="55"/>
      <c r="J2035" s="56">
        <v>610000</v>
      </c>
      <c r="K2035" s="57"/>
      <c r="L2035" s="58">
        <v>0</v>
      </c>
      <c r="M2035" s="59"/>
      <c r="N2035" s="60"/>
      <c r="O2035" s="9">
        <v>70150000</v>
      </c>
    </row>
    <row r="2036" spans="1:15" ht="30" customHeight="1">
      <c r="A2036" s="30" t="s">
        <v>637</v>
      </c>
      <c r="B2036" s="32"/>
      <c r="C2036" s="46" t="s">
        <v>638</v>
      </c>
      <c r="D2036" s="47"/>
      <c r="E2036" s="47"/>
      <c r="F2036" s="47"/>
      <c r="G2036" s="47"/>
      <c r="H2036" s="47"/>
      <c r="I2036" s="47"/>
      <c r="J2036" s="47"/>
      <c r="K2036" s="47"/>
      <c r="L2036" s="47"/>
      <c r="M2036" s="47"/>
      <c r="N2036" s="48"/>
      <c r="O2036" s="6">
        <v>45920000</v>
      </c>
    </row>
    <row r="2037" spans="1:15" ht="31.05" customHeight="1">
      <c r="A2037" s="40"/>
      <c r="B2037" s="42"/>
      <c r="C2037" s="30" t="s">
        <v>639</v>
      </c>
      <c r="D2037" s="31"/>
      <c r="E2037" s="31"/>
      <c r="F2037" s="31"/>
      <c r="G2037" s="31"/>
      <c r="H2037" s="31"/>
      <c r="I2037" s="31"/>
      <c r="J2037" s="31"/>
      <c r="K2037" s="31"/>
      <c r="L2037" s="31"/>
      <c r="M2037" s="31"/>
      <c r="N2037" s="32"/>
      <c r="O2037" s="6">
        <v>45920000</v>
      </c>
    </row>
    <row r="2038" spans="1:15" ht="19.95" customHeight="1">
      <c r="A2038" s="40"/>
      <c r="B2038" s="42"/>
      <c r="C2038" s="46" t="s">
        <v>69</v>
      </c>
      <c r="D2038" s="47"/>
      <c r="E2038" s="47"/>
      <c r="F2038" s="47"/>
      <c r="G2038" s="47"/>
      <c r="H2038" s="47"/>
      <c r="I2038" s="47"/>
      <c r="J2038" s="47"/>
      <c r="K2038" s="47"/>
      <c r="L2038" s="47"/>
      <c r="M2038" s="47"/>
      <c r="N2038" s="48"/>
      <c r="O2038" s="6">
        <v>45920000</v>
      </c>
    </row>
    <row r="2039" spans="1:15" ht="70.95" customHeight="1">
      <c r="A2039" s="30"/>
      <c r="B2039" s="32"/>
      <c r="C2039" s="49" t="s">
        <v>640</v>
      </c>
      <c r="D2039" s="50"/>
      <c r="E2039" s="51"/>
      <c r="F2039" s="52">
        <v>2</v>
      </c>
      <c r="G2039" s="53"/>
      <c r="H2039" s="54" t="s">
        <v>601</v>
      </c>
      <c r="I2039" s="55"/>
      <c r="J2039" s="56">
        <v>22960000</v>
      </c>
      <c r="K2039" s="57"/>
      <c r="L2039" s="58">
        <v>0</v>
      </c>
      <c r="M2039" s="59"/>
      <c r="N2039" s="60"/>
      <c r="O2039" s="9">
        <v>45920000</v>
      </c>
    </row>
    <row r="2040" spans="1:15" ht="31.05" customHeight="1">
      <c r="A2040" s="27" t="s">
        <v>89</v>
      </c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  <c r="N2040" s="29"/>
      <c r="O2040" s="13">
        <v>156070000</v>
      </c>
    </row>
    <row r="2041" spans="1:15" ht="153" customHeight="1">
      <c r="A2041" s="30"/>
      <c r="B2041" s="31"/>
      <c r="C2041" s="31"/>
      <c r="D2041" s="31"/>
      <c r="E2041" s="31"/>
      <c r="F2041" s="31"/>
      <c r="G2041" s="32"/>
      <c r="H2041" s="33" t="s">
        <v>90</v>
      </c>
      <c r="I2041" s="34"/>
      <c r="J2041" s="34"/>
      <c r="K2041" s="34"/>
      <c r="L2041" s="34"/>
      <c r="M2041" s="34"/>
      <c r="N2041" s="34"/>
      <c r="O2041" s="35"/>
    </row>
    <row r="2042" spans="1:15" ht="20.55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36"/>
      <c r="K2042" s="36"/>
      <c r="L2042" s="36"/>
      <c r="M2042" s="36"/>
      <c r="N2042" s="36"/>
      <c r="O2042" s="5"/>
    </row>
    <row r="2043" spans="1:15" ht="21" customHeight="1">
      <c r="A2043" s="37" t="s">
        <v>91</v>
      </c>
      <c r="B2043" s="38"/>
      <c r="C2043" s="39"/>
      <c r="D2043" s="2" t="s">
        <v>48</v>
      </c>
      <c r="E2043" s="40"/>
      <c r="F2043" s="41"/>
      <c r="G2043" s="41"/>
      <c r="H2043" s="41"/>
      <c r="I2043" s="41"/>
      <c r="J2043" s="41"/>
      <c r="K2043" s="41"/>
      <c r="L2043" s="41"/>
      <c r="M2043" s="41"/>
      <c r="N2043" s="41"/>
      <c r="O2043" s="42"/>
    </row>
    <row r="2044" spans="1:15" ht="19.95" customHeight="1">
      <c r="A2044" s="37" t="s">
        <v>92</v>
      </c>
      <c r="B2044" s="38"/>
      <c r="C2044" s="39"/>
      <c r="D2044" s="2" t="s">
        <v>48</v>
      </c>
      <c r="E2044" s="40"/>
      <c r="F2044" s="41"/>
      <c r="G2044" s="41"/>
      <c r="H2044" s="41"/>
      <c r="I2044" s="41"/>
      <c r="J2044" s="41"/>
      <c r="K2044" s="41"/>
      <c r="L2044" s="41"/>
      <c r="M2044" s="41"/>
      <c r="N2044" s="41"/>
      <c r="O2044" s="42"/>
    </row>
    <row r="2045" spans="1:15" ht="19.95" customHeight="1">
      <c r="A2045" s="37" t="s">
        <v>93</v>
      </c>
      <c r="B2045" s="38"/>
      <c r="C2045" s="39"/>
      <c r="D2045" s="2" t="s">
        <v>48</v>
      </c>
      <c r="E2045" s="40"/>
      <c r="F2045" s="41"/>
      <c r="G2045" s="41"/>
      <c r="H2045" s="41"/>
      <c r="I2045" s="41"/>
      <c r="J2045" s="41"/>
      <c r="K2045" s="41"/>
      <c r="L2045" s="41"/>
      <c r="M2045" s="41"/>
      <c r="N2045" s="41"/>
      <c r="O2045" s="42"/>
    </row>
    <row r="2046" spans="1:15" ht="21" customHeight="1">
      <c r="A2046" s="43">
        <v>1</v>
      </c>
      <c r="B2046" s="44"/>
      <c r="C2046" s="44"/>
      <c r="D2046" s="44"/>
      <c r="E2046" s="44"/>
      <c r="F2046" s="44"/>
      <c r="G2046" s="44"/>
      <c r="H2046" s="44"/>
      <c r="I2046" s="44"/>
      <c r="J2046" s="44"/>
      <c r="K2046" s="44"/>
      <c r="L2046" s="44"/>
      <c r="M2046" s="44"/>
      <c r="N2046" s="44"/>
      <c r="O2046" s="45"/>
    </row>
    <row r="2047" spans="1:15" ht="19.95" customHeight="1">
      <c r="A2047" s="43">
        <v>2</v>
      </c>
      <c r="B2047" s="44"/>
      <c r="C2047" s="44"/>
      <c r="D2047" s="44"/>
      <c r="E2047" s="44"/>
      <c r="F2047" s="44"/>
      <c r="G2047" s="44"/>
      <c r="H2047" s="44"/>
      <c r="I2047" s="44"/>
      <c r="J2047" s="44"/>
      <c r="K2047" s="44"/>
      <c r="L2047" s="44"/>
      <c r="M2047" s="44"/>
      <c r="N2047" s="44"/>
      <c r="O2047" s="45"/>
    </row>
    <row r="2048" spans="1:15" ht="20.55" customHeight="1">
      <c r="A2048" s="37" t="s">
        <v>94</v>
      </c>
      <c r="B2048" s="38"/>
      <c r="C2048" s="38"/>
      <c r="D2048" s="38"/>
      <c r="E2048" s="38"/>
      <c r="F2048" s="38"/>
      <c r="G2048" s="38"/>
      <c r="H2048" s="38"/>
      <c r="I2048" s="38"/>
      <c r="J2048" s="38"/>
      <c r="K2048" s="38"/>
      <c r="L2048" s="38"/>
      <c r="M2048" s="38"/>
      <c r="N2048" s="38"/>
      <c r="O2048" s="39"/>
    </row>
    <row r="2049" spans="1:15" ht="20.55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36"/>
      <c r="K2049" s="36"/>
      <c r="L2049" s="36"/>
      <c r="M2049" s="36"/>
      <c r="N2049" s="36"/>
      <c r="O2049" s="5"/>
    </row>
    <row r="2050" spans="1:15" ht="21" customHeight="1">
      <c r="A2050" s="18" t="s">
        <v>95</v>
      </c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20"/>
    </row>
    <row r="2051" spans="1:15" ht="22.05" customHeight="1">
      <c r="A2051" s="3" t="s">
        <v>96</v>
      </c>
      <c r="B2051" s="18" t="s">
        <v>97</v>
      </c>
      <c r="C2051" s="19"/>
      <c r="D2051" s="19"/>
      <c r="E2051" s="19"/>
      <c r="F2051" s="20"/>
      <c r="G2051" s="18" t="s">
        <v>98</v>
      </c>
      <c r="H2051" s="20"/>
      <c r="I2051" s="18" t="s">
        <v>99</v>
      </c>
      <c r="J2051" s="19"/>
      <c r="K2051" s="20"/>
      <c r="L2051" s="21" t="s">
        <v>100</v>
      </c>
      <c r="M2051" s="22"/>
      <c r="N2051" s="22"/>
      <c r="O2051" s="23"/>
    </row>
    <row r="2052" spans="1:15" ht="21" customHeight="1">
      <c r="A2052" s="24" t="s">
        <v>101</v>
      </c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6"/>
    </row>
    <row r="2053" spans="1:15" ht="64.05" customHeight="1">
      <c r="A2053" s="106" t="s">
        <v>0</v>
      </c>
      <c r="B2053" s="107"/>
      <c r="C2053" s="107"/>
      <c r="D2053" s="107"/>
      <c r="E2053" s="107"/>
      <c r="F2053" s="107"/>
      <c r="G2053" s="107"/>
      <c r="H2053" s="107"/>
      <c r="I2053" s="107"/>
      <c r="J2053" s="108"/>
      <c r="K2053" s="109" t="s">
        <v>1</v>
      </c>
      <c r="L2053" s="110"/>
      <c r="M2053" s="110"/>
      <c r="N2053" s="110"/>
      <c r="O2053" s="111"/>
    </row>
    <row r="2054" spans="1:15" ht="23.55" customHeight="1">
      <c r="A2054" s="101" t="s">
        <v>674</v>
      </c>
      <c r="B2054" s="102"/>
      <c r="C2054" s="102"/>
      <c r="D2054" s="102"/>
      <c r="E2054" s="102"/>
      <c r="F2054" s="102"/>
      <c r="G2054" s="102"/>
      <c r="H2054" s="102"/>
      <c r="I2054" s="102"/>
      <c r="J2054" s="102"/>
      <c r="K2054" s="102"/>
      <c r="L2054" s="102"/>
      <c r="M2054" s="102"/>
      <c r="N2054" s="102"/>
      <c r="O2054" s="103"/>
    </row>
    <row r="2055" spans="1:15" ht="20.55" customHeight="1">
      <c r="A2055" s="93"/>
      <c r="B2055" s="93"/>
      <c r="C2055" s="1"/>
      <c r="D2055" s="93"/>
      <c r="E2055" s="93"/>
      <c r="F2055" s="93"/>
      <c r="G2055" s="93"/>
      <c r="H2055" s="93"/>
      <c r="I2055" s="93"/>
      <c r="J2055" s="5"/>
      <c r="K2055" s="36"/>
      <c r="L2055" s="36"/>
      <c r="M2055" s="5"/>
      <c r="N2055" s="5"/>
      <c r="O2055" s="5"/>
    </row>
    <row r="2056" spans="1:15" ht="37.049999999999997" customHeight="1">
      <c r="A2056" s="101" t="s">
        <v>2</v>
      </c>
      <c r="B2056" s="102"/>
      <c r="C2056" s="102"/>
      <c r="D2056" s="102"/>
      <c r="E2056" s="102"/>
      <c r="F2056" s="102"/>
      <c r="G2056" s="102"/>
      <c r="H2056" s="102"/>
      <c r="I2056" s="102"/>
      <c r="J2056" s="102"/>
      <c r="K2056" s="102"/>
      <c r="L2056" s="102"/>
      <c r="M2056" s="102"/>
      <c r="N2056" s="102"/>
      <c r="O2056" s="103"/>
    </row>
    <row r="2057" spans="1:15" ht="21" customHeight="1">
      <c r="A2057" s="37" t="s">
        <v>3</v>
      </c>
      <c r="B2057" s="38"/>
      <c r="C2057" s="39"/>
      <c r="D2057" s="90" t="s">
        <v>4</v>
      </c>
      <c r="E2057" s="91"/>
      <c r="F2057" s="91"/>
      <c r="G2057" s="91"/>
      <c r="H2057" s="91"/>
      <c r="I2057" s="91"/>
      <c r="J2057" s="91"/>
      <c r="K2057" s="91"/>
      <c r="L2057" s="91"/>
      <c r="M2057" s="91"/>
      <c r="N2057" s="91"/>
      <c r="O2057" s="92"/>
    </row>
    <row r="2058" spans="1:15" ht="22.05" customHeight="1">
      <c r="A2058" s="37" t="s">
        <v>5</v>
      </c>
      <c r="B2058" s="38"/>
      <c r="C2058" s="39"/>
      <c r="D2058" s="90" t="s">
        <v>6</v>
      </c>
      <c r="E2058" s="91"/>
      <c r="F2058" s="91"/>
      <c r="G2058" s="91"/>
      <c r="H2058" s="91"/>
      <c r="I2058" s="91"/>
      <c r="J2058" s="91"/>
      <c r="K2058" s="91"/>
      <c r="L2058" s="91"/>
      <c r="M2058" s="91"/>
      <c r="N2058" s="91"/>
      <c r="O2058" s="92"/>
    </row>
    <row r="2059" spans="1:15" ht="22.05" customHeight="1">
      <c r="A2059" s="37" t="s">
        <v>7</v>
      </c>
      <c r="B2059" s="38"/>
      <c r="C2059" s="39"/>
      <c r="D2059" s="90" t="s">
        <v>8</v>
      </c>
      <c r="E2059" s="91"/>
      <c r="F2059" s="91"/>
      <c r="G2059" s="91"/>
      <c r="H2059" s="91"/>
      <c r="I2059" s="91"/>
      <c r="J2059" s="91"/>
      <c r="K2059" s="91"/>
      <c r="L2059" s="91"/>
      <c r="M2059" s="91"/>
      <c r="N2059" s="91"/>
      <c r="O2059" s="92"/>
    </row>
    <row r="2060" spans="1:15" ht="21" customHeight="1">
      <c r="A2060" s="37" t="s">
        <v>9</v>
      </c>
      <c r="B2060" s="38"/>
      <c r="C2060" s="39"/>
      <c r="D2060" s="90" t="s">
        <v>10</v>
      </c>
      <c r="E2060" s="91"/>
      <c r="F2060" s="91"/>
      <c r="G2060" s="91"/>
      <c r="H2060" s="91"/>
      <c r="I2060" s="91"/>
      <c r="J2060" s="91"/>
      <c r="K2060" s="91"/>
      <c r="L2060" s="91"/>
      <c r="M2060" s="91"/>
      <c r="N2060" s="91"/>
      <c r="O2060" s="92"/>
    </row>
    <row r="2061" spans="1:15" ht="22.05" customHeight="1">
      <c r="A2061" s="37" t="s">
        <v>11</v>
      </c>
      <c r="B2061" s="38"/>
      <c r="C2061" s="39"/>
      <c r="D2061" s="90" t="s">
        <v>12</v>
      </c>
      <c r="E2061" s="91"/>
      <c r="F2061" s="91"/>
      <c r="G2061" s="91"/>
      <c r="H2061" s="91"/>
      <c r="I2061" s="91"/>
      <c r="J2061" s="91"/>
      <c r="K2061" s="91"/>
      <c r="L2061" s="91"/>
      <c r="M2061" s="91"/>
      <c r="N2061" s="91"/>
      <c r="O2061" s="92"/>
    </row>
    <row r="2062" spans="1:15" ht="22.05" customHeight="1">
      <c r="A2062" s="37" t="s">
        <v>13</v>
      </c>
      <c r="B2062" s="38"/>
      <c r="C2062" s="39"/>
      <c r="D2062" s="90" t="s">
        <v>586</v>
      </c>
      <c r="E2062" s="91"/>
      <c r="F2062" s="91"/>
      <c r="G2062" s="91"/>
      <c r="H2062" s="91"/>
      <c r="I2062" s="91"/>
      <c r="J2062" s="91"/>
      <c r="K2062" s="91"/>
      <c r="L2062" s="91"/>
      <c r="M2062" s="91"/>
      <c r="N2062" s="91"/>
      <c r="O2062" s="92"/>
    </row>
    <row r="2063" spans="1:15" ht="21" customHeight="1">
      <c r="A2063" s="37" t="s">
        <v>15</v>
      </c>
      <c r="B2063" s="38"/>
      <c r="C2063" s="39"/>
      <c r="D2063" s="90" t="s">
        <v>641</v>
      </c>
      <c r="E2063" s="91"/>
      <c r="F2063" s="91"/>
      <c r="G2063" s="91"/>
      <c r="H2063" s="91"/>
      <c r="I2063" s="91"/>
      <c r="J2063" s="91"/>
      <c r="K2063" s="91"/>
      <c r="L2063" s="91"/>
      <c r="M2063" s="91"/>
      <c r="N2063" s="91"/>
      <c r="O2063" s="92"/>
    </row>
    <row r="2064" spans="1:15" ht="22.05" customHeight="1">
      <c r="A2064" s="37" t="s">
        <v>17</v>
      </c>
      <c r="B2064" s="38"/>
      <c r="C2064" s="39"/>
      <c r="D2064" s="90" t="s">
        <v>10</v>
      </c>
      <c r="E2064" s="91"/>
      <c r="F2064" s="91"/>
      <c r="G2064" s="91"/>
      <c r="H2064" s="91"/>
      <c r="I2064" s="91"/>
      <c r="J2064" s="91"/>
      <c r="K2064" s="91"/>
      <c r="L2064" s="91"/>
      <c r="M2064" s="91"/>
      <c r="N2064" s="91"/>
      <c r="O2064" s="92"/>
    </row>
    <row r="2065" spans="1:15" ht="22.05" customHeight="1">
      <c r="A2065" s="37" t="s">
        <v>18</v>
      </c>
      <c r="B2065" s="38"/>
      <c r="C2065" s="39"/>
      <c r="D2065" s="90" t="s">
        <v>10</v>
      </c>
      <c r="E2065" s="91"/>
      <c r="F2065" s="91"/>
      <c r="G2065" s="91"/>
      <c r="H2065" s="91"/>
      <c r="I2065" s="91"/>
      <c r="J2065" s="91"/>
      <c r="K2065" s="91"/>
      <c r="L2065" s="91"/>
      <c r="M2065" s="91"/>
      <c r="N2065" s="91"/>
      <c r="O2065" s="92"/>
    </row>
    <row r="2066" spans="1:15" ht="22.05" customHeight="1">
      <c r="A2066" s="37" t="s">
        <v>19</v>
      </c>
      <c r="B2066" s="38"/>
      <c r="C2066" s="39"/>
      <c r="D2066" s="90" t="s">
        <v>20</v>
      </c>
      <c r="E2066" s="91"/>
      <c r="F2066" s="91"/>
      <c r="G2066" s="91"/>
      <c r="H2066" s="91"/>
      <c r="I2066" s="91"/>
      <c r="J2066" s="91"/>
      <c r="K2066" s="91"/>
      <c r="L2066" s="91"/>
      <c r="M2066" s="91"/>
      <c r="N2066" s="91"/>
      <c r="O2066" s="92"/>
    </row>
    <row r="2067" spans="1:15" ht="21" customHeight="1">
      <c r="A2067" s="37" t="s">
        <v>21</v>
      </c>
      <c r="B2067" s="38"/>
      <c r="C2067" s="39"/>
      <c r="D2067" s="90" t="s">
        <v>588</v>
      </c>
      <c r="E2067" s="91"/>
      <c r="F2067" s="91"/>
      <c r="G2067" s="91"/>
      <c r="H2067" s="91"/>
      <c r="I2067" s="91"/>
      <c r="J2067" s="91"/>
      <c r="K2067" s="91"/>
      <c r="L2067" s="91"/>
      <c r="M2067" s="91"/>
      <c r="N2067" s="91"/>
      <c r="O2067" s="92"/>
    </row>
    <row r="2068" spans="1:15" ht="22.05" customHeight="1">
      <c r="A2068" s="37" t="s">
        <v>23</v>
      </c>
      <c r="B2068" s="38"/>
      <c r="C2068" s="39"/>
      <c r="D2068" s="90" t="s">
        <v>24</v>
      </c>
      <c r="E2068" s="91"/>
      <c r="F2068" s="91"/>
      <c r="G2068" s="91"/>
      <c r="H2068" s="91"/>
      <c r="I2068" s="91"/>
      <c r="J2068" s="91"/>
      <c r="K2068" s="91"/>
      <c r="L2068" s="91"/>
      <c r="M2068" s="91"/>
      <c r="N2068" s="91"/>
      <c r="O2068" s="92"/>
    </row>
    <row r="2069" spans="1:15" ht="22.05" customHeight="1">
      <c r="A2069" s="37" t="s">
        <v>25</v>
      </c>
      <c r="B2069" s="38"/>
      <c r="C2069" s="39"/>
      <c r="D2069" s="90" t="s">
        <v>589</v>
      </c>
      <c r="E2069" s="91"/>
      <c r="F2069" s="91"/>
      <c r="G2069" s="91"/>
      <c r="H2069" s="91"/>
      <c r="I2069" s="91"/>
      <c r="J2069" s="91"/>
      <c r="K2069" s="91"/>
      <c r="L2069" s="91"/>
      <c r="M2069" s="91"/>
      <c r="N2069" s="91"/>
      <c r="O2069" s="92"/>
    </row>
    <row r="2070" spans="1:15" ht="21" customHeight="1">
      <c r="A2070" s="37" t="s">
        <v>670</v>
      </c>
      <c r="B2070" s="38"/>
      <c r="C2070" s="39"/>
      <c r="D2070" s="90" t="s">
        <v>27</v>
      </c>
      <c r="E2070" s="91"/>
      <c r="F2070" s="91"/>
      <c r="G2070" s="91"/>
      <c r="H2070" s="91"/>
      <c r="I2070" s="91"/>
      <c r="J2070" s="91"/>
      <c r="K2070" s="91"/>
      <c r="L2070" s="91"/>
      <c r="M2070" s="91"/>
      <c r="N2070" s="91"/>
      <c r="O2070" s="92"/>
    </row>
    <row r="2071" spans="1:15" ht="22.05" customHeight="1">
      <c r="A2071" s="37" t="s">
        <v>675</v>
      </c>
      <c r="B2071" s="38"/>
      <c r="C2071" s="39"/>
      <c r="D2071" s="90" t="s">
        <v>642</v>
      </c>
      <c r="E2071" s="91"/>
      <c r="F2071" s="91"/>
      <c r="G2071" s="91"/>
      <c r="H2071" s="91"/>
      <c r="I2071" s="91"/>
      <c r="J2071" s="91"/>
      <c r="K2071" s="91"/>
      <c r="L2071" s="91"/>
      <c r="M2071" s="91"/>
      <c r="N2071" s="91"/>
      <c r="O2071" s="92"/>
    </row>
    <row r="2072" spans="1:15" ht="21.45" customHeight="1">
      <c r="A2072" s="37" t="s">
        <v>676</v>
      </c>
      <c r="B2072" s="38"/>
      <c r="C2072" s="39"/>
      <c r="D2072" s="90" t="s">
        <v>643</v>
      </c>
      <c r="E2072" s="91"/>
      <c r="F2072" s="91"/>
      <c r="G2072" s="91"/>
      <c r="H2072" s="91"/>
      <c r="I2072" s="91"/>
      <c r="J2072" s="91"/>
      <c r="K2072" s="91"/>
      <c r="L2072" s="91"/>
      <c r="M2072" s="91"/>
      <c r="N2072" s="91"/>
      <c r="O2072" s="92"/>
    </row>
    <row r="2073" spans="1:15" ht="20.55" customHeight="1">
      <c r="A2073" s="93"/>
      <c r="B2073" s="93"/>
      <c r="C2073" s="1"/>
      <c r="D2073" s="93"/>
      <c r="E2073" s="93"/>
      <c r="F2073" s="93"/>
      <c r="G2073" s="93"/>
      <c r="H2073" s="93"/>
      <c r="I2073" s="93"/>
      <c r="J2073" s="5"/>
      <c r="K2073" s="36"/>
      <c r="L2073" s="36"/>
      <c r="M2073" s="5"/>
      <c r="N2073" s="5"/>
      <c r="O2073" s="5"/>
    </row>
    <row r="2074" spans="1:15" ht="22.95" customHeight="1">
      <c r="A2074" s="101" t="s">
        <v>29</v>
      </c>
      <c r="B2074" s="102"/>
      <c r="C2074" s="102"/>
      <c r="D2074" s="102"/>
      <c r="E2074" s="102"/>
      <c r="F2074" s="102"/>
      <c r="G2074" s="102"/>
      <c r="H2074" s="102"/>
      <c r="I2074" s="102"/>
      <c r="J2074" s="102"/>
      <c r="K2074" s="102"/>
      <c r="L2074" s="102"/>
      <c r="M2074" s="102"/>
      <c r="N2074" s="102"/>
      <c r="O2074" s="103"/>
    </row>
    <row r="2075" spans="1:15" ht="24" customHeight="1">
      <c r="A2075" s="101" t="s">
        <v>30</v>
      </c>
      <c r="B2075" s="102"/>
      <c r="C2075" s="103"/>
      <c r="D2075" s="101" t="s">
        <v>31</v>
      </c>
      <c r="E2075" s="102"/>
      <c r="F2075" s="102"/>
      <c r="G2075" s="102"/>
      <c r="H2075" s="102"/>
      <c r="I2075" s="102"/>
      <c r="J2075" s="102"/>
      <c r="K2075" s="102"/>
      <c r="L2075" s="102"/>
      <c r="M2075" s="103"/>
      <c r="N2075" s="104" t="s">
        <v>32</v>
      </c>
      <c r="O2075" s="105"/>
    </row>
    <row r="2076" spans="1:15" ht="21" customHeight="1">
      <c r="A2076" s="37" t="s">
        <v>33</v>
      </c>
      <c r="B2076" s="38"/>
      <c r="C2076" s="39"/>
      <c r="D2076" s="37" t="s">
        <v>34</v>
      </c>
      <c r="E2076" s="38"/>
      <c r="F2076" s="38"/>
      <c r="G2076" s="38"/>
      <c r="H2076" s="38"/>
      <c r="I2076" s="38"/>
      <c r="J2076" s="38"/>
      <c r="K2076" s="38"/>
      <c r="L2076" s="38"/>
      <c r="M2076" s="39"/>
      <c r="N2076" s="97" t="s">
        <v>35</v>
      </c>
      <c r="O2076" s="98"/>
    </row>
    <row r="2077" spans="1:15" ht="19.95" customHeight="1">
      <c r="A2077" s="37" t="s">
        <v>36</v>
      </c>
      <c r="B2077" s="38"/>
      <c r="C2077" s="39"/>
      <c r="D2077" s="37" t="s">
        <v>37</v>
      </c>
      <c r="E2077" s="38"/>
      <c r="F2077" s="38"/>
      <c r="G2077" s="38"/>
      <c r="H2077" s="38"/>
      <c r="I2077" s="38"/>
      <c r="J2077" s="38"/>
      <c r="K2077" s="38"/>
      <c r="L2077" s="38"/>
      <c r="M2077" s="39"/>
      <c r="N2077" s="97">
        <v>48838000</v>
      </c>
      <c r="O2077" s="98"/>
    </row>
    <row r="2078" spans="1:15" ht="19.95" customHeight="1">
      <c r="A2078" s="37" t="s">
        <v>38</v>
      </c>
      <c r="B2078" s="38"/>
      <c r="C2078" s="39"/>
      <c r="D2078" s="37" t="s">
        <v>644</v>
      </c>
      <c r="E2078" s="38"/>
      <c r="F2078" s="38"/>
      <c r="G2078" s="38"/>
      <c r="H2078" s="38"/>
      <c r="I2078" s="38"/>
      <c r="J2078" s="38"/>
      <c r="K2078" s="38"/>
      <c r="L2078" s="38"/>
      <c r="M2078" s="39"/>
      <c r="N2078" s="97" t="s">
        <v>645</v>
      </c>
      <c r="O2078" s="98"/>
    </row>
    <row r="2079" spans="1:15" ht="20.55" customHeight="1">
      <c r="A2079" s="37" t="s">
        <v>41</v>
      </c>
      <c r="B2079" s="38"/>
      <c r="C2079" s="39"/>
      <c r="D2079" s="37" t="s">
        <v>594</v>
      </c>
      <c r="E2079" s="38"/>
      <c r="F2079" s="38"/>
      <c r="G2079" s="38"/>
      <c r="H2079" s="38"/>
      <c r="I2079" s="38"/>
      <c r="J2079" s="38"/>
      <c r="K2079" s="38"/>
      <c r="L2079" s="38"/>
      <c r="M2079" s="39"/>
      <c r="N2079" s="99">
        <v>0.92</v>
      </c>
      <c r="O2079" s="100"/>
    </row>
    <row r="2080" spans="1:15" ht="20.55" customHeight="1">
      <c r="A2080" s="93"/>
      <c r="B2080" s="93"/>
      <c r="C2080" s="1"/>
      <c r="D2080" s="93"/>
      <c r="E2080" s="93"/>
      <c r="F2080" s="93"/>
      <c r="G2080" s="93"/>
      <c r="H2080" s="93"/>
      <c r="I2080" s="93"/>
      <c r="J2080" s="5"/>
      <c r="K2080" s="36"/>
      <c r="L2080" s="36"/>
      <c r="M2080" s="5"/>
      <c r="N2080" s="5"/>
      <c r="O2080" s="5"/>
    </row>
    <row r="2081" spans="1:15" ht="37.049999999999997" customHeight="1">
      <c r="A2081" s="101" t="s">
        <v>43</v>
      </c>
      <c r="B2081" s="102"/>
      <c r="C2081" s="102"/>
      <c r="D2081" s="102"/>
      <c r="E2081" s="102"/>
      <c r="F2081" s="102"/>
      <c r="G2081" s="102"/>
      <c r="H2081" s="102"/>
      <c r="I2081" s="102"/>
      <c r="J2081" s="102"/>
      <c r="K2081" s="102"/>
      <c r="L2081" s="102"/>
      <c r="M2081" s="102"/>
      <c r="N2081" s="102"/>
      <c r="O2081" s="103"/>
    </row>
    <row r="2082" spans="1:15" ht="21" customHeight="1">
      <c r="A2082" s="37" t="s">
        <v>15</v>
      </c>
      <c r="B2082" s="38"/>
      <c r="C2082" s="39"/>
      <c r="D2082" s="90" t="s">
        <v>641</v>
      </c>
      <c r="E2082" s="91"/>
      <c r="F2082" s="91"/>
      <c r="G2082" s="91"/>
      <c r="H2082" s="91"/>
      <c r="I2082" s="91"/>
      <c r="J2082" s="91"/>
      <c r="K2082" s="91"/>
      <c r="L2082" s="91"/>
      <c r="M2082" s="91"/>
      <c r="N2082" s="91"/>
      <c r="O2082" s="92"/>
    </row>
    <row r="2083" spans="1:15" ht="19.95" customHeight="1">
      <c r="A2083" s="37" t="s">
        <v>19</v>
      </c>
      <c r="B2083" s="38"/>
      <c r="C2083" s="39"/>
      <c r="D2083" s="90" t="s">
        <v>20</v>
      </c>
      <c r="E2083" s="91"/>
      <c r="F2083" s="91"/>
      <c r="G2083" s="91"/>
      <c r="H2083" s="91"/>
      <c r="I2083" s="91"/>
      <c r="J2083" s="91"/>
      <c r="K2083" s="91"/>
      <c r="L2083" s="91"/>
      <c r="M2083" s="91"/>
      <c r="N2083" s="91"/>
      <c r="O2083" s="92"/>
    </row>
    <row r="2084" spans="1:15" ht="19.95" customHeight="1">
      <c r="A2084" s="37" t="s">
        <v>21</v>
      </c>
      <c r="B2084" s="38"/>
      <c r="C2084" s="39"/>
      <c r="D2084" s="90" t="s">
        <v>595</v>
      </c>
      <c r="E2084" s="91"/>
      <c r="F2084" s="91"/>
      <c r="G2084" s="91"/>
      <c r="H2084" s="91"/>
      <c r="I2084" s="91"/>
      <c r="J2084" s="91"/>
      <c r="K2084" s="91"/>
      <c r="L2084" s="91"/>
      <c r="M2084" s="91"/>
      <c r="N2084" s="91"/>
      <c r="O2084" s="92"/>
    </row>
    <row r="2085" spans="1:15" ht="21" customHeight="1">
      <c r="A2085" s="37" t="s">
        <v>45</v>
      </c>
      <c r="B2085" s="38"/>
      <c r="C2085" s="39"/>
      <c r="D2085" s="90" t="s">
        <v>646</v>
      </c>
      <c r="E2085" s="91"/>
      <c r="F2085" s="91"/>
      <c r="G2085" s="91"/>
      <c r="H2085" s="91"/>
      <c r="I2085" s="91"/>
      <c r="J2085" s="91"/>
      <c r="K2085" s="91"/>
      <c r="L2085" s="91"/>
      <c r="M2085" s="91"/>
      <c r="N2085" s="91"/>
      <c r="O2085" s="92"/>
    </row>
    <row r="2086" spans="1:15" ht="19.95" customHeight="1">
      <c r="A2086" s="37" t="s">
        <v>23</v>
      </c>
      <c r="B2086" s="38"/>
      <c r="C2086" s="39"/>
      <c r="D2086" s="90" t="s">
        <v>24</v>
      </c>
      <c r="E2086" s="91"/>
      <c r="F2086" s="91"/>
      <c r="G2086" s="91"/>
      <c r="H2086" s="91"/>
      <c r="I2086" s="91"/>
      <c r="J2086" s="91"/>
      <c r="K2086" s="91"/>
      <c r="L2086" s="91"/>
      <c r="M2086" s="91"/>
      <c r="N2086" s="91"/>
      <c r="O2086" s="92"/>
    </row>
    <row r="2087" spans="1:15" ht="19.5" customHeight="1">
      <c r="A2087" s="37" t="s">
        <v>47</v>
      </c>
      <c r="B2087" s="38"/>
      <c r="C2087" s="39"/>
      <c r="D2087" s="90" t="s">
        <v>48</v>
      </c>
      <c r="E2087" s="91"/>
      <c r="F2087" s="91"/>
      <c r="G2087" s="91"/>
      <c r="H2087" s="91"/>
      <c r="I2087" s="91"/>
      <c r="J2087" s="91"/>
      <c r="K2087" s="91"/>
      <c r="L2087" s="91"/>
      <c r="M2087" s="91"/>
      <c r="N2087" s="91"/>
      <c r="O2087" s="92"/>
    </row>
    <row r="2088" spans="1:15" ht="20.55" customHeight="1">
      <c r="A2088" s="93"/>
      <c r="B2088" s="93"/>
      <c r="C2088" s="1"/>
      <c r="D2088" s="93"/>
      <c r="E2088" s="93"/>
      <c r="F2088" s="93"/>
      <c r="G2088" s="93"/>
      <c r="H2088" s="93"/>
      <c r="I2088" s="93"/>
      <c r="J2088" s="5"/>
      <c r="K2088" s="36"/>
      <c r="L2088" s="36"/>
      <c r="M2088" s="5"/>
      <c r="N2088" s="5"/>
      <c r="O2088" s="5"/>
    </row>
    <row r="2089" spans="1:15" ht="37.950000000000003" customHeight="1">
      <c r="A2089" s="87" t="s">
        <v>49</v>
      </c>
      <c r="B2089" s="88"/>
      <c r="C2089" s="88"/>
      <c r="D2089" s="88"/>
      <c r="E2089" s="88"/>
      <c r="F2089" s="88"/>
      <c r="G2089" s="88"/>
      <c r="H2089" s="88"/>
      <c r="I2089" s="88"/>
      <c r="J2089" s="88"/>
      <c r="K2089" s="88"/>
      <c r="L2089" s="88"/>
      <c r="M2089" s="88"/>
      <c r="N2089" s="88"/>
      <c r="O2089" s="89"/>
    </row>
    <row r="2090" spans="1:15" ht="19.95" customHeight="1">
      <c r="A2090" s="61" t="s">
        <v>50</v>
      </c>
      <c r="B2090" s="62"/>
      <c r="C2090" s="65" t="s">
        <v>51</v>
      </c>
      <c r="D2090" s="66"/>
      <c r="E2090" s="67"/>
      <c r="F2090" s="71" t="s">
        <v>52</v>
      </c>
      <c r="G2090" s="72"/>
      <c r="H2090" s="72"/>
      <c r="I2090" s="72"/>
      <c r="J2090" s="72"/>
      <c r="K2090" s="72"/>
      <c r="L2090" s="72"/>
      <c r="M2090" s="72"/>
      <c r="N2090" s="73"/>
      <c r="O2090" s="74" t="s">
        <v>53</v>
      </c>
    </row>
    <row r="2091" spans="1:15" ht="21" customHeight="1">
      <c r="A2091" s="63"/>
      <c r="B2091" s="64"/>
      <c r="C2091" s="68"/>
      <c r="D2091" s="69"/>
      <c r="E2091" s="70"/>
      <c r="F2091" s="76" t="s">
        <v>54</v>
      </c>
      <c r="G2091" s="77"/>
      <c r="H2091" s="71" t="s">
        <v>55</v>
      </c>
      <c r="I2091" s="73"/>
      <c r="J2091" s="94" t="s">
        <v>56</v>
      </c>
      <c r="K2091" s="95"/>
      <c r="L2091" s="96"/>
      <c r="M2091" s="80" t="s">
        <v>57</v>
      </c>
      <c r="N2091" s="82"/>
      <c r="O2091" s="75"/>
    </row>
    <row r="2092" spans="1:15" ht="19.95" customHeight="1">
      <c r="A2092" s="83">
        <v>5</v>
      </c>
      <c r="B2092" s="84"/>
      <c r="C2092" s="46" t="s">
        <v>58</v>
      </c>
      <c r="D2092" s="47"/>
      <c r="E2092" s="47"/>
      <c r="F2092" s="47"/>
      <c r="G2092" s="47"/>
      <c r="H2092" s="47"/>
      <c r="I2092" s="47"/>
      <c r="J2092" s="47"/>
      <c r="K2092" s="47"/>
      <c r="L2092" s="47"/>
      <c r="M2092" s="47"/>
      <c r="N2092" s="48"/>
      <c r="O2092" s="8">
        <v>48838000</v>
      </c>
    </row>
    <row r="2093" spans="1:15" ht="19.95" customHeight="1">
      <c r="A2093" s="46" t="s">
        <v>59</v>
      </c>
      <c r="B2093" s="48"/>
      <c r="C2093" s="46" t="s">
        <v>60</v>
      </c>
      <c r="D2093" s="47"/>
      <c r="E2093" s="47"/>
      <c r="F2093" s="47"/>
      <c r="G2093" s="47"/>
      <c r="H2093" s="47"/>
      <c r="I2093" s="47"/>
      <c r="J2093" s="47"/>
      <c r="K2093" s="47"/>
      <c r="L2093" s="47"/>
      <c r="M2093" s="47"/>
      <c r="N2093" s="48"/>
      <c r="O2093" s="8">
        <v>48838000</v>
      </c>
    </row>
    <row r="2094" spans="1:15" ht="21" customHeight="1">
      <c r="A2094" s="85">
        <v>37377</v>
      </c>
      <c r="B2094" s="86"/>
      <c r="C2094" s="46" t="s">
        <v>61</v>
      </c>
      <c r="D2094" s="47"/>
      <c r="E2094" s="47"/>
      <c r="F2094" s="47"/>
      <c r="G2094" s="47"/>
      <c r="H2094" s="47"/>
      <c r="I2094" s="47"/>
      <c r="J2094" s="47"/>
      <c r="K2094" s="47"/>
      <c r="L2094" s="47"/>
      <c r="M2094" s="47"/>
      <c r="N2094" s="48"/>
      <c r="O2094" s="8">
        <v>48838000</v>
      </c>
    </row>
    <row r="2095" spans="1:15" ht="19.95" customHeight="1">
      <c r="A2095" s="46" t="s">
        <v>602</v>
      </c>
      <c r="B2095" s="48"/>
      <c r="C2095" s="46" t="s">
        <v>603</v>
      </c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8"/>
      <c r="O2095" s="8">
        <v>48838000</v>
      </c>
    </row>
    <row r="2096" spans="1:15" ht="19.95" customHeight="1">
      <c r="A2096" s="46" t="s">
        <v>647</v>
      </c>
      <c r="B2096" s="48"/>
      <c r="C2096" s="46" t="s">
        <v>648</v>
      </c>
      <c r="D2096" s="47"/>
      <c r="E2096" s="47"/>
      <c r="F2096" s="47"/>
      <c r="G2096" s="47"/>
      <c r="H2096" s="47"/>
      <c r="I2096" s="47"/>
      <c r="J2096" s="47"/>
      <c r="K2096" s="47"/>
      <c r="L2096" s="47"/>
      <c r="M2096" s="47"/>
      <c r="N2096" s="48"/>
      <c r="O2096" s="8">
        <v>48838000</v>
      </c>
    </row>
    <row r="2097" spans="1:15" ht="31.05" customHeight="1">
      <c r="A2097" s="30" t="s">
        <v>649</v>
      </c>
      <c r="B2097" s="32"/>
      <c r="C2097" s="46" t="s">
        <v>650</v>
      </c>
      <c r="D2097" s="47"/>
      <c r="E2097" s="47"/>
      <c r="F2097" s="47"/>
      <c r="G2097" s="47"/>
      <c r="H2097" s="47"/>
      <c r="I2097" s="47"/>
      <c r="J2097" s="47"/>
      <c r="K2097" s="47"/>
      <c r="L2097" s="47"/>
      <c r="M2097" s="47"/>
      <c r="N2097" s="48"/>
      <c r="O2097" s="8">
        <v>48838000</v>
      </c>
    </row>
    <row r="2098" spans="1:15" ht="31.05" customHeight="1">
      <c r="A2098" s="40"/>
      <c r="B2098" s="42"/>
      <c r="C2098" s="30" t="s">
        <v>242</v>
      </c>
      <c r="D2098" s="31"/>
      <c r="E2098" s="31"/>
      <c r="F2098" s="31"/>
      <c r="G2098" s="31"/>
      <c r="H2098" s="31"/>
      <c r="I2098" s="31"/>
      <c r="J2098" s="31"/>
      <c r="K2098" s="31"/>
      <c r="L2098" s="31"/>
      <c r="M2098" s="31"/>
      <c r="N2098" s="32"/>
      <c r="O2098" s="8">
        <v>0</v>
      </c>
    </row>
    <row r="2099" spans="1:15" ht="20.25" customHeight="1">
      <c r="A2099" s="40"/>
      <c r="B2099" s="42"/>
      <c r="C2099" s="46" t="s">
        <v>651</v>
      </c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8"/>
      <c r="O2099" s="8">
        <v>0</v>
      </c>
    </row>
    <row r="2100" spans="1:15" ht="37.950000000000003" customHeight="1">
      <c r="A2100" s="87" t="s">
        <v>49</v>
      </c>
      <c r="B2100" s="88"/>
      <c r="C2100" s="88"/>
      <c r="D2100" s="88"/>
      <c r="E2100" s="88"/>
      <c r="F2100" s="88"/>
      <c r="G2100" s="88"/>
      <c r="H2100" s="88"/>
      <c r="I2100" s="88"/>
      <c r="J2100" s="88"/>
      <c r="K2100" s="88"/>
      <c r="L2100" s="88"/>
      <c r="M2100" s="88"/>
      <c r="N2100" s="88"/>
      <c r="O2100" s="89"/>
    </row>
    <row r="2101" spans="1:15" ht="19.95" customHeight="1">
      <c r="A2101" s="61" t="s">
        <v>50</v>
      </c>
      <c r="B2101" s="62"/>
      <c r="C2101" s="65" t="s">
        <v>51</v>
      </c>
      <c r="D2101" s="66"/>
      <c r="E2101" s="67"/>
      <c r="F2101" s="71" t="s">
        <v>52</v>
      </c>
      <c r="G2101" s="72"/>
      <c r="H2101" s="72"/>
      <c r="I2101" s="72"/>
      <c r="J2101" s="72"/>
      <c r="K2101" s="72"/>
      <c r="L2101" s="72"/>
      <c r="M2101" s="72"/>
      <c r="N2101" s="73"/>
      <c r="O2101" s="74" t="s">
        <v>53</v>
      </c>
    </row>
    <row r="2102" spans="1:15" ht="21" customHeight="1">
      <c r="A2102" s="63"/>
      <c r="B2102" s="64"/>
      <c r="C2102" s="68"/>
      <c r="D2102" s="69"/>
      <c r="E2102" s="70"/>
      <c r="F2102" s="76" t="s">
        <v>54</v>
      </c>
      <c r="G2102" s="77"/>
      <c r="H2102" s="71" t="s">
        <v>55</v>
      </c>
      <c r="I2102" s="73"/>
      <c r="J2102" s="78" t="s">
        <v>56</v>
      </c>
      <c r="K2102" s="79"/>
      <c r="L2102" s="80" t="s">
        <v>57</v>
      </c>
      <c r="M2102" s="81"/>
      <c r="N2102" s="82"/>
      <c r="O2102" s="75"/>
    </row>
    <row r="2103" spans="1:15" ht="81" customHeight="1">
      <c r="A2103" s="30"/>
      <c r="B2103" s="32"/>
      <c r="C2103" s="49" t="s">
        <v>652</v>
      </c>
      <c r="D2103" s="50"/>
      <c r="E2103" s="51"/>
      <c r="F2103" s="114" t="s">
        <v>334</v>
      </c>
      <c r="G2103" s="115"/>
      <c r="H2103" s="54" t="s">
        <v>653</v>
      </c>
      <c r="I2103" s="55"/>
      <c r="J2103" s="56">
        <v>178000</v>
      </c>
      <c r="K2103" s="57"/>
      <c r="L2103" s="58">
        <v>0</v>
      </c>
      <c r="M2103" s="59"/>
      <c r="N2103" s="60"/>
      <c r="O2103" s="7">
        <v>0</v>
      </c>
    </row>
    <row r="2104" spans="1:15" ht="31.05" customHeight="1">
      <c r="A2104" s="40"/>
      <c r="B2104" s="42"/>
      <c r="C2104" s="30" t="s">
        <v>654</v>
      </c>
      <c r="D2104" s="31"/>
      <c r="E2104" s="31"/>
      <c r="F2104" s="31"/>
      <c r="G2104" s="31"/>
      <c r="H2104" s="31"/>
      <c r="I2104" s="31"/>
      <c r="J2104" s="31"/>
      <c r="K2104" s="31"/>
      <c r="L2104" s="31"/>
      <c r="M2104" s="31"/>
      <c r="N2104" s="32"/>
      <c r="O2104" s="8">
        <v>48838000</v>
      </c>
    </row>
    <row r="2105" spans="1:15" ht="19.95" customHeight="1">
      <c r="A2105" s="40"/>
      <c r="B2105" s="42"/>
      <c r="C2105" s="46" t="s">
        <v>655</v>
      </c>
      <c r="D2105" s="47"/>
      <c r="E2105" s="47"/>
      <c r="F2105" s="47"/>
      <c r="G2105" s="47"/>
      <c r="H2105" s="47"/>
      <c r="I2105" s="47"/>
      <c r="J2105" s="47"/>
      <c r="K2105" s="47"/>
      <c r="L2105" s="47"/>
      <c r="M2105" s="47"/>
      <c r="N2105" s="48"/>
      <c r="O2105" s="8">
        <v>11280000</v>
      </c>
    </row>
    <row r="2106" spans="1:15" ht="81" customHeight="1">
      <c r="A2106" s="30"/>
      <c r="B2106" s="32"/>
      <c r="C2106" s="49" t="s">
        <v>656</v>
      </c>
      <c r="D2106" s="50"/>
      <c r="E2106" s="51"/>
      <c r="F2106" s="112">
        <v>80</v>
      </c>
      <c r="G2106" s="113"/>
      <c r="H2106" s="54" t="s">
        <v>653</v>
      </c>
      <c r="I2106" s="55"/>
      <c r="J2106" s="56">
        <v>141000</v>
      </c>
      <c r="K2106" s="57"/>
      <c r="L2106" s="58">
        <v>0</v>
      </c>
      <c r="M2106" s="59"/>
      <c r="N2106" s="60"/>
      <c r="O2106" s="7">
        <v>11280000</v>
      </c>
    </row>
    <row r="2107" spans="1:15" ht="19.95" customHeight="1">
      <c r="A2107" s="40"/>
      <c r="B2107" s="42"/>
      <c r="C2107" s="46" t="s">
        <v>657</v>
      </c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8"/>
      <c r="O2107" s="8">
        <v>37558000</v>
      </c>
    </row>
    <row r="2108" spans="1:15" ht="81" customHeight="1">
      <c r="A2108" s="30"/>
      <c r="B2108" s="32"/>
      <c r="C2108" s="49" t="s">
        <v>652</v>
      </c>
      <c r="D2108" s="50"/>
      <c r="E2108" s="51"/>
      <c r="F2108" s="112">
        <v>211</v>
      </c>
      <c r="G2108" s="113"/>
      <c r="H2108" s="54" t="s">
        <v>653</v>
      </c>
      <c r="I2108" s="55"/>
      <c r="J2108" s="56">
        <v>178000</v>
      </c>
      <c r="K2108" s="57"/>
      <c r="L2108" s="58">
        <v>0</v>
      </c>
      <c r="M2108" s="59"/>
      <c r="N2108" s="60"/>
      <c r="O2108" s="7">
        <v>37558000</v>
      </c>
    </row>
    <row r="2109" spans="1:15" ht="21" customHeight="1">
      <c r="A2109" s="27" t="s">
        <v>89</v>
      </c>
      <c r="B2109" s="28"/>
      <c r="C2109" s="28"/>
      <c r="D2109" s="28"/>
      <c r="E2109" s="28"/>
      <c r="F2109" s="28"/>
      <c r="G2109" s="28"/>
      <c r="H2109" s="28"/>
      <c r="I2109" s="28"/>
      <c r="J2109" s="28"/>
      <c r="K2109" s="28"/>
      <c r="L2109" s="28"/>
      <c r="M2109" s="28"/>
      <c r="N2109" s="29"/>
      <c r="O2109" s="8">
        <v>48838000</v>
      </c>
    </row>
    <row r="2110" spans="1:15" ht="153" customHeight="1">
      <c r="A2110" s="30"/>
      <c r="B2110" s="31"/>
      <c r="C2110" s="31"/>
      <c r="D2110" s="31"/>
      <c r="E2110" s="31"/>
      <c r="F2110" s="31"/>
      <c r="G2110" s="32"/>
      <c r="H2110" s="33" t="s">
        <v>90</v>
      </c>
      <c r="I2110" s="34"/>
      <c r="J2110" s="34"/>
      <c r="K2110" s="34"/>
      <c r="L2110" s="34"/>
      <c r="M2110" s="34"/>
      <c r="N2110" s="34"/>
      <c r="O2110" s="35"/>
    </row>
    <row r="2111" spans="1:15" ht="20.55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36"/>
      <c r="K2111" s="36"/>
      <c r="L2111" s="36"/>
      <c r="M2111" s="36"/>
      <c r="N2111" s="36"/>
      <c r="O2111" s="5"/>
    </row>
    <row r="2112" spans="1:15" ht="21" customHeight="1">
      <c r="A2112" s="37" t="s">
        <v>91</v>
      </c>
      <c r="B2112" s="38"/>
      <c r="C2112" s="39"/>
      <c r="D2112" s="2" t="s">
        <v>48</v>
      </c>
      <c r="E2112" s="40"/>
      <c r="F2112" s="41"/>
      <c r="G2112" s="41"/>
      <c r="H2112" s="41"/>
      <c r="I2112" s="41"/>
      <c r="J2112" s="41"/>
      <c r="K2112" s="41"/>
      <c r="L2112" s="41"/>
      <c r="M2112" s="41"/>
      <c r="N2112" s="41"/>
      <c r="O2112" s="42"/>
    </row>
    <row r="2113" spans="1:15" ht="19.95" customHeight="1">
      <c r="A2113" s="37" t="s">
        <v>92</v>
      </c>
      <c r="B2113" s="38"/>
      <c r="C2113" s="39"/>
      <c r="D2113" s="2" t="s">
        <v>48</v>
      </c>
      <c r="E2113" s="40"/>
      <c r="F2113" s="41"/>
      <c r="G2113" s="41"/>
      <c r="H2113" s="41"/>
      <c r="I2113" s="41"/>
      <c r="J2113" s="41"/>
      <c r="K2113" s="41"/>
      <c r="L2113" s="41"/>
      <c r="M2113" s="41"/>
      <c r="N2113" s="41"/>
      <c r="O2113" s="42"/>
    </row>
    <row r="2114" spans="1:15" ht="19.95" customHeight="1">
      <c r="A2114" s="37" t="s">
        <v>93</v>
      </c>
      <c r="B2114" s="38"/>
      <c r="C2114" s="39"/>
      <c r="D2114" s="2" t="s">
        <v>48</v>
      </c>
      <c r="E2114" s="40"/>
      <c r="F2114" s="41"/>
      <c r="G2114" s="41"/>
      <c r="H2114" s="41"/>
      <c r="I2114" s="41"/>
      <c r="J2114" s="41"/>
      <c r="K2114" s="41"/>
      <c r="L2114" s="41"/>
      <c r="M2114" s="41"/>
      <c r="N2114" s="41"/>
      <c r="O2114" s="42"/>
    </row>
    <row r="2115" spans="1:15" ht="21" customHeight="1">
      <c r="A2115" s="43">
        <v>1</v>
      </c>
      <c r="B2115" s="44"/>
      <c r="C2115" s="44"/>
      <c r="D2115" s="44"/>
      <c r="E2115" s="44"/>
      <c r="F2115" s="44"/>
      <c r="G2115" s="44"/>
      <c r="H2115" s="44"/>
      <c r="I2115" s="44"/>
      <c r="J2115" s="44"/>
      <c r="K2115" s="44"/>
      <c r="L2115" s="44"/>
      <c r="M2115" s="44"/>
      <c r="N2115" s="44"/>
      <c r="O2115" s="45"/>
    </row>
    <row r="2116" spans="1:15" ht="19.95" customHeight="1">
      <c r="A2116" s="43">
        <v>2</v>
      </c>
      <c r="B2116" s="44"/>
      <c r="C2116" s="44"/>
      <c r="D2116" s="44"/>
      <c r="E2116" s="44"/>
      <c r="F2116" s="44"/>
      <c r="G2116" s="44"/>
      <c r="H2116" s="44"/>
      <c r="I2116" s="44"/>
      <c r="J2116" s="44"/>
      <c r="K2116" s="44"/>
      <c r="L2116" s="44"/>
      <c r="M2116" s="44"/>
      <c r="N2116" s="44"/>
      <c r="O2116" s="45"/>
    </row>
    <row r="2117" spans="1:15" ht="19.5" customHeight="1">
      <c r="A2117" s="37" t="s">
        <v>94</v>
      </c>
      <c r="B2117" s="38"/>
      <c r="C2117" s="38"/>
      <c r="D2117" s="38"/>
      <c r="E2117" s="38"/>
      <c r="F2117" s="38"/>
      <c r="G2117" s="38"/>
      <c r="H2117" s="38"/>
      <c r="I2117" s="38"/>
      <c r="J2117" s="38"/>
      <c r="K2117" s="38"/>
      <c r="L2117" s="38"/>
      <c r="M2117" s="38"/>
      <c r="N2117" s="38"/>
      <c r="O2117" s="39"/>
    </row>
    <row r="2118" spans="1:15" ht="20.55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36"/>
      <c r="K2118" s="36"/>
      <c r="L2118" s="36"/>
      <c r="M2118" s="36"/>
      <c r="N2118" s="36"/>
      <c r="O2118" s="5"/>
    </row>
    <row r="2119" spans="1:15" ht="22.05" customHeight="1">
      <c r="A2119" s="18" t="s">
        <v>95</v>
      </c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20"/>
    </row>
    <row r="2120" spans="1:15" ht="21" customHeight="1">
      <c r="A2120" s="3" t="s">
        <v>96</v>
      </c>
      <c r="B2120" s="18" t="s">
        <v>97</v>
      </c>
      <c r="C2120" s="19"/>
      <c r="D2120" s="19"/>
      <c r="E2120" s="19"/>
      <c r="F2120" s="20"/>
      <c r="G2120" s="18" t="s">
        <v>98</v>
      </c>
      <c r="H2120" s="20"/>
      <c r="I2120" s="18" t="s">
        <v>99</v>
      </c>
      <c r="J2120" s="19"/>
      <c r="K2120" s="20"/>
      <c r="L2120" s="21" t="s">
        <v>100</v>
      </c>
      <c r="M2120" s="22"/>
      <c r="N2120" s="22"/>
      <c r="O2120" s="23"/>
    </row>
    <row r="2121" spans="1:15" ht="22.05" customHeight="1">
      <c r="A2121" s="24" t="s">
        <v>101</v>
      </c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6"/>
    </row>
    <row r="2122" spans="1:15" ht="64.05" customHeight="1">
      <c r="A2122" s="106" t="s">
        <v>0</v>
      </c>
      <c r="B2122" s="107"/>
      <c r="C2122" s="107"/>
      <c r="D2122" s="107"/>
      <c r="E2122" s="107"/>
      <c r="F2122" s="107"/>
      <c r="G2122" s="107"/>
      <c r="H2122" s="107"/>
      <c r="I2122" s="107"/>
      <c r="J2122" s="108"/>
      <c r="K2122" s="109" t="s">
        <v>1</v>
      </c>
      <c r="L2122" s="110"/>
      <c r="M2122" s="110"/>
      <c r="N2122" s="110"/>
      <c r="O2122" s="111"/>
    </row>
    <row r="2123" spans="1:15" ht="23.55" customHeight="1">
      <c r="A2123" s="101" t="s">
        <v>674</v>
      </c>
      <c r="B2123" s="102"/>
      <c r="C2123" s="102"/>
      <c r="D2123" s="102"/>
      <c r="E2123" s="102"/>
      <c r="F2123" s="102"/>
      <c r="G2123" s="102"/>
      <c r="H2123" s="102"/>
      <c r="I2123" s="102"/>
      <c r="J2123" s="102"/>
      <c r="K2123" s="102"/>
      <c r="L2123" s="102"/>
      <c r="M2123" s="102"/>
      <c r="N2123" s="102"/>
      <c r="O2123" s="103"/>
    </row>
    <row r="2124" spans="1:15" ht="20.55" customHeight="1">
      <c r="A2124" s="93"/>
      <c r="B2124" s="93"/>
      <c r="C2124" s="1"/>
      <c r="D2124" s="93"/>
      <c r="E2124" s="93"/>
      <c r="F2124" s="93"/>
      <c r="G2124" s="93"/>
      <c r="H2124" s="93"/>
      <c r="I2124" s="93"/>
      <c r="J2124" s="5"/>
      <c r="K2124" s="36"/>
      <c r="L2124" s="36"/>
      <c r="M2124" s="5"/>
      <c r="N2124" s="5"/>
      <c r="O2124" s="5"/>
    </row>
    <row r="2125" spans="1:15" ht="37.049999999999997" customHeight="1">
      <c r="A2125" s="101" t="s">
        <v>2</v>
      </c>
      <c r="B2125" s="102"/>
      <c r="C2125" s="102"/>
      <c r="D2125" s="102"/>
      <c r="E2125" s="102"/>
      <c r="F2125" s="102"/>
      <c r="G2125" s="102"/>
      <c r="H2125" s="102"/>
      <c r="I2125" s="102"/>
      <c r="J2125" s="102"/>
      <c r="K2125" s="102"/>
      <c r="L2125" s="102"/>
      <c r="M2125" s="102"/>
      <c r="N2125" s="102"/>
      <c r="O2125" s="103"/>
    </row>
    <row r="2126" spans="1:15" ht="21" customHeight="1">
      <c r="A2126" s="37" t="s">
        <v>3</v>
      </c>
      <c r="B2126" s="38"/>
      <c r="C2126" s="39"/>
      <c r="D2126" s="90" t="s">
        <v>4</v>
      </c>
      <c r="E2126" s="91"/>
      <c r="F2126" s="91"/>
      <c r="G2126" s="91"/>
      <c r="H2126" s="91"/>
      <c r="I2126" s="91"/>
      <c r="J2126" s="91"/>
      <c r="K2126" s="91"/>
      <c r="L2126" s="91"/>
      <c r="M2126" s="91"/>
      <c r="N2126" s="91"/>
      <c r="O2126" s="92"/>
    </row>
    <row r="2127" spans="1:15" ht="22.05" customHeight="1">
      <c r="A2127" s="37" t="s">
        <v>5</v>
      </c>
      <c r="B2127" s="38"/>
      <c r="C2127" s="39"/>
      <c r="D2127" s="90" t="s">
        <v>6</v>
      </c>
      <c r="E2127" s="91"/>
      <c r="F2127" s="91"/>
      <c r="G2127" s="91"/>
      <c r="H2127" s="91"/>
      <c r="I2127" s="91"/>
      <c r="J2127" s="91"/>
      <c r="K2127" s="91"/>
      <c r="L2127" s="91"/>
      <c r="M2127" s="91"/>
      <c r="N2127" s="91"/>
      <c r="O2127" s="92"/>
    </row>
    <row r="2128" spans="1:15" ht="22.05" customHeight="1">
      <c r="A2128" s="37" t="s">
        <v>7</v>
      </c>
      <c r="B2128" s="38"/>
      <c r="C2128" s="39"/>
      <c r="D2128" s="90" t="s">
        <v>8</v>
      </c>
      <c r="E2128" s="91"/>
      <c r="F2128" s="91"/>
      <c r="G2128" s="91"/>
      <c r="H2128" s="91"/>
      <c r="I2128" s="91"/>
      <c r="J2128" s="91"/>
      <c r="K2128" s="91"/>
      <c r="L2128" s="91"/>
      <c r="M2128" s="91"/>
      <c r="N2128" s="91"/>
      <c r="O2128" s="92"/>
    </row>
    <row r="2129" spans="1:15" ht="21" customHeight="1">
      <c r="A2129" s="37" t="s">
        <v>9</v>
      </c>
      <c r="B2129" s="38"/>
      <c r="C2129" s="39"/>
      <c r="D2129" s="90" t="s">
        <v>10</v>
      </c>
      <c r="E2129" s="91"/>
      <c r="F2129" s="91"/>
      <c r="G2129" s="91"/>
      <c r="H2129" s="91"/>
      <c r="I2129" s="91"/>
      <c r="J2129" s="91"/>
      <c r="K2129" s="91"/>
      <c r="L2129" s="91"/>
      <c r="M2129" s="91"/>
      <c r="N2129" s="91"/>
      <c r="O2129" s="92"/>
    </row>
    <row r="2130" spans="1:15" ht="22.05" customHeight="1">
      <c r="A2130" s="37" t="s">
        <v>11</v>
      </c>
      <c r="B2130" s="38"/>
      <c r="C2130" s="39"/>
      <c r="D2130" s="90" t="s">
        <v>12</v>
      </c>
      <c r="E2130" s="91"/>
      <c r="F2130" s="91"/>
      <c r="G2130" s="91"/>
      <c r="H2130" s="91"/>
      <c r="I2130" s="91"/>
      <c r="J2130" s="91"/>
      <c r="K2130" s="91"/>
      <c r="L2130" s="91"/>
      <c r="M2130" s="91"/>
      <c r="N2130" s="91"/>
      <c r="O2130" s="92"/>
    </row>
    <row r="2131" spans="1:15" ht="22.05" customHeight="1">
      <c r="A2131" s="37" t="s">
        <v>13</v>
      </c>
      <c r="B2131" s="38"/>
      <c r="C2131" s="39"/>
      <c r="D2131" s="90" t="s">
        <v>586</v>
      </c>
      <c r="E2131" s="91"/>
      <c r="F2131" s="91"/>
      <c r="G2131" s="91"/>
      <c r="H2131" s="91"/>
      <c r="I2131" s="91"/>
      <c r="J2131" s="91"/>
      <c r="K2131" s="91"/>
      <c r="L2131" s="91"/>
      <c r="M2131" s="91"/>
      <c r="N2131" s="91"/>
      <c r="O2131" s="92"/>
    </row>
    <row r="2132" spans="1:15" ht="21" customHeight="1">
      <c r="A2132" s="37" t="s">
        <v>15</v>
      </c>
      <c r="B2132" s="38"/>
      <c r="C2132" s="39"/>
      <c r="D2132" s="90" t="s">
        <v>658</v>
      </c>
      <c r="E2132" s="91"/>
      <c r="F2132" s="91"/>
      <c r="G2132" s="91"/>
      <c r="H2132" s="91"/>
      <c r="I2132" s="91"/>
      <c r="J2132" s="91"/>
      <c r="K2132" s="91"/>
      <c r="L2132" s="91"/>
      <c r="M2132" s="91"/>
      <c r="N2132" s="91"/>
      <c r="O2132" s="92"/>
    </row>
    <row r="2133" spans="1:15" ht="22.05" customHeight="1">
      <c r="A2133" s="37" t="s">
        <v>17</v>
      </c>
      <c r="B2133" s="38"/>
      <c r="C2133" s="39"/>
      <c r="D2133" s="90" t="s">
        <v>10</v>
      </c>
      <c r="E2133" s="91"/>
      <c r="F2133" s="91"/>
      <c r="G2133" s="91"/>
      <c r="H2133" s="91"/>
      <c r="I2133" s="91"/>
      <c r="J2133" s="91"/>
      <c r="K2133" s="91"/>
      <c r="L2133" s="91"/>
      <c r="M2133" s="91"/>
      <c r="N2133" s="91"/>
      <c r="O2133" s="92"/>
    </row>
    <row r="2134" spans="1:15" ht="22.05" customHeight="1">
      <c r="A2134" s="37" t="s">
        <v>18</v>
      </c>
      <c r="B2134" s="38"/>
      <c r="C2134" s="39"/>
      <c r="D2134" s="90" t="s">
        <v>10</v>
      </c>
      <c r="E2134" s="91"/>
      <c r="F2134" s="91"/>
      <c r="G2134" s="91"/>
      <c r="H2134" s="91"/>
      <c r="I2134" s="91"/>
      <c r="J2134" s="91"/>
      <c r="K2134" s="91"/>
      <c r="L2134" s="91"/>
      <c r="M2134" s="91"/>
      <c r="N2134" s="91"/>
      <c r="O2134" s="92"/>
    </row>
    <row r="2135" spans="1:15" ht="22.05" customHeight="1">
      <c r="A2135" s="37" t="s">
        <v>19</v>
      </c>
      <c r="B2135" s="38"/>
      <c r="C2135" s="39"/>
      <c r="D2135" s="90" t="s">
        <v>20</v>
      </c>
      <c r="E2135" s="91"/>
      <c r="F2135" s="91"/>
      <c r="G2135" s="91"/>
      <c r="H2135" s="91"/>
      <c r="I2135" s="91"/>
      <c r="J2135" s="91"/>
      <c r="K2135" s="91"/>
      <c r="L2135" s="91"/>
      <c r="M2135" s="91"/>
      <c r="N2135" s="91"/>
      <c r="O2135" s="92"/>
    </row>
    <row r="2136" spans="1:15" ht="21" customHeight="1">
      <c r="A2136" s="37" t="s">
        <v>21</v>
      </c>
      <c r="B2136" s="38"/>
      <c r="C2136" s="39"/>
      <c r="D2136" s="90" t="s">
        <v>588</v>
      </c>
      <c r="E2136" s="91"/>
      <c r="F2136" s="91"/>
      <c r="G2136" s="91"/>
      <c r="H2136" s="91"/>
      <c r="I2136" s="91"/>
      <c r="J2136" s="91"/>
      <c r="K2136" s="91"/>
      <c r="L2136" s="91"/>
      <c r="M2136" s="91"/>
      <c r="N2136" s="91"/>
      <c r="O2136" s="92"/>
    </row>
    <row r="2137" spans="1:15" ht="22.05" customHeight="1">
      <c r="A2137" s="37" t="s">
        <v>23</v>
      </c>
      <c r="B2137" s="38"/>
      <c r="C2137" s="39"/>
      <c r="D2137" s="90" t="s">
        <v>24</v>
      </c>
      <c r="E2137" s="91"/>
      <c r="F2137" s="91"/>
      <c r="G2137" s="91"/>
      <c r="H2137" s="91"/>
      <c r="I2137" s="91"/>
      <c r="J2137" s="91"/>
      <c r="K2137" s="91"/>
      <c r="L2137" s="91"/>
      <c r="M2137" s="91"/>
      <c r="N2137" s="91"/>
      <c r="O2137" s="92"/>
    </row>
    <row r="2138" spans="1:15" ht="22.05" customHeight="1">
      <c r="A2138" s="37" t="s">
        <v>25</v>
      </c>
      <c r="B2138" s="38"/>
      <c r="C2138" s="39"/>
      <c r="D2138" s="90" t="s">
        <v>589</v>
      </c>
      <c r="E2138" s="91"/>
      <c r="F2138" s="91"/>
      <c r="G2138" s="91"/>
      <c r="H2138" s="91"/>
      <c r="I2138" s="91"/>
      <c r="J2138" s="91"/>
      <c r="K2138" s="91"/>
      <c r="L2138" s="91"/>
      <c r="M2138" s="91"/>
      <c r="N2138" s="91"/>
      <c r="O2138" s="92"/>
    </row>
    <row r="2139" spans="1:15" ht="21" customHeight="1">
      <c r="A2139" s="37" t="s">
        <v>670</v>
      </c>
      <c r="B2139" s="38"/>
      <c r="C2139" s="39"/>
      <c r="D2139" s="90" t="s">
        <v>27</v>
      </c>
      <c r="E2139" s="91"/>
      <c r="F2139" s="91"/>
      <c r="G2139" s="91"/>
      <c r="H2139" s="91"/>
      <c r="I2139" s="91"/>
      <c r="J2139" s="91"/>
      <c r="K2139" s="91"/>
      <c r="L2139" s="91"/>
      <c r="M2139" s="91"/>
      <c r="N2139" s="91"/>
      <c r="O2139" s="92"/>
    </row>
    <row r="2140" spans="1:15" ht="22.05" customHeight="1">
      <c r="A2140" s="37" t="s">
        <v>675</v>
      </c>
      <c r="B2140" s="38"/>
      <c r="C2140" s="39"/>
      <c r="D2140" s="90" t="s">
        <v>659</v>
      </c>
      <c r="E2140" s="91"/>
      <c r="F2140" s="91"/>
      <c r="G2140" s="91"/>
      <c r="H2140" s="91"/>
      <c r="I2140" s="91"/>
      <c r="J2140" s="91"/>
      <c r="K2140" s="91"/>
      <c r="L2140" s="91"/>
      <c r="M2140" s="91"/>
      <c r="N2140" s="91"/>
      <c r="O2140" s="92"/>
    </row>
    <row r="2141" spans="1:15" ht="21.45" customHeight="1">
      <c r="A2141" s="37" t="s">
        <v>676</v>
      </c>
      <c r="B2141" s="38"/>
      <c r="C2141" s="39"/>
      <c r="D2141" s="90" t="s">
        <v>660</v>
      </c>
      <c r="E2141" s="91"/>
      <c r="F2141" s="91"/>
      <c r="G2141" s="91"/>
      <c r="H2141" s="91"/>
      <c r="I2141" s="91"/>
      <c r="J2141" s="91"/>
      <c r="K2141" s="91"/>
      <c r="L2141" s="91"/>
      <c r="M2141" s="91"/>
      <c r="N2141" s="91"/>
      <c r="O2141" s="92"/>
    </row>
    <row r="2142" spans="1:15" ht="20.55" customHeight="1">
      <c r="A2142" s="93"/>
      <c r="B2142" s="93"/>
      <c r="C2142" s="1"/>
      <c r="D2142" s="93"/>
      <c r="E2142" s="93"/>
      <c r="F2142" s="93"/>
      <c r="G2142" s="93"/>
      <c r="H2142" s="93"/>
      <c r="I2142" s="93"/>
      <c r="J2142" s="5"/>
      <c r="K2142" s="36"/>
      <c r="L2142" s="36"/>
      <c r="M2142" s="5"/>
      <c r="N2142" s="5"/>
      <c r="O2142" s="5"/>
    </row>
    <row r="2143" spans="1:15" ht="22.95" customHeight="1">
      <c r="A2143" s="101" t="s">
        <v>29</v>
      </c>
      <c r="B2143" s="102"/>
      <c r="C2143" s="102"/>
      <c r="D2143" s="102"/>
      <c r="E2143" s="102"/>
      <c r="F2143" s="102"/>
      <c r="G2143" s="102"/>
      <c r="H2143" s="102"/>
      <c r="I2143" s="102"/>
      <c r="J2143" s="102"/>
      <c r="K2143" s="102"/>
      <c r="L2143" s="102"/>
      <c r="M2143" s="102"/>
      <c r="N2143" s="102"/>
      <c r="O2143" s="103"/>
    </row>
    <row r="2144" spans="1:15" ht="24" customHeight="1">
      <c r="A2144" s="101" t="s">
        <v>30</v>
      </c>
      <c r="B2144" s="102"/>
      <c r="C2144" s="103"/>
      <c r="D2144" s="101" t="s">
        <v>31</v>
      </c>
      <c r="E2144" s="102"/>
      <c r="F2144" s="102"/>
      <c r="G2144" s="102"/>
      <c r="H2144" s="102"/>
      <c r="I2144" s="102"/>
      <c r="J2144" s="102"/>
      <c r="K2144" s="102"/>
      <c r="L2144" s="102"/>
      <c r="M2144" s="103"/>
      <c r="N2144" s="104" t="s">
        <v>32</v>
      </c>
      <c r="O2144" s="105"/>
    </row>
    <row r="2145" spans="1:15" ht="21" customHeight="1">
      <c r="A2145" s="37" t="s">
        <v>33</v>
      </c>
      <c r="B2145" s="38"/>
      <c r="C2145" s="39"/>
      <c r="D2145" s="37" t="s">
        <v>34</v>
      </c>
      <c r="E2145" s="38"/>
      <c r="F2145" s="38"/>
      <c r="G2145" s="38"/>
      <c r="H2145" s="38"/>
      <c r="I2145" s="38"/>
      <c r="J2145" s="38"/>
      <c r="K2145" s="38"/>
      <c r="L2145" s="38"/>
      <c r="M2145" s="39"/>
      <c r="N2145" s="97" t="s">
        <v>35</v>
      </c>
      <c r="O2145" s="98"/>
    </row>
    <row r="2146" spans="1:15" ht="19.95" customHeight="1">
      <c r="A2146" s="37" t="s">
        <v>36</v>
      </c>
      <c r="B2146" s="38"/>
      <c r="C2146" s="39"/>
      <c r="D2146" s="37" t="s">
        <v>37</v>
      </c>
      <c r="E2146" s="38"/>
      <c r="F2146" s="38"/>
      <c r="G2146" s="38"/>
      <c r="H2146" s="38"/>
      <c r="I2146" s="38"/>
      <c r="J2146" s="38"/>
      <c r="K2146" s="38"/>
      <c r="L2146" s="38"/>
      <c r="M2146" s="39"/>
      <c r="N2146" s="97">
        <v>71879641</v>
      </c>
      <c r="O2146" s="98"/>
    </row>
    <row r="2147" spans="1:15" ht="19.95" customHeight="1">
      <c r="A2147" s="37" t="s">
        <v>38</v>
      </c>
      <c r="B2147" s="38"/>
      <c r="C2147" s="39"/>
      <c r="D2147" s="37" t="s">
        <v>661</v>
      </c>
      <c r="E2147" s="38"/>
      <c r="F2147" s="38"/>
      <c r="G2147" s="38"/>
      <c r="H2147" s="38"/>
      <c r="I2147" s="38"/>
      <c r="J2147" s="38"/>
      <c r="K2147" s="38"/>
      <c r="L2147" s="38"/>
      <c r="M2147" s="39"/>
      <c r="N2147" s="97" t="s">
        <v>662</v>
      </c>
      <c r="O2147" s="98"/>
    </row>
    <row r="2148" spans="1:15" ht="20.55" customHeight="1">
      <c r="A2148" s="37" t="s">
        <v>41</v>
      </c>
      <c r="B2148" s="38"/>
      <c r="C2148" s="39"/>
      <c r="D2148" s="37" t="s">
        <v>594</v>
      </c>
      <c r="E2148" s="38"/>
      <c r="F2148" s="38"/>
      <c r="G2148" s="38"/>
      <c r="H2148" s="38"/>
      <c r="I2148" s="38"/>
      <c r="J2148" s="38"/>
      <c r="K2148" s="38"/>
      <c r="L2148" s="38"/>
      <c r="M2148" s="39"/>
      <c r="N2148" s="99">
        <v>0.92</v>
      </c>
      <c r="O2148" s="100"/>
    </row>
    <row r="2149" spans="1:15" ht="20.55" customHeight="1">
      <c r="A2149" s="93"/>
      <c r="B2149" s="93"/>
      <c r="C2149" s="1"/>
      <c r="D2149" s="93"/>
      <c r="E2149" s="93"/>
      <c r="F2149" s="93"/>
      <c r="G2149" s="93"/>
      <c r="H2149" s="93"/>
      <c r="I2149" s="93"/>
      <c r="J2149" s="5"/>
      <c r="K2149" s="36"/>
      <c r="L2149" s="36"/>
      <c r="M2149" s="5"/>
      <c r="N2149" s="5"/>
      <c r="O2149" s="5"/>
    </row>
    <row r="2150" spans="1:15" ht="37.049999999999997" customHeight="1">
      <c r="A2150" s="101" t="s">
        <v>43</v>
      </c>
      <c r="B2150" s="102"/>
      <c r="C2150" s="102"/>
      <c r="D2150" s="102"/>
      <c r="E2150" s="102"/>
      <c r="F2150" s="102"/>
      <c r="G2150" s="102"/>
      <c r="H2150" s="102"/>
      <c r="I2150" s="102"/>
      <c r="J2150" s="102"/>
      <c r="K2150" s="102"/>
      <c r="L2150" s="102"/>
      <c r="M2150" s="102"/>
      <c r="N2150" s="102"/>
      <c r="O2150" s="103"/>
    </row>
    <row r="2151" spans="1:15" ht="21" customHeight="1">
      <c r="A2151" s="37" t="s">
        <v>15</v>
      </c>
      <c r="B2151" s="38"/>
      <c r="C2151" s="39"/>
      <c r="D2151" s="90" t="s">
        <v>658</v>
      </c>
      <c r="E2151" s="91"/>
      <c r="F2151" s="91"/>
      <c r="G2151" s="91"/>
      <c r="H2151" s="91"/>
      <c r="I2151" s="91"/>
      <c r="J2151" s="91"/>
      <c r="K2151" s="91"/>
      <c r="L2151" s="91"/>
      <c r="M2151" s="91"/>
      <c r="N2151" s="91"/>
      <c r="O2151" s="92"/>
    </row>
    <row r="2152" spans="1:15" ht="19.95" customHeight="1">
      <c r="A2152" s="37" t="s">
        <v>19</v>
      </c>
      <c r="B2152" s="38"/>
      <c r="C2152" s="39"/>
      <c r="D2152" s="90" t="s">
        <v>20</v>
      </c>
      <c r="E2152" s="91"/>
      <c r="F2152" s="91"/>
      <c r="G2152" s="91"/>
      <c r="H2152" s="91"/>
      <c r="I2152" s="91"/>
      <c r="J2152" s="91"/>
      <c r="K2152" s="91"/>
      <c r="L2152" s="91"/>
      <c r="M2152" s="91"/>
      <c r="N2152" s="91"/>
      <c r="O2152" s="92"/>
    </row>
    <row r="2153" spans="1:15" ht="19.95" customHeight="1">
      <c r="A2153" s="37" t="s">
        <v>21</v>
      </c>
      <c r="B2153" s="38"/>
      <c r="C2153" s="39"/>
      <c r="D2153" s="90" t="s">
        <v>595</v>
      </c>
      <c r="E2153" s="91"/>
      <c r="F2153" s="91"/>
      <c r="G2153" s="91"/>
      <c r="H2153" s="91"/>
      <c r="I2153" s="91"/>
      <c r="J2153" s="91"/>
      <c r="K2153" s="91"/>
      <c r="L2153" s="91"/>
      <c r="M2153" s="91"/>
      <c r="N2153" s="91"/>
      <c r="O2153" s="92"/>
    </row>
    <row r="2154" spans="1:15" ht="21" customHeight="1">
      <c r="A2154" s="37" t="s">
        <v>45</v>
      </c>
      <c r="B2154" s="38"/>
      <c r="C2154" s="39"/>
      <c r="D2154" s="90" t="s">
        <v>663</v>
      </c>
      <c r="E2154" s="91"/>
      <c r="F2154" s="91"/>
      <c r="G2154" s="91"/>
      <c r="H2154" s="91"/>
      <c r="I2154" s="91"/>
      <c r="J2154" s="91"/>
      <c r="K2154" s="91"/>
      <c r="L2154" s="91"/>
      <c r="M2154" s="91"/>
      <c r="N2154" s="91"/>
      <c r="O2154" s="92"/>
    </row>
    <row r="2155" spans="1:15" ht="19.95" customHeight="1">
      <c r="A2155" s="37" t="s">
        <v>23</v>
      </c>
      <c r="B2155" s="38"/>
      <c r="C2155" s="39"/>
      <c r="D2155" s="90" t="s">
        <v>24</v>
      </c>
      <c r="E2155" s="91"/>
      <c r="F2155" s="91"/>
      <c r="G2155" s="91"/>
      <c r="H2155" s="91"/>
      <c r="I2155" s="91"/>
      <c r="J2155" s="91"/>
      <c r="K2155" s="91"/>
      <c r="L2155" s="91"/>
      <c r="M2155" s="91"/>
      <c r="N2155" s="91"/>
      <c r="O2155" s="92"/>
    </row>
    <row r="2156" spans="1:15" ht="19.5" customHeight="1">
      <c r="A2156" s="37" t="s">
        <v>47</v>
      </c>
      <c r="B2156" s="38"/>
      <c r="C2156" s="39"/>
      <c r="D2156" s="90" t="s">
        <v>48</v>
      </c>
      <c r="E2156" s="91"/>
      <c r="F2156" s="91"/>
      <c r="G2156" s="91"/>
      <c r="H2156" s="91"/>
      <c r="I2156" s="91"/>
      <c r="J2156" s="91"/>
      <c r="K2156" s="91"/>
      <c r="L2156" s="91"/>
      <c r="M2156" s="91"/>
      <c r="N2156" s="91"/>
      <c r="O2156" s="92"/>
    </row>
    <row r="2157" spans="1:15" ht="20.55" customHeight="1">
      <c r="A2157" s="93"/>
      <c r="B2157" s="93"/>
      <c r="C2157" s="1"/>
      <c r="D2157" s="93"/>
      <c r="E2157" s="93"/>
      <c r="F2157" s="93"/>
      <c r="G2157" s="93"/>
      <c r="H2157" s="93"/>
      <c r="I2157" s="93"/>
      <c r="J2157" s="5"/>
      <c r="K2157" s="36"/>
      <c r="L2157" s="36"/>
      <c r="M2157" s="5"/>
      <c r="N2157" s="5"/>
      <c r="O2157" s="5"/>
    </row>
    <row r="2158" spans="1:15" ht="37.950000000000003" customHeight="1">
      <c r="A2158" s="87" t="s">
        <v>49</v>
      </c>
      <c r="B2158" s="88"/>
      <c r="C2158" s="88"/>
      <c r="D2158" s="88"/>
      <c r="E2158" s="88"/>
      <c r="F2158" s="88"/>
      <c r="G2158" s="88"/>
      <c r="H2158" s="88"/>
      <c r="I2158" s="88"/>
      <c r="J2158" s="88"/>
      <c r="K2158" s="88"/>
      <c r="L2158" s="88"/>
      <c r="M2158" s="88"/>
      <c r="N2158" s="88"/>
      <c r="O2158" s="89"/>
    </row>
    <row r="2159" spans="1:15" ht="19.95" customHeight="1">
      <c r="A2159" s="61" t="s">
        <v>50</v>
      </c>
      <c r="B2159" s="62"/>
      <c r="C2159" s="65" t="s">
        <v>51</v>
      </c>
      <c r="D2159" s="66"/>
      <c r="E2159" s="67"/>
      <c r="F2159" s="71" t="s">
        <v>52</v>
      </c>
      <c r="G2159" s="72"/>
      <c r="H2159" s="72"/>
      <c r="I2159" s="72"/>
      <c r="J2159" s="72"/>
      <c r="K2159" s="72"/>
      <c r="L2159" s="72"/>
      <c r="M2159" s="72"/>
      <c r="N2159" s="73"/>
      <c r="O2159" s="74" t="s">
        <v>53</v>
      </c>
    </row>
    <row r="2160" spans="1:15" ht="21" customHeight="1">
      <c r="A2160" s="63"/>
      <c r="B2160" s="64"/>
      <c r="C2160" s="68"/>
      <c r="D2160" s="69"/>
      <c r="E2160" s="70"/>
      <c r="F2160" s="76" t="s">
        <v>54</v>
      </c>
      <c r="G2160" s="77"/>
      <c r="H2160" s="71" t="s">
        <v>55</v>
      </c>
      <c r="I2160" s="73"/>
      <c r="J2160" s="94" t="s">
        <v>56</v>
      </c>
      <c r="K2160" s="95"/>
      <c r="L2160" s="96"/>
      <c r="M2160" s="80" t="s">
        <v>57</v>
      </c>
      <c r="N2160" s="82"/>
      <c r="O2160" s="75"/>
    </row>
    <row r="2161" spans="1:15" ht="19.95" customHeight="1">
      <c r="A2161" s="83">
        <v>5</v>
      </c>
      <c r="B2161" s="84"/>
      <c r="C2161" s="46" t="s">
        <v>58</v>
      </c>
      <c r="D2161" s="47"/>
      <c r="E2161" s="47"/>
      <c r="F2161" s="47"/>
      <c r="G2161" s="47"/>
      <c r="H2161" s="47"/>
      <c r="I2161" s="47"/>
      <c r="J2161" s="47"/>
      <c r="K2161" s="47"/>
      <c r="L2161" s="47"/>
      <c r="M2161" s="47"/>
      <c r="N2161" s="48"/>
      <c r="O2161" s="8">
        <v>71879641</v>
      </c>
    </row>
    <row r="2162" spans="1:15" ht="19.95" customHeight="1">
      <c r="A2162" s="46" t="s">
        <v>59</v>
      </c>
      <c r="B2162" s="48"/>
      <c r="C2162" s="46" t="s">
        <v>60</v>
      </c>
      <c r="D2162" s="47"/>
      <c r="E2162" s="47"/>
      <c r="F2162" s="47"/>
      <c r="G2162" s="47"/>
      <c r="H2162" s="47"/>
      <c r="I2162" s="47"/>
      <c r="J2162" s="47"/>
      <c r="K2162" s="47"/>
      <c r="L2162" s="47"/>
      <c r="M2162" s="47"/>
      <c r="N2162" s="48"/>
      <c r="O2162" s="8">
        <v>71879641</v>
      </c>
    </row>
    <row r="2163" spans="1:15" ht="21" customHeight="1">
      <c r="A2163" s="85">
        <v>37377</v>
      </c>
      <c r="B2163" s="86"/>
      <c r="C2163" s="46" t="s">
        <v>61</v>
      </c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8"/>
      <c r="O2163" s="8">
        <v>71879641</v>
      </c>
    </row>
    <row r="2164" spans="1:15" ht="19.95" customHeight="1">
      <c r="A2164" s="46" t="s">
        <v>62</v>
      </c>
      <c r="B2164" s="48"/>
      <c r="C2164" s="46" t="s">
        <v>63</v>
      </c>
      <c r="D2164" s="47"/>
      <c r="E2164" s="47"/>
      <c r="F2164" s="47"/>
      <c r="G2164" s="47"/>
      <c r="H2164" s="47"/>
      <c r="I2164" s="47"/>
      <c r="J2164" s="47"/>
      <c r="K2164" s="47"/>
      <c r="L2164" s="47"/>
      <c r="M2164" s="47"/>
      <c r="N2164" s="48"/>
      <c r="O2164" s="8">
        <v>0</v>
      </c>
    </row>
    <row r="2165" spans="1:15" ht="19.95" customHeight="1">
      <c r="A2165" s="46" t="s">
        <v>64</v>
      </c>
      <c r="B2165" s="48"/>
      <c r="C2165" s="46" t="s">
        <v>65</v>
      </c>
      <c r="D2165" s="47"/>
      <c r="E2165" s="47"/>
      <c r="F2165" s="47"/>
      <c r="G2165" s="47"/>
      <c r="H2165" s="47"/>
      <c r="I2165" s="47"/>
      <c r="J2165" s="47"/>
      <c r="K2165" s="47"/>
      <c r="L2165" s="47"/>
      <c r="M2165" s="47"/>
      <c r="N2165" s="48"/>
      <c r="O2165" s="8">
        <v>0</v>
      </c>
    </row>
    <row r="2166" spans="1:15" ht="31.05" customHeight="1">
      <c r="A2166" s="30" t="s">
        <v>78</v>
      </c>
      <c r="B2166" s="32"/>
      <c r="C2166" s="46" t="s">
        <v>79</v>
      </c>
      <c r="D2166" s="47"/>
      <c r="E2166" s="47"/>
      <c r="F2166" s="47"/>
      <c r="G2166" s="47"/>
      <c r="H2166" s="47"/>
      <c r="I2166" s="47"/>
      <c r="J2166" s="47"/>
      <c r="K2166" s="47"/>
      <c r="L2166" s="47"/>
      <c r="M2166" s="47"/>
      <c r="N2166" s="48"/>
      <c r="O2166" s="8">
        <v>0</v>
      </c>
    </row>
    <row r="2167" spans="1:15" ht="31.05" customHeight="1">
      <c r="A2167" s="40"/>
      <c r="B2167" s="42"/>
      <c r="C2167" s="30" t="s">
        <v>242</v>
      </c>
      <c r="D2167" s="31"/>
      <c r="E2167" s="31"/>
      <c r="F2167" s="31"/>
      <c r="G2167" s="31"/>
      <c r="H2167" s="31"/>
      <c r="I2167" s="31"/>
      <c r="J2167" s="31"/>
      <c r="K2167" s="31"/>
      <c r="L2167" s="31"/>
      <c r="M2167" s="31"/>
      <c r="N2167" s="32"/>
      <c r="O2167" s="8">
        <v>0</v>
      </c>
    </row>
    <row r="2168" spans="1:15" ht="20.25" customHeight="1">
      <c r="A2168" s="40"/>
      <c r="B2168" s="42"/>
      <c r="C2168" s="46" t="s">
        <v>664</v>
      </c>
      <c r="D2168" s="47"/>
      <c r="E2168" s="47"/>
      <c r="F2168" s="47"/>
      <c r="G2168" s="47"/>
      <c r="H2168" s="47"/>
      <c r="I2168" s="47"/>
      <c r="J2168" s="47"/>
      <c r="K2168" s="47"/>
      <c r="L2168" s="47"/>
      <c r="M2168" s="47"/>
      <c r="N2168" s="48"/>
      <c r="O2168" s="8">
        <v>0</v>
      </c>
    </row>
    <row r="2169" spans="1:15" ht="37.950000000000003" customHeight="1">
      <c r="A2169" s="87" t="s">
        <v>49</v>
      </c>
      <c r="B2169" s="88"/>
      <c r="C2169" s="88"/>
      <c r="D2169" s="88"/>
      <c r="E2169" s="88"/>
      <c r="F2169" s="88"/>
      <c r="G2169" s="88"/>
      <c r="H2169" s="88"/>
      <c r="I2169" s="88"/>
      <c r="J2169" s="88"/>
      <c r="K2169" s="88"/>
      <c r="L2169" s="88"/>
      <c r="M2169" s="88"/>
      <c r="N2169" s="88"/>
      <c r="O2169" s="89"/>
    </row>
    <row r="2170" spans="1:15" ht="19.95" customHeight="1">
      <c r="A2170" s="61" t="s">
        <v>50</v>
      </c>
      <c r="B2170" s="62"/>
      <c r="C2170" s="65" t="s">
        <v>51</v>
      </c>
      <c r="D2170" s="66"/>
      <c r="E2170" s="67"/>
      <c r="F2170" s="71" t="s">
        <v>52</v>
      </c>
      <c r="G2170" s="72"/>
      <c r="H2170" s="72"/>
      <c r="I2170" s="72"/>
      <c r="J2170" s="72"/>
      <c r="K2170" s="72"/>
      <c r="L2170" s="72"/>
      <c r="M2170" s="72"/>
      <c r="N2170" s="73"/>
      <c r="O2170" s="74" t="s">
        <v>53</v>
      </c>
    </row>
    <row r="2171" spans="1:15" ht="21" customHeight="1">
      <c r="A2171" s="63"/>
      <c r="B2171" s="64"/>
      <c r="C2171" s="68"/>
      <c r="D2171" s="69"/>
      <c r="E2171" s="70"/>
      <c r="F2171" s="76" t="s">
        <v>54</v>
      </c>
      <c r="G2171" s="77"/>
      <c r="H2171" s="71" t="s">
        <v>55</v>
      </c>
      <c r="I2171" s="73"/>
      <c r="J2171" s="78" t="s">
        <v>56</v>
      </c>
      <c r="K2171" s="79"/>
      <c r="L2171" s="80" t="s">
        <v>57</v>
      </c>
      <c r="M2171" s="81"/>
      <c r="N2171" s="82"/>
      <c r="O2171" s="75"/>
    </row>
    <row r="2172" spans="1:15" ht="60" customHeight="1">
      <c r="A2172" s="30"/>
      <c r="B2172" s="32"/>
      <c r="C2172" s="49" t="s">
        <v>665</v>
      </c>
      <c r="D2172" s="50"/>
      <c r="E2172" s="51"/>
      <c r="F2172" s="54" t="s">
        <v>334</v>
      </c>
      <c r="G2172" s="55"/>
      <c r="H2172" s="54" t="s">
        <v>112</v>
      </c>
      <c r="I2172" s="55"/>
      <c r="J2172" s="56">
        <v>511710</v>
      </c>
      <c r="K2172" s="57"/>
      <c r="L2172" s="58">
        <v>0</v>
      </c>
      <c r="M2172" s="59"/>
      <c r="N2172" s="60"/>
      <c r="O2172" s="7">
        <v>0</v>
      </c>
    </row>
    <row r="2173" spans="1:15" ht="19.95" customHeight="1">
      <c r="A2173" s="46" t="s">
        <v>602</v>
      </c>
      <c r="B2173" s="48"/>
      <c r="C2173" s="46" t="s">
        <v>603</v>
      </c>
      <c r="D2173" s="47"/>
      <c r="E2173" s="47"/>
      <c r="F2173" s="47"/>
      <c r="G2173" s="47"/>
      <c r="H2173" s="47"/>
      <c r="I2173" s="47"/>
      <c r="J2173" s="47"/>
      <c r="K2173" s="47"/>
      <c r="L2173" s="47"/>
      <c r="M2173" s="47"/>
      <c r="N2173" s="48"/>
      <c r="O2173" s="8">
        <v>71879641</v>
      </c>
    </row>
    <row r="2174" spans="1:15" ht="21" customHeight="1">
      <c r="A2174" s="46" t="s">
        <v>647</v>
      </c>
      <c r="B2174" s="48"/>
      <c r="C2174" s="46" t="s">
        <v>648</v>
      </c>
      <c r="D2174" s="47"/>
      <c r="E2174" s="47"/>
      <c r="F2174" s="47"/>
      <c r="G2174" s="47"/>
      <c r="H2174" s="47"/>
      <c r="I2174" s="47"/>
      <c r="J2174" s="47"/>
      <c r="K2174" s="47"/>
      <c r="L2174" s="47"/>
      <c r="M2174" s="47"/>
      <c r="N2174" s="48"/>
      <c r="O2174" s="8">
        <v>71879641</v>
      </c>
    </row>
    <row r="2175" spans="1:15" ht="31.05" customHeight="1">
      <c r="A2175" s="30" t="s">
        <v>649</v>
      </c>
      <c r="B2175" s="32"/>
      <c r="C2175" s="46" t="s">
        <v>650</v>
      </c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8"/>
      <c r="O2175" s="8">
        <v>71879641</v>
      </c>
    </row>
    <row r="2176" spans="1:15" ht="30" customHeight="1">
      <c r="A2176" s="40"/>
      <c r="B2176" s="42"/>
      <c r="C2176" s="30" t="s">
        <v>242</v>
      </c>
      <c r="D2176" s="31"/>
      <c r="E2176" s="31"/>
      <c r="F2176" s="31"/>
      <c r="G2176" s="31"/>
      <c r="H2176" s="31"/>
      <c r="I2176" s="31"/>
      <c r="J2176" s="31"/>
      <c r="K2176" s="31"/>
      <c r="L2176" s="31"/>
      <c r="M2176" s="31"/>
      <c r="N2176" s="32"/>
      <c r="O2176" s="8">
        <v>71879641</v>
      </c>
    </row>
    <row r="2177" spans="1:15" ht="21" customHeight="1">
      <c r="A2177" s="40"/>
      <c r="B2177" s="42"/>
      <c r="C2177" s="46" t="s">
        <v>666</v>
      </c>
      <c r="D2177" s="47"/>
      <c r="E2177" s="47"/>
      <c r="F2177" s="47"/>
      <c r="G2177" s="47"/>
      <c r="H2177" s="47"/>
      <c r="I2177" s="47"/>
      <c r="J2177" s="47"/>
      <c r="K2177" s="47"/>
      <c r="L2177" s="47"/>
      <c r="M2177" s="47"/>
      <c r="N2177" s="48"/>
      <c r="O2177" s="8">
        <v>30000000</v>
      </c>
    </row>
    <row r="2178" spans="1:15" ht="81" customHeight="1">
      <c r="A2178" s="30"/>
      <c r="B2178" s="32"/>
      <c r="C2178" s="49" t="s">
        <v>667</v>
      </c>
      <c r="D2178" s="50"/>
      <c r="E2178" s="51"/>
      <c r="F2178" s="52">
        <v>3000</v>
      </c>
      <c r="G2178" s="53"/>
      <c r="H2178" s="54" t="s">
        <v>653</v>
      </c>
      <c r="I2178" s="55"/>
      <c r="J2178" s="56">
        <v>10000</v>
      </c>
      <c r="K2178" s="57"/>
      <c r="L2178" s="58">
        <v>0</v>
      </c>
      <c r="M2178" s="59"/>
      <c r="N2178" s="60"/>
      <c r="O2178" s="7">
        <v>30000000</v>
      </c>
    </row>
    <row r="2179" spans="1:15" ht="19.95" customHeight="1">
      <c r="A2179" s="40"/>
      <c r="B2179" s="42"/>
      <c r="C2179" s="46" t="s">
        <v>668</v>
      </c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8"/>
      <c r="O2179" s="8">
        <v>41879641</v>
      </c>
    </row>
    <row r="2180" spans="1:15" ht="81" customHeight="1">
      <c r="A2180" s="30"/>
      <c r="B2180" s="32"/>
      <c r="C2180" s="49" t="s">
        <v>667</v>
      </c>
      <c r="D2180" s="50"/>
      <c r="E2180" s="51"/>
      <c r="F2180" s="54" t="s">
        <v>669</v>
      </c>
      <c r="G2180" s="55"/>
      <c r="H2180" s="54" t="s">
        <v>653</v>
      </c>
      <c r="I2180" s="55"/>
      <c r="J2180" s="56">
        <v>10000</v>
      </c>
      <c r="K2180" s="57"/>
      <c r="L2180" s="58">
        <v>0</v>
      </c>
      <c r="M2180" s="59"/>
      <c r="N2180" s="60"/>
      <c r="O2180" s="7">
        <v>41879641</v>
      </c>
    </row>
    <row r="2181" spans="1:15" ht="19.95" customHeight="1">
      <c r="A2181" s="27" t="s">
        <v>89</v>
      </c>
      <c r="B2181" s="28"/>
      <c r="C2181" s="28"/>
      <c r="D2181" s="28"/>
      <c r="E2181" s="28"/>
      <c r="F2181" s="28"/>
      <c r="G2181" s="28"/>
      <c r="H2181" s="28"/>
      <c r="I2181" s="28"/>
      <c r="J2181" s="28"/>
      <c r="K2181" s="28"/>
      <c r="L2181" s="28"/>
      <c r="M2181" s="28"/>
      <c r="N2181" s="29"/>
      <c r="O2181" s="8">
        <v>71879641</v>
      </c>
    </row>
    <row r="2182" spans="1:15" ht="153" customHeight="1">
      <c r="A2182" s="30"/>
      <c r="B2182" s="31"/>
      <c r="C2182" s="31"/>
      <c r="D2182" s="31"/>
      <c r="E2182" s="31"/>
      <c r="F2182" s="31"/>
      <c r="G2182" s="32"/>
      <c r="H2182" s="33" t="s">
        <v>90</v>
      </c>
      <c r="I2182" s="34"/>
      <c r="J2182" s="34"/>
      <c r="K2182" s="34"/>
      <c r="L2182" s="34"/>
      <c r="M2182" s="34"/>
      <c r="N2182" s="34"/>
      <c r="O2182" s="35"/>
    </row>
    <row r="2183" spans="1:15" ht="20.5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36"/>
      <c r="K2183" s="36"/>
      <c r="L2183" s="36"/>
      <c r="M2183" s="36"/>
      <c r="N2183" s="36"/>
      <c r="O2183" s="5"/>
    </row>
    <row r="2184" spans="1:15" ht="19.95" customHeight="1">
      <c r="A2184" s="37" t="s">
        <v>91</v>
      </c>
      <c r="B2184" s="38"/>
      <c r="C2184" s="39"/>
      <c r="D2184" s="2" t="s">
        <v>48</v>
      </c>
      <c r="E2184" s="40"/>
      <c r="F2184" s="41"/>
      <c r="G2184" s="41"/>
      <c r="H2184" s="41"/>
      <c r="I2184" s="41"/>
      <c r="J2184" s="41"/>
      <c r="K2184" s="41"/>
      <c r="L2184" s="41"/>
      <c r="M2184" s="41"/>
      <c r="N2184" s="41"/>
      <c r="O2184" s="42"/>
    </row>
    <row r="2185" spans="1:15" ht="21" customHeight="1">
      <c r="A2185" s="37" t="s">
        <v>92</v>
      </c>
      <c r="B2185" s="38"/>
      <c r="C2185" s="39"/>
      <c r="D2185" s="2" t="s">
        <v>48</v>
      </c>
      <c r="E2185" s="40"/>
      <c r="F2185" s="41"/>
      <c r="G2185" s="41"/>
      <c r="H2185" s="41"/>
      <c r="I2185" s="41"/>
      <c r="J2185" s="41"/>
      <c r="K2185" s="41"/>
      <c r="L2185" s="41"/>
      <c r="M2185" s="41"/>
      <c r="N2185" s="41"/>
      <c r="O2185" s="42"/>
    </row>
    <row r="2186" spans="1:15" ht="19.95" customHeight="1">
      <c r="A2186" s="37" t="s">
        <v>93</v>
      </c>
      <c r="B2186" s="38"/>
      <c r="C2186" s="39"/>
      <c r="D2186" s="2" t="s">
        <v>48</v>
      </c>
      <c r="E2186" s="40"/>
      <c r="F2186" s="41"/>
      <c r="G2186" s="41"/>
      <c r="H2186" s="41"/>
      <c r="I2186" s="41"/>
      <c r="J2186" s="41"/>
      <c r="K2186" s="41"/>
      <c r="L2186" s="41"/>
      <c r="M2186" s="41"/>
      <c r="N2186" s="41"/>
      <c r="O2186" s="42"/>
    </row>
    <row r="2187" spans="1:15" ht="19.95" customHeight="1">
      <c r="A2187" s="43">
        <v>1</v>
      </c>
      <c r="B2187" s="44"/>
      <c r="C2187" s="44"/>
      <c r="D2187" s="44"/>
      <c r="E2187" s="44"/>
      <c r="F2187" s="44"/>
      <c r="G2187" s="44"/>
      <c r="H2187" s="44"/>
      <c r="I2187" s="44"/>
      <c r="J2187" s="44"/>
      <c r="K2187" s="44"/>
      <c r="L2187" s="44"/>
      <c r="M2187" s="44"/>
      <c r="N2187" s="44"/>
      <c r="O2187" s="45"/>
    </row>
    <row r="2188" spans="1:15" ht="21" customHeight="1">
      <c r="A2188" s="43">
        <v>2</v>
      </c>
      <c r="B2188" s="44"/>
      <c r="C2188" s="44"/>
      <c r="D2188" s="44"/>
      <c r="E2188" s="44"/>
      <c r="F2188" s="44"/>
      <c r="G2188" s="44"/>
      <c r="H2188" s="44"/>
      <c r="I2188" s="44"/>
      <c r="J2188" s="44"/>
      <c r="K2188" s="44"/>
      <c r="L2188" s="44"/>
      <c r="M2188" s="44"/>
      <c r="N2188" s="44"/>
      <c r="O2188" s="45"/>
    </row>
    <row r="2189" spans="1:15" ht="19.5" customHeight="1">
      <c r="A2189" s="37" t="s">
        <v>94</v>
      </c>
      <c r="B2189" s="38"/>
      <c r="C2189" s="38"/>
      <c r="D2189" s="38"/>
      <c r="E2189" s="38"/>
      <c r="F2189" s="38"/>
      <c r="G2189" s="38"/>
      <c r="H2189" s="38"/>
      <c r="I2189" s="38"/>
      <c r="J2189" s="38"/>
      <c r="K2189" s="38"/>
      <c r="L2189" s="38"/>
      <c r="M2189" s="38"/>
      <c r="N2189" s="38"/>
      <c r="O2189" s="39"/>
    </row>
    <row r="2190" spans="1:15" ht="20.55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36"/>
      <c r="K2190" s="36"/>
      <c r="L2190" s="36"/>
      <c r="M2190" s="36"/>
      <c r="N2190" s="36"/>
      <c r="O2190" s="5"/>
    </row>
    <row r="2191" spans="1:15" ht="22.05" customHeight="1">
      <c r="A2191" s="18" t="s">
        <v>95</v>
      </c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20"/>
    </row>
    <row r="2192" spans="1:15" ht="21" customHeight="1">
      <c r="A2192" s="3" t="s">
        <v>96</v>
      </c>
      <c r="B2192" s="18" t="s">
        <v>97</v>
      </c>
      <c r="C2192" s="19"/>
      <c r="D2192" s="19"/>
      <c r="E2192" s="19"/>
      <c r="F2192" s="20"/>
      <c r="G2192" s="18" t="s">
        <v>98</v>
      </c>
      <c r="H2192" s="20"/>
      <c r="I2192" s="18" t="s">
        <v>99</v>
      </c>
      <c r="J2192" s="19"/>
      <c r="K2192" s="20"/>
      <c r="L2192" s="21" t="s">
        <v>100</v>
      </c>
      <c r="M2192" s="22"/>
      <c r="N2192" s="22"/>
      <c r="O2192" s="23"/>
    </row>
    <row r="2193" spans="1:15" ht="21.45" customHeight="1">
      <c r="A2193" s="24" t="s">
        <v>101</v>
      </c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6"/>
    </row>
  </sheetData>
  <autoFilter ref="A27:O2193" xr:uid="{2884F339-62E1-4F75-9AA6-2B1AA595989A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</autoFilter>
  <mergeCells count="6293">
    <mergeCell ref="A1:J1"/>
    <mergeCell ref="K1:O1"/>
    <mergeCell ref="A2:O2"/>
    <mergeCell ref="A3:B3"/>
    <mergeCell ref="D3:E3"/>
    <mergeCell ref="F3:G3"/>
    <mergeCell ref="H3:I3"/>
    <mergeCell ref="K3:L3"/>
    <mergeCell ref="A4:O4"/>
    <mergeCell ref="A5:C5"/>
    <mergeCell ref="D5:O5"/>
    <mergeCell ref="A6:C6"/>
    <mergeCell ref="D6:O6"/>
    <mergeCell ref="A7:C7"/>
    <mergeCell ref="D7:O7"/>
    <mergeCell ref="A8:C8"/>
    <mergeCell ref="D8:O8"/>
    <mergeCell ref="A9:C9"/>
    <mergeCell ref="D9:O9"/>
    <mergeCell ref="A10:C10"/>
    <mergeCell ref="D10:O10"/>
    <mergeCell ref="A11:C11"/>
    <mergeCell ref="D11:O11"/>
    <mergeCell ref="A12:C12"/>
    <mergeCell ref="D12:O12"/>
    <mergeCell ref="A13:C13"/>
    <mergeCell ref="D13:O13"/>
    <mergeCell ref="A14:C14"/>
    <mergeCell ref="D14:O14"/>
    <mergeCell ref="A15:C15"/>
    <mergeCell ref="D15:O15"/>
    <mergeCell ref="A16:C16"/>
    <mergeCell ref="D16:O16"/>
    <mergeCell ref="A17:C17"/>
    <mergeCell ref="D17:O17"/>
    <mergeCell ref="A18:C18"/>
    <mergeCell ref="D18:O18"/>
    <mergeCell ref="A19:C19"/>
    <mergeCell ref="D19:O19"/>
    <mergeCell ref="A20:C20"/>
    <mergeCell ref="D20:O20"/>
    <mergeCell ref="A21:B21"/>
    <mergeCell ref="D21:E21"/>
    <mergeCell ref="F21:G21"/>
    <mergeCell ref="H21:I21"/>
    <mergeCell ref="K21:L21"/>
    <mergeCell ref="A22:O22"/>
    <mergeCell ref="A23:C23"/>
    <mergeCell ref="D23:M23"/>
    <mergeCell ref="N23:O23"/>
    <mergeCell ref="A24:C24"/>
    <mergeCell ref="D24:M24"/>
    <mergeCell ref="N24:O24"/>
    <mergeCell ref="A25:C25"/>
    <mergeCell ref="D25:M25"/>
    <mergeCell ref="N25:O25"/>
    <mergeCell ref="A26:C26"/>
    <mergeCell ref="D26:M26"/>
    <mergeCell ref="N26:O26"/>
    <mergeCell ref="A27:C27"/>
    <mergeCell ref="D27:M27"/>
    <mergeCell ref="N27:O27"/>
    <mergeCell ref="A28:B28"/>
    <mergeCell ref="D28:E28"/>
    <mergeCell ref="F28:G28"/>
    <mergeCell ref="H28:I28"/>
    <mergeCell ref="K28:L28"/>
    <mergeCell ref="A29:O29"/>
    <mergeCell ref="A30:C30"/>
    <mergeCell ref="D30:O30"/>
    <mergeCell ref="A31:C31"/>
    <mergeCell ref="D31:O31"/>
    <mergeCell ref="A32:C32"/>
    <mergeCell ref="D32:O32"/>
    <mergeCell ref="A33:C33"/>
    <mergeCell ref="D33:O33"/>
    <mergeCell ref="A34:C34"/>
    <mergeCell ref="D34:O34"/>
    <mergeCell ref="A35:C35"/>
    <mergeCell ref="D35:O35"/>
    <mergeCell ref="A36:B36"/>
    <mergeCell ref="D36:E36"/>
    <mergeCell ref="F36:G36"/>
    <mergeCell ref="H36:I36"/>
    <mergeCell ref="K36:L36"/>
    <mergeCell ref="A37:O37"/>
    <mergeCell ref="A38:B39"/>
    <mergeCell ref="C38:E39"/>
    <mergeCell ref="F38:N38"/>
    <mergeCell ref="O38:O39"/>
    <mergeCell ref="F39:G39"/>
    <mergeCell ref="H39:I39"/>
    <mergeCell ref="J39:L39"/>
    <mergeCell ref="M39:N39"/>
    <mergeCell ref="A40:B40"/>
    <mergeCell ref="C40:N40"/>
    <mergeCell ref="A41:B41"/>
    <mergeCell ref="C41:N41"/>
    <mergeCell ref="A42:B42"/>
    <mergeCell ref="C42:N42"/>
    <mergeCell ref="A43:B43"/>
    <mergeCell ref="C43:N43"/>
    <mergeCell ref="A44:B44"/>
    <mergeCell ref="C44:N44"/>
    <mergeCell ref="A45:B45"/>
    <mergeCell ref="C45:N45"/>
    <mergeCell ref="A46:B46"/>
    <mergeCell ref="C46:N46"/>
    <mergeCell ref="A47:B47"/>
    <mergeCell ref="C47:N47"/>
    <mergeCell ref="A48:O48"/>
    <mergeCell ref="A49:B50"/>
    <mergeCell ref="C49:E50"/>
    <mergeCell ref="F49:N49"/>
    <mergeCell ref="O49:O50"/>
    <mergeCell ref="F50:G50"/>
    <mergeCell ref="H50:I50"/>
    <mergeCell ref="J50:L50"/>
    <mergeCell ref="M50:N50"/>
    <mergeCell ref="A51:B51"/>
    <mergeCell ref="C51:E51"/>
    <mergeCell ref="F51:G51"/>
    <mergeCell ref="H51:I51"/>
    <mergeCell ref="J51:L51"/>
    <mergeCell ref="M51:N51"/>
    <mergeCell ref="A52:B52"/>
    <mergeCell ref="C52:E52"/>
    <mergeCell ref="F52:G52"/>
    <mergeCell ref="H52:I52"/>
    <mergeCell ref="J52:L52"/>
    <mergeCell ref="M52:N52"/>
    <mergeCell ref="A53:B53"/>
    <mergeCell ref="C53:E53"/>
    <mergeCell ref="F53:G53"/>
    <mergeCell ref="H53:I53"/>
    <mergeCell ref="J53:L53"/>
    <mergeCell ref="M53:N53"/>
    <mergeCell ref="A54:B54"/>
    <mergeCell ref="C54:E54"/>
    <mergeCell ref="F54:G54"/>
    <mergeCell ref="H54:I54"/>
    <mergeCell ref="J54:L54"/>
    <mergeCell ref="M54:N54"/>
    <mergeCell ref="A55:B55"/>
    <mergeCell ref="C55:E55"/>
    <mergeCell ref="F55:G55"/>
    <mergeCell ref="H55:I55"/>
    <mergeCell ref="J55:L55"/>
    <mergeCell ref="M55:N55"/>
    <mergeCell ref="A56:B56"/>
    <mergeCell ref="C56:N56"/>
    <mergeCell ref="A57:B57"/>
    <mergeCell ref="C57:N57"/>
    <mergeCell ref="A58:B58"/>
    <mergeCell ref="C58:N58"/>
    <mergeCell ref="A59:B59"/>
    <mergeCell ref="C59:E59"/>
    <mergeCell ref="F59:G59"/>
    <mergeCell ref="H59:I59"/>
    <mergeCell ref="J59:L59"/>
    <mergeCell ref="M59:N59"/>
    <mergeCell ref="A60:B60"/>
    <mergeCell ref="C60:E60"/>
    <mergeCell ref="F60:G60"/>
    <mergeCell ref="H60:I60"/>
    <mergeCell ref="J60:L60"/>
    <mergeCell ref="M60:N60"/>
    <mergeCell ref="A61:B61"/>
    <mergeCell ref="C61:N61"/>
    <mergeCell ref="A62:B62"/>
    <mergeCell ref="C62:N62"/>
    <mergeCell ref="A63:B63"/>
    <mergeCell ref="C63:N63"/>
    <mergeCell ref="A64:B64"/>
    <mergeCell ref="C64:E64"/>
    <mergeCell ref="F64:G64"/>
    <mergeCell ref="H64:I64"/>
    <mergeCell ref="J64:L64"/>
    <mergeCell ref="M64:N64"/>
    <mergeCell ref="A65:B65"/>
    <mergeCell ref="C65:E65"/>
    <mergeCell ref="F65:G65"/>
    <mergeCell ref="H65:I65"/>
    <mergeCell ref="J65:L65"/>
    <mergeCell ref="M65:N65"/>
    <mergeCell ref="A66:N66"/>
    <mergeCell ref="A67:G67"/>
    <mergeCell ref="H67:O67"/>
    <mergeCell ref="A68:C68"/>
    <mergeCell ref="E68:O68"/>
    <mergeCell ref="A69:C69"/>
    <mergeCell ref="E69:O69"/>
    <mergeCell ref="A70:C70"/>
    <mergeCell ref="E70:O70"/>
    <mergeCell ref="A71:O71"/>
    <mergeCell ref="A72:O72"/>
    <mergeCell ref="A73:O73"/>
    <mergeCell ref="B74:C74"/>
    <mergeCell ref="E74:F74"/>
    <mergeCell ref="G74:H74"/>
    <mergeCell ref="I74:K74"/>
    <mergeCell ref="L74:O74"/>
    <mergeCell ref="A75:O75"/>
    <mergeCell ref="B76:F76"/>
    <mergeCell ref="G76:H76"/>
    <mergeCell ref="I76:K76"/>
    <mergeCell ref="L76:O76"/>
    <mergeCell ref="A77:O77"/>
    <mergeCell ref="A78:J78"/>
    <mergeCell ref="K78:O78"/>
    <mergeCell ref="A79:O79"/>
    <mergeCell ref="A80:B80"/>
    <mergeCell ref="D80:E80"/>
    <mergeCell ref="F80:G80"/>
    <mergeCell ref="H80:I80"/>
    <mergeCell ref="K80:L80"/>
    <mergeCell ref="A81:O81"/>
    <mergeCell ref="A82:C82"/>
    <mergeCell ref="D82:O82"/>
    <mergeCell ref="A83:C83"/>
    <mergeCell ref="D83:O83"/>
    <mergeCell ref="A84:C84"/>
    <mergeCell ref="D84:O84"/>
    <mergeCell ref="A85:C85"/>
    <mergeCell ref="D85:O85"/>
    <mergeCell ref="A86:C86"/>
    <mergeCell ref="D86:O86"/>
    <mergeCell ref="A87:C87"/>
    <mergeCell ref="D87:O87"/>
    <mergeCell ref="A88:C88"/>
    <mergeCell ref="D88:O88"/>
    <mergeCell ref="A89:C89"/>
    <mergeCell ref="D89:O89"/>
    <mergeCell ref="A90:C90"/>
    <mergeCell ref="D90:O90"/>
    <mergeCell ref="A91:C91"/>
    <mergeCell ref="D91:O91"/>
    <mergeCell ref="A92:C92"/>
    <mergeCell ref="D92:O92"/>
    <mergeCell ref="A93:C93"/>
    <mergeCell ref="D93:O93"/>
    <mergeCell ref="A94:C94"/>
    <mergeCell ref="D94:O94"/>
    <mergeCell ref="A95:C95"/>
    <mergeCell ref="D95:O95"/>
    <mergeCell ref="A96:C96"/>
    <mergeCell ref="D96:O96"/>
    <mergeCell ref="A97:C97"/>
    <mergeCell ref="D97:O97"/>
    <mergeCell ref="A98:B98"/>
    <mergeCell ref="D98:E98"/>
    <mergeCell ref="F98:G98"/>
    <mergeCell ref="H98:I98"/>
    <mergeCell ref="K98:L98"/>
    <mergeCell ref="A99:O99"/>
    <mergeCell ref="A100:C100"/>
    <mergeCell ref="D100:M100"/>
    <mergeCell ref="N100:O100"/>
    <mergeCell ref="A101:C101"/>
    <mergeCell ref="D101:M101"/>
    <mergeCell ref="N101:O101"/>
    <mergeCell ref="A102:C102"/>
    <mergeCell ref="D102:M102"/>
    <mergeCell ref="N102:O102"/>
    <mergeCell ref="A103:C103"/>
    <mergeCell ref="D103:M103"/>
    <mergeCell ref="N103:O103"/>
    <mergeCell ref="A104:C104"/>
    <mergeCell ref="D104:M104"/>
    <mergeCell ref="N104:O104"/>
    <mergeCell ref="A105:B105"/>
    <mergeCell ref="D105:E105"/>
    <mergeCell ref="F105:G105"/>
    <mergeCell ref="H105:I105"/>
    <mergeCell ref="K105:L105"/>
    <mergeCell ref="A106:O106"/>
    <mergeCell ref="A107:C107"/>
    <mergeCell ref="D107:O107"/>
    <mergeCell ref="A108:C108"/>
    <mergeCell ref="D108:O108"/>
    <mergeCell ref="A109:C109"/>
    <mergeCell ref="D109:O109"/>
    <mergeCell ref="A110:C110"/>
    <mergeCell ref="D110:O110"/>
    <mergeCell ref="A111:C111"/>
    <mergeCell ref="D111:O111"/>
    <mergeCell ref="A112:C112"/>
    <mergeCell ref="D112:O112"/>
    <mergeCell ref="A113:B113"/>
    <mergeCell ref="D113:E113"/>
    <mergeCell ref="F113:G113"/>
    <mergeCell ref="H113:I113"/>
    <mergeCell ref="K113:L113"/>
    <mergeCell ref="A114:O114"/>
    <mergeCell ref="A115:B116"/>
    <mergeCell ref="C115:E116"/>
    <mergeCell ref="F115:N115"/>
    <mergeCell ref="O115:O116"/>
    <mergeCell ref="F116:G116"/>
    <mergeCell ref="H116:I116"/>
    <mergeCell ref="J116:L116"/>
    <mergeCell ref="M116:N116"/>
    <mergeCell ref="A117:B117"/>
    <mergeCell ref="C117:N117"/>
    <mergeCell ref="A118:B118"/>
    <mergeCell ref="C118:N118"/>
    <mergeCell ref="A119:B119"/>
    <mergeCell ref="C119:N119"/>
    <mergeCell ref="A120:B120"/>
    <mergeCell ref="C120:N120"/>
    <mergeCell ref="A121:B121"/>
    <mergeCell ref="C121:N121"/>
    <mergeCell ref="A122:B122"/>
    <mergeCell ref="C122:N122"/>
    <mergeCell ref="A123:B123"/>
    <mergeCell ref="C123:N123"/>
    <mergeCell ref="A124:B124"/>
    <mergeCell ref="C124:N124"/>
    <mergeCell ref="A125:O125"/>
    <mergeCell ref="A126:B127"/>
    <mergeCell ref="C126:E127"/>
    <mergeCell ref="F126:N126"/>
    <mergeCell ref="O126:O127"/>
    <mergeCell ref="F127:G127"/>
    <mergeCell ref="H127:I127"/>
    <mergeCell ref="J127:L127"/>
    <mergeCell ref="M127:N127"/>
    <mergeCell ref="A128:B128"/>
    <mergeCell ref="C128:E128"/>
    <mergeCell ref="F128:G128"/>
    <mergeCell ref="H128:I128"/>
    <mergeCell ref="J128:L128"/>
    <mergeCell ref="M128:N128"/>
    <mergeCell ref="A129:B129"/>
    <mergeCell ref="C129:E129"/>
    <mergeCell ref="F129:G129"/>
    <mergeCell ref="H129:I129"/>
    <mergeCell ref="J129:L129"/>
    <mergeCell ref="M129:N129"/>
    <mergeCell ref="A130:B130"/>
    <mergeCell ref="C130:E130"/>
    <mergeCell ref="F130:G130"/>
    <mergeCell ref="H130:I130"/>
    <mergeCell ref="J130:L130"/>
    <mergeCell ref="M130:N130"/>
    <mergeCell ref="A131:B131"/>
    <mergeCell ref="C131:E131"/>
    <mergeCell ref="F131:G131"/>
    <mergeCell ref="H131:I131"/>
    <mergeCell ref="J131:L131"/>
    <mergeCell ref="M131:N131"/>
    <mergeCell ref="A132:B132"/>
    <mergeCell ref="C132:E132"/>
    <mergeCell ref="F132:G132"/>
    <mergeCell ref="H132:I132"/>
    <mergeCell ref="J132:L132"/>
    <mergeCell ref="M132:N132"/>
    <mergeCell ref="A133:B133"/>
    <mergeCell ref="C133:N133"/>
    <mergeCell ref="A134:B134"/>
    <mergeCell ref="C134:N134"/>
    <mergeCell ref="A135:B135"/>
    <mergeCell ref="C135:N135"/>
    <mergeCell ref="A136:B136"/>
    <mergeCell ref="C136:E136"/>
    <mergeCell ref="F136:G136"/>
    <mergeCell ref="H136:I136"/>
    <mergeCell ref="J136:L136"/>
    <mergeCell ref="M136:N136"/>
    <mergeCell ref="A137:B137"/>
    <mergeCell ref="C137:E137"/>
    <mergeCell ref="F137:G137"/>
    <mergeCell ref="H137:I137"/>
    <mergeCell ref="J137:L137"/>
    <mergeCell ref="M137:N137"/>
    <mergeCell ref="A138:B138"/>
    <mergeCell ref="C138:E138"/>
    <mergeCell ref="F138:G138"/>
    <mergeCell ref="H138:I138"/>
    <mergeCell ref="J138:L138"/>
    <mergeCell ref="M138:N138"/>
    <mergeCell ref="A139:B139"/>
    <mergeCell ref="C139:N139"/>
    <mergeCell ref="A140:B140"/>
    <mergeCell ref="C140:N140"/>
    <mergeCell ref="A141:B141"/>
    <mergeCell ref="C141:N141"/>
    <mergeCell ref="A142:B142"/>
    <mergeCell ref="C142:E142"/>
    <mergeCell ref="F142:G142"/>
    <mergeCell ref="H142:I142"/>
    <mergeCell ref="J142:L142"/>
    <mergeCell ref="M142:N142"/>
    <mergeCell ref="A143:B143"/>
    <mergeCell ref="C143:E143"/>
    <mergeCell ref="F143:G143"/>
    <mergeCell ref="H143:I143"/>
    <mergeCell ref="J143:L143"/>
    <mergeCell ref="M143:N143"/>
    <mergeCell ref="A144:N144"/>
    <mergeCell ref="A145:G145"/>
    <mergeCell ref="H145:O145"/>
    <mergeCell ref="A146:C146"/>
    <mergeCell ref="E146:O146"/>
    <mergeCell ref="A147:C147"/>
    <mergeCell ref="E147:O147"/>
    <mergeCell ref="A148:C148"/>
    <mergeCell ref="E148:O148"/>
    <mergeCell ref="A149:O149"/>
    <mergeCell ref="A150:O150"/>
    <mergeCell ref="A151:O151"/>
    <mergeCell ref="B152:C152"/>
    <mergeCell ref="E152:F152"/>
    <mergeCell ref="G152:H152"/>
    <mergeCell ref="I152:K152"/>
    <mergeCell ref="L152:O152"/>
    <mergeCell ref="A153:O153"/>
    <mergeCell ref="B154:F154"/>
    <mergeCell ref="G154:H154"/>
    <mergeCell ref="I154:K154"/>
    <mergeCell ref="L154:O154"/>
    <mergeCell ref="A155:O155"/>
    <mergeCell ref="A156:J156"/>
    <mergeCell ref="K156:O156"/>
    <mergeCell ref="A157:O157"/>
    <mergeCell ref="A158:B158"/>
    <mergeCell ref="D158:E158"/>
    <mergeCell ref="F158:G158"/>
    <mergeCell ref="H158:I158"/>
    <mergeCell ref="K158:L158"/>
    <mergeCell ref="A159:O159"/>
    <mergeCell ref="A160:C160"/>
    <mergeCell ref="D160:O160"/>
    <mergeCell ref="A161:C161"/>
    <mergeCell ref="D161:O161"/>
    <mergeCell ref="A162:C162"/>
    <mergeCell ref="D162:O162"/>
    <mergeCell ref="A163:C163"/>
    <mergeCell ref="D163:O163"/>
    <mergeCell ref="A164:C164"/>
    <mergeCell ref="D164:O164"/>
    <mergeCell ref="A165:C165"/>
    <mergeCell ref="D165:O165"/>
    <mergeCell ref="A166:C166"/>
    <mergeCell ref="D166:O166"/>
    <mergeCell ref="A167:C167"/>
    <mergeCell ref="D167:O167"/>
    <mergeCell ref="A168:C168"/>
    <mergeCell ref="D168:O168"/>
    <mergeCell ref="A169:C169"/>
    <mergeCell ref="D169:O169"/>
    <mergeCell ref="A170:C170"/>
    <mergeCell ref="D170:O170"/>
    <mergeCell ref="A171:C171"/>
    <mergeCell ref="D171:O171"/>
    <mergeCell ref="A172:C172"/>
    <mergeCell ref="D172:O172"/>
    <mergeCell ref="A173:C173"/>
    <mergeCell ref="D173:O173"/>
    <mergeCell ref="A174:C174"/>
    <mergeCell ref="D174:O174"/>
    <mergeCell ref="A175:C175"/>
    <mergeCell ref="D175:O175"/>
    <mergeCell ref="A176:B176"/>
    <mergeCell ref="D176:E176"/>
    <mergeCell ref="F176:G176"/>
    <mergeCell ref="H176:I176"/>
    <mergeCell ref="K176:L176"/>
    <mergeCell ref="A177:O177"/>
    <mergeCell ref="A178:C178"/>
    <mergeCell ref="D178:M178"/>
    <mergeCell ref="N178:O178"/>
    <mergeCell ref="A179:C179"/>
    <mergeCell ref="D179:M179"/>
    <mergeCell ref="N179:O179"/>
    <mergeCell ref="A180:C180"/>
    <mergeCell ref="D180:M180"/>
    <mergeCell ref="N180:O180"/>
    <mergeCell ref="A181:C181"/>
    <mergeCell ref="D181:M181"/>
    <mergeCell ref="N181:O181"/>
    <mergeCell ref="A182:C182"/>
    <mergeCell ref="D182:M182"/>
    <mergeCell ref="N182:O182"/>
    <mergeCell ref="A183:B183"/>
    <mergeCell ref="D183:E183"/>
    <mergeCell ref="F183:G183"/>
    <mergeCell ref="H183:I183"/>
    <mergeCell ref="K183:L183"/>
    <mergeCell ref="A184:O184"/>
    <mergeCell ref="A185:C185"/>
    <mergeCell ref="D185:O185"/>
    <mergeCell ref="A186:C186"/>
    <mergeCell ref="D186:O186"/>
    <mergeCell ref="A187:C187"/>
    <mergeCell ref="D187:O187"/>
    <mergeCell ref="A188:C188"/>
    <mergeCell ref="D188:O188"/>
    <mergeCell ref="A189:C189"/>
    <mergeCell ref="D189:O189"/>
    <mergeCell ref="A190:C190"/>
    <mergeCell ref="D190:O190"/>
    <mergeCell ref="A191:B191"/>
    <mergeCell ref="D191:E191"/>
    <mergeCell ref="F191:G191"/>
    <mergeCell ref="H191:I191"/>
    <mergeCell ref="K191:L191"/>
    <mergeCell ref="A192:O192"/>
    <mergeCell ref="A193:B194"/>
    <mergeCell ref="C193:E194"/>
    <mergeCell ref="F193:N193"/>
    <mergeCell ref="O193:O194"/>
    <mergeCell ref="F194:G194"/>
    <mergeCell ref="H194:I194"/>
    <mergeCell ref="J194:L194"/>
    <mergeCell ref="M194:N194"/>
    <mergeCell ref="A195:B195"/>
    <mergeCell ref="C195:N195"/>
    <mergeCell ref="A196:B196"/>
    <mergeCell ref="C196:N196"/>
    <mergeCell ref="A197:B197"/>
    <mergeCell ref="C197:N197"/>
    <mergeCell ref="A198:B198"/>
    <mergeCell ref="C198:N198"/>
    <mergeCell ref="A199:B199"/>
    <mergeCell ref="C199:N199"/>
    <mergeCell ref="A200:B200"/>
    <mergeCell ref="C200:N200"/>
    <mergeCell ref="A201:B201"/>
    <mergeCell ref="C201:N201"/>
    <mergeCell ref="A202:B202"/>
    <mergeCell ref="C202:N202"/>
    <mergeCell ref="A203:O203"/>
    <mergeCell ref="A204:B205"/>
    <mergeCell ref="C204:E205"/>
    <mergeCell ref="F204:N204"/>
    <mergeCell ref="O204:O205"/>
    <mergeCell ref="F205:G205"/>
    <mergeCell ref="H205:I205"/>
    <mergeCell ref="J205:L205"/>
    <mergeCell ref="M205:N205"/>
    <mergeCell ref="A206:B206"/>
    <mergeCell ref="C206:E206"/>
    <mergeCell ref="F206:G206"/>
    <mergeCell ref="H206:I206"/>
    <mergeCell ref="J206:L206"/>
    <mergeCell ref="M206:N206"/>
    <mergeCell ref="A207:B207"/>
    <mergeCell ref="C207:E207"/>
    <mergeCell ref="F207:G207"/>
    <mergeCell ref="H207:I207"/>
    <mergeCell ref="J207:L207"/>
    <mergeCell ref="M207:N207"/>
    <mergeCell ref="A208:B208"/>
    <mergeCell ref="C208:E208"/>
    <mergeCell ref="F208:G208"/>
    <mergeCell ref="H208:I208"/>
    <mergeCell ref="J208:L208"/>
    <mergeCell ref="M208:N208"/>
    <mergeCell ref="A209:B209"/>
    <mergeCell ref="C209:E209"/>
    <mergeCell ref="F209:G209"/>
    <mergeCell ref="H209:I209"/>
    <mergeCell ref="J209:L209"/>
    <mergeCell ref="M209:N209"/>
    <mergeCell ref="A210:B210"/>
    <mergeCell ref="C210:E210"/>
    <mergeCell ref="F210:G210"/>
    <mergeCell ref="H210:I210"/>
    <mergeCell ref="J210:L210"/>
    <mergeCell ref="M210:N210"/>
    <mergeCell ref="A211:B211"/>
    <mergeCell ref="C211:E211"/>
    <mergeCell ref="F211:G211"/>
    <mergeCell ref="H211:I211"/>
    <mergeCell ref="J211:L211"/>
    <mergeCell ref="M211:N211"/>
    <mergeCell ref="A212:B212"/>
    <mergeCell ref="C212:N212"/>
    <mergeCell ref="A213:B213"/>
    <mergeCell ref="C213:N213"/>
    <mergeCell ref="A214:B214"/>
    <mergeCell ref="C214:N214"/>
    <mergeCell ref="A215:B215"/>
    <mergeCell ref="C215:E215"/>
    <mergeCell ref="F215:G215"/>
    <mergeCell ref="H215:I215"/>
    <mergeCell ref="J215:L215"/>
    <mergeCell ref="M215:N215"/>
    <mergeCell ref="A216:B216"/>
    <mergeCell ref="C216:E216"/>
    <mergeCell ref="F216:G216"/>
    <mergeCell ref="H216:I216"/>
    <mergeCell ref="J216:L216"/>
    <mergeCell ref="M216:N216"/>
    <mergeCell ref="A217:B217"/>
    <mergeCell ref="C217:N217"/>
    <mergeCell ref="A218:B218"/>
    <mergeCell ref="C218:N218"/>
    <mergeCell ref="A219:B219"/>
    <mergeCell ref="C219:N219"/>
    <mergeCell ref="A220:B220"/>
    <mergeCell ref="C220:E220"/>
    <mergeCell ref="F220:G220"/>
    <mergeCell ref="H220:I220"/>
    <mergeCell ref="J220:L220"/>
    <mergeCell ref="M220:N220"/>
    <mergeCell ref="A221:B221"/>
    <mergeCell ref="C221:N221"/>
    <mergeCell ref="A222:B222"/>
    <mergeCell ref="C222:N222"/>
    <mergeCell ref="A223:B223"/>
    <mergeCell ref="C223:N223"/>
    <mergeCell ref="A224:B224"/>
    <mergeCell ref="C224:E224"/>
    <mergeCell ref="F224:G224"/>
    <mergeCell ref="H224:I224"/>
    <mergeCell ref="J224:L224"/>
    <mergeCell ref="M224:N224"/>
    <mergeCell ref="A225:B225"/>
    <mergeCell ref="C225:E225"/>
    <mergeCell ref="F225:G225"/>
    <mergeCell ref="H225:I225"/>
    <mergeCell ref="J225:L225"/>
    <mergeCell ref="M225:N225"/>
    <mergeCell ref="A226:B226"/>
    <mergeCell ref="C226:N226"/>
    <mergeCell ref="A227:B227"/>
    <mergeCell ref="C227:N227"/>
    <mergeCell ref="A228:B228"/>
    <mergeCell ref="C228:N228"/>
    <mergeCell ref="A229:O229"/>
    <mergeCell ref="A230:B231"/>
    <mergeCell ref="C230:E231"/>
    <mergeCell ref="F230:N230"/>
    <mergeCell ref="O230:O231"/>
    <mergeCell ref="F231:G231"/>
    <mergeCell ref="H231:I231"/>
    <mergeCell ref="J231:K231"/>
    <mergeCell ref="L231:N231"/>
    <mergeCell ref="A232:B232"/>
    <mergeCell ref="C232:E232"/>
    <mergeCell ref="F232:G232"/>
    <mergeCell ref="H232:I232"/>
    <mergeCell ref="J232:K232"/>
    <mergeCell ref="L232:N232"/>
    <mergeCell ref="A233:B233"/>
    <mergeCell ref="C233:E233"/>
    <mergeCell ref="F233:G233"/>
    <mergeCell ref="H233:I233"/>
    <mergeCell ref="J233:K233"/>
    <mergeCell ref="L233:N233"/>
    <mergeCell ref="A234:N234"/>
    <mergeCell ref="A235:G235"/>
    <mergeCell ref="H235:O235"/>
    <mergeCell ref="J236:K236"/>
    <mergeCell ref="L236:N236"/>
    <mergeCell ref="A237:C237"/>
    <mergeCell ref="E237:O237"/>
    <mergeCell ref="A238:C238"/>
    <mergeCell ref="E238:O238"/>
    <mergeCell ref="A239:C239"/>
    <mergeCell ref="E239:O239"/>
    <mergeCell ref="A240:O240"/>
    <mergeCell ref="A241:O241"/>
    <mergeCell ref="A242:O242"/>
    <mergeCell ref="J243:K243"/>
    <mergeCell ref="L243:N243"/>
    <mergeCell ref="A244:O244"/>
    <mergeCell ref="B245:F245"/>
    <mergeCell ref="G245:H245"/>
    <mergeCell ref="I245:K245"/>
    <mergeCell ref="L245:O245"/>
    <mergeCell ref="A246:O246"/>
    <mergeCell ref="A247:J247"/>
    <mergeCell ref="K247:O247"/>
    <mergeCell ref="A248:O248"/>
    <mergeCell ref="A249:B249"/>
    <mergeCell ref="D249:E249"/>
    <mergeCell ref="F249:G249"/>
    <mergeCell ref="H249:I249"/>
    <mergeCell ref="K249:L249"/>
    <mergeCell ref="A250:O250"/>
    <mergeCell ref="A251:C251"/>
    <mergeCell ref="D251:O251"/>
    <mergeCell ref="A252:C252"/>
    <mergeCell ref="D252:O252"/>
    <mergeCell ref="A253:C253"/>
    <mergeCell ref="D253:O253"/>
    <mergeCell ref="A254:C254"/>
    <mergeCell ref="D254:O254"/>
    <mergeCell ref="A255:C255"/>
    <mergeCell ref="D255:O255"/>
    <mergeCell ref="A256:C256"/>
    <mergeCell ref="D256:O256"/>
    <mergeCell ref="A257:C257"/>
    <mergeCell ref="D257:O257"/>
    <mergeCell ref="A258:C258"/>
    <mergeCell ref="D258:O258"/>
    <mergeCell ref="A259:C259"/>
    <mergeCell ref="D259:O259"/>
    <mergeCell ref="A260:C260"/>
    <mergeCell ref="D260:O260"/>
    <mergeCell ref="A261:C261"/>
    <mergeCell ref="D261:O261"/>
    <mergeCell ref="A262:C262"/>
    <mergeCell ref="D262:O262"/>
    <mergeCell ref="A263:C263"/>
    <mergeCell ref="D263:O263"/>
    <mergeCell ref="A264:C264"/>
    <mergeCell ref="D264:O264"/>
    <mergeCell ref="A265:C265"/>
    <mergeCell ref="D265:O265"/>
    <mergeCell ref="A266:C266"/>
    <mergeCell ref="D266:O266"/>
    <mergeCell ref="A267:B267"/>
    <mergeCell ref="D267:E267"/>
    <mergeCell ref="F267:G267"/>
    <mergeCell ref="H267:I267"/>
    <mergeCell ref="K267:L267"/>
    <mergeCell ref="A268:O268"/>
    <mergeCell ref="A269:C269"/>
    <mergeCell ref="D269:M269"/>
    <mergeCell ref="N269:O269"/>
    <mergeCell ref="A270:C270"/>
    <mergeCell ref="D270:M270"/>
    <mergeCell ref="N270:O270"/>
    <mergeCell ref="A271:C271"/>
    <mergeCell ref="D271:M271"/>
    <mergeCell ref="N271:O271"/>
    <mergeCell ref="A272:C272"/>
    <mergeCell ref="D272:M272"/>
    <mergeCell ref="N272:O272"/>
    <mergeCell ref="A273:C273"/>
    <mergeCell ref="D273:M273"/>
    <mergeCell ref="N273:O273"/>
    <mergeCell ref="A274:B274"/>
    <mergeCell ref="D274:E274"/>
    <mergeCell ref="F274:G274"/>
    <mergeCell ref="H274:I274"/>
    <mergeCell ref="K274:L274"/>
    <mergeCell ref="A275:O275"/>
    <mergeCell ref="A276:C276"/>
    <mergeCell ref="D276:O276"/>
    <mergeCell ref="A277:C277"/>
    <mergeCell ref="D277:O277"/>
    <mergeCell ref="A278:C278"/>
    <mergeCell ref="D278:O278"/>
    <mergeCell ref="A279:C279"/>
    <mergeCell ref="D279:O279"/>
    <mergeCell ref="A280:C280"/>
    <mergeCell ref="D280:O280"/>
    <mergeCell ref="A281:C281"/>
    <mergeCell ref="D281:O281"/>
    <mergeCell ref="A282:B282"/>
    <mergeCell ref="D282:E282"/>
    <mergeCell ref="F282:G282"/>
    <mergeCell ref="H282:I282"/>
    <mergeCell ref="K282:L282"/>
    <mergeCell ref="A283:O283"/>
    <mergeCell ref="A284:B285"/>
    <mergeCell ref="C284:E285"/>
    <mergeCell ref="F284:N284"/>
    <mergeCell ref="O284:O285"/>
    <mergeCell ref="F285:G285"/>
    <mergeCell ref="H285:I285"/>
    <mergeCell ref="J285:L285"/>
    <mergeCell ref="M285:N285"/>
    <mergeCell ref="A286:B286"/>
    <mergeCell ref="C286:N286"/>
    <mergeCell ref="A287:B287"/>
    <mergeCell ref="C287:N287"/>
    <mergeCell ref="A288:B288"/>
    <mergeCell ref="C288:N288"/>
    <mergeCell ref="A289:B289"/>
    <mergeCell ref="C289:N289"/>
    <mergeCell ref="A290:B290"/>
    <mergeCell ref="C290:N290"/>
    <mergeCell ref="A291:B291"/>
    <mergeCell ref="C291:N291"/>
    <mergeCell ref="A292:B292"/>
    <mergeCell ref="C292:N292"/>
    <mergeCell ref="A293:B293"/>
    <mergeCell ref="C293:N293"/>
    <mergeCell ref="A294:O294"/>
    <mergeCell ref="A295:B296"/>
    <mergeCell ref="C295:E296"/>
    <mergeCell ref="F295:N295"/>
    <mergeCell ref="O295:O296"/>
    <mergeCell ref="F296:G296"/>
    <mergeCell ref="H296:I296"/>
    <mergeCell ref="J296:L296"/>
    <mergeCell ref="M296:N296"/>
    <mergeCell ref="A297:B297"/>
    <mergeCell ref="C297:E297"/>
    <mergeCell ref="F297:G297"/>
    <mergeCell ref="H297:I297"/>
    <mergeCell ref="J297:L297"/>
    <mergeCell ref="M297:N297"/>
    <mergeCell ref="A298:B298"/>
    <mergeCell ref="C298:E298"/>
    <mergeCell ref="F298:G298"/>
    <mergeCell ref="H298:I298"/>
    <mergeCell ref="J298:L298"/>
    <mergeCell ref="M298:N298"/>
    <mergeCell ref="A299:B299"/>
    <mergeCell ref="C299:N299"/>
    <mergeCell ref="A300:B300"/>
    <mergeCell ref="C300:N300"/>
    <mergeCell ref="A301:B301"/>
    <mergeCell ref="C301:N301"/>
    <mergeCell ref="A302:B302"/>
    <mergeCell ref="C302:N302"/>
    <mergeCell ref="A303:B303"/>
    <mergeCell ref="C303:N303"/>
    <mergeCell ref="A304:B304"/>
    <mergeCell ref="C304:E304"/>
    <mergeCell ref="F304:G304"/>
    <mergeCell ref="H304:I304"/>
    <mergeCell ref="J304:L304"/>
    <mergeCell ref="M304:N304"/>
    <mergeCell ref="A305:B305"/>
    <mergeCell ref="C305:N305"/>
    <mergeCell ref="A306:B306"/>
    <mergeCell ref="C306:N306"/>
    <mergeCell ref="A307:B307"/>
    <mergeCell ref="C307:N307"/>
    <mergeCell ref="A308:B308"/>
    <mergeCell ref="C308:N308"/>
    <mergeCell ref="A309:B309"/>
    <mergeCell ref="C309:E309"/>
    <mergeCell ref="F309:G309"/>
    <mergeCell ref="H309:I309"/>
    <mergeCell ref="J309:L309"/>
    <mergeCell ref="M309:N309"/>
    <mergeCell ref="A310:B310"/>
    <mergeCell ref="C310:N310"/>
    <mergeCell ref="A311:B311"/>
    <mergeCell ref="C311:N311"/>
    <mergeCell ref="A312:B312"/>
    <mergeCell ref="C312:N312"/>
    <mergeCell ref="A313:B313"/>
    <mergeCell ref="C313:E313"/>
    <mergeCell ref="F313:G313"/>
    <mergeCell ref="H313:I313"/>
    <mergeCell ref="J313:L313"/>
    <mergeCell ref="M313:N313"/>
    <mergeCell ref="A314:B314"/>
    <mergeCell ref="C314:N314"/>
    <mergeCell ref="A315:B315"/>
    <mergeCell ref="C315:N315"/>
    <mergeCell ref="A316:B316"/>
    <mergeCell ref="C316:N316"/>
    <mergeCell ref="A317:B317"/>
    <mergeCell ref="C317:E317"/>
    <mergeCell ref="F317:G317"/>
    <mergeCell ref="H317:I317"/>
    <mergeCell ref="J317:L317"/>
    <mergeCell ref="M317:N317"/>
    <mergeCell ref="A318:N318"/>
    <mergeCell ref="A319:G319"/>
    <mergeCell ref="H319:O319"/>
    <mergeCell ref="A320:C320"/>
    <mergeCell ref="E320:O320"/>
    <mergeCell ref="A321:C321"/>
    <mergeCell ref="E321:O321"/>
    <mergeCell ref="A322:C322"/>
    <mergeCell ref="E322:O322"/>
    <mergeCell ref="A323:O323"/>
    <mergeCell ref="A324:O324"/>
    <mergeCell ref="A325:O325"/>
    <mergeCell ref="B326:C326"/>
    <mergeCell ref="E326:F326"/>
    <mergeCell ref="G326:H326"/>
    <mergeCell ref="I326:K326"/>
    <mergeCell ref="L326:O326"/>
    <mergeCell ref="A327:O327"/>
    <mergeCell ref="B328:F328"/>
    <mergeCell ref="G328:H328"/>
    <mergeCell ref="I328:K328"/>
    <mergeCell ref="L328:O328"/>
    <mergeCell ref="A329:O329"/>
    <mergeCell ref="A330:J330"/>
    <mergeCell ref="K330:O330"/>
    <mergeCell ref="A331:O331"/>
    <mergeCell ref="A332:B332"/>
    <mergeCell ref="D332:E332"/>
    <mergeCell ref="F332:G332"/>
    <mergeCell ref="H332:I332"/>
    <mergeCell ref="K332:L332"/>
    <mergeCell ref="A333:O333"/>
    <mergeCell ref="A334:C334"/>
    <mergeCell ref="D334:O334"/>
    <mergeCell ref="A335:C335"/>
    <mergeCell ref="D335:O335"/>
    <mergeCell ref="A336:C336"/>
    <mergeCell ref="D336:O336"/>
    <mergeCell ref="A337:C337"/>
    <mergeCell ref="D337:O337"/>
    <mergeCell ref="A338:C338"/>
    <mergeCell ref="D338:O338"/>
    <mergeCell ref="A339:C339"/>
    <mergeCell ref="D339:O339"/>
    <mergeCell ref="A340:C340"/>
    <mergeCell ref="D340:O340"/>
    <mergeCell ref="A341:C341"/>
    <mergeCell ref="D341:O341"/>
    <mergeCell ref="A342:C342"/>
    <mergeCell ref="D342:O342"/>
    <mergeCell ref="A343:C343"/>
    <mergeCell ref="D343:O343"/>
    <mergeCell ref="A344:C344"/>
    <mergeCell ref="D344:O344"/>
    <mergeCell ref="A345:C345"/>
    <mergeCell ref="D345:O345"/>
    <mergeCell ref="A346:C346"/>
    <mergeCell ref="D346:O346"/>
    <mergeCell ref="A347:C347"/>
    <mergeCell ref="D347:O347"/>
    <mergeCell ref="A348:C348"/>
    <mergeCell ref="D348:O348"/>
    <mergeCell ref="A349:C349"/>
    <mergeCell ref="D349:O349"/>
    <mergeCell ref="A350:B350"/>
    <mergeCell ref="D350:E350"/>
    <mergeCell ref="F350:G350"/>
    <mergeCell ref="H350:I350"/>
    <mergeCell ref="K350:L350"/>
    <mergeCell ref="A351:O351"/>
    <mergeCell ref="A352:C352"/>
    <mergeCell ref="D352:M352"/>
    <mergeCell ref="N352:O352"/>
    <mergeCell ref="A353:C353"/>
    <mergeCell ref="D353:M353"/>
    <mergeCell ref="N353:O353"/>
    <mergeCell ref="A354:C354"/>
    <mergeCell ref="D354:M354"/>
    <mergeCell ref="N354:O354"/>
    <mergeCell ref="A355:C355"/>
    <mergeCell ref="D355:M355"/>
    <mergeCell ref="N355:O355"/>
    <mergeCell ref="A356:C356"/>
    <mergeCell ref="D356:M356"/>
    <mergeCell ref="N356:O356"/>
    <mergeCell ref="A357:B357"/>
    <mergeCell ref="D357:E357"/>
    <mergeCell ref="F357:G357"/>
    <mergeCell ref="H357:I357"/>
    <mergeCell ref="K357:L357"/>
    <mergeCell ref="A358:O358"/>
    <mergeCell ref="A359:C359"/>
    <mergeCell ref="D359:O359"/>
    <mergeCell ref="A360:C360"/>
    <mergeCell ref="D360:O360"/>
    <mergeCell ref="A361:C361"/>
    <mergeCell ref="D361:O361"/>
    <mergeCell ref="A362:C362"/>
    <mergeCell ref="D362:O362"/>
    <mergeCell ref="A363:C363"/>
    <mergeCell ref="D363:O363"/>
    <mergeCell ref="A364:C364"/>
    <mergeCell ref="D364:O364"/>
    <mergeCell ref="A365:B365"/>
    <mergeCell ref="D365:E365"/>
    <mergeCell ref="F365:G365"/>
    <mergeCell ref="H365:I365"/>
    <mergeCell ref="K365:L365"/>
    <mergeCell ref="A366:O366"/>
    <mergeCell ref="A367:B368"/>
    <mergeCell ref="C367:E368"/>
    <mergeCell ref="F367:N367"/>
    <mergeCell ref="O367:O368"/>
    <mergeCell ref="F368:G368"/>
    <mergeCell ref="H368:I368"/>
    <mergeCell ref="J368:L368"/>
    <mergeCell ref="M368:N368"/>
    <mergeCell ref="A369:B369"/>
    <mergeCell ref="C369:N369"/>
    <mergeCell ref="A370:B370"/>
    <mergeCell ref="C370:N370"/>
    <mergeCell ref="A371:B371"/>
    <mergeCell ref="C371:N371"/>
    <mergeCell ref="A372:B372"/>
    <mergeCell ref="C372:N372"/>
    <mergeCell ref="A373:B373"/>
    <mergeCell ref="C373:N373"/>
    <mergeCell ref="A374:B374"/>
    <mergeCell ref="C374:N374"/>
    <mergeCell ref="A375:B375"/>
    <mergeCell ref="C375:N375"/>
    <mergeCell ref="A376:B376"/>
    <mergeCell ref="C376:N376"/>
    <mergeCell ref="A377:O377"/>
    <mergeCell ref="A378:B379"/>
    <mergeCell ref="C378:E379"/>
    <mergeCell ref="F378:N378"/>
    <mergeCell ref="O378:O379"/>
    <mergeCell ref="F379:G379"/>
    <mergeCell ref="H379:I379"/>
    <mergeCell ref="J379:L379"/>
    <mergeCell ref="M379:N379"/>
    <mergeCell ref="A380:B380"/>
    <mergeCell ref="C380:E380"/>
    <mergeCell ref="F380:G380"/>
    <mergeCell ref="H380:I380"/>
    <mergeCell ref="J380:L380"/>
    <mergeCell ref="M380:N380"/>
    <mergeCell ref="A381:B381"/>
    <mergeCell ref="C381:E381"/>
    <mergeCell ref="F381:G381"/>
    <mergeCell ref="H381:I381"/>
    <mergeCell ref="J381:L381"/>
    <mergeCell ref="M381:N381"/>
    <mergeCell ref="A382:B382"/>
    <mergeCell ref="C382:E382"/>
    <mergeCell ref="F382:G382"/>
    <mergeCell ref="H382:I382"/>
    <mergeCell ref="J382:L382"/>
    <mergeCell ref="M382:N382"/>
    <mergeCell ref="A383:B383"/>
    <mergeCell ref="C383:N383"/>
    <mergeCell ref="A384:B384"/>
    <mergeCell ref="C384:N384"/>
    <mergeCell ref="A385:B385"/>
    <mergeCell ref="C385:N385"/>
    <mergeCell ref="A386:B386"/>
    <mergeCell ref="C386:E386"/>
    <mergeCell ref="F386:G386"/>
    <mergeCell ref="H386:I386"/>
    <mergeCell ref="J386:L386"/>
    <mergeCell ref="M386:N386"/>
    <mergeCell ref="A387:B387"/>
    <mergeCell ref="C387:E387"/>
    <mergeCell ref="F387:G387"/>
    <mergeCell ref="H387:I387"/>
    <mergeCell ref="J387:L387"/>
    <mergeCell ref="M387:N387"/>
    <mergeCell ref="A388:B388"/>
    <mergeCell ref="C388:N388"/>
    <mergeCell ref="A389:B389"/>
    <mergeCell ref="C389:N389"/>
    <mergeCell ref="A390:B390"/>
    <mergeCell ref="C390:N390"/>
    <mergeCell ref="A391:B391"/>
    <mergeCell ref="C391:E391"/>
    <mergeCell ref="F391:G391"/>
    <mergeCell ref="H391:I391"/>
    <mergeCell ref="J391:L391"/>
    <mergeCell ref="M391:N391"/>
    <mergeCell ref="A392:B392"/>
    <mergeCell ref="C392:E392"/>
    <mergeCell ref="F392:G392"/>
    <mergeCell ref="H392:I392"/>
    <mergeCell ref="J392:L392"/>
    <mergeCell ref="M392:N392"/>
    <mergeCell ref="A393:B393"/>
    <mergeCell ref="C393:N393"/>
    <mergeCell ref="A394:B394"/>
    <mergeCell ref="C394:N394"/>
    <mergeCell ref="A395:B395"/>
    <mergeCell ref="C395:N395"/>
    <mergeCell ref="A396:B396"/>
    <mergeCell ref="C396:E396"/>
    <mergeCell ref="F396:G396"/>
    <mergeCell ref="H396:I396"/>
    <mergeCell ref="J396:L396"/>
    <mergeCell ref="M396:N396"/>
    <mergeCell ref="A397:B397"/>
    <mergeCell ref="C397:N397"/>
    <mergeCell ref="A398:B398"/>
    <mergeCell ref="C398:N398"/>
    <mergeCell ref="A399:B399"/>
    <mergeCell ref="C399:N399"/>
    <mergeCell ref="A400:B400"/>
    <mergeCell ref="C400:E400"/>
    <mergeCell ref="F400:G400"/>
    <mergeCell ref="H400:I400"/>
    <mergeCell ref="J400:L400"/>
    <mergeCell ref="M400:N400"/>
    <mergeCell ref="A401:B401"/>
    <mergeCell ref="C401:E401"/>
    <mergeCell ref="F401:G401"/>
    <mergeCell ref="H401:I401"/>
    <mergeCell ref="J401:L401"/>
    <mergeCell ref="M401:N401"/>
    <mergeCell ref="A402:B402"/>
    <mergeCell ref="C402:N402"/>
    <mergeCell ref="A403:B403"/>
    <mergeCell ref="C403:N403"/>
    <mergeCell ref="A404:B404"/>
    <mergeCell ref="C404:N404"/>
    <mergeCell ref="A405:O405"/>
    <mergeCell ref="A406:B407"/>
    <mergeCell ref="C406:E407"/>
    <mergeCell ref="F406:N406"/>
    <mergeCell ref="O406:O407"/>
    <mergeCell ref="F407:G407"/>
    <mergeCell ref="H407:I407"/>
    <mergeCell ref="J407:L407"/>
    <mergeCell ref="M407:N407"/>
    <mergeCell ref="A408:B408"/>
    <mergeCell ref="C408:N408"/>
    <mergeCell ref="A409:B409"/>
    <mergeCell ref="C409:N409"/>
    <mergeCell ref="A410:B410"/>
    <mergeCell ref="C410:E410"/>
    <mergeCell ref="F410:G410"/>
    <mergeCell ref="H410:I410"/>
    <mergeCell ref="J410:L410"/>
    <mergeCell ref="M410:N410"/>
    <mergeCell ref="A411:B411"/>
    <mergeCell ref="C411:N411"/>
    <mergeCell ref="A412:B412"/>
    <mergeCell ref="C412:N412"/>
    <mergeCell ref="A413:B413"/>
    <mergeCell ref="C413:N413"/>
    <mergeCell ref="A414:B414"/>
    <mergeCell ref="C414:E414"/>
    <mergeCell ref="F414:G414"/>
    <mergeCell ref="H414:I414"/>
    <mergeCell ref="J414:L414"/>
    <mergeCell ref="M414:N414"/>
    <mergeCell ref="A415:B415"/>
    <mergeCell ref="C415:N415"/>
    <mergeCell ref="A416:B416"/>
    <mergeCell ref="C416:N416"/>
    <mergeCell ref="A417:B417"/>
    <mergeCell ref="C417:N417"/>
    <mergeCell ref="A418:B418"/>
    <mergeCell ref="C418:E418"/>
    <mergeCell ref="F418:G418"/>
    <mergeCell ref="H418:I418"/>
    <mergeCell ref="J418:L418"/>
    <mergeCell ref="M418:N418"/>
    <mergeCell ref="A419:B419"/>
    <mergeCell ref="C419:N419"/>
    <mergeCell ref="A420:B420"/>
    <mergeCell ref="C420:N420"/>
    <mergeCell ref="A421:B421"/>
    <mergeCell ref="C421:N421"/>
    <mergeCell ref="A422:B422"/>
    <mergeCell ref="C422:N422"/>
    <mergeCell ref="A423:B423"/>
    <mergeCell ref="C423:N423"/>
    <mergeCell ref="A424:B424"/>
    <mergeCell ref="C424:E424"/>
    <mergeCell ref="F424:G424"/>
    <mergeCell ref="H424:I424"/>
    <mergeCell ref="J424:L424"/>
    <mergeCell ref="M424:N424"/>
    <mergeCell ref="A425:B425"/>
    <mergeCell ref="C425:E425"/>
    <mergeCell ref="F425:G425"/>
    <mergeCell ref="H425:I425"/>
    <mergeCell ref="J425:L425"/>
    <mergeCell ref="M425:N425"/>
    <mergeCell ref="A426:B426"/>
    <mergeCell ref="C426:E426"/>
    <mergeCell ref="F426:G426"/>
    <mergeCell ref="H426:I426"/>
    <mergeCell ref="J426:L426"/>
    <mergeCell ref="M426:N426"/>
    <mergeCell ref="A427:B427"/>
    <mergeCell ref="C427:E427"/>
    <mergeCell ref="F427:G427"/>
    <mergeCell ref="H427:I427"/>
    <mergeCell ref="J427:L427"/>
    <mergeCell ref="M427:N427"/>
    <mergeCell ref="A428:B428"/>
    <mergeCell ref="C428:E428"/>
    <mergeCell ref="F428:G428"/>
    <mergeCell ref="H428:I428"/>
    <mergeCell ref="J428:L428"/>
    <mergeCell ref="M428:N428"/>
    <mergeCell ref="A429:O429"/>
    <mergeCell ref="A430:B431"/>
    <mergeCell ref="C430:E431"/>
    <mergeCell ref="F430:N430"/>
    <mergeCell ref="O430:O431"/>
    <mergeCell ref="F431:G431"/>
    <mergeCell ref="H431:I431"/>
    <mergeCell ref="J431:L431"/>
    <mergeCell ref="M431:N431"/>
    <mergeCell ref="A432:B432"/>
    <mergeCell ref="C432:E432"/>
    <mergeCell ref="F432:G432"/>
    <mergeCell ref="H432:I432"/>
    <mergeCell ref="J432:L432"/>
    <mergeCell ref="M432:N432"/>
    <mergeCell ref="A433:B433"/>
    <mergeCell ref="C433:E433"/>
    <mergeCell ref="F433:G433"/>
    <mergeCell ref="H433:I433"/>
    <mergeCell ref="J433:L433"/>
    <mergeCell ref="M433:N433"/>
    <mergeCell ref="A434:B434"/>
    <mergeCell ref="C434:E434"/>
    <mergeCell ref="F434:G434"/>
    <mergeCell ref="H434:I434"/>
    <mergeCell ref="J434:L434"/>
    <mergeCell ref="M434:N434"/>
    <mergeCell ref="A435:B435"/>
    <mergeCell ref="C435:E435"/>
    <mergeCell ref="F435:G435"/>
    <mergeCell ref="H435:I435"/>
    <mergeCell ref="J435:L435"/>
    <mergeCell ref="M435:N435"/>
    <mergeCell ref="A436:B436"/>
    <mergeCell ref="C436:E436"/>
    <mergeCell ref="F436:G436"/>
    <mergeCell ref="H436:I436"/>
    <mergeCell ref="J436:L436"/>
    <mergeCell ref="M436:N436"/>
    <mergeCell ref="A437:B437"/>
    <mergeCell ref="C437:E437"/>
    <mergeCell ref="F437:G437"/>
    <mergeCell ref="H437:I437"/>
    <mergeCell ref="J437:L437"/>
    <mergeCell ref="M437:N437"/>
    <mergeCell ref="A438:B438"/>
    <mergeCell ref="C438:E438"/>
    <mergeCell ref="F438:G438"/>
    <mergeCell ref="H438:I438"/>
    <mergeCell ref="J438:L438"/>
    <mergeCell ref="M438:N438"/>
    <mergeCell ref="A439:B439"/>
    <mergeCell ref="C439:E439"/>
    <mergeCell ref="F439:G439"/>
    <mergeCell ref="H439:I439"/>
    <mergeCell ref="J439:L439"/>
    <mergeCell ref="M439:N439"/>
    <mergeCell ref="A440:B440"/>
    <mergeCell ref="C440:E440"/>
    <mergeCell ref="F440:G440"/>
    <mergeCell ref="H440:I440"/>
    <mergeCell ref="J440:L440"/>
    <mergeCell ref="M440:N440"/>
    <mergeCell ref="A441:B441"/>
    <mergeCell ref="C441:E441"/>
    <mergeCell ref="F441:G441"/>
    <mergeCell ref="H441:I441"/>
    <mergeCell ref="J441:L441"/>
    <mergeCell ref="M441:N441"/>
    <mergeCell ref="A442:B442"/>
    <mergeCell ref="C442:E442"/>
    <mergeCell ref="F442:G442"/>
    <mergeCell ref="H442:I442"/>
    <mergeCell ref="J442:L442"/>
    <mergeCell ref="M442:N442"/>
    <mergeCell ref="A443:B443"/>
    <mergeCell ref="C443:E443"/>
    <mergeCell ref="F443:G443"/>
    <mergeCell ref="H443:I443"/>
    <mergeCell ref="J443:L443"/>
    <mergeCell ref="M443:N443"/>
    <mergeCell ref="A444:O444"/>
    <mergeCell ref="A445:B446"/>
    <mergeCell ref="C445:E446"/>
    <mergeCell ref="F445:N445"/>
    <mergeCell ref="O445:O446"/>
    <mergeCell ref="F446:G446"/>
    <mergeCell ref="H446:I446"/>
    <mergeCell ref="J446:L446"/>
    <mergeCell ref="M446:N446"/>
    <mergeCell ref="A447:B447"/>
    <mergeCell ref="C447:E447"/>
    <mergeCell ref="F447:G447"/>
    <mergeCell ref="H447:I447"/>
    <mergeCell ref="J447:L447"/>
    <mergeCell ref="M447:N447"/>
    <mergeCell ref="A448:B448"/>
    <mergeCell ref="C448:E448"/>
    <mergeCell ref="F448:G448"/>
    <mergeCell ref="H448:I448"/>
    <mergeCell ref="J448:L448"/>
    <mergeCell ref="M448:N448"/>
    <mergeCell ref="A449:B449"/>
    <mergeCell ref="C449:E449"/>
    <mergeCell ref="F449:G449"/>
    <mergeCell ref="H449:I449"/>
    <mergeCell ref="J449:L449"/>
    <mergeCell ref="M449:N449"/>
    <mergeCell ref="A450:B450"/>
    <mergeCell ref="C450:E450"/>
    <mergeCell ref="F450:G450"/>
    <mergeCell ref="H450:I450"/>
    <mergeCell ref="J450:L450"/>
    <mergeCell ref="M450:N450"/>
    <mergeCell ref="A451:B451"/>
    <mergeCell ref="C451:E451"/>
    <mergeCell ref="F451:G451"/>
    <mergeCell ref="H451:I451"/>
    <mergeCell ref="J451:L451"/>
    <mergeCell ref="M451:N451"/>
    <mergeCell ref="A452:B452"/>
    <mergeCell ref="C452:E452"/>
    <mergeCell ref="F452:G452"/>
    <mergeCell ref="H452:I452"/>
    <mergeCell ref="J452:L452"/>
    <mergeCell ref="M452:N452"/>
    <mergeCell ref="A453:B453"/>
    <mergeCell ref="C453:E453"/>
    <mergeCell ref="F453:G453"/>
    <mergeCell ref="H453:I453"/>
    <mergeCell ref="J453:L453"/>
    <mergeCell ref="M453:N453"/>
    <mergeCell ref="A454:B454"/>
    <mergeCell ref="C454:E454"/>
    <mergeCell ref="F454:G454"/>
    <mergeCell ref="H454:I454"/>
    <mergeCell ref="J454:L454"/>
    <mergeCell ref="M454:N454"/>
    <mergeCell ref="A455:B455"/>
    <mergeCell ref="C455:E455"/>
    <mergeCell ref="F455:G455"/>
    <mergeCell ref="H455:I455"/>
    <mergeCell ref="J455:L455"/>
    <mergeCell ref="M455:N455"/>
    <mergeCell ref="A456:B456"/>
    <mergeCell ref="C456:E456"/>
    <mergeCell ref="F456:G456"/>
    <mergeCell ref="H456:I456"/>
    <mergeCell ref="J456:L456"/>
    <mergeCell ref="M456:N456"/>
    <mergeCell ref="A457:B457"/>
    <mergeCell ref="C457:E457"/>
    <mergeCell ref="F457:G457"/>
    <mergeCell ref="H457:I457"/>
    <mergeCell ref="J457:L457"/>
    <mergeCell ref="M457:N457"/>
    <mergeCell ref="A458:B458"/>
    <mergeCell ref="C458:E458"/>
    <mergeCell ref="F458:G458"/>
    <mergeCell ref="H458:I458"/>
    <mergeCell ref="J458:L458"/>
    <mergeCell ref="M458:N458"/>
    <mergeCell ref="A459:O459"/>
    <mergeCell ref="A460:B461"/>
    <mergeCell ref="C460:E461"/>
    <mergeCell ref="F460:N460"/>
    <mergeCell ref="O460:O461"/>
    <mergeCell ref="F461:G461"/>
    <mergeCell ref="H461:I461"/>
    <mergeCell ref="J461:L461"/>
    <mergeCell ref="M461:N461"/>
    <mergeCell ref="A462:B462"/>
    <mergeCell ref="C462:E462"/>
    <mergeCell ref="F462:G462"/>
    <mergeCell ref="H462:I462"/>
    <mergeCell ref="J462:L462"/>
    <mergeCell ref="M462:N462"/>
    <mergeCell ref="A463:B463"/>
    <mergeCell ref="C463:E463"/>
    <mergeCell ref="F463:G463"/>
    <mergeCell ref="H463:I463"/>
    <mergeCell ref="J463:L463"/>
    <mergeCell ref="M463:N463"/>
    <mergeCell ref="A464:B464"/>
    <mergeCell ref="C464:E464"/>
    <mergeCell ref="F464:G464"/>
    <mergeCell ref="H464:I464"/>
    <mergeCell ref="J464:L464"/>
    <mergeCell ref="M464:N464"/>
    <mergeCell ref="A465:B465"/>
    <mergeCell ref="C465:E465"/>
    <mergeCell ref="F465:G465"/>
    <mergeCell ref="H465:I465"/>
    <mergeCell ref="J465:L465"/>
    <mergeCell ref="M465:N465"/>
    <mergeCell ref="A466:B466"/>
    <mergeCell ref="C466:E466"/>
    <mergeCell ref="F466:G466"/>
    <mergeCell ref="H466:I466"/>
    <mergeCell ref="J466:L466"/>
    <mergeCell ref="M466:N466"/>
    <mergeCell ref="A467:B467"/>
    <mergeCell ref="C467:E467"/>
    <mergeCell ref="F467:G467"/>
    <mergeCell ref="H467:I467"/>
    <mergeCell ref="J467:L467"/>
    <mergeCell ref="M467:N467"/>
    <mergeCell ref="A468:B468"/>
    <mergeCell ref="C468:E468"/>
    <mergeCell ref="F468:G468"/>
    <mergeCell ref="H468:I468"/>
    <mergeCell ref="J468:L468"/>
    <mergeCell ref="M468:N468"/>
    <mergeCell ref="A469:B469"/>
    <mergeCell ref="C469:E469"/>
    <mergeCell ref="F469:G469"/>
    <mergeCell ref="H469:I469"/>
    <mergeCell ref="J469:L469"/>
    <mergeCell ref="M469:N469"/>
    <mergeCell ref="A470:B470"/>
    <mergeCell ref="C470:N470"/>
    <mergeCell ref="A471:B471"/>
    <mergeCell ref="C471:E471"/>
    <mergeCell ref="F471:G471"/>
    <mergeCell ref="H471:I471"/>
    <mergeCell ref="J471:L471"/>
    <mergeCell ref="M471:N471"/>
    <mergeCell ref="A472:N472"/>
    <mergeCell ref="A473:G473"/>
    <mergeCell ref="H473:O473"/>
    <mergeCell ref="A474:C474"/>
    <mergeCell ref="E474:O474"/>
    <mergeCell ref="A475:C475"/>
    <mergeCell ref="E475:O475"/>
    <mergeCell ref="A476:C476"/>
    <mergeCell ref="E476:O476"/>
    <mergeCell ref="A477:O477"/>
    <mergeCell ref="A478:O478"/>
    <mergeCell ref="A479:O479"/>
    <mergeCell ref="B480:C480"/>
    <mergeCell ref="E480:F480"/>
    <mergeCell ref="G480:H480"/>
    <mergeCell ref="I480:K480"/>
    <mergeCell ref="L480:O480"/>
    <mergeCell ref="A481:O481"/>
    <mergeCell ref="B482:F482"/>
    <mergeCell ref="G482:H482"/>
    <mergeCell ref="I482:K482"/>
    <mergeCell ref="L482:O482"/>
    <mergeCell ref="A483:O483"/>
    <mergeCell ref="A484:J484"/>
    <mergeCell ref="K484:O484"/>
    <mergeCell ref="A485:O485"/>
    <mergeCell ref="A486:B486"/>
    <mergeCell ref="D486:E486"/>
    <mergeCell ref="F486:G486"/>
    <mergeCell ref="H486:I486"/>
    <mergeCell ref="K486:L486"/>
    <mergeCell ref="A487:O487"/>
    <mergeCell ref="A488:C488"/>
    <mergeCell ref="D488:O488"/>
    <mergeCell ref="A489:C489"/>
    <mergeCell ref="D489:O489"/>
    <mergeCell ref="A490:C490"/>
    <mergeCell ref="D490:O490"/>
    <mergeCell ref="A491:C491"/>
    <mergeCell ref="D491:O491"/>
    <mergeCell ref="A492:C492"/>
    <mergeCell ref="D492:O492"/>
    <mergeCell ref="A493:C493"/>
    <mergeCell ref="D493:O493"/>
    <mergeCell ref="A494:C494"/>
    <mergeCell ref="D494:O494"/>
    <mergeCell ref="A495:C495"/>
    <mergeCell ref="D495:O495"/>
    <mergeCell ref="A496:C496"/>
    <mergeCell ref="D496:O496"/>
    <mergeCell ref="A497:C497"/>
    <mergeCell ref="D497:O497"/>
    <mergeCell ref="A498:C498"/>
    <mergeCell ref="D498:O498"/>
    <mergeCell ref="A499:C499"/>
    <mergeCell ref="D499:O499"/>
    <mergeCell ref="A500:C500"/>
    <mergeCell ref="D500:O500"/>
    <mergeCell ref="A501:C501"/>
    <mergeCell ref="D501:O501"/>
    <mergeCell ref="A502:C502"/>
    <mergeCell ref="D502:O502"/>
    <mergeCell ref="A503:C503"/>
    <mergeCell ref="D503:O503"/>
    <mergeCell ref="A504:B504"/>
    <mergeCell ref="D504:E504"/>
    <mergeCell ref="F504:G504"/>
    <mergeCell ref="H504:I504"/>
    <mergeCell ref="K504:L504"/>
    <mergeCell ref="A505:O505"/>
    <mergeCell ref="A506:C506"/>
    <mergeCell ref="D506:M506"/>
    <mergeCell ref="N506:O506"/>
    <mergeCell ref="A507:C507"/>
    <mergeCell ref="D507:M507"/>
    <mergeCell ref="N507:O507"/>
    <mergeCell ref="A508:C508"/>
    <mergeCell ref="D508:M508"/>
    <mergeCell ref="N508:O508"/>
    <mergeCell ref="A509:C509"/>
    <mergeCell ref="D509:M509"/>
    <mergeCell ref="N509:O509"/>
    <mergeCell ref="A510:C510"/>
    <mergeCell ref="D510:M510"/>
    <mergeCell ref="N510:O510"/>
    <mergeCell ref="A511:B511"/>
    <mergeCell ref="D511:E511"/>
    <mergeCell ref="F511:G511"/>
    <mergeCell ref="H511:I511"/>
    <mergeCell ref="K511:L511"/>
    <mergeCell ref="A512:O512"/>
    <mergeCell ref="A513:C513"/>
    <mergeCell ref="D513:O513"/>
    <mergeCell ref="A514:C514"/>
    <mergeCell ref="D514:O514"/>
    <mergeCell ref="A515:C515"/>
    <mergeCell ref="D515:O515"/>
    <mergeCell ref="A516:C516"/>
    <mergeCell ref="D516:O516"/>
    <mergeCell ref="A517:C517"/>
    <mergeCell ref="D517:O517"/>
    <mergeCell ref="A518:C518"/>
    <mergeCell ref="D518:O518"/>
    <mergeCell ref="A519:B519"/>
    <mergeCell ref="D519:E519"/>
    <mergeCell ref="F519:G519"/>
    <mergeCell ref="H519:I519"/>
    <mergeCell ref="K519:L519"/>
    <mergeCell ref="A520:O520"/>
    <mergeCell ref="A521:B522"/>
    <mergeCell ref="C521:E522"/>
    <mergeCell ref="F521:N521"/>
    <mergeCell ref="O521:O522"/>
    <mergeCell ref="F522:G522"/>
    <mergeCell ref="H522:I522"/>
    <mergeCell ref="J522:L522"/>
    <mergeCell ref="M522:N522"/>
    <mergeCell ref="A523:B523"/>
    <mergeCell ref="C523:N523"/>
    <mergeCell ref="A524:B524"/>
    <mergeCell ref="C524:N524"/>
    <mergeCell ref="A525:B525"/>
    <mergeCell ref="C525:N525"/>
    <mergeCell ref="A526:B526"/>
    <mergeCell ref="C526:N526"/>
    <mergeCell ref="A527:B527"/>
    <mergeCell ref="C527:N527"/>
    <mergeCell ref="A528:B528"/>
    <mergeCell ref="C528:N528"/>
    <mergeCell ref="A529:B529"/>
    <mergeCell ref="C529:N529"/>
    <mergeCell ref="A530:B530"/>
    <mergeCell ref="C530:N530"/>
    <mergeCell ref="A531:O531"/>
    <mergeCell ref="A532:B533"/>
    <mergeCell ref="C532:E533"/>
    <mergeCell ref="F532:N532"/>
    <mergeCell ref="O532:O533"/>
    <mergeCell ref="F533:G533"/>
    <mergeCell ref="H533:I533"/>
    <mergeCell ref="J533:L533"/>
    <mergeCell ref="M533:N533"/>
    <mergeCell ref="A534:B534"/>
    <mergeCell ref="C534:E534"/>
    <mergeCell ref="F534:G534"/>
    <mergeCell ref="H534:I534"/>
    <mergeCell ref="J534:L534"/>
    <mergeCell ref="M534:N534"/>
    <mergeCell ref="A535:B535"/>
    <mergeCell ref="C535:E535"/>
    <mergeCell ref="F535:G535"/>
    <mergeCell ref="H535:I535"/>
    <mergeCell ref="J535:L535"/>
    <mergeCell ref="M535:N535"/>
    <mergeCell ref="A536:B536"/>
    <mergeCell ref="C536:N536"/>
    <mergeCell ref="A537:B537"/>
    <mergeCell ref="C537:N537"/>
    <mergeCell ref="A538:B538"/>
    <mergeCell ref="C538:N538"/>
    <mergeCell ref="A539:B539"/>
    <mergeCell ref="C539:N539"/>
    <mergeCell ref="A540:B540"/>
    <mergeCell ref="C540:N540"/>
    <mergeCell ref="A541:B541"/>
    <mergeCell ref="C541:E541"/>
    <mergeCell ref="F541:G541"/>
    <mergeCell ref="H541:I541"/>
    <mergeCell ref="J541:L541"/>
    <mergeCell ref="M541:N541"/>
    <mergeCell ref="A542:B542"/>
    <mergeCell ref="C542:E542"/>
    <mergeCell ref="F542:G542"/>
    <mergeCell ref="H542:I542"/>
    <mergeCell ref="J542:L542"/>
    <mergeCell ref="M542:N542"/>
    <mergeCell ref="A543:B543"/>
    <mergeCell ref="C543:E543"/>
    <mergeCell ref="F543:G543"/>
    <mergeCell ref="H543:I543"/>
    <mergeCell ref="J543:L543"/>
    <mergeCell ref="M543:N543"/>
    <mergeCell ref="A544:B544"/>
    <mergeCell ref="C544:E544"/>
    <mergeCell ref="F544:G544"/>
    <mergeCell ref="H544:I544"/>
    <mergeCell ref="J544:L544"/>
    <mergeCell ref="M544:N544"/>
    <mergeCell ref="A545:B545"/>
    <mergeCell ref="C545:E545"/>
    <mergeCell ref="F545:G545"/>
    <mergeCell ref="H545:I545"/>
    <mergeCell ref="J545:L545"/>
    <mergeCell ref="M545:N545"/>
    <mergeCell ref="A546:B546"/>
    <mergeCell ref="C546:E546"/>
    <mergeCell ref="F546:G546"/>
    <mergeCell ref="H546:I546"/>
    <mergeCell ref="J546:L546"/>
    <mergeCell ref="M546:N546"/>
    <mergeCell ref="A547:B547"/>
    <mergeCell ref="C547:E547"/>
    <mergeCell ref="F547:G547"/>
    <mergeCell ref="H547:I547"/>
    <mergeCell ref="J547:L547"/>
    <mergeCell ref="M547:N547"/>
    <mergeCell ref="A548:B548"/>
    <mergeCell ref="C548:E548"/>
    <mergeCell ref="F548:G548"/>
    <mergeCell ref="H548:I548"/>
    <mergeCell ref="J548:L548"/>
    <mergeCell ref="M548:N548"/>
    <mergeCell ref="A549:B549"/>
    <mergeCell ref="C549:E549"/>
    <mergeCell ref="F549:G549"/>
    <mergeCell ref="H549:I549"/>
    <mergeCell ref="J549:L549"/>
    <mergeCell ref="M549:N549"/>
    <mergeCell ref="A550:O550"/>
    <mergeCell ref="A551:B552"/>
    <mergeCell ref="C551:E552"/>
    <mergeCell ref="F551:N551"/>
    <mergeCell ref="O551:O552"/>
    <mergeCell ref="F552:G552"/>
    <mergeCell ref="H552:I552"/>
    <mergeCell ref="J552:K552"/>
    <mergeCell ref="L552:N552"/>
    <mergeCell ref="A553:B553"/>
    <mergeCell ref="C553:E553"/>
    <mergeCell ref="F553:G553"/>
    <mergeCell ref="H553:I553"/>
    <mergeCell ref="J553:K553"/>
    <mergeCell ref="L553:N553"/>
    <mergeCell ref="A554:B554"/>
    <mergeCell ref="C554:E554"/>
    <mergeCell ref="F554:G554"/>
    <mergeCell ref="H554:I554"/>
    <mergeCell ref="J554:K554"/>
    <mergeCell ref="L554:N554"/>
    <mergeCell ref="A555:B555"/>
    <mergeCell ref="C555:N555"/>
    <mergeCell ref="A556:B556"/>
    <mergeCell ref="C556:E556"/>
    <mergeCell ref="F556:G556"/>
    <mergeCell ref="H556:I556"/>
    <mergeCell ref="J556:K556"/>
    <mergeCell ref="L556:N556"/>
    <mergeCell ref="A557:N557"/>
    <mergeCell ref="A558:G558"/>
    <mergeCell ref="H558:O558"/>
    <mergeCell ref="J559:K559"/>
    <mergeCell ref="L559:N559"/>
    <mergeCell ref="A560:C560"/>
    <mergeCell ref="E560:O560"/>
    <mergeCell ref="A561:C561"/>
    <mergeCell ref="E561:O561"/>
    <mergeCell ref="A562:C562"/>
    <mergeCell ref="E562:O562"/>
    <mergeCell ref="A563:O563"/>
    <mergeCell ref="A564:O564"/>
    <mergeCell ref="A565:O565"/>
    <mergeCell ref="J566:K566"/>
    <mergeCell ref="L566:N566"/>
    <mergeCell ref="A567:O567"/>
    <mergeCell ref="B568:F568"/>
    <mergeCell ref="G568:H568"/>
    <mergeCell ref="I568:K568"/>
    <mergeCell ref="L568:O568"/>
    <mergeCell ref="A569:O569"/>
    <mergeCell ref="A570:J570"/>
    <mergeCell ref="K570:O570"/>
    <mergeCell ref="A571:O571"/>
    <mergeCell ref="A572:B572"/>
    <mergeCell ref="D572:E572"/>
    <mergeCell ref="F572:G572"/>
    <mergeCell ref="H572:I572"/>
    <mergeCell ref="K572:L572"/>
    <mergeCell ref="A573:O573"/>
    <mergeCell ref="A574:C574"/>
    <mergeCell ref="D574:O574"/>
    <mergeCell ref="A575:C575"/>
    <mergeCell ref="D575:O575"/>
    <mergeCell ref="A576:C576"/>
    <mergeCell ref="D576:O576"/>
    <mergeCell ref="A577:C577"/>
    <mergeCell ref="D577:O577"/>
    <mergeCell ref="A578:C578"/>
    <mergeCell ref="D578:O578"/>
    <mergeCell ref="A579:C579"/>
    <mergeCell ref="D579:O579"/>
    <mergeCell ref="A580:C580"/>
    <mergeCell ref="D580:O580"/>
    <mergeCell ref="A581:C581"/>
    <mergeCell ref="D581:O581"/>
    <mergeCell ref="A582:C582"/>
    <mergeCell ref="D582:O582"/>
    <mergeCell ref="A583:C583"/>
    <mergeCell ref="D583:O583"/>
    <mergeCell ref="A584:C584"/>
    <mergeCell ref="D584:O584"/>
    <mergeCell ref="A585:C585"/>
    <mergeCell ref="D585:O585"/>
    <mergeCell ref="A586:C586"/>
    <mergeCell ref="D586:O586"/>
    <mergeCell ref="A587:C587"/>
    <mergeCell ref="D587:O587"/>
    <mergeCell ref="A588:C588"/>
    <mergeCell ref="D588:O588"/>
    <mergeCell ref="A589:C589"/>
    <mergeCell ref="D589:O589"/>
    <mergeCell ref="A590:B590"/>
    <mergeCell ref="D590:E590"/>
    <mergeCell ref="F590:G590"/>
    <mergeCell ref="H590:I590"/>
    <mergeCell ref="K590:L590"/>
    <mergeCell ref="A591:O591"/>
    <mergeCell ref="A592:C592"/>
    <mergeCell ref="D592:M592"/>
    <mergeCell ref="N592:O592"/>
    <mergeCell ref="A593:C593"/>
    <mergeCell ref="D593:M593"/>
    <mergeCell ref="N593:O593"/>
    <mergeCell ref="A594:C594"/>
    <mergeCell ref="D594:M594"/>
    <mergeCell ref="N594:O594"/>
    <mergeCell ref="A595:C595"/>
    <mergeCell ref="D595:M595"/>
    <mergeCell ref="N595:O595"/>
    <mergeCell ref="A596:C596"/>
    <mergeCell ref="D596:M596"/>
    <mergeCell ref="N596:O596"/>
    <mergeCell ref="A597:B597"/>
    <mergeCell ref="D597:E597"/>
    <mergeCell ref="F597:G597"/>
    <mergeCell ref="H597:I597"/>
    <mergeCell ref="K597:L597"/>
    <mergeCell ref="A598:O598"/>
    <mergeCell ref="A599:C599"/>
    <mergeCell ref="D599:O599"/>
    <mergeCell ref="A600:C600"/>
    <mergeCell ref="D600:O600"/>
    <mergeCell ref="A601:C601"/>
    <mergeCell ref="D601:O601"/>
    <mergeCell ref="A602:C602"/>
    <mergeCell ref="D602:O602"/>
    <mergeCell ref="A603:C603"/>
    <mergeCell ref="D603:O603"/>
    <mergeCell ref="A604:C604"/>
    <mergeCell ref="D604:O604"/>
    <mergeCell ref="A605:B605"/>
    <mergeCell ref="D605:E605"/>
    <mergeCell ref="F605:G605"/>
    <mergeCell ref="H605:I605"/>
    <mergeCell ref="K605:L605"/>
    <mergeCell ref="A606:O606"/>
    <mergeCell ref="A607:B608"/>
    <mergeCell ref="C607:E608"/>
    <mergeCell ref="F607:N607"/>
    <mergeCell ref="O607:O608"/>
    <mergeCell ref="F608:G608"/>
    <mergeCell ref="H608:I608"/>
    <mergeCell ref="J608:L608"/>
    <mergeCell ref="M608:N608"/>
    <mergeCell ref="A609:B609"/>
    <mergeCell ref="C609:N609"/>
    <mergeCell ref="A610:B610"/>
    <mergeCell ref="C610:N610"/>
    <mergeCell ref="A611:B611"/>
    <mergeCell ref="C611:N611"/>
    <mergeCell ref="A612:B612"/>
    <mergeCell ref="C612:N612"/>
    <mergeCell ref="A613:B613"/>
    <mergeCell ref="C613:N613"/>
    <mergeCell ref="A614:B614"/>
    <mergeCell ref="C614:N614"/>
    <mergeCell ref="A615:B615"/>
    <mergeCell ref="C615:N615"/>
    <mergeCell ref="A616:B616"/>
    <mergeCell ref="C616:N616"/>
    <mergeCell ref="A617:O617"/>
    <mergeCell ref="A618:B619"/>
    <mergeCell ref="C618:E619"/>
    <mergeCell ref="F618:N618"/>
    <mergeCell ref="O618:O619"/>
    <mergeCell ref="F619:G619"/>
    <mergeCell ref="H619:I619"/>
    <mergeCell ref="J619:K619"/>
    <mergeCell ref="L619:N619"/>
    <mergeCell ref="A620:B620"/>
    <mergeCell ref="C620:E620"/>
    <mergeCell ref="F620:G620"/>
    <mergeCell ref="H620:I620"/>
    <mergeCell ref="J620:K620"/>
    <mergeCell ref="L620:N620"/>
    <mergeCell ref="A621:B621"/>
    <mergeCell ref="C621:E621"/>
    <mergeCell ref="F621:G621"/>
    <mergeCell ref="H621:I621"/>
    <mergeCell ref="J621:K621"/>
    <mergeCell ref="L621:N621"/>
    <mergeCell ref="A622:N622"/>
    <mergeCell ref="A623:G623"/>
    <mergeCell ref="H623:O623"/>
    <mergeCell ref="J624:K624"/>
    <mergeCell ref="L624:N624"/>
    <mergeCell ref="A625:C625"/>
    <mergeCell ref="E625:O625"/>
    <mergeCell ref="A626:C626"/>
    <mergeCell ref="E626:O626"/>
    <mergeCell ref="A627:C627"/>
    <mergeCell ref="E627:O627"/>
    <mergeCell ref="A628:O628"/>
    <mergeCell ref="A629:O629"/>
    <mergeCell ref="A630:O630"/>
    <mergeCell ref="J631:K631"/>
    <mergeCell ref="L631:N631"/>
    <mergeCell ref="A632:O632"/>
    <mergeCell ref="B633:F633"/>
    <mergeCell ref="G633:H633"/>
    <mergeCell ref="I633:K633"/>
    <mergeCell ref="L633:O633"/>
    <mergeCell ref="A634:O634"/>
    <mergeCell ref="A635:J635"/>
    <mergeCell ref="K635:O635"/>
    <mergeCell ref="A636:O636"/>
    <mergeCell ref="A637:C637"/>
    <mergeCell ref="D637:J637"/>
    <mergeCell ref="K637:M637"/>
    <mergeCell ref="N637:O637"/>
    <mergeCell ref="A638:O638"/>
    <mergeCell ref="A639:C639"/>
    <mergeCell ref="D639:O639"/>
    <mergeCell ref="A640:C640"/>
    <mergeCell ref="D640:O640"/>
    <mergeCell ref="A641:C641"/>
    <mergeCell ref="D641:O641"/>
    <mergeCell ref="A642:C642"/>
    <mergeCell ref="D642:O642"/>
    <mergeCell ref="A643:C643"/>
    <mergeCell ref="D643:O643"/>
    <mergeCell ref="A644:C644"/>
    <mergeCell ref="D644:O644"/>
    <mergeCell ref="A645:C645"/>
    <mergeCell ref="D645:O645"/>
    <mergeCell ref="A646:C646"/>
    <mergeCell ref="D646:O646"/>
    <mergeCell ref="A647:C647"/>
    <mergeCell ref="D647:O647"/>
    <mergeCell ref="A648:C648"/>
    <mergeCell ref="D648:O648"/>
    <mergeCell ref="A649:C649"/>
    <mergeCell ref="D649:O649"/>
    <mergeCell ref="A650:C650"/>
    <mergeCell ref="D650:O650"/>
    <mergeCell ref="A651:C651"/>
    <mergeCell ref="D651:O651"/>
    <mergeCell ref="A652:C652"/>
    <mergeCell ref="D652:O652"/>
    <mergeCell ref="A653:C653"/>
    <mergeCell ref="D653:O653"/>
    <mergeCell ref="A654:C654"/>
    <mergeCell ref="D654:O654"/>
    <mergeCell ref="A655:C655"/>
    <mergeCell ref="D655:J655"/>
    <mergeCell ref="K655:M655"/>
    <mergeCell ref="N655:O655"/>
    <mergeCell ref="A656:O656"/>
    <mergeCell ref="A657:C657"/>
    <mergeCell ref="D657:M657"/>
    <mergeCell ref="N657:O657"/>
    <mergeCell ref="A658:C658"/>
    <mergeCell ref="D658:M658"/>
    <mergeCell ref="N658:O658"/>
    <mergeCell ref="A659:C659"/>
    <mergeCell ref="D659:M659"/>
    <mergeCell ref="N659:O659"/>
    <mergeCell ref="A660:C660"/>
    <mergeCell ref="D660:M660"/>
    <mergeCell ref="N660:O660"/>
    <mergeCell ref="A661:C661"/>
    <mergeCell ref="D661:M661"/>
    <mergeCell ref="N661:O661"/>
    <mergeCell ref="A662:C662"/>
    <mergeCell ref="D662:J662"/>
    <mergeCell ref="K662:M662"/>
    <mergeCell ref="N662:O662"/>
    <mergeCell ref="A663:O663"/>
    <mergeCell ref="A664:C664"/>
    <mergeCell ref="D664:O664"/>
    <mergeCell ref="A665:C665"/>
    <mergeCell ref="D665:O665"/>
    <mergeCell ref="A666:C666"/>
    <mergeCell ref="D666:O666"/>
    <mergeCell ref="A667:C667"/>
    <mergeCell ref="D667:O667"/>
    <mergeCell ref="A668:C668"/>
    <mergeCell ref="D668:O668"/>
    <mergeCell ref="A669:C669"/>
    <mergeCell ref="D669:O669"/>
    <mergeCell ref="A670:O670"/>
    <mergeCell ref="A671:B672"/>
    <mergeCell ref="C671:E672"/>
    <mergeCell ref="F671:N671"/>
    <mergeCell ref="O671:O672"/>
    <mergeCell ref="F672:G672"/>
    <mergeCell ref="H672:I672"/>
    <mergeCell ref="J672:L672"/>
    <mergeCell ref="M672:N672"/>
    <mergeCell ref="A673:B673"/>
    <mergeCell ref="C673:N673"/>
    <mergeCell ref="A674:B674"/>
    <mergeCell ref="C674:N674"/>
    <mergeCell ref="A675:B675"/>
    <mergeCell ref="C675:N675"/>
    <mergeCell ref="A676:B676"/>
    <mergeCell ref="C676:N676"/>
    <mergeCell ref="A677:B677"/>
    <mergeCell ref="C677:N677"/>
    <mergeCell ref="A678:B678"/>
    <mergeCell ref="C678:N678"/>
    <mergeCell ref="A679:B679"/>
    <mergeCell ref="C679:N679"/>
    <mergeCell ref="A680:B680"/>
    <mergeCell ref="C680:N680"/>
    <mergeCell ref="A681:B681"/>
    <mergeCell ref="C681:E681"/>
    <mergeCell ref="F681:G681"/>
    <mergeCell ref="H681:I681"/>
    <mergeCell ref="J681:L681"/>
    <mergeCell ref="M681:N681"/>
    <mergeCell ref="A682:B682"/>
    <mergeCell ref="C682:E682"/>
    <mergeCell ref="F682:G682"/>
    <mergeCell ref="H682:I682"/>
    <mergeCell ref="J682:L682"/>
    <mergeCell ref="M682:N682"/>
    <mergeCell ref="A683:B683"/>
    <mergeCell ref="C683:E683"/>
    <mergeCell ref="F683:G683"/>
    <mergeCell ref="H683:I683"/>
    <mergeCell ref="J683:L683"/>
    <mergeCell ref="M683:N683"/>
    <mergeCell ref="A684:B684"/>
    <mergeCell ref="C684:E684"/>
    <mergeCell ref="F684:G684"/>
    <mergeCell ref="H684:I684"/>
    <mergeCell ref="J684:L684"/>
    <mergeCell ref="M684:N684"/>
    <mergeCell ref="A685:B685"/>
    <mergeCell ref="C685:E685"/>
    <mergeCell ref="F685:G685"/>
    <mergeCell ref="H685:I685"/>
    <mergeCell ref="J685:L685"/>
    <mergeCell ref="M685:N685"/>
    <mergeCell ref="A686:B686"/>
    <mergeCell ref="C686:E686"/>
    <mergeCell ref="F686:G686"/>
    <mergeCell ref="H686:I686"/>
    <mergeCell ref="J686:L686"/>
    <mergeCell ref="M686:N686"/>
    <mergeCell ref="A687:B687"/>
    <mergeCell ref="C687:N687"/>
    <mergeCell ref="A688:B688"/>
    <mergeCell ref="C688:N688"/>
    <mergeCell ref="A689:B689"/>
    <mergeCell ref="C689:N689"/>
    <mergeCell ref="A690:B690"/>
    <mergeCell ref="C690:E690"/>
    <mergeCell ref="F690:G690"/>
    <mergeCell ref="H690:I690"/>
    <mergeCell ref="J690:L690"/>
    <mergeCell ref="M690:N690"/>
    <mergeCell ref="A691:B691"/>
    <mergeCell ref="C691:E691"/>
    <mergeCell ref="F691:G691"/>
    <mergeCell ref="H691:I691"/>
    <mergeCell ref="J691:L691"/>
    <mergeCell ref="M691:N691"/>
    <mergeCell ref="A692:B692"/>
    <mergeCell ref="C692:N692"/>
    <mergeCell ref="A693:B693"/>
    <mergeCell ref="C693:N693"/>
    <mergeCell ref="A694:B694"/>
    <mergeCell ref="C694:N694"/>
    <mergeCell ref="A698:B698"/>
    <mergeCell ref="C698:E698"/>
    <mergeCell ref="F698:G698"/>
    <mergeCell ref="H698:I698"/>
    <mergeCell ref="J698:K698"/>
    <mergeCell ref="L698:N698"/>
    <mergeCell ref="A699:B699"/>
    <mergeCell ref="C699:E699"/>
    <mergeCell ref="F699:G699"/>
    <mergeCell ref="H699:I699"/>
    <mergeCell ref="J699:K699"/>
    <mergeCell ref="L699:N699"/>
    <mergeCell ref="A695:B695"/>
    <mergeCell ref="C695:E695"/>
    <mergeCell ref="F695:G695"/>
    <mergeCell ref="H695:I695"/>
    <mergeCell ref="J695:L695"/>
    <mergeCell ref="M695:N695"/>
    <mergeCell ref="A696:B696"/>
    <mergeCell ref="C696:E696"/>
    <mergeCell ref="F696:G696"/>
    <mergeCell ref="H696:I696"/>
    <mergeCell ref="J696:L696"/>
    <mergeCell ref="M696:N696"/>
    <mergeCell ref="A697:B697"/>
    <mergeCell ref="C697:E697"/>
    <mergeCell ref="F697:G697"/>
    <mergeCell ref="H697:I697"/>
    <mergeCell ref="J697:L697"/>
    <mergeCell ref="M697:N697"/>
    <mergeCell ref="A700:B700"/>
    <mergeCell ref="C700:E700"/>
    <mergeCell ref="F700:G700"/>
    <mergeCell ref="H700:I700"/>
    <mergeCell ref="J700:K700"/>
    <mergeCell ref="L700:N700"/>
    <mergeCell ref="A701:B701"/>
    <mergeCell ref="C701:E701"/>
    <mergeCell ref="F701:G701"/>
    <mergeCell ref="H701:I701"/>
    <mergeCell ref="J701:K701"/>
    <mergeCell ref="L701:N701"/>
    <mergeCell ref="A702:B702"/>
    <mergeCell ref="C702:E702"/>
    <mergeCell ref="F702:G702"/>
    <mergeCell ref="H702:I702"/>
    <mergeCell ref="J702:K702"/>
    <mergeCell ref="L702:N702"/>
    <mergeCell ref="A703:B703"/>
    <mergeCell ref="C703:E703"/>
    <mergeCell ref="F703:G703"/>
    <mergeCell ref="H703:I703"/>
    <mergeCell ref="J703:K703"/>
    <mergeCell ref="L703:N703"/>
    <mergeCell ref="A704:N704"/>
    <mergeCell ref="A705:G705"/>
    <mergeCell ref="H705:O705"/>
    <mergeCell ref="J706:K706"/>
    <mergeCell ref="L706:N706"/>
    <mergeCell ref="A707:C707"/>
    <mergeCell ref="E707:O707"/>
    <mergeCell ref="A708:C708"/>
    <mergeCell ref="E708:O708"/>
    <mergeCell ref="A709:C709"/>
    <mergeCell ref="E709:O709"/>
    <mergeCell ref="A710:O710"/>
    <mergeCell ref="A711:O711"/>
    <mergeCell ref="A712:O712"/>
    <mergeCell ref="J713:K713"/>
    <mergeCell ref="L713:N713"/>
    <mergeCell ref="A714:O714"/>
    <mergeCell ref="B715:F715"/>
    <mergeCell ref="G715:H715"/>
    <mergeCell ref="I715:K715"/>
    <mergeCell ref="L715:O715"/>
    <mergeCell ref="A716:O716"/>
    <mergeCell ref="A717:J717"/>
    <mergeCell ref="K717:O717"/>
    <mergeCell ref="A718:O718"/>
    <mergeCell ref="A719:B719"/>
    <mergeCell ref="D719:E719"/>
    <mergeCell ref="F719:G719"/>
    <mergeCell ref="H719:I719"/>
    <mergeCell ref="K719:L719"/>
    <mergeCell ref="A720:O720"/>
    <mergeCell ref="A721:C721"/>
    <mergeCell ref="D721:O721"/>
    <mergeCell ref="A722:C722"/>
    <mergeCell ref="D722:O722"/>
    <mergeCell ref="A723:C723"/>
    <mergeCell ref="D723:O723"/>
    <mergeCell ref="A724:C724"/>
    <mergeCell ref="D724:O724"/>
    <mergeCell ref="A725:C725"/>
    <mergeCell ref="D725:O725"/>
    <mergeCell ref="A726:C726"/>
    <mergeCell ref="D726:O726"/>
    <mergeCell ref="A727:C727"/>
    <mergeCell ref="D727:O727"/>
    <mergeCell ref="A728:C728"/>
    <mergeCell ref="D728:O728"/>
    <mergeCell ref="A729:C729"/>
    <mergeCell ref="D729:O729"/>
    <mergeCell ref="A730:C730"/>
    <mergeCell ref="D730:O730"/>
    <mergeCell ref="A731:C731"/>
    <mergeCell ref="D731:O731"/>
    <mergeCell ref="A732:C732"/>
    <mergeCell ref="D732:O732"/>
    <mergeCell ref="A733:C733"/>
    <mergeCell ref="D733:O733"/>
    <mergeCell ref="A734:C734"/>
    <mergeCell ref="D734:O734"/>
    <mergeCell ref="A735:C735"/>
    <mergeCell ref="D735:O735"/>
    <mergeCell ref="A736:C736"/>
    <mergeCell ref="D736:O736"/>
    <mergeCell ref="A737:B737"/>
    <mergeCell ref="D737:E737"/>
    <mergeCell ref="F737:G737"/>
    <mergeCell ref="H737:I737"/>
    <mergeCell ref="K737:L737"/>
    <mergeCell ref="A738:O738"/>
    <mergeCell ref="A739:C739"/>
    <mergeCell ref="D739:M739"/>
    <mergeCell ref="N739:O739"/>
    <mergeCell ref="A740:C740"/>
    <mergeCell ref="D740:M740"/>
    <mergeCell ref="N740:O740"/>
    <mergeCell ref="A741:C741"/>
    <mergeCell ref="D741:M741"/>
    <mergeCell ref="N741:O741"/>
    <mergeCell ref="A742:C742"/>
    <mergeCell ref="D742:M742"/>
    <mergeCell ref="N742:O742"/>
    <mergeCell ref="A743:C743"/>
    <mergeCell ref="D743:M743"/>
    <mergeCell ref="N743:O743"/>
    <mergeCell ref="A744:B744"/>
    <mergeCell ref="D744:E744"/>
    <mergeCell ref="F744:G744"/>
    <mergeCell ref="H744:I744"/>
    <mergeCell ref="K744:L744"/>
    <mergeCell ref="A745:O745"/>
    <mergeCell ref="A746:C746"/>
    <mergeCell ref="D746:O746"/>
    <mergeCell ref="A747:C747"/>
    <mergeCell ref="D747:O747"/>
    <mergeCell ref="A748:C748"/>
    <mergeCell ref="D748:O748"/>
    <mergeCell ref="A749:C749"/>
    <mergeCell ref="D749:O749"/>
    <mergeCell ref="A750:C750"/>
    <mergeCell ref="D750:O750"/>
    <mergeCell ref="A751:C751"/>
    <mergeCell ref="D751:O751"/>
    <mergeCell ref="A752:B752"/>
    <mergeCell ref="D752:E752"/>
    <mergeCell ref="F752:G752"/>
    <mergeCell ref="H752:I752"/>
    <mergeCell ref="K752:L752"/>
    <mergeCell ref="A753:O753"/>
    <mergeCell ref="A754:B755"/>
    <mergeCell ref="C754:E755"/>
    <mergeCell ref="F754:N754"/>
    <mergeCell ref="O754:O755"/>
    <mergeCell ref="F755:G755"/>
    <mergeCell ref="H755:I755"/>
    <mergeCell ref="J755:L755"/>
    <mergeCell ref="M755:N755"/>
    <mergeCell ref="A756:B756"/>
    <mergeCell ref="C756:N756"/>
    <mergeCell ref="A757:B757"/>
    <mergeCell ref="C757:N757"/>
    <mergeCell ref="A758:B758"/>
    <mergeCell ref="C758:N758"/>
    <mergeCell ref="A759:B759"/>
    <mergeCell ref="C759:N759"/>
    <mergeCell ref="A760:B760"/>
    <mergeCell ref="C760:N760"/>
    <mergeCell ref="A761:B761"/>
    <mergeCell ref="C761:N761"/>
    <mergeCell ref="A762:B762"/>
    <mergeCell ref="C762:N762"/>
    <mergeCell ref="A763:B763"/>
    <mergeCell ref="C763:N763"/>
    <mergeCell ref="A764:O764"/>
    <mergeCell ref="A765:B766"/>
    <mergeCell ref="C765:E766"/>
    <mergeCell ref="F765:N765"/>
    <mergeCell ref="O765:O766"/>
    <mergeCell ref="F766:G766"/>
    <mergeCell ref="H766:I766"/>
    <mergeCell ref="J766:L766"/>
    <mergeCell ref="M766:N766"/>
    <mergeCell ref="A767:B767"/>
    <mergeCell ref="C767:E767"/>
    <mergeCell ref="F767:G767"/>
    <mergeCell ref="H767:I767"/>
    <mergeCell ref="J767:L767"/>
    <mergeCell ref="M767:N767"/>
    <mergeCell ref="A768:B768"/>
    <mergeCell ref="C768:N768"/>
    <mergeCell ref="A769:B769"/>
    <mergeCell ref="C769:N769"/>
    <mergeCell ref="A770:B770"/>
    <mergeCell ref="C770:N770"/>
    <mergeCell ref="A771:B771"/>
    <mergeCell ref="C771:N771"/>
    <mergeCell ref="A772:B772"/>
    <mergeCell ref="C772:N772"/>
    <mergeCell ref="A773:B773"/>
    <mergeCell ref="C773:N773"/>
    <mergeCell ref="A774:B774"/>
    <mergeCell ref="C774:N774"/>
    <mergeCell ref="A775:B775"/>
    <mergeCell ref="C775:E775"/>
    <mergeCell ref="F775:G775"/>
    <mergeCell ref="H775:I775"/>
    <mergeCell ref="J775:L775"/>
    <mergeCell ref="M775:N775"/>
    <mergeCell ref="A776:B776"/>
    <mergeCell ref="C776:N776"/>
    <mergeCell ref="A777:B777"/>
    <mergeCell ref="C777:N777"/>
    <mergeCell ref="A778:B778"/>
    <mergeCell ref="C778:N778"/>
    <mergeCell ref="A779:B779"/>
    <mergeCell ref="C779:N779"/>
    <mergeCell ref="A780:B780"/>
    <mergeCell ref="C780:N780"/>
    <mergeCell ref="A781:B781"/>
    <mergeCell ref="C781:E781"/>
    <mergeCell ref="F781:G781"/>
    <mergeCell ref="H781:I781"/>
    <mergeCell ref="J781:L781"/>
    <mergeCell ref="M781:N781"/>
    <mergeCell ref="A782:B782"/>
    <mergeCell ref="C782:N782"/>
    <mergeCell ref="A783:B783"/>
    <mergeCell ref="C783:N783"/>
    <mergeCell ref="A784:B784"/>
    <mergeCell ref="C784:N784"/>
    <mergeCell ref="A785:B785"/>
    <mergeCell ref="C785:N785"/>
    <mergeCell ref="A786:B786"/>
    <mergeCell ref="C786:N786"/>
    <mergeCell ref="A787:B787"/>
    <mergeCell ref="C787:E787"/>
    <mergeCell ref="F787:G787"/>
    <mergeCell ref="H787:I787"/>
    <mergeCell ref="J787:L787"/>
    <mergeCell ref="M787:N787"/>
    <mergeCell ref="A788:B788"/>
    <mergeCell ref="C788:N788"/>
    <mergeCell ref="A789:B789"/>
    <mergeCell ref="C789:E789"/>
    <mergeCell ref="F789:G789"/>
    <mergeCell ref="H789:I789"/>
    <mergeCell ref="J789:L789"/>
    <mergeCell ref="M789:N789"/>
    <mergeCell ref="A790:B790"/>
    <mergeCell ref="C790:N790"/>
    <mergeCell ref="A791:B791"/>
    <mergeCell ref="C791:N791"/>
    <mergeCell ref="A792:B792"/>
    <mergeCell ref="C792:N792"/>
    <mergeCell ref="A793:B793"/>
    <mergeCell ref="C793:N793"/>
    <mergeCell ref="A794:B794"/>
    <mergeCell ref="C794:E794"/>
    <mergeCell ref="F794:G794"/>
    <mergeCell ref="H794:I794"/>
    <mergeCell ref="J794:L794"/>
    <mergeCell ref="M794:N794"/>
    <mergeCell ref="A795:B795"/>
    <mergeCell ref="C795:N795"/>
    <mergeCell ref="A796:O796"/>
    <mergeCell ref="A797:B798"/>
    <mergeCell ref="C797:E798"/>
    <mergeCell ref="F797:N797"/>
    <mergeCell ref="O797:O798"/>
    <mergeCell ref="F798:G798"/>
    <mergeCell ref="H798:I798"/>
    <mergeCell ref="J798:K798"/>
    <mergeCell ref="L798:N798"/>
    <mergeCell ref="A799:B799"/>
    <mergeCell ref="C799:E799"/>
    <mergeCell ref="F799:G799"/>
    <mergeCell ref="H799:I799"/>
    <mergeCell ref="J799:K799"/>
    <mergeCell ref="L799:N799"/>
    <mergeCell ref="A800:N800"/>
    <mergeCell ref="A801:G801"/>
    <mergeCell ref="H801:O801"/>
    <mergeCell ref="J802:K802"/>
    <mergeCell ref="L802:N802"/>
    <mergeCell ref="A803:C803"/>
    <mergeCell ref="E803:O803"/>
    <mergeCell ref="A804:C804"/>
    <mergeCell ref="E804:O804"/>
    <mergeCell ref="A805:C805"/>
    <mergeCell ref="E805:O805"/>
    <mergeCell ref="A806:O806"/>
    <mergeCell ref="A807:O807"/>
    <mergeCell ref="A808:O808"/>
    <mergeCell ref="J809:K809"/>
    <mergeCell ref="L809:N809"/>
    <mergeCell ref="A810:O810"/>
    <mergeCell ref="B811:F811"/>
    <mergeCell ref="G811:H811"/>
    <mergeCell ref="I811:K811"/>
    <mergeCell ref="L811:O811"/>
    <mergeCell ref="A812:O812"/>
    <mergeCell ref="A813:J813"/>
    <mergeCell ref="K813:O813"/>
    <mergeCell ref="A814:O814"/>
    <mergeCell ref="A815:B815"/>
    <mergeCell ref="D815:E815"/>
    <mergeCell ref="F815:G815"/>
    <mergeCell ref="H815:I815"/>
    <mergeCell ref="K815:L815"/>
    <mergeCell ref="A816:O816"/>
    <mergeCell ref="A817:C817"/>
    <mergeCell ref="D817:O817"/>
    <mergeCell ref="A818:C818"/>
    <mergeCell ref="D818:O818"/>
    <mergeCell ref="A819:C819"/>
    <mergeCell ref="D819:O819"/>
    <mergeCell ref="A820:C820"/>
    <mergeCell ref="D820:O820"/>
    <mergeCell ref="A821:C821"/>
    <mergeCell ref="D821:O821"/>
    <mergeCell ref="A822:C822"/>
    <mergeCell ref="D822:O822"/>
    <mergeCell ref="A823:C823"/>
    <mergeCell ref="D823:O823"/>
    <mergeCell ref="A824:C824"/>
    <mergeCell ref="D824:O824"/>
    <mergeCell ref="A825:C825"/>
    <mergeCell ref="D825:O825"/>
    <mergeCell ref="A826:C826"/>
    <mergeCell ref="D826:O826"/>
    <mergeCell ref="A827:C827"/>
    <mergeCell ref="D827:O827"/>
    <mergeCell ref="A828:C828"/>
    <mergeCell ref="D828:O828"/>
    <mergeCell ref="A829:C829"/>
    <mergeCell ref="D829:O829"/>
    <mergeCell ref="A830:C830"/>
    <mergeCell ref="D830:O830"/>
    <mergeCell ref="A831:C831"/>
    <mergeCell ref="D831:O831"/>
    <mergeCell ref="A832:C832"/>
    <mergeCell ref="D832:O832"/>
    <mergeCell ref="A833:B833"/>
    <mergeCell ref="D833:E833"/>
    <mergeCell ref="F833:G833"/>
    <mergeCell ref="H833:I833"/>
    <mergeCell ref="K833:L833"/>
    <mergeCell ref="A834:O834"/>
    <mergeCell ref="A835:C835"/>
    <mergeCell ref="D835:M835"/>
    <mergeCell ref="N835:O835"/>
    <mergeCell ref="A836:C836"/>
    <mergeCell ref="D836:M836"/>
    <mergeCell ref="N836:O836"/>
    <mergeCell ref="A837:C837"/>
    <mergeCell ref="D837:M837"/>
    <mergeCell ref="N837:O837"/>
    <mergeCell ref="A838:C838"/>
    <mergeCell ref="D838:M838"/>
    <mergeCell ref="N838:O838"/>
    <mergeCell ref="A839:C839"/>
    <mergeCell ref="D839:M839"/>
    <mergeCell ref="N839:O839"/>
    <mergeCell ref="A840:B840"/>
    <mergeCell ref="D840:E840"/>
    <mergeCell ref="F840:G840"/>
    <mergeCell ref="H840:I840"/>
    <mergeCell ref="K840:L840"/>
    <mergeCell ref="A841:O841"/>
    <mergeCell ref="A842:C842"/>
    <mergeCell ref="D842:O842"/>
    <mergeCell ref="A843:C843"/>
    <mergeCell ref="D843:O843"/>
    <mergeCell ref="A844:C844"/>
    <mergeCell ref="D844:O844"/>
    <mergeCell ref="A845:C845"/>
    <mergeCell ref="D845:O845"/>
    <mergeCell ref="A846:C846"/>
    <mergeCell ref="D846:O846"/>
    <mergeCell ref="A847:C847"/>
    <mergeCell ref="D847:O847"/>
    <mergeCell ref="A848:B848"/>
    <mergeCell ref="D848:E848"/>
    <mergeCell ref="F848:G848"/>
    <mergeCell ref="H848:I848"/>
    <mergeCell ref="K848:L848"/>
    <mergeCell ref="A849:O849"/>
    <mergeCell ref="A850:B851"/>
    <mergeCell ref="C850:E851"/>
    <mergeCell ref="F850:N850"/>
    <mergeCell ref="O850:O851"/>
    <mergeCell ref="F851:G851"/>
    <mergeCell ref="H851:I851"/>
    <mergeCell ref="J851:L851"/>
    <mergeCell ref="M851:N851"/>
    <mergeCell ref="A852:B852"/>
    <mergeCell ref="C852:N852"/>
    <mergeCell ref="A853:B853"/>
    <mergeCell ref="C853:N853"/>
    <mergeCell ref="A854:B854"/>
    <mergeCell ref="C854:N854"/>
    <mergeCell ref="A855:B855"/>
    <mergeCell ref="C855:N855"/>
    <mergeCell ref="A856:B856"/>
    <mergeCell ref="C856:N856"/>
    <mergeCell ref="A857:B857"/>
    <mergeCell ref="C857:N857"/>
    <mergeCell ref="A858:O858"/>
    <mergeCell ref="A859:B860"/>
    <mergeCell ref="C859:E860"/>
    <mergeCell ref="F859:N859"/>
    <mergeCell ref="O859:O860"/>
    <mergeCell ref="F860:G860"/>
    <mergeCell ref="H860:I860"/>
    <mergeCell ref="J860:L860"/>
    <mergeCell ref="M860:N860"/>
    <mergeCell ref="A861:B861"/>
    <mergeCell ref="C861:N861"/>
    <mergeCell ref="A862:B862"/>
    <mergeCell ref="C862:N862"/>
    <mergeCell ref="A863:B863"/>
    <mergeCell ref="C863:E863"/>
    <mergeCell ref="F863:G863"/>
    <mergeCell ref="H863:I863"/>
    <mergeCell ref="J863:L863"/>
    <mergeCell ref="M863:N863"/>
    <mergeCell ref="A864:B864"/>
    <mergeCell ref="C864:E864"/>
    <mergeCell ref="F864:G864"/>
    <mergeCell ref="H864:I864"/>
    <mergeCell ref="J864:L864"/>
    <mergeCell ref="M864:N864"/>
    <mergeCell ref="A865:B865"/>
    <mergeCell ref="C865:E865"/>
    <mergeCell ref="F865:G865"/>
    <mergeCell ref="H865:I865"/>
    <mergeCell ref="J865:L865"/>
    <mergeCell ref="M865:N865"/>
    <mergeCell ref="A866:B866"/>
    <mergeCell ref="C866:E866"/>
    <mergeCell ref="F866:G866"/>
    <mergeCell ref="H866:I866"/>
    <mergeCell ref="J866:L866"/>
    <mergeCell ref="M866:N866"/>
    <mergeCell ref="A867:B867"/>
    <mergeCell ref="C867:E867"/>
    <mergeCell ref="F867:G867"/>
    <mergeCell ref="H867:I867"/>
    <mergeCell ref="J867:L867"/>
    <mergeCell ref="M867:N867"/>
    <mergeCell ref="A868:B868"/>
    <mergeCell ref="C868:E868"/>
    <mergeCell ref="F868:G868"/>
    <mergeCell ref="H868:I868"/>
    <mergeCell ref="J868:L868"/>
    <mergeCell ref="M868:N868"/>
    <mergeCell ref="A869:B869"/>
    <mergeCell ref="C869:E869"/>
    <mergeCell ref="F869:G869"/>
    <mergeCell ref="H869:I869"/>
    <mergeCell ref="J869:L869"/>
    <mergeCell ref="M869:N869"/>
    <mergeCell ref="A870:B870"/>
    <mergeCell ref="C870:E870"/>
    <mergeCell ref="F870:G870"/>
    <mergeCell ref="H870:I870"/>
    <mergeCell ref="J870:L870"/>
    <mergeCell ref="M870:N870"/>
    <mergeCell ref="A871:B871"/>
    <mergeCell ref="C871:E871"/>
    <mergeCell ref="F871:G871"/>
    <mergeCell ref="H871:I871"/>
    <mergeCell ref="J871:L871"/>
    <mergeCell ref="M871:N871"/>
    <mergeCell ref="A872:B872"/>
    <mergeCell ref="C872:E872"/>
    <mergeCell ref="F872:G872"/>
    <mergeCell ref="H872:I872"/>
    <mergeCell ref="J872:L872"/>
    <mergeCell ref="M872:N872"/>
    <mergeCell ref="A873:B873"/>
    <mergeCell ref="C873:E873"/>
    <mergeCell ref="F873:G873"/>
    <mergeCell ref="H873:I873"/>
    <mergeCell ref="J873:L873"/>
    <mergeCell ref="M873:N873"/>
    <mergeCell ref="A874:B874"/>
    <mergeCell ref="C874:E874"/>
    <mergeCell ref="F874:G874"/>
    <mergeCell ref="H874:I874"/>
    <mergeCell ref="J874:L874"/>
    <mergeCell ref="M874:N874"/>
    <mergeCell ref="A878:B878"/>
    <mergeCell ref="C878:E878"/>
    <mergeCell ref="F878:G878"/>
    <mergeCell ref="H878:I878"/>
    <mergeCell ref="J878:L878"/>
    <mergeCell ref="M878:N878"/>
    <mergeCell ref="A879:B879"/>
    <mergeCell ref="C879:E879"/>
    <mergeCell ref="F879:G879"/>
    <mergeCell ref="H879:I879"/>
    <mergeCell ref="J879:L879"/>
    <mergeCell ref="M879:N879"/>
    <mergeCell ref="A875:B875"/>
    <mergeCell ref="C875:E875"/>
    <mergeCell ref="F875:G875"/>
    <mergeCell ref="H875:I875"/>
    <mergeCell ref="J875:L875"/>
    <mergeCell ref="M875:N875"/>
    <mergeCell ref="A876:B876"/>
    <mergeCell ref="C876:E876"/>
    <mergeCell ref="F876:G876"/>
    <mergeCell ref="H876:I876"/>
    <mergeCell ref="J876:L876"/>
    <mergeCell ref="M876:N876"/>
    <mergeCell ref="A877:B877"/>
    <mergeCell ref="C877:E877"/>
    <mergeCell ref="F877:G877"/>
    <mergeCell ref="H877:I877"/>
    <mergeCell ref="J877:L877"/>
    <mergeCell ref="M877:N877"/>
    <mergeCell ref="A880:B880"/>
    <mergeCell ref="C880:E880"/>
    <mergeCell ref="F880:G880"/>
    <mergeCell ref="H880:I880"/>
    <mergeCell ref="J880:L880"/>
    <mergeCell ref="M880:N880"/>
    <mergeCell ref="A881:B881"/>
    <mergeCell ref="C881:N881"/>
    <mergeCell ref="A882:B882"/>
    <mergeCell ref="C882:E882"/>
    <mergeCell ref="F882:G882"/>
    <mergeCell ref="H882:I882"/>
    <mergeCell ref="J882:L882"/>
    <mergeCell ref="M882:N882"/>
    <mergeCell ref="A883:B883"/>
    <mergeCell ref="C883:E883"/>
    <mergeCell ref="F883:G883"/>
    <mergeCell ref="H883:I883"/>
    <mergeCell ref="J883:L883"/>
    <mergeCell ref="M883:N883"/>
    <mergeCell ref="A884:B884"/>
    <mergeCell ref="C884:E884"/>
    <mergeCell ref="F884:G884"/>
    <mergeCell ref="H884:I884"/>
    <mergeCell ref="J884:L884"/>
    <mergeCell ref="M884:N884"/>
    <mergeCell ref="A885:B885"/>
    <mergeCell ref="C885:E885"/>
    <mergeCell ref="F885:G885"/>
    <mergeCell ref="H885:I885"/>
    <mergeCell ref="J885:L885"/>
    <mergeCell ref="M885:N885"/>
    <mergeCell ref="A886:B886"/>
    <mergeCell ref="C886:E886"/>
    <mergeCell ref="F886:G886"/>
    <mergeCell ref="H886:I886"/>
    <mergeCell ref="J886:L886"/>
    <mergeCell ref="M886:N886"/>
    <mergeCell ref="A887:B887"/>
    <mergeCell ref="C887:E887"/>
    <mergeCell ref="F887:G887"/>
    <mergeCell ref="H887:I887"/>
    <mergeCell ref="J887:L887"/>
    <mergeCell ref="M887:N887"/>
    <mergeCell ref="A888:B888"/>
    <mergeCell ref="C888:E888"/>
    <mergeCell ref="F888:G888"/>
    <mergeCell ref="H888:I888"/>
    <mergeCell ref="J888:L888"/>
    <mergeCell ref="M888:N888"/>
    <mergeCell ref="A889:B889"/>
    <mergeCell ref="C889:E889"/>
    <mergeCell ref="F889:G889"/>
    <mergeCell ref="H889:I889"/>
    <mergeCell ref="J889:L889"/>
    <mergeCell ref="M889:N889"/>
    <mergeCell ref="A890:N890"/>
    <mergeCell ref="A891:G891"/>
    <mergeCell ref="H891:O891"/>
    <mergeCell ref="A892:C892"/>
    <mergeCell ref="E892:O892"/>
    <mergeCell ref="A893:C893"/>
    <mergeCell ref="E893:O893"/>
    <mergeCell ref="A894:C894"/>
    <mergeCell ref="E894:O894"/>
    <mergeCell ref="A895:O895"/>
    <mergeCell ref="A896:O896"/>
    <mergeCell ref="A897:O897"/>
    <mergeCell ref="B898:C898"/>
    <mergeCell ref="E898:F898"/>
    <mergeCell ref="G898:H898"/>
    <mergeCell ref="I898:K898"/>
    <mergeCell ref="L898:O898"/>
    <mergeCell ref="A899:O899"/>
    <mergeCell ref="B900:F900"/>
    <mergeCell ref="G900:H900"/>
    <mergeCell ref="I900:K900"/>
    <mergeCell ref="L900:O900"/>
    <mergeCell ref="A901:O901"/>
    <mergeCell ref="A902:J902"/>
    <mergeCell ref="K902:O902"/>
    <mergeCell ref="A903:O903"/>
    <mergeCell ref="A904:B904"/>
    <mergeCell ref="D904:E904"/>
    <mergeCell ref="F904:G904"/>
    <mergeCell ref="H904:I904"/>
    <mergeCell ref="K904:L904"/>
    <mergeCell ref="A905:O905"/>
    <mergeCell ref="A906:C906"/>
    <mergeCell ref="D906:O906"/>
    <mergeCell ref="A907:C907"/>
    <mergeCell ref="D907:O907"/>
    <mergeCell ref="A908:C908"/>
    <mergeCell ref="D908:O908"/>
    <mergeCell ref="A909:C909"/>
    <mergeCell ref="D909:O909"/>
    <mergeCell ref="A910:C910"/>
    <mergeCell ref="D910:O910"/>
    <mergeCell ref="A911:C911"/>
    <mergeCell ref="D911:O911"/>
    <mergeCell ref="A912:C912"/>
    <mergeCell ref="D912:O912"/>
    <mergeCell ref="A913:C913"/>
    <mergeCell ref="D913:O913"/>
    <mergeCell ref="A914:C914"/>
    <mergeCell ref="D914:O914"/>
    <mergeCell ref="A915:C915"/>
    <mergeCell ref="D915:O915"/>
    <mergeCell ref="A916:C916"/>
    <mergeCell ref="D916:O916"/>
    <mergeCell ref="A917:C917"/>
    <mergeCell ref="D917:O917"/>
    <mergeCell ref="A918:C918"/>
    <mergeCell ref="D918:O918"/>
    <mergeCell ref="A919:C919"/>
    <mergeCell ref="D919:O919"/>
    <mergeCell ref="A920:C920"/>
    <mergeCell ref="D920:O920"/>
    <mergeCell ref="A921:C921"/>
    <mergeCell ref="D921:O921"/>
    <mergeCell ref="A922:B922"/>
    <mergeCell ref="D922:E922"/>
    <mergeCell ref="F922:G922"/>
    <mergeCell ref="H922:I922"/>
    <mergeCell ref="K922:L922"/>
    <mergeCell ref="A923:O923"/>
    <mergeCell ref="A924:C924"/>
    <mergeCell ref="D924:M924"/>
    <mergeCell ref="N924:O924"/>
    <mergeCell ref="A925:C925"/>
    <mergeCell ref="D925:M925"/>
    <mergeCell ref="N925:O925"/>
    <mergeCell ref="A926:C926"/>
    <mergeCell ref="D926:M926"/>
    <mergeCell ref="N926:O926"/>
    <mergeCell ref="A927:C927"/>
    <mergeCell ref="D927:M927"/>
    <mergeCell ref="N927:O927"/>
    <mergeCell ref="A928:C928"/>
    <mergeCell ref="D928:M928"/>
    <mergeCell ref="N928:O928"/>
    <mergeCell ref="A929:B929"/>
    <mergeCell ref="D929:E929"/>
    <mergeCell ref="F929:G929"/>
    <mergeCell ref="H929:I929"/>
    <mergeCell ref="K929:L929"/>
    <mergeCell ref="A930:O930"/>
    <mergeCell ref="A931:C931"/>
    <mergeCell ref="D931:O931"/>
    <mergeCell ref="A932:C932"/>
    <mergeCell ref="D932:O932"/>
    <mergeCell ref="A933:C933"/>
    <mergeCell ref="D933:O933"/>
    <mergeCell ref="A934:C934"/>
    <mergeCell ref="D934:O934"/>
    <mergeCell ref="A935:C935"/>
    <mergeCell ref="D935:O935"/>
    <mergeCell ref="A936:C936"/>
    <mergeCell ref="D936:O936"/>
    <mergeCell ref="A937:B937"/>
    <mergeCell ref="D937:E937"/>
    <mergeCell ref="F937:G937"/>
    <mergeCell ref="H937:I937"/>
    <mergeCell ref="K937:L937"/>
    <mergeCell ref="A938:O938"/>
    <mergeCell ref="A939:B940"/>
    <mergeCell ref="C939:E940"/>
    <mergeCell ref="F939:N939"/>
    <mergeCell ref="O939:O940"/>
    <mergeCell ref="F940:G940"/>
    <mergeCell ref="H940:I940"/>
    <mergeCell ref="J940:L940"/>
    <mergeCell ref="M940:N940"/>
    <mergeCell ref="A941:B941"/>
    <mergeCell ref="C941:N941"/>
    <mergeCell ref="A942:B942"/>
    <mergeCell ref="C942:N942"/>
    <mergeCell ref="A943:B943"/>
    <mergeCell ref="C943:N943"/>
    <mergeCell ref="A944:B944"/>
    <mergeCell ref="C944:N944"/>
    <mergeCell ref="A945:B945"/>
    <mergeCell ref="C945:N945"/>
    <mergeCell ref="A946:B946"/>
    <mergeCell ref="C946:N946"/>
    <mergeCell ref="A947:O947"/>
    <mergeCell ref="A948:B949"/>
    <mergeCell ref="C948:E949"/>
    <mergeCell ref="F948:N948"/>
    <mergeCell ref="O948:O949"/>
    <mergeCell ref="F949:G949"/>
    <mergeCell ref="H949:I949"/>
    <mergeCell ref="J949:L949"/>
    <mergeCell ref="M949:N949"/>
    <mergeCell ref="A950:B950"/>
    <mergeCell ref="C950:N950"/>
    <mergeCell ref="A951:B951"/>
    <mergeCell ref="C951:N951"/>
    <mergeCell ref="A952:B952"/>
    <mergeCell ref="C952:E952"/>
    <mergeCell ref="F952:G952"/>
    <mergeCell ref="H952:I952"/>
    <mergeCell ref="J952:L952"/>
    <mergeCell ref="M952:N952"/>
    <mergeCell ref="A953:B953"/>
    <mergeCell ref="C953:E953"/>
    <mergeCell ref="F953:G953"/>
    <mergeCell ref="H953:I953"/>
    <mergeCell ref="J953:L953"/>
    <mergeCell ref="M953:N953"/>
    <mergeCell ref="A954:B954"/>
    <mergeCell ref="C954:N954"/>
    <mergeCell ref="A955:B955"/>
    <mergeCell ref="C955:N955"/>
    <mergeCell ref="A956:B956"/>
    <mergeCell ref="C956:N956"/>
    <mergeCell ref="A957:B957"/>
    <mergeCell ref="C957:E957"/>
    <mergeCell ref="F957:G957"/>
    <mergeCell ref="H957:I957"/>
    <mergeCell ref="J957:L957"/>
    <mergeCell ref="M957:N957"/>
    <mergeCell ref="A958:B958"/>
    <mergeCell ref="C958:N958"/>
    <mergeCell ref="A959:B959"/>
    <mergeCell ref="C959:N959"/>
    <mergeCell ref="A960:B960"/>
    <mergeCell ref="C960:N960"/>
    <mergeCell ref="A961:B961"/>
    <mergeCell ref="C961:E961"/>
    <mergeCell ref="F961:G961"/>
    <mergeCell ref="H961:I961"/>
    <mergeCell ref="J961:L961"/>
    <mergeCell ref="M961:N961"/>
    <mergeCell ref="A962:B962"/>
    <mergeCell ref="C962:E962"/>
    <mergeCell ref="F962:G962"/>
    <mergeCell ref="H962:I962"/>
    <mergeCell ref="J962:L962"/>
    <mergeCell ref="M962:N962"/>
    <mergeCell ref="A963:B963"/>
    <mergeCell ref="C963:E963"/>
    <mergeCell ref="F963:G963"/>
    <mergeCell ref="H963:I963"/>
    <mergeCell ref="J963:L963"/>
    <mergeCell ref="M963:N963"/>
    <mergeCell ref="A964:B964"/>
    <mergeCell ref="C964:E964"/>
    <mergeCell ref="F964:G964"/>
    <mergeCell ref="H964:I964"/>
    <mergeCell ref="J964:L964"/>
    <mergeCell ref="M964:N964"/>
    <mergeCell ref="A968:B968"/>
    <mergeCell ref="C968:E968"/>
    <mergeCell ref="F968:G968"/>
    <mergeCell ref="H968:I968"/>
    <mergeCell ref="J968:L968"/>
    <mergeCell ref="M968:N968"/>
    <mergeCell ref="A969:B969"/>
    <mergeCell ref="C969:E969"/>
    <mergeCell ref="F969:G969"/>
    <mergeCell ref="H969:I969"/>
    <mergeCell ref="J969:K969"/>
    <mergeCell ref="L969:N969"/>
    <mergeCell ref="A965:B965"/>
    <mergeCell ref="C965:E965"/>
    <mergeCell ref="F965:G965"/>
    <mergeCell ref="H965:I965"/>
    <mergeCell ref="J965:L965"/>
    <mergeCell ref="M965:N965"/>
    <mergeCell ref="A966:B966"/>
    <mergeCell ref="C966:E966"/>
    <mergeCell ref="F966:G966"/>
    <mergeCell ref="H966:I966"/>
    <mergeCell ref="J966:L966"/>
    <mergeCell ref="M966:N966"/>
    <mergeCell ref="A967:B967"/>
    <mergeCell ref="C967:E967"/>
    <mergeCell ref="F967:G967"/>
    <mergeCell ref="H967:I967"/>
    <mergeCell ref="J967:L967"/>
    <mergeCell ref="M967:N967"/>
    <mergeCell ref="A970:N970"/>
    <mergeCell ref="A971:G971"/>
    <mergeCell ref="H971:O971"/>
    <mergeCell ref="J972:K972"/>
    <mergeCell ref="L972:N972"/>
    <mergeCell ref="A973:C973"/>
    <mergeCell ref="E973:O973"/>
    <mergeCell ref="A974:C974"/>
    <mergeCell ref="E974:O974"/>
    <mergeCell ref="A975:C975"/>
    <mergeCell ref="E975:O975"/>
    <mergeCell ref="A976:O976"/>
    <mergeCell ref="A977:O977"/>
    <mergeCell ref="A978:O978"/>
    <mergeCell ref="J979:K979"/>
    <mergeCell ref="L979:N979"/>
    <mergeCell ref="A980:O980"/>
    <mergeCell ref="B981:F981"/>
    <mergeCell ref="G981:H981"/>
    <mergeCell ref="I981:K981"/>
    <mergeCell ref="L981:O981"/>
    <mergeCell ref="A982:O982"/>
    <mergeCell ref="A983:J983"/>
    <mergeCell ref="K983:O983"/>
    <mergeCell ref="A984:O984"/>
    <mergeCell ref="A985:B985"/>
    <mergeCell ref="D985:E985"/>
    <mergeCell ref="F985:G985"/>
    <mergeCell ref="H985:I985"/>
    <mergeCell ref="K985:L985"/>
    <mergeCell ref="A986:O986"/>
    <mergeCell ref="A987:C987"/>
    <mergeCell ref="D987:O987"/>
    <mergeCell ref="A988:C988"/>
    <mergeCell ref="D988:O988"/>
    <mergeCell ref="A989:C989"/>
    <mergeCell ref="D989:O989"/>
    <mergeCell ref="A990:C990"/>
    <mergeCell ref="D990:O990"/>
    <mergeCell ref="A991:C991"/>
    <mergeCell ref="D991:O991"/>
    <mergeCell ref="A992:C992"/>
    <mergeCell ref="D992:O992"/>
    <mergeCell ref="A993:C993"/>
    <mergeCell ref="D993:O993"/>
    <mergeCell ref="A994:C994"/>
    <mergeCell ref="D994:O994"/>
    <mergeCell ref="A995:C995"/>
    <mergeCell ref="D995:O995"/>
    <mergeCell ref="A996:C996"/>
    <mergeCell ref="D996:O996"/>
    <mergeCell ref="A997:C997"/>
    <mergeCell ref="D997:O997"/>
    <mergeCell ref="A998:C998"/>
    <mergeCell ref="D998:O998"/>
    <mergeCell ref="A999:C999"/>
    <mergeCell ref="D999:O999"/>
    <mergeCell ref="A1000:C1000"/>
    <mergeCell ref="D1000:O1000"/>
    <mergeCell ref="A1001:C1001"/>
    <mergeCell ref="D1001:O1001"/>
    <mergeCell ref="A1002:C1002"/>
    <mergeCell ref="D1002:O1002"/>
    <mergeCell ref="A1003:B1003"/>
    <mergeCell ref="D1003:E1003"/>
    <mergeCell ref="F1003:G1003"/>
    <mergeCell ref="H1003:I1003"/>
    <mergeCell ref="K1003:L1003"/>
    <mergeCell ref="A1004:O1004"/>
    <mergeCell ref="A1005:C1005"/>
    <mergeCell ref="D1005:M1005"/>
    <mergeCell ref="N1005:O1005"/>
    <mergeCell ref="A1006:C1006"/>
    <mergeCell ref="D1006:M1006"/>
    <mergeCell ref="N1006:O1006"/>
    <mergeCell ref="A1007:C1007"/>
    <mergeCell ref="D1007:M1007"/>
    <mergeCell ref="N1007:O1007"/>
    <mergeCell ref="A1008:C1008"/>
    <mergeCell ref="D1008:M1008"/>
    <mergeCell ref="N1008:O1008"/>
    <mergeCell ref="A1009:C1009"/>
    <mergeCell ref="D1009:M1009"/>
    <mergeCell ref="N1009:O1009"/>
    <mergeCell ref="A1010:B1010"/>
    <mergeCell ref="D1010:E1010"/>
    <mergeCell ref="F1010:G1010"/>
    <mergeCell ref="H1010:I1010"/>
    <mergeCell ref="K1010:L1010"/>
    <mergeCell ref="A1011:O1011"/>
    <mergeCell ref="A1012:C1012"/>
    <mergeCell ref="D1012:O1012"/>
    <mergeCell ref="A1013:C1013"/>
    <mergeCell ref="D1013:O1013"/>
    <mergeCell ref="A1014:C1014"/>
    <mergeCell ref="D1014:O1014"/>
    <mergeCell ref="A1015:C1015"/>
    <mergeCell ref="D1015:O1015"/>
    <mergeCell ref="A1016:C1016"/>
    <mergeCell ref="D1016:O1016"/>
    <mergeCell ref="A1017:C1017"/>
    <mergeCell ref="D1017:O1017"/>
    <mergeCell ref="A1018:B1018"/>
    <mergeCell ref="D1018:E1018"/>
    <mergeCell ref="F1018:G1018"/>
    <mergeCell ref="H1018:I1018"/>
    <mergeCell ref="K1018:L1018"/>
    <mergeCell ref="A1019:O1019"/>
    <mergeCell ref="A1020:B1021"/>
    <mergeCell ref="C1020:E1021"/>
    <mergeCell ref="F1020:N1020"/>
    <mergeCell ref="O1020:O1021"/>
    <mergeCell ref="F1021:G1021"/>
    <mergeCell ref="H1021:I1021"/>
    <mergeCell ref="J1021:L1021"/>
    <mergeCell ref="M1021:N1021"/>
    <mergeCell ref="A1022:B1022"/>
    <mergeCell ref="C1022:N1022"/>
    <mergeCell ref="A1023:B1023"/>
    <mergeCell ref="C1023:N1023"/>
    <mergeCell ref="A1024:B1024"/>
    <mergeCell ref="C1024:N1024"/>
    <mergeCell ref="A1025:B1025"/>
    <mergeCell ref="C1025:N1025"/>
    <mergeCell ref="A1026:B1026"/>
    <mergeCell ref="C1026:N1026"/>
    <mergeCell ref="A1027:B1027"/>
    <mergeCell ref="C1027:N1027"/>
    <mergeCell ref="A1028:B1028"/>
    <mergeCell ref="C1028:N1028"/>
    <mergeCell ref="A1029:B1029"/>
    <mergeCell ref="C1029:N1029"/>
    <mergeCell ref="A1030:O1030"/>
    <mergeCell ref="A1031:B1032"/>
    <mergeCell ref="C1031:E1032"/>
    <mergeCell ref="F1031:N1031"/>
    <mergeCell ref="O1031:O1032"/>
    <mergeCell ref="F1032:G1032"/>
    <mergeCell ref="H1032:I1032"/>
    <mergeCell ref="J1032:K1032"/>
    <mergeCell ref="L1032:N1032"/>
    <mergeCell ref="A1033:B1033"/>
    <mergeCell ref="C1033:E1033"/>
    <mergeCell ref="F1033:G1033"/>
    <mergeCell ref="H1033:I1033"/>
    <mergeCell ref="J1033:K1033"/>
    <mergeCell ref="L1033:N1033"/>
    <mergeCell ref="A1034:B1034"/>
    <mergeCell ref="C1034:E1034"/>
    <mergeCell ref="F1034:G1034"/>
    <mergeCell ref="H1034:I1034"/>
    <mergeCell ref="J1034:K1034"/>
    <mergeCell ref="L1034:N1034"/>
    <mergeCell ref="A1035:B1035"/>
    <mergeCell ref="C1035:E1035"/>
    <mergeCell ref="F1035:G1035"/>
    <mergeCell ref="H1035:I1035"/>
    <mergeCell ref="J1035:K1035"/>
    <mergeCell ref="L1035:N1035"/>
    <mergeCell ref="A1036:B1036"/>
    <mergeCell ref="C1036:E1036"/>
    <mergeCell ref="F1036:G1036"/>
    <mergeCell ref="H1036:I1036"/>
    <mergeCell ref="J1036:K1036"/>
    <mergeCell ref="L1036:N1036"/>
    <mergeCell ref="A1037:B1037"/>
    <mergeCell ref="C1037:E1037"/>
    <mergeCell ref="F1037:G1037"/>
    <mergeCell ref="H1037:I1037"/>
    <mergeCell ref="J1037:K1037"/>
    <mergeCell ref="L1037:N1037"/>
    <mergeCell ref="A1038:B1038"/>
    <mergeCell ref="C1038:E1038"/>
    <mergeCell ref="F1038:G1038"/>
    <mergeCell ref="H1038:I1038"/>
    <mergeCell ref="J1038:K1038"/>
    <mergeCell ref="L1038:N1038"/>
    <mergeCell ref="A1039:B1039"/>
    <mergeCell ref="C1039:E1039"/>
    <mergeCell ref="F1039:G1039"/>
    <mergeCell ref="H1039:I1039"/>
    <mergeCell ref="J1039:K1039"/>
    <mergeCell ref="L1039:N1039"/>
    <mergeCell ref="A1040:B1040"/>
    <mergeCell ref="C1040:E1040"/>
    <mergeCell ref="F1040:G1040"/>
    <mergeCell ref="H1040:I1040"/>
    <mergeCell ref="J1040:K1040"/>
    <mergeCell ref="L1040:N1040"/>
    <mergeCell ref="A1041:B1041"/>
    <mergeCell ref="C1041:E1041"/>
    <mergeCell ref="F1041:G1041"/>
    <mergeCell ref="H1041:I1041"/>
    <mergeCell ref="J1041:K1041"/>
    <mergeCell ref="L1041:N1041"/>
    <mergeCell ref="A1042:N1042"/>
    <mergeCell ref="A1043:G1043"/>
    <mergeCell ref="H1043:O1043"/>
    <mergeCell ref="J1044:K1044"/>
    <mergeCell ref="L1044:N1044"/>
    <mergeCell ref="A1045:C1045"/>
    <mergeCell ref="E1045:O1045"/>
    <mergeCell ref="A1046:C1046"/>
    <mergeCell ref="E1046:O1046"/>
    <mergeCell ref="A1047:C1047"/>
    <mergeCell ref="E1047:O1047"/>
    <mergeCell ref="A1048:O1048"/>
    <mergeCell ref="A1049:O1049"/>
    <mergeCell ref="A1050:O1050"/>
    <mergeCell ref="J1051:K1051"/>
    <mergeCell ref="L1051:N1051"/>
    <mergeCell ref="A1052:O1052"/>
    <mergeCell ref="B1053:F1053"/>
    <mergeCell ref="G1053:H1053"/>
    <mergeCell ref="I1053:K1053"/>
    <mergeCell ref="L1053:O1053"/>
    <mergeCell ref="A1054:O1054"/>
    <mergeCell ref="A1055:J1055"/>
    <mergeCell ref="K1055:O1055"/>
    <mergeCell ref="A1056:O1056"/>
    <mergeCell ref="A1057:B1057"/>
    <mergeCell ref="D1057:E1057"/>
    <mergeCell ref="F1057:G1057"/>
    <mergeCell ref="H1057:I1057"/>
    <mergeCell ref="K1057:L1057"/>
    <mergeCell ref="A1058:O1058"/>
    <mergeCell ref="A1059:C1059"/>
    <mergeCell ref="D1059:O1059"/>
    <mergeCell ref="A1060:C1060"/>
    <mergeCell ref="D1060:O1060"/>
    <mergeCell ref="A1061:C1061"/>
    <mergeCell ref="D1061:O1061"/>
    <mergeCell ref="A1062:C1062"/>
    <mergeCell ref="D1062:O1062"/>
    <mergeCell ref="A1063:C1063"/>
    <mergeCell ref="D1063:O1063"/>
    <mergeCell ref="A1064:C1064"/>
    <mergeCell ref="D1064:O1064"/>
    <mergeCell ref="A1065:C1065"/>
    <mergeCell ref="D1065:O1065"/>
    <mergeCell ref="A1066:C1066"/>
    <mergeCell ref="D1066:O1066"/>
    <mergeCell ref="A1067:C1067"/>
    <mergeCell ref="D1067:O1067"/>
    <mergeCell ref="A1068:C1068"/>
    <mergeCell ref="D1068:O1068"/>
    <mergeCell ref="A1069:C1069"/>
    <mergeCell ref="D1069:O1069"/>
    <mergeCell ref="A1070:C1070"/>
    <mergeCell ref="D1070:O1070"/>
    <mergeCell ref="A1071:C1071"/>
    <mergeCell ref="D1071:O1071"/>
    <mergeCell ref="A1072:C1072"/>
    <mergeCell ref="D1072:O1072"/>
    <mergeCell ref="A1073:C1073"/>
    <mergeCell ref="D1073:O1073"/>
    <mergeCell ref="A1074:C1074"/>
    <mergeCell ref="D1074:O1074"/>
    <mergeCell ref="A1075:B1075"/>
    <mergeCell ref="D1075:E1075"/>
    <mergeCell ref="F1075:G1075"/>
    <mergeCell ref="H1075:I1075"/>
    <mergeCell ref="K1075:L1075"/>
    <mergeCell ref="A1076:O1076"/>
    <mergeCell ref="A1077:C1077"/>
    <mergeCell ref="D1077:M1077"/>
    <mergeCell ref="N1077:O1077"/>
    <mergeCell ref="A1078:C1078"/>
    <mergeCell ref="D1078:M1078"/>
    <mergeCell ref="N1078:O1078"/>
    <mergeCell ref="A1079:C1079"/>
    <mergeCell ref="D1079:M1079"/>
    <mergeCell ref="N1079:O1079"/>
    <mergeCell ref="A1080:C1080"/>
    <mergeCell ref="D1080:M1080"/>
    <mergeCell ref="N1080:O1080"/>
    <mergeCell ref="A1081:C1081"/>
    <mergeCell ref="D1081:M1081"/>
    <mergeCell ref="N1081:O1081"/>
    <mergeCell ref="A1082:B1082"/>
    <mergeCell ref="D1082:E1082"/>
    <mergeCell ref="F1082:G1082"/>
    <mergeCell ref="H1082:I1082"/>
    <mergeCell ref="K1082:L1082"/>
    <mergeCell ref="A1083:O1083"/>
    <mergeCell ref="A1084:C1084"/>
    <mergeCell ref="D1084:O1084"/>
    <mergeCell ref="A1085:C1085"/>
    <mergeCell ref="D1085:O1085"/>
    <mergeCell ref="A1086:C1086"/>
    <mergeCell ref="D1086:O1086"/>
    <mergeCell ref="A1087:C1087"/>
    <mergeCell ref="D1087:O1087"/>
    <mergeCell ref="A1088:C1088"/>
    <mergeCell ref="D1088:O1088"/>
    <mergeCell ref="A1089:C1089"/>
    <mergeCell ref="D1089:O1089"/>
    <mergeCell ref="A1090:B1090"/>
    <mergeCell ref="D1090:E1090"/>
    <mergeCell ref="F1090:G1090"/>
    <mergeCell ref="H1090:I1090"/>
    <mergeCell ref="K1090:L1090"/>
    <mergeCell ref="A1091:O1091"/>
    <mergeCell ref="A1092:B1093"/>
    <mergeCell ref="C1092:E1093"/>
    <mergeCell ref="F1092:N1092"/>
    <mergeCell ref="O1092:O1093"/>
    <mergeCell ref="F1093:G1093"/>
    <mergeCell ref="H1093:I1093"/>
    <mergeCell ref="J1093:L1093"/>
    <mergeCell ref="M1093:N1093"/>
    <mergeCell ref="A1094:B1094"/>
    <mergeCell ref="C1094:N1094"/>
    <mergeCell ref="A1095:B1095"/>
    <mergeCell ref="C1095:N1095"/>
    <mergeCell ref="A1096:B1096"/>
    <mergeCell ref="C1096:N1096"/>
    <mergeCell ref="A1097:B1097"/>
    <mergeCell ref="C1097:N1097"/>
    <mergeCell ref="A1098:B1098"/>
    <mergeCell ref="C1098:N1098"/>
    <mergeCell ref="A1099:B1099"/>
    <mergeCell ref="C1099:N1099"/>
    <mergeCell ref="A1100:O1100"/>
    <mergeCell ref="A1101:B1102"/>
    <mergeCell ref="C1101:E1102"/>
    <mergeCell ref="F1101:N1101"/>
    <mergeCell ref="O1101:O1102"/>
    <mergeCell ref="F1102:G1102"/>
    <mergeCell ref="H1102:I1102"/>
    <mergeCell ref="J1102:L1102"/>
    <mergeCell ref="M1102:N1102"/>
    <mergeCell ref="A1103:B1103"/>
    <mergeCell ref="C1103:N1103"/>
    <mergeCell ref="A1104:B1104"/>
    <mergeCell ref="C1104:N1104"/>
    <mergeCell ref="A1105:B1105"/>
    <mergeCell ref="C1105:E1105"/>
    <mergeCell ref="F1105:G1105"/>
    <mergeCell ref="H1105:I1105"/>
    <mergeCell ref="J1105:L1105"/>
    <mergeCell ref="M1105:N1105"/>
    <mergeCell ref="A1106:B1106"/>
    <mergeCell ref="C1106:N1106"/>
    <mergeCell ref="A1107:B1107"/>
    <mergeCell ref="C1107:E1107"/>
    <mergeCell ref="F1107:G1107"/>
    <mergeCell ref="H1107:I1107"/>
    <mergeCell ref="J1107:L1107"/>
    <mergeCell ref="M1107:N1107"/>
    <mergeCell ref="A1108:B1108"/>
    <mergeCell ref="C1108:N1108"/>
    <mergeCell ref="A1109:B1109"/>
    <mergeCell ref="C1109:N1109"/>
    <mergeCell ref="A1110:B1110"/>
    <mergeCell ref="C1110:N1110"/>
    <mergeCell ref="A1111:B1111"/>
    <mergeCell ref="C1111:E1111"/>
    <mergeCell ref="F1111:G1111"/>
    <mergeCell ref="H1111:I1111"/>
    <mergeCell ref="J1111:L1111"/>
    <mergeCell ref="M1111:N1111"/>
    <mergeCell ref="A1112:B1112"/>
    <mergeCell ref="C1112:E1112"/>
    <mergeCell ref="F1112:G1112"/>
    <mergeCell ref="H1112:I1112"/>
    <mergeCell ref="J1112:L1112"/>
    <mergeCell ref="M1112:N1112"/>
    <mergeCell ref="A1113:B1113"/>
    <mergeCell ref="C1113:N1113"/>
    <mergeCell ref="A1114:B1114"/>
    <mergeCell ref="C1114:N1114"/>
    <mergeCell ref="A1115:B1115"/>
    <mergeCell ref="C1115:N1115"/>
    <mergeCell ref="A1116:B1116"/>
    <mergeCell ref="C1116:E1116"/>
    <mergeCell ref="F1116:G1116"/>
    <mergeCell ref="H1116:I1116"/>
    <mergeCell ref="J1116:L1116"/>
    <mergeCell ref="M1116:N1116"/>
    <mergeCell ref="A1117:B1117"/>
    <mergeCell ref="C1117:E1117"/>
    <mergeCell ref="F1117:G1117"/>
    <mergeCell ref="H1117:I1117"/>
    <mergeCell ref="J1117:L1117"/>
    <mergeCell ref="M1117:N1117"/>
    <mergeCell ref="A1118:B1118"/>
    <mergeCell ref="C1118:N1118"/>
    <mergeCell ref="A1119:B1119"/>
    <mergeCell ref="C1119:N1119"/>
    <mergeCell ref="A1120:B1120"/>
    <mergeCell ref="C1120:N1120"/>
    <mergeCell ref="A1121:B1121"/>
    <mergeCell ref="C1121:N1121"/>
    <mergeCell ref="A1122:B1122"/>
    <mergeCell ref="C1122:N1122"/>
    <mergeCell ref="A1123:B1123"/>
    <mergeCell ref="C1123:E1123"/>
    <mergeCell ref="F1123:G1123"/>
    <mergeCell ref="H1123:I1123"/>
    <mergeCell ref="J1123:L1123"/>
    <mergeCell ref="M1123:N1123"/>
    <mergeCell ref="A1124:B1124"/>
    <mergeCell ref="C1124:E1124"/>
    <mergeCell ref="F1124:G1124"/>
    <mergeCell ref="H1124:I1124"/>
    <mergeCell ref="J1124:L1124"/>
    <mergeCell ref="M1124:N1124"/>
    <mergeCell ref="A1125:O1125"/>
    <mergeCell ref="A1126:B1127"/>
    <mergeCell ref="C1126:E1127"/>
    <mergeCell ref="F1126:N1126"/>
    <mergeCell ref="O1126:O1127"/>
    <mergeCell ref="F1127:G1127"/>
    <mergeCell ref="H1127:I1127"/>
    <mergeCell ref="J1127:K1127"/>
    <mergeCell ref="L1127:N1127"/>
    <mergeCell ref="A1128:B1128"/>
    <mergeCell ref="C1128:E1128"/>
    <mergeCell ref="F1128:G1128"/>
    <mergeCell ref="H1128:I1128"/>
    <mergeCell ref="J1128:K1128"/>
    <mergeCell ref="L1128:N1128"/>
    <mergeCell ref="A1129:N1129"/>
    <mergeCell ref="A1130:G1130"/>
    <mergeCell ref="H1130:O1130"/>
    <mergeCell ref="J1131:K1131"/>
    <mergeCell ref="L1131:N1131"/>
    <mergeCell ref="A1132:C1132"/>
    <mergeCell ref="E1132:O1132"/>
    <mergeCell ref="A1133:C1133"/>
    <mergeCell ref="E1133:O1133"/>
    <mergeCell ref="A1134:C1134"/>
    <mergeCell ref="E1134:O1134"/>
    <mergeCell ref="A1135:O1135"/>
    <mergeCell ref="A1136:O1136"/>
    <mergeCell ref="A1137:O1137"/>
    <mergeCell ref="J1138:K1138"/>
    <mergeCell ref="L1138:N1138"/>
    <mergeCell ref="A1139:O1139"/>
    <mergeCell ref="B1140:F1140"/>
    <mergeCell ref="G1140:H1140"/>
    <mergeCell ref="I1140:K1140"/>
    <mergeCell ref="L1140:O1140"/>
    <mergeCell ref="A1141:O1141"/>
    <mergeCell ref="A1142:J1142"/>
    <mergeCell ref="K1142:O1142"/>
    <mergeCell ref="A1143:O1143"/>
    <mergeCell ref="A1144:B1144"/>
    <mergeCell ref="D1144:E1144"/>
    <mergeCell ref="F1144:G1144"/>
    <mergeCell ref="H1144:I1144"/>
    <mergeCell ref="K1144:L1144"/>
    <mergeCell ref="A1145:O1145"/>
    <mergeCell ref="A1146:C1146"/>
    <mergeCell ref="D1146:O1146"/>
    <mergeCell ref="A1147:C1147"/>
    <mergeCell ref="D1147:O1147"/>
    <mergeCell ref="A1148:C1148"/>
    <mergeCell ref="D1148:O1148"/>
    <mergeCell ref="A1149:C1149"/>
    <mergeCell ref="D1149:O1149"/>
    <mergeCell ref="A1150:C1150"/>
    <mergeCell ref="D1150:O1150"/>
    <mergeCell ref="A1151:C1151"/>
    <mergeCell ref="D1151:O1151"/>
    <mergeCell ref="A1152:C1152"/>
    <mergeCell ref="D1152:O1152"/>
    <mergeCell ref="A1153:C1153"/>
    <mergeCell ref="D1153:O1153"/>
    <mergeCell ref="A1154:C1154"/>
    <mergeCell ref="D1154:O1154"/>
    <mergeCell ref="A1155:C1155"/>
    <mergeCell ref="D1155:O1155"/>
    <mergeCell ref="A1156:C1156"/>
    <mergeCell ref="D1156:O1156"/>
    <mergeCell ref="A1157:C1157"/>
    <mergeCell ref="D1157:O1157"/>
    <mergeCell ref="A1158:C1158"/>
    <mergeCell ref="D1158:O1158"/>
    <mergeCell ref="A1159:C1159"/>
    <mergeCell ref="D1159:O1159"/>
    <mergeCell ref="A1160:C1160"/>
    <mergeCell ref="D1160:O1160"/>
    <mergeCell ref="A1161:C1161"/>
    <mergeCell ref="D1161:O1161"/>
    <mergeCell ref="A1162:B1162"/>
    <mergeCell ref="D1162:E1162"/>
    <mergeCell ref="F1162:G1162"/>
    <mergeCell ref="H1162:I1162"/>
    <mergeCell ref="K1162:L1162"/>
    <mergeCell ref="A1163:O1163"/>
    <mergeCell ref="A1164:C1164"/>
    <mergeCell ref="D1164:M1164"/>
    <mergeCell ref="N1164:O1164"/>
    <mergeCell ref="A1165:C1165"/>
    <mergeCell ref="D1165:M1165"/>
    <mergeCell ref="N1165:O1165"/>
    <mergeCell ref="A1166:C1166"/>
    <mergeCell ref="D1166:M1166"/>
    <mergeCell ref="N1166:O1166"/>
    <mergeCell ref="A1167:C1167"/>
    <mergeCell ref="D1167:M1167"/>
    <mergeCell ref="N1167:O1167"/>
    <mergeCell ref="A1168:C1168"/>
    <mergeCell ref="D1168:M1168"/>
    <mergeCell ref="N1168:O1168"/>
    <mergeCell ref="A1169:B1169"/>
    <mergeCell ref="D1169:E1169"/>
    <mergeCell ref="F1169:G1169"/>
    <mergeCell ref="H1169:I1169"/>
    <mergeCell ref="K1169:L1169"/>
    <mergeCell ref="A1170:O1170"/>
    <mergeCell ref="A1171:C1171"/>
    <mergeCell ref="D1171:O1171"/>
    <mergeCell ref="A1172:C1172"/>
    <mergeCell ref="D1172:O1172"/>
    <mergeCell ref="A1173:C1173"/>
    <mergeCell ref="D1173:O1173"/>
    <mergeCell ref="A1174:C1174"/>
    <mergeCell ref="D1174:O1174"/>
    <mergeCell ref="A1175:C1175"/>
    <mergeCell ref="D1175:O1175"/>
    <mergeCell ref="A1176:C1176"/>
    <mergeCell ref="D1176:O1176"/>
    <mergeCell ref="A1177:B1177"/>
    <mergeCell ref="D1177:E1177"/>
    <mergeCell ref="F1177:G1177"/>
    <mergeCell ref="H1177:I1177"/>
    <mergeCell ref="K1177:L1177"/>
    <mergeCell ref="A1178:O1178"/>
    <mergeCell ref="A1179:B1180"/>
    <mergeCell ref="C1179:E1180"/>
    <mergeCell ref="F1179:N1179"/>
    <mergeCell ref="O1179:O1180"/>
    <mergeCell ref="F1180:G1180"/>
    <mergeCell ref="H1180:I1180"/>
    <mergeCell ref="J1180:L1180"/>
    <mergeCell ref="M1180:N1180"/>
    <mergeCell ref="A1181:B1181"/>
    <mergeCell ref="C1181:N1181"/>
    <mergeCell ref="A1182:B1182"/>
    <mergeCell ref="C1182:N1182"/>
    <mergeCell ref="A1183:B1183"/>
    <mergeCell ref="C1183:N1183"/>
    <mergeCell ref="A1184:B1184"/>
    <mergeCell ref="C1184:N1184"/>
    <mergeCell ref="A1185:B1185"/>
    <mergeCell ref="C1185:N1185"/>
    <mergeCell ref="A1186:B1186"/>
    <mergeCell ref="C1186:N1186"/>
    <mergeCell ref="A1187:O1187"/>
    <mergeCell ref="A1188:B1189"/>
    <mergeCell ref="C1188:E1189"/>
    <mergeCell ref="F1188:N1188"/>
    <mergeCell ref="O1188:O1189"/>
    <mergeCell ref="F1189:G1189"/>
    <mergeCell ref="H1189:I1189"/>
    <mergeCell ref="J1189:L1189"/>
    <mergeCell ref="M1189:N1189"/>
    <mergeCell ref="A1190:B1190"/>
    <mergeCell ref="C1190:N1190"/>
    <mergeCell ref="A1191:B1191"/>
    <mergeCell ref="C1191:N1191"/>
    <mergeCell ref="A1192:B1192"/>
    <mergeCell ref="C1192:E1192"/>
    <mergeCell ref="F1192:G1192"/>
    <mergeCell ref="H1192:I1192"/>
    <mergeCell ref="J1192:L1192"/>
    <mergeCell ref="M1192:N1192"/>
    <mergeCell ref="A1193:B1193"/>
    <mergeCell ref="C1193:E1193"/>
    <mergeCell ref="F1193:G1193"/>
    <mergeCell ref="H1193:I1193"/>
    <mergeCell ref="J1193:L1193"/>
    <mergeCell ref="M1193:N1193"/>
    <mergeCell ref="A1194:B1194"/>
    <mergeCell ref="C1194:E1194"/>
    <mergeCell ref="F1194:G1194"/>
    <mergeCell ref="H1194:I1194"/>
    <mergeCell ref="J1194:L1194"/>
    <mergeCell ref="M1194:N1194"/>
    <mergeCell ref="A1195:B1195"/>
    <mergeCell ref="C1195:N1195"/>
    <mergeCell ref="A1196:B1196"/>
    <mergeCell ref="C1196:E1196"/>
    <mergeCell ref="F1196:G1196"/>
    <mergeCell ref="H1196:I1196"/>
    <mergeCell ref="J1196:L1196"/>
    <mergeCell ref="M1196:N1196"/>
    <mergeCell ref="A1197:B1197"/>
    <mergeCell ref="C1197:E1197"/>
    <mergeCell ref="F1197:G1197"/>
    <mergeCell ref="H1197:I1197"/>
    <mergeCell ref="J1197:L1197"/>
    <mergeCell ref="M1197:N1197"/>
    <mergeCell ref="A1198:B1198"/>
    <mergeCell ref="C1198:N1198"/>
    <mergeCell ref="A1199:B1199"/>
    <mergeCell ref="C1199:N1199"/>
    <mergeCell ref="A1200:B1200"/>
    <mergeCell ref="C1200:N1200"/>
    <mergeCell ref="A1201:B1201"/>
    <mergeCell ref="C1201:E1201"/>
    <mergeCell ref="F1201:G1201"/>
    <mergeCell ref="H1201:I1201"/>
    <mergeCell ref="J1201:L1201"/>
    <mergeCell ref="M1201:N1201"/>
    <mergeCell ref="A1202:B1202"/>
    <mergeCell ref="C1202:E1202"/>
    <mergeCell ref="F1202:G1202"/>
    <mergeCell ref="H1202:I1202"/>
    <mergeCell ref="J1202:L1202"/>
    <mergeCell ref="M1202:N1202"/>
    <mergeCell ref="A1203:B1203"/>
    <mergeCell ref="C1203:E1203"/>
    <mergeCell ref="F1203:G1203"/>
    <mergeCell ref="H1203:I1203"/>
    <mergeCell ref="J1203:L1203"/>
    <mergeCell ref="M1203:N1203"/>
    <mergeCell ref="A1204:B1204"/>
    <mergeCell ref="C1204:E1204"/>
    <mergeCell ref="F1204:G1204"/>
    <mergeCell ref="H1204:I1204"/>
    <mergeCell ref="J1204:L1204"/>
    <mergeCell ref="M1204:N1204"/>
    <mergeCell ref="A1205:B1205"/>
    <mergeCell ref="C1205:E1205"/>
    <mergeCell ref="F1205:G1205"/>
    <mergeCell ref="H1205:I1205"/>
    <mergeCell ref="J1205:L1205"/>
    <mergeCell ref="M1205:N1205"/>
    <mergeCell ref="A1206:B1206"/>
    <mergeCell ref="C1206:E1206"/>
    <mergeCell ref="F1206:G1206"/>
    <mergeCell ref="H1206:I1206"/>
    <mergeCell ref="J1206:L1206"/>
    <mergeCell ref="M1206:N1206"/>
    <mergeCell ref="A1207:O1207"/>
    <mergeCell ref="A1208:B1209"/>
    <mergeCell ref="C1208:E1209"/>
    <mergeCell ref="F1208:N1208"/>
    <mergeCell ref="O1208:O1209"/>
    <mergeCell ref="F1209:G1209"/>
    <mergeCell ref="H1209:I1209"/>
    <mergeCell ref="J1209:L1209"/>
    <mergeCell ref="M1209:N1209"/>
    <mergeCell ref="A1210:B1210"/>
    <mergeCell ref="C1210:E1210"/>
    <mergeCell ref="F1210:G1210"/>
    <mergeCell ref="H1210:I1210"/>
    <mergeCell ref="J1210:L1210"/>
    <mergeCell ref="M1210:N1210"/>
    <mergeCell ref="A1211:B1211"/>
    <mergeCell ref="C1211:E1211"/>
    <mergeCell ref="F1211:G1211"/>
    <mergeCell ref="H1211:I1211"/>
    <mergeCell ref="J1211:L1211"/>
    <mergeCell ref="M1211:N1211"/>
    <mergeCell ref="A1212:B1212"/>
    <mergeCell ref="C1212:E1212"/>
    <mergeCell ref="F1212:G1212"/>
    <mergeCell ref="H1212:I1212"/>
    <mergeCell ref="J1212:L1212"/>
    <mergeCell ref="M1212:N1212"/>
    <mergeCell ref="A1213:B1213"/>
    <mergeCell ref="C1213:E1213"/>
    <mergeCell ref="F1213:G1213"/>
    <mergeCell ref="H1213:I1213"/>
    <mergeCell ref="J1213:L1213"/>
    <mergeCell ref="M1213:N1213"/>
    <mergeCell ref="A1214:B1214"/>
    <mergeCell ref="C1214:E1214"/>
    <mergeCell ref="F1214:G1214"/>
    <mergeCell ref="H1214:I1214"/>
    <mergeCell ref="J1214:L1214"/>
    <mergeCell ref="M1214:N1214"/>
    <mergeCell ref="A1215:B1215"/>
    <mergeCell ref="C1215:E1215"/>
    <mergeCell ref="F1215:G1215"/>
    <mergeCell ref="H1215:I1215"/>
    <mergeCell ref="J1215:L1215"/>
    <mergeCell ref="M1215:N1215"/>
    <mergeCell ref="A1216:B1216"/>
    <mergeCell ref="C1216:E1216"/>
    <mergeCell ref="F1216:G1216"/>
    <mergeCell ref="H1216:I1216"/>
    <mergeCell ref="J1216:L1216"/>
    <mergeCell ref="M1216:N1216"/>
    <mergeCell ref="A1217:B1217"/>
    <mergeCell ref="C1217:E1217"/>
    <mergeCell ref="F1217:G1217"/>
    <mergeCell ref="H1217:I1217"/>
    <mergeCell ref="J1217:L1217"/>
    <mergeCell ref="M1217:N1217"/>
    <mergeCell ref="A1218:B1218"/>
    <mergeCell ref="C1218:E1218"/>
    <mergeCell ref="F1218:G1218"/>
    <mergeCell ref="H1218:I1218"/>
    <mergeCell ref="J1218:L1218"/>
    <mergeCell ref="M1218:N1218"/>
    <mergeCell ref="A1219:B1219"/>
    <mergeCell ref="C1219:E1219"/>
    <mergeCell ref="F1219:G1219"/>
    <mergeCell ref="H1219:I1219"/>
    <mergeCell ref="J1219:L1219"/>
    <mergeCell ref="M1219:N1219"/>
    <mergeCell ref="A1220:B1220"/>
    <mergeCell ref="C1220:E1220"/>
    <mergeCell ref="F1220:G1220"/>
    <mergeCell ref="H1220:I1220"/>
    <mergeCell ref="J1220:L1220"/>
    <mergeCell ref="M1220:N1220"/>
    <mergeCell ref="A1221:B1221"/>
    <mergeCell ref="C1221:E1221"/>
    <mergeCell ref="F1221:G1221"/>
    <mergeCell ref="H1221:I1221"/>
    <mergeCell ref="J1221:L1221"/>
    <mergeCell ref="M1221:N1221"/>
    <mergeCell ref="A1222:O1222"/>
    <mergeCell ref="A1223:B1224"/>
    <mergeCell ref="C1223:E1224"/>
    <mergeCell ref="F1223:N1223"/>
    <mergeCell ref="O1223:O1224"/>
    <mergeCell ref="F1224:G1224"/>
    <mergeCell ref="H1224:I1224"/>
    <mergeCell ref="J1224:L1224"/>
    <mergeCell ref="M1224:N1224"/>
    <mergeCell ref="A1225:B1225"/>
    <mergeCell ref="C1225:E1225"/>
    <mergeCell ref="F1225:G1225"/>
    <mergeCell ref="H1225:I1225"/>
    <mergeCell ref="J1225:L1225"/>
    <mergeCell ref="M1225:N1225"/>
    <mergeCell ref="A1226:B1226"/>
    <mergeCell ref="C1226:E1226"/>
    <mergeCell ref="F1226:G1226"/>
    <mergeCell ref="H1226:I1226"/>
    <mergeCell ref="J1226:L1226"/>
    <mergeCell ref="M1226:N1226"/>
    <mergeCell ref="A1227:B1227"/>
    <mergeCell ref="C1227:E1227"/>
    <mergeCell ref="F1227:G1227"/>
    <mergeCell ref="H1227:I1227"/>
    <mergeCell ref="J1227:L1227"/>
    <mergeCell ref="M1227:N1227"/>
    <mergeCell ref="A1228:B1228"/>
    <mergeCell ref="C1228:E1228"/>
    <mergeCell ref="F1228:G1228"/>
    <mergeCell ref="H1228:I1228"/>
    <mergeCell ref="J1228:L1228"/>
    <mergeCell ref="M1228:N1228"/>
    <mergeCell ref="A1229:B1229"/>
    <mergeCell ref="C1229:E1229"/>
    <mergeCell ref="F1229:G1229"/>
    <mergeCell ref="H1229:I1229"/>
    <mergeCell ref="J1229:L1229"/>
    <mergeCell ref="M1229:N1229"/>
    <mergeCell ref="A1230:B1230"/>
    <mergeCell ref="C1230:E1230"/>
    <mergeCell ref="F1230:G1230"/>
    <mergeCell ref="H1230:I1230"/>
    <mergeCell ref="J1230:L1230"/>
    <mergeCell ref="M1230:N1230"/>
    <mergeCell ref="A1231:B1231"/>
    <mergeCell ref="C1231:E1231"/>
    <mergeCell ref="F1231:G1231"/>
    <mergeCell ref="H1231:I1231"/>
    <mergeCell ref="J1231:L1231"/>
    <mergeCell ref="M1231:N1231"/>
    <mergeCell ref="A1232:B1232"/>
    <mergeCell ref="C1232:E1232"/>
    <mergeCell ref="F1232:G1232"/>
    <mergeCell ref="H1232:I1232"/>
    <mergeCell ref="J1232:L1232"/>
    <mergeCell ref="M1232:N1232"/>
    <mergeCell ref="A1233:B1233"/>
    <mergeCell ref="C1233:E1233"/>
    <mergeCell ref="F1233:G1233"/>
    <mergeCell ref="H1233:I1233"/>
    <mergeCell ref="J1233:L1233"/>
    <mergeCell ref="M1233:N1233"/>
    <mergeCell ref="A1234:B1234"/>
    <mergeCell ref="C1234:E1234"/>
    <mergeCell ref="F1234:G1234"/>
    <mergeCell ref="H1234:I1234"/>
    <mergeCell ref="J1234:L1234"/>
    <mergeCell ref="M1234:N1234"/>
    <mergeCell ref="A1235:B1235"/>
    <mergeCell ref="C1235:E1235"/>
    <mergeCell ref="F1235:G1235"/>
    <mergeCell ref="H1235:I1235"/>
    <mergeCell ref="J1235:L1235"/>
    <mergeCell ref="M1235:N1235"/>
    <mergeCell ref="A1236:B1236"/>
    <mergeCell ref="C1236:E1236"/>
    <mergeCell ref="F1236:G1236"/>
    <mergeCell ref="H1236:I1236"/>
    <mergeCell ref="J1236:L1236"/>
    <mergeCell ref="M1236:N1236"/>
    <mergeCell ref="A1237:O1237"/>
    <mergeCell ref="A1238:B1239"/>
    <mergeCell ref="C1238:E1239"/>
    <mergeCell ref="F1238:N1238"/>
    <mergeCell ref="O1238:O1239"/>
    <mergeCell ref="F1239:G1239"/>
    <mergeCell ref="H1239:I1239"/>
    <mergeCell ref="J1239:L1239"/>
    <mergeCell ref="M1239:N1239"/>
    <mergeCell ref="A1240:B1240"/>
    <mergeCell ref="C1240:E1240"/>
    <mergeCell ref="F1240:G1240"/>
    <mergeCell ref="H1240:I1240"/>
    <mergeCell ref="J1240:L1240"/>
    <mergeCell ref="M1240:N1240"/>
    <mergeCell ref="A1241:B1241"/>
    <mergeCell ref="C1241:E1241"/>
    <mergeCell ref="F1241:G1241"/>
    <mergeCell ref="H1241:I1241"/>
    <mergeCell ref="J1241:L1241"/>
    <mergeCell ref="M1241:N1241"/>
    <mergeCell ref="A1242:B1242"/>
    <mergeCell ref="C1242:E1242"/>
    <mergeCell ref="F1242:G1242"/>
    <mergeCell ref="H1242:I1242"/>
    <mergeCell ref="J1242:L1242"/>
    <mergeCell ref="M1242:N1242"/>
    <mergeCell ref="A1243:B1243"/>
    <mergeCell ref="C1243:E1243"/>
    <mergeCell ref="F1243:G1243"/>
    <mergeCell ref="H1243:I1243"/>
    <mergeCell ref="J1243:L1243"/>
    <mergeCell ref="M1243:N1243"/>
    <mergeCell ref="A1244:B1244"/>
    <mergeCell ref="C1244:E1244"/>
    <mergeCell ref="F1244:G1244"/>
    <mergeCell ref="H1244:I1244"/>
    <mergeCell ref="J1244:L1244"/>
    <mergeCell ref="M1244:N1244"/>
    <mergeCell ref="A1245:B1245"/>
    <mergeCell ref="C1245:E1245"/>
    <mergeCell ref="F1245:G1245"/>
    <mergeCell ref="H1245:I1245"/>
    <mergeCell ref="J1245:L1245"/>
    <mergeCell ref="M1245:N1245"/>
    <mergeCell ref="A1246:B1246"/>
    <mergeCell ref="C1246:E1246"/>
    <mergeCell ref="F1246:G1246"/>
    <mergeCell ref="H1246:I1246"/>
    <mergeCell ref="J1246:L1246"/>
    <mergeCell ref="M1246:N1246"/>
    <mergeCell ref="A1247:B1247"/>
    <mergeCell ref="C1247:E1247"/>
    <mergeCell ref="F1247:G1247"/>
    <mergeCell ref="H1247:I1247"/>
    <mergeCell ref="J1247:L1247"/>
    <mergeCell ref="M1247:N1247"/>
    <mergeCell ref="A1248:B1248"/>
    <mergeCell ref="C1248:E1248"/>
    <mergeCell ref="F1248:G1248"/>
    <mergeCell ref="H1248:I1248"/>
    <mergeCell ref="J1248:L1248"/>
    <mergeCell ref="M1248:N1248"/>
    <mergeCell ref="A1249:B1249"/>
    <mergeCell ref="C1249:E1249"/>
    <mergeCell ref="F1249:G1249"/>
    <mergeCell ref="H1249:I1249"/>
    <mergeCell ref="J1249:L1249"/>
    <mergeCell ref="M1249:N1249"/>
    <mergeCell ref="A1250:B1250"/>
    <mergeCell ref="C1250:N1250"/>
    <mergeCell ref="A1251:B1251"/>
    <mergeCell ref="C1251:E1251"/>
    <mergeCell ref="F1251:G1251"/>
    <mergeCell ref="H1251:I1251"/>
    <mergeCell ref="J1251:L1251"/>
    <mergeCell ref="M1251:N1251"/>
    <mergeCell ref="A1252:B1252"/>
    <mergeCell ref="C1252:E1252"/>
    <mergeCell ref="F1252:G1252"/>
    <mergeCell ref="H1252:I1252"/>
    <mergeCell ref="J1252:L1252"/>
    <mergeCell ref="M1252:N1252"/>
    <mergeCell ref="A1253:O1253"/>
    <mergeCell ref="A1254:B1255"/>
    <mergeCell ref="C1254:E1255"/>
    <mergeCell ref="F1254:N1254"/>
    <mergeCell ref="O1254:O1255"/>
    <mergeCell ref="F1255:G1255"/>
    <mergeCell ref="H1255:I1255"/>
    <mergeCell ref="J1255:L1255"/>
    <mergeCell ref="M1255:N1255"/>
    <mergeCell ref="A1256:B1256"/>
    <mergeCell ref="C1256:E1256"/>
    <mergeCell ref="F1256:G1256"/>
    <mergeCell ref="H1256:I1256"/>
    <mergeCell ref="J1256:L1256"/>
    <mergeCell ref="M1256:N1256"/>
    <mergeCell ref="A1257:B1257"/>
    <mergeCell ref="C1257:E1257"/>
    <mergeCell ref="F1257:G1257"/>
    <mergeCell ref="H1257:I1257"/>
    <mergeCell ref="J1257:L1257"/>
    <mergeCell ref="M1257:N1257"/>
    <mergeCell ref="A1258:B1258"/>
    <mergeCell ref="C1258:E1258"/>
    <mergeCell ref="F1258:G1258"/>
    <mergeCell ref="H1258:I1258"/>
    <mergeCell ref="J1258:L1258"/>
    <mergeCell ref="M1258:N1258"/>
    <mergeCell ref="A1259:B1259"/>
    <mergeCell ref="C1259:E1259"/>
    <mergeCell ref="F1259:G1259"/>
    <mergeCell ref="H1259:I1259"/>
    <mergeCell ref="J1259:L1259"/>
    <mergeCell ref="M1259:N1259"/>
    <mergeCell ref="A1260:B1260"/>
    <mergeCell ref="C1260:E1260"/>
    <mergeCell ref="F1260:G1260"/>
    <mergeCell ref="H1260:I1260"/>
    <mergeCell ref="J1260:L1260"/>
    <mergeCell ref="M1260:N1260"/>
    <mergeCell ref="A1261:B1261"/>
    <mergeCell ref="C1261:E1261"/>
    <mergeCell ref="F1261:G1261"/>
    <mergeCell ref="H1261:I1261"/>
    <mergeCell ref="J1261:L1261"/>
    <mergeCell ref="M1261:N1261"/>
    <mergeCell ref="A1262:B1262"/>
    <mergeCell ref="C1262:E1262"/>
    <mergeCell ref="F1262:G1262"/>
    <mergeCell ref="H1262:I1262"/>
    <mergeCell ref="J1262:L1262"/>
    <mergeCell ref="M1262:N1262"/>
    <mergeCell ref="A1263:B1263"/>
    <mergeCell ref="C1263:E1263"/>
    <mergeCell ref="F1263:G1263"/>
    <mergeCell ref="H1263:I1263"/>
    <mergeCell ref="J1263:L1263"/>
    <mergeCell ref="M1263:N1263"/>
    <mergeCell ref="A1264:B1264"/>
    <mergeCell ref="C1264:E1264"/>
    <mergeCell ref="F1264:G1264"/>
    <mergeCell ref="H1264:I1264"/>
    <mergeCell ref="J1264:L1264"/>
    <mergeCell ref="M1264:N1264"/>
    <mergeCell ref="A1265:B1265"/>
    <mergeCell ref="C1265:E1265"/>
    <mergeCell ref="F1265:G1265"/>
    <mergeCell ref="H1265:I1265"/>
    <mergeCell ref="J1265:L1265"/>
    <mergeCell ref="M1265:N1265"/>
    <mergeCell ref="A1266:B1266"/>
    <mergeCell ref="C1266:E1266"/>
    <mergeCell ref="F1266:G1266"/>
    <mergeCell ref="H1266:I1266"/>
    <mergeCell ref="J1266:L1266"/>
    <mergeCell ref="M1266:N1266"/>
    <mergeCell ref="A1267:B1267"/>
    <mergeCell ref="C1267:E1267"/>
    <mergeCell ref="F1267:G1267"/>
    <mergeCell ref="H1267:I1267"/>
    <mergeCell ref="J1267:L1267"/>
    <mergeCell ref="M1267:N1267"/>
    <mergeCell ref="A1268:O1268"/>
    <mergeCell ref="A1269:B1270"/>
    <mergeCell ref="C1269:E1270"/>
    <mergeCell ref="F1269:N1269"/>
    <mergeCell ref="O1269:O1270"/>
    <mergeCell ref="F1270:G1270"/>
    <mergeCell ref="H1270:I1270"/>
    <mergeCell ref="J1270:L1270"/>
    <mergeCell ref="M1270:N1270"/>
    <mergeCell ref="A1271:B1271"/>
    <mergeCell ref="C1271:E1271"/>
    <mergeCell ref="F1271:G1271"/>
    <mergeCell ref="H1271:I1271"/>
    <mergeCell ref="J1271:L1271"/>
    <mergeCell ref="M1271:N1271"/>
    <mergeCell ref="A1272:B1272"/>
    <mergeCell ref="C1272:E1272"/>
    <mergeCell ref="F1272:G1272"/>
    <mergeCell ref="H1272:I1272"/>
    <mergeCell ref="J1272:L1272"/>
    <mergeCell ref="M1272:N1272"/>
    <mergeCell ref="A1273:B1273"/>
    <mergeCell ref="C1273:E1273"/>
    <mergeCell ref="F1273:G1273"/>
    <mergeCell ref="H1273:I1273"/>
    <mergeCell ref="J1273:L1273"/>
    <mergeCell ref="M1273:N1273"/>
    <mergeCell ref="A1274:B1274"/>
    <mergeCell ref="C1274:E1274"/>
    <mergeCell ref="F1274:G1274"/>
    <mergeCell ref="H1274:I1274"/>
    <mergeCell ref="J1274:L1274"/>
    <mergeCell ref="M1274:N1274"/>
    <mergeCell ref="A1275:B1275"/>
    <mergeCell ref="C1275:E1275"/>
    <mergeCell ref="F1275:G1275"/>
    <mergeCell ref="H1275:I1275"/>
    <mergeCell ref="J1275:L1275"/>
    <mergeCell ref="M1275:N1275"/>
    <mergeCell ref="A1276:B1276"/>
    <mergeCell ref="C1276:E1276"/>
    <mergeCell ref="F1276:G1276"/>
    <mergeCell ref="H1276:I1276"/>
    <mergeCell ref="J1276:L1276"/>
    <mergeCell ref="M1276:N1276"/>
    <mergeCell ref="A1277:B1277"/>
    <mergeCell ref="C1277:E1277"/>
    <mergeCell ref="F1277:G1277"/>
    <mergeCell ref="H1277:I1277"/>
    <mergeCell ref="J1277:L1277"/>
    <mergeCell ref="M1277:N1277"/>
    <mergeCell ref="A1278:B1278"/>
    <mergeCell ref="C1278:E1278"/>
    <mergeCell ref="F1278:G1278"/>
    <mergeCell ref="H1278:I1278"/>
    <mergeCell ref="J1278:L1278"/>
    <mergeCell ref="M1278:N1278"/>
    <mergeCell ref="A1279:B1279"/>
    <mergeCell ref="C1279:E1279"/>
    <mergeCell ref="F1279:G1279"/>
    <mergeCell ref="H1279:I1279"/>
    <mergeCell ref="J1279:L1279"/>
    <mergeCell ref="M1279:N1279"/>
    <mergeCell ref="A1280:B1280"/>
    <mergeCell ref="C1280:E1280"/>
    <mergeCell ref="F1280:G1280"/>
    <mergeCell ref="H1280:I1280"/>
    <mergeCell ref="J1280:L1280"/>
    <mergeCell ref="M1280:N1280"/>
    <mergeCell ref="A1281:B1281"/>
    <mergeCell ref="C1281:E1281"/>
    <mergeCell ref="F1281:G1281"/>
    <mergeCell ref="H1281:I1281"/>
    <mergeCell ref="J1281:L1281"/>
    <mergeCell ref="M1281:N1281"/>
    <mergeCell ref="A1282:B1282"/>
    <mergeCell ref="C1282:E1282"/>
    <mergeCell ref="F1282:G1282"/>
    <mergeCell ref="H1282:I1282"/>
    <mergeCell ref="J1282:L1282"/>
    <mergeCell ref="M1282:N1282"/>
    <mergeCell ref="A1283:O1283"/>
    <mergeCell ref="A1284:B1285"/>
    <mergeCell ref="C1284:E1285"/>
    <mergeCell ref="F1284:N1284"/>
    <mergeCell ref="O1284:O1285"/>
    <mergeCell ref="F1285:G1285"/>
    <mergeCell ref="H1285:I1285"/>
    <mergeCell ref="J1285:L1285"/>
    <mergeCell ref="M1285:N1285"/>
    <mergeCell ref="A1286:B1286"/>
    <mergeCell ref="C1286:E1286"/>
    <mergeCell ref="F1286:G1286"/>
    <mergeCell ref="H1286:I1286"/>
    <mergeCell ref="J1286:L1286"/>
    <mergeCell ref="M1286:N1286"/>
    <mergeCell ref="A1287:B1287"/>
    <mergeCell ref="C1287:E1287"/>
    <mergeCell ref="F1287:G1287"/>
    <mergeCell ref="H1287:I1287"/>
    <mergeCell ref="J1287:L1287"/>
    <mergeCell ref="M1287:N1287"/>
    <mergeCell ref="A1288:B1288"/>
    <mergeCell ref="C1288:E1288"/>
    <mergeCell ref="F1288:G1288"/>
    <mergeCell ref="H1288:I1288"/>
    <mergeCell ref="J1288:L1288"/>
    <mergeCell ref="M1288:N1288"/>
    <mergeCell ref="A1289:B1289"/>
    <mergeCell ref="C1289:E1289"/>
    <mergeCell ref="F1289:G1289"/>
    <mergeCell ref="H1289:I1289"/>
    <mergeCell ref="J1289:L1289"/>
    <mergeCell ref="M1289:N1289"/>
    <mergeCell ref="A1290:B1290"/>
    <mergeCell ref="C1290:E1290"/>
    <mergeCell ref="F1290:G1290"/>
    <mergeCell ref="H1290:I1290"/>
    <mergeCell ref="J1290:L1290"/>
    <mergeCell ref="M1290:N1290"/>
    <mergeCell ref="A1291:B1291"/>
    <mergeCell ref="C1291:E1291"/>
    <mergeCell ref="F1291:G1291"/>
    <mergeCell ref="H1291:I1291"/>
    <mergeCell ref="J1291:L1291"/>
    <mergeCell ref="M1291:N1291"/>
    <mergeCell ref="A1292:B1292"/>
    <mergeCell ref="C1292:E1292"/>
    <mergeCell ref="F1292:G1292"/>
    <mergeCell ref="H1292:I1292"/>
    <mergeCell ref="J1292:L1292"/>
    <mergeCell ref="M1292:N1292"/>
    <mergeCell ref="A1293:B1293"/>
    <mergeCell ref="C1293:E1293"/>
    <mergeCell ref="F1293:G1293"/>
    <mergeCell ref="H1293:I1293"/>
    <mergeCell ref="J1293:L1293"/>
    <mergeCell ref="M1293:N1293"/>
    <mergeCell ref="A1294:B1294"/>
    <mergeCell ref="C1294:E1294"/>
    <mergeCell ref="F1294:G1294"/>
    <mergeCell ref="H1294:I1294"/>
    <mergeCell ref="J1294:L1294"/>
    <mergeCell ref="M1294:N1294"/>
    <mergeCell ref="A1295:B1295"/>
    <mergeCell ref="C1295:E1295"/>
    <mergeCell ref="F1295:G1295"/>
    <mergeCell ref="H1295:I1295"/>
    <mergeCell ref="J1295:L1295"/>
    <mergeCell ref="M1295:N1295"/>
    <mergeCell ref="A1296:B1296"/>
    <mergeCell ref="C1296:E1296"/>
    <mergeCell ref="F1296:G1296"/>
    <mergeCell ref="H1296:I1296"/>
    <mergeCell ref="J1296:L1296"/>
    <mergeCell ref="M1296:N1296"/>
    <mergeCell ref="A1297:B1297"/>
    <mergeCell ref="C1297:N1297"/>
    <mergeCell ref="A1298:B1298"/>
    <mergeCell ref="C1298:E1298"/>
    <mergeCell ref="F1298:G1298"/>
    <mergeCell ref="H1298:I1298"/>
    <mergeCell ref="J1298:L1298"/>
    <mergeCell ref="M1298:N1298"/>
    <mergeCell ref="A1299:O1299"/>
    <mergeCell ref="A1300:B1301"/>
    <mergeCell ref="C1300:E1301"/>
    <mergeCell ref="F1300:N1300"/>
    <mergeCell ref="O1300:O1301"/>
    <mergeCell ref="F1301:G1301"/>
    <mergeCell ref="H1301:I1301"/>
    <mergeCell ref="J1301:K1301"/>
    <mergeCell ref="L1301:N1301"/>
    <mergeCell ref="A1302:B1302"/>
    <mergeCell ref="C1302:E1302"/>
    <mergeCell ref="F1302:G1302"/>
    <mergeCell ref="H1302:I1302"/>
    <mergeCell ref="J1302:K1302"/>
    <mergeCell ref="L1302:N1302"/>
    <mergeCell ref="A1303:B1303"/>
    <mergeCell ref="C1303:N1303"/>
    <mergeCell ref="A1304:B1304"/>
    <mergeCell ref="C1304:N1304"/>
    <mergeCell ref="A1305:B1305"/>
    <mergeCell ref="C1305:N1305"/>
    <mergeCell ref="A1306:B1306"/>
    <mergeCell ref="C1306:E1306"/>
    <mergeCell ref="F1306:G1306"/>
    <mergeCell ref="H1306:I1306"/>
    <mergeCell ref="J1306:K1306"/>
    <mergeCell ref="L1306:N1306"/>
    <mergeCell ref="A1307:N1307"/>
    <mergeCell ref="A1308:G1308"/>
    <mergeCell ref="H1308:O1308"/>
    <mergeCell ref="J1309:K1309"/>
    <mergeCell ref="L1309:N1309"/>
    <mergeCell ref="A1310:C1310"/>
    <mergeCell ref="E1310:O1310"/>
    <mergeCell ref="A1311:C1311"/>
    <mergeCell ref="E1311:O1311"/>
    <mergeCell ref="A1312:C1312"/>
    <mergeCell ref="E1312:O1312"/>
    <mergeCell ref="A1313:O1313"/>
    <mergeCell ref="A1314:O1314"/>
    <mergeCell ref="A1315:O1315"/>
    <mergeCell ref="J1316:K1316"/>
    <mergeCell ref="L1316:N1316"/>
    <mergeCell ref="A1317:O1317"/>
    <mergeCell ref="B1318:F1318"/>
    <mergeCell ref="G1318:H1318"/>
    <mergeCell ref="I1318:K1318"/>
    <mergeCell ref="L1318:O1318"/>
    <mergeCell ref="A1319:O1319"/>
    <mergeCell ref="A1320:J1320"/>
    <mergeCell ref="K1320:O1320"/>
    <mergeCell ref="A1321:O1321"/>
    <mergeCell ref="A1322:B1322"/>
    <mergeCell ref="D1322:E1322"/>
    <mergeCell ref="F1322:G1322"/>
    <mergeCell ref="H1322:I1322"/>
    <mergeCell ref="K1322:L1322"/>
    <mergeCell ref="A1323:O1323"/>
    <mergeCell ref="A1324:C1324"/>
    <mergeCell ref="D1324:O1324"/>
    <mergeCell ref="A1325:C1325"/>
    <mergeCell ref="D1325:O1325"/>
    <mergeCell ref="A1326:C1326"/>
    <mergeCell ref="D1326:O1326"/>
    <mergeCell ref="A1327:C1327"/>
    <mergeCell ref="D1327:O1327"/>
    <mergeCell ref="A1328:C1328"/>
    <mergeCell ref="D1328:O1328"/>
    <mergeCell ref="A1329:C1329"/>
    <mergeCell ref="D1329:O1329"/>
    <mergeCell ref="A1330:C1330"/>
    <mergeCell ref="D1330:O1330"/>
    <mergeCell ref="A1331:C1331"/>
    <mergeCell ref="D1331:O1331"/>
    <mergeCell ref="A1332:C1332"/>
    <mergeCell ref="D1332:O1332"/>
    <mergeCell ref="A1333:C1333"/>
    <mergeCell ref="D1333:O1333"/>
    <mergeCell ref="A1334:C1334"/>
    <mergeCell ref="D1334:O1334"/>
    <mergeCell ref="A1335:C1335"/>
    <mergeCell ref="D1335:O1335"/>
    <mergeCell ref="A1336:C1336"/>
    <mergeCell ref="D1336:O1336"/>
    <mergeCell ref="A1337:C1337"/>
    <mergeCell ref="D1337:O1337"/>
    <mergeCell ref="A1338:C1338"/>
    <mergeCell ref="D1338:O1338"/>
    <mergeCell ref="A1339:C1339"/>
    <mergeCell ref="D1339:O1339"/>
    <mergeCell ref="A1340:B1340"/>
    <mergeCell ref="D1340:E1340"/>
    <mergeCell ref="F1340:G1340"/>
    <mergeCell ref="H1340:I1340"/>
    <mergeCell ref="K1340:L1340"/>
    <mergeCell ref="A1341:O1341"/>
    <mergeCell ref="A1342:C1342"/>
    <mergeCell ref="D1342:M1342"/>
    <mergeCell ref="N1342:O1342"/>
    <mergeCell ref="A1343:C1343"/>
    <mergeCell ref="D1343:M1343"/>
    <mergeCell ref="N1343:O1343"/>
    <mergeCell ref="A1344:C1344"/>
    <mergeCell ref="D1344:M1344"/>
    <mergeCell ref="N1344:O1344"/>
    <mergeCell ref="A1345:C1345"/>
    <mergeCell ref="D1345:M1345"/>
    <mergeCell ref="N1345:O1345"/>
    <mergeCell ref="A1346:C1346"/>
    <mergeCell ref="D1346:M1346"/>
    <mergeCell ref="N1346:O1346"/>
    <mergeCell ref="A1347:B1347"/>
    <mergeCell ref="D1347:E1347"/>
    <mergeCell ref="F1347:G1347"/>
    <mergeCell ref="H1347:I1347"/>
    <mergeCell ref="K1347:L1347"/>
    <mergeCell ref="A1348:O1348"/>
    <mergeCell ref="A1349:C1349"/>
    <mergeCell ref="D1349:O1349"/>
    <mergeCell ref="A1350:C1350"/>
    <mergeCell ref="D1350:O1350"/>
    <mergeCell ref="A1351:C1351"/>
    <mergeCell ref="D1351:O1351"/>
    <mergeCell ref="A1352:C1352"/>
    <mergeCell ref="D1352:O1352"/>
    <mergeCell ref="A1353:C1353"/>
    <mergeCell ref="D1353:O1353"/>
    <mergeCell ref="A1354:C1354"/>
    <mergeCell ref="D1354:O1354"/>
    <mergeCell ref="A1355:B1355"/>
    <mergeCell ref="D1355:E1355"/>
    <mergeCell ref="F1355:G1355"/>
    <mergeCell ref="H1355:I1355"/>
    <mergeCell ref="K1355:L1355"/>
    <mergeCell ref="A1356:O1356"/>
    <mergeCell ref="A1357:B1358"/>
    <mergeCell ref="C1357:E1358"/>
    <mergeCell ref="F1357:N1357"/>
    <mergeCell ref="O1357:O1358"/>
    <mergeCell ref="F1358:G1358"/>
    <mergeCell ref="H1358:I1358"/>
    <mergeCell ref="J1358:L1358"/>
    <mergeCell ref="M1358:N1358"/>
    <mergeCell ref="A1359:B1359"/>
    <mergeCell ref="C1359:N1359"/>
    <mergeCell ref="A1360:B1360"/>
    <mergeCell ref="C1360:N1360"/>
    <mergeCell ref="A1361:B1361"/>
    <mergeCell ref="C1361:N1361"/>
    <mergeCell ref="A1362:B1362"/>
    <mergeCell ref="C1362:N1362"/>
    <mergeCell ref="A1363:B1363"/>
    <mergeCell ref="C1363:N1363"/>
    <mergeCell ref="A1364:B1364"/>
    <mergeCell ref="C1364:N1364"/>
    <mergeCell ref="A1365:B1365"/>
    <mergeCell ref="C1365:N1365"/>
    <mergeCell ref="A1366:O1366"/>
    <mergeCell ref="A1367:B1368"/>
    <mergeCell ref="C1367:E1368"/>
    <mergeCell ref="F1367:N1367"/>
    <mergeCell ref="O1367:O1368"/>
    <mergeCell ref="F1368:G1368"/>
    <mergeCell ref="H1368:I1368"/>
    <mergeCell ref="J1368:L1368"/>
    <mergeCell ref="M1368:N1368"/>
    <mergeCell ref="A1369:B1369"/>
    <mergeCell ref="C1369:N1369"/>
    <mergeCell ref="A1370:B1370"/>
    <mergeCell ref="C1370:E1370"/>
    <mergeCell ref="F1370:G1370"/>
    <mergeCell ref="H1370:I1370"/>
    <mergeCell ref="J1370:L1370"/>
    <mergeCell ref="M1370:N1370"/>
    <mergeCell ref="A1371:B1371"/>
    <mergeCell ref="C1371:E1371"/>
    <mergeCell ref="F1371:G1371"/>
    <mergeCell ref="H1371:I1371"/>
    <mergeCell ref="J1371:L1371"/>
    <mergeCell ref="M1371:N1371"/>
    <mergeCell ref="A1372:B1372"/>
    <mergeCell ref="C1372:E1372"/>
    <mergeCell ref="F1372:G1372"/>
    <mergeCell ref="H1372:I1372"/>
    <mergeCell ref="J1372:L1372"/>
    <mergeCell ref="M1372:N1372"/>
    <mergeCell ref="A1373:B1373"/>
    <mergeCell ref="C1373:E1373"/>
    <mergeCell ref="F1373:G1373"/>
    <mergeCell ref="H1373:I1373"/>
    <mergeCell ref="J1373:L1373"/>
    <mergeCell ref="M1373:N1373"/>
    <mergeCell ref="A1374:B1374"/>
    <mergeCell ref="C1374:E1374"/>
    <mergeCell ref="F1374:G1374"/>
    <mergeCell ref="H1374:I1374"/>
    <mergeCell ref="J1374:L1374"/>
    <mergeCell ref="M1374:N1374"/>
    <mergeCell ref="A1375:B1375"/>
    <mergeCell ref="C1375:E1375"/>
    <mergeCell ref="F1375:G1375"/>
    <mergeCell ref="H1375:I1375"/>
    <mergeCell ref="J1375:L1375"/>
    <mergeCell ref="M1375:N1375"/>
    <mergeCell ref="A1376:B1376"/>
    <mergeCell ref="C1376:N1376"/>
    <mergeCell ref="A1377:B1377"/>
    <mergeCell ref="C1377:N1377"/>
    <mergeCell ref="A1378:B1378"/>
    <mergeCell ref="C1378:N1378"/>
    <mergeCell ref="A1379:B1379"/>
    <mergeCell ref="C1379:E1379"/>
    <mergeCell ref="F1379:G1379"/>
    <mergeCell ref="H1379:I1379"/>
    <mergeCell ref="J1379:L1379"/>
    <mergeCell ref="M1379:N1379"/>
    <mergeCell ref="A1380:B1380"/>
    <mergeCell ref="C1380:E1380"/>
    <mergeCell ref="F1380:G1380"/>
    <mergeCell ref="H1380:I1380"/>
    <mergeCell ref="J1380:L1380"/>
    <mergeCell ref="M1380:N1380"/>
    <mergeCell ref="A1381:B1381"/>
    <mergeCell ref="C1381:N1381"/>
    <mergeCell ref="A1382:B1382"/>
    <mergeCell ref="C1382:N1382"/>
    <mergeCell ref="A1383:B1383"/>
    <mergeCell ref="C1383:N1383"/>
    <mergeCell ref="A1384:B1384"/>
    <mergeCell ref="C1384:E1384"/>
    <mergeCell ref="F1384:G1384"/>
    <mergeCell ref="H1384:I1384"/>
    <mergeCell ref="J1384:L1384"/>
    <mergeCell ref="M1384:N1384"/>
    <mergeCell ref="A1385:B1385"/>
    <mergeCell ref="C1385:E1385"/>
    <mergeCell ref="F1385:G1385"/>
    <mergeCell ref="H1385:I1385"/>
    <mergeCell ref="J1385:L1385"/>
    <mergeCell ref="M1385:N1385"/>
    <mergeCell ref="A1386:B1386"/>
    <mergeCell ref="C1386:N1386"/>
    <mergeCell ref="A1387:B1387"/>
    <mergeCell ref="C1387:N1387"/>
    <mergeCell ref="A1388:B1388"/>
    <mergeCell ref="C1388:N1388"/>
    <mergeCell ref="A1389:B1389"/>
    <mergeCell ref="C1389:N1389"/>
    <mergeCell ref="A1390:B1390"/>
    <mergeCell ref="C1390:N1390"/>
    <mergeCell ref="A1391:B1391"/>
    <mergeCell ref="C1391:E1391"/>
    <mergeCell ref="F1391:G1391"/>
    <mergeCell ref="H1391:I1391"/>
    <mergeCell ref="J1391:L1391"/>
    <mergeCell ref="M1391:N1391"/>
    <mergeCell ref="A1392:O1392"/>
    <mergeCell ref="A1393:B1394"/>
    <mergeCell ref="C1393:E1394"/>
    <mergeCell ref="F1393:N1393"/>
    <mergeCell ref="O1393:O1394"/>
    <mergeCell ref="F1394:G1394"/>
    <mergeCell ref="H1394:I1394"/>
    <mergeCell ref="J1394:L1394"/>
    <mergeCell ref="M1394:N1394"/>
    <mergeCell ref="A1395:B1395"/>
    <mergeCell ref="C1395:N1395"/>
    <mergeCell ref="A1396:B1396"/>
    <mergeCell ref="C1396:N1396"/>
    <mergeCell ref="A1397:B1397"/>
    <mergeCell ref="C1397:N1397"/>
    <mergeCell ref="A1398:B1398"/>
    <mergeCell ref="C1398:E1398"/>
    <mergeCell ref="F1398:G1398"/>
    <mergeCell ref="H1398:I1398"/>
    <mergeCell ref="J1398:L1398"/>
    <mergeCell ref="M1398:N1398"/>
    <mergeCell ref="A1399:B1399"/>
    <mergeCell ref="C1399:E1399"/>
    <mergeCell ref="F1399:G1399"/>
    <mergeCell ref="H1399:I1399"/>
    <mergeCell ref="J1399:L1399"/>
    <mergeCell ref="M1399:N1399"/>
    <mergeCell ref="A1400:B1400"/>
    <mergeCell ref="C1400:N1400"/>
    <mergeCell ref="A1401:B1401"/>
    <mergeCell ref="C1401:N1401"/>
    <mergeCell ref="A1402:B1402"/>
    <mergeCell ref="C1402:N1402"/>
    <mergeCell ref="A1403:B1403"/>
    <mergeCell ref="C1403:N1403"/>
    <mergeCell ref="A1404:B1404"/>
    <mergeCell ref="C1404:E1404"/>
    <mergeCell ref="F1404:G1404"/>
    <mergeCell ref="H1404:I1404"/>
    <mergeCell ref="J1404:L1404"/>
    <mergeCell ref="M1404:N1404"/>
    <mergeCell ref="A1405:B1405"/>
    <mergeCell ref="C1405:N1405"/>
    <mergeCell ref="A1406:B1406"/>
    <mergeCell ref="C1406:N1406"/>
    <mergeCell ref="A1407:B1407"/>
    <mergeCell ref="C1407:N1407"/>
    <mergeCell ref="A1408:B1408"/>
    <mergeCell ref="C1408:E1408"/>
    <mergeCell ref="F1408:G1408"/>
    <mergeCell ref="H1408:I1408"/>
    <mergeCell ref="J1408:L1408"/>
    <mergeCell ref="M1408:N1408"/>
    <mergeCell ref="A1409:B1409"/>
    <mergeCell ref="C1409:N1409"/>
    <mergeCell ref="A1410:B1410"/>
    <mergeCell ref="C1410:N1410"/>
    <mergeCell ref="A1411:B1411"/>
    <mergeCell ref="C1411:N1411"/>
    <mergeCell ref="A1412:B1412"/>
    <mergeCell ref="C1412:E1412"/>
    <mergeCell ref="F1412:G1412"/>
    <mergeCell ref="H1412:I1412"/>
    <mergeCell ref="J1412:L1412"/>
    <mergeCell ref="M1412:N1412"/>
    <mergeCell ref="A1413:B1413"/>
    <mergeCell ref="C1413:N1413"/>
    <mergeCell ref="A1414:B1414"/>
    <mergeCell ref="C1414:N1414"/>
    <mergeCell ref="A1415:B1415"/>
    <mergeCell ref="C1415:N1415"/>
    <mergeCell ref="A1416:B1416"/>
    <mergeCell ref="C1416:N1416"/>
    <mergeCell ref="A1417:B1417"/>
    <mergeCell ref="C1417:N1417"/>
    <mergeCell ref="A1418:B1418"/>
    <mergeCell ref="C1418:E1418"/>
    <mergeCell ref="F1418:G1418"/>
    <mergeCell ref="H1418:I1418"/>
    <mergeCell ref="J1418:L1418"/>
    <mergeCell ref="M1418:N1418"/>
    <mergeCell ref="A1419:B1419"/>
    <mergeCell ref="C1419:E1419"/>
    <mergeCell ref="F1419:G1419"/>
    <mergeCell ref="H1419:I1419"/>
    <mergeCell ref="J1419:L1419"/>
    <mergeCell ref="M1419:N1419"/>
    <mergeCell ref="A1420:O1420"/>
    <mergeCell ref="A1421:B1422"/>
    <mergeCell ref="C1421:E1422"/>
    <mergeCell ref="F1421:N1421"/>
    <mergeCell ref="O1421:O1422"/>
    <mergeCell ref="F1422:G1422"/>
    <mergeCell ref="H1422:I1422"/>
    <mergeCell ref="J1422:L1422"/>
    <mergeCell ref="M1422:N1422"/>
    <mergeCell ref="A1423:B1423"/>
    <mergeCell ref="C1423:E1423"/>
    <mergeCell ref="F1423:G1423"/>
    <mergeCell ref="H1423:I1423"/>
    <mergeCell ref="J1423:L1423"/>
    <mergeCell ref="M1423:N1423"/>
    <mergeCell ref="A1424:B1424"/>
    <mergeCell ref="C1424:E1424"/>
    <mergeCell ref="F1424:G1424"/>
    <mergeCell ref="H1424:I1424"/>
    <mergeCell ref="J1424:L1424"/>
    <mergeCell ref="M1424:N1424"/>
    <mergeCell ref="A1425:B1425"/>
    <mergeCell ref="C1425:E1425"/>
    <mergeCell ref="F1425:G1425"/>
    <mergeCell ref="H1425:I1425"/>
    <mergeCell ref="J1425:L1425"/>
    <mergeCell ref="M1425:N1425"/>
    <mergeCell ref="A1426:B1426"/>
    <mergeCell ref="C1426:E1426"/>
    <mergeCell ref="F1426:G1426"/>
    <mergeCell ref="H1426:I1426"/>
    <mergeCell ref="J1426:L1426"/>
    <mergeCell ref="M1426:N1426"/>
    <mergeCell ref="A1427:B1427"/>
    <mergeCell ref="C1427:E1427"/>
    <mergeCell ref="F1427:G1427"/>
    <mergeCell ref="H1427:I1427"/>
    <mergeCell ref="J1427:L1427"/>
    <mergeCell ref="M1427:N1427"/>
    <mergeCell ref="A1428:B1428"/>
    <mergeCell ref="C1428:E1428"/>
    <mergeCell ref="F1428:G1428"/>
    <mergeCell ref="H1428:I1428"/>
    <mergeCell ref="J1428:L1428"/>
    <mergeCell ref="M1428:N1428"/>
    <mergeCell ref="A1429:B1429"/>
    <mergeCell ref="C1429:E1429"/>
    <mergeCell ref="F1429:G1429"/>
    <mergeCell ref="H1429:I1429"/>
    <mergeCell ref="J1429:L1429"/>
    <mergeCell ref="M1429:N1429"/>
    <mergeCell ref="A1430:B1430"/>
    <mergeCell ref="C1430:E1430"/>
    <mergeCell ref="F1430:G1430"/>
    <mergeCell ref="H1430:I1430"/>
    <mergeCell ref="J1430:L1430"/>
    <mergeCell ref="M1430:N1430"/>
    <mergeCell ref="A1431:B1431"/>
    <mergeCell ref="C1431:E1431"/>
    <mergeCell ref="F1431:G1431"/>
    <mergeCell ref="H1431:I1431"/>
    <mergeCell ref="J1431:L1431"/>
    <mergeCell ref="M1431:N1431"/>
    <mergeCell ref="A1432:B1432"/>
    <mergeCell ref="C1432:E1432"/>
    <mergeCell ref="F1432:G1432"/>
    <mergeCell ref="H1432:I1432"/>
    <mergeCell ref="J1432:L1432"/>
    <mergeCell ref="M1432:N1432"/>
    <mergeCell ref="A1433:N1433"/>
    <mergeCell ref="A1434:G1434"/>
    <mergeCell ref="H1434:O1434"/>
    <mergeCell ref="A1435:C1435"/>
    <mergeCell ref="E1435:O1435"/>
    <mergeCell ref="A1436:C1436"/>
    <mergeCell ref="E1436:O1436"/>
    <mergeCell ref="A1437:C1437"/>
    <mergeCell ref="E1437:O1437"/>
    <mergeCell ref="A1438:O1438"/>
    <mergeCell ref="A1439:O1439"/>
    <mergeCell ref="A1440:O1440"/>
    <mergeCell ref="B1441:C1441"/>
    <mergeCell ref="E1441:F1441"/>
    <mergeCell ref="G1441:H1441"/>
    <mergeCell ref="I1441:K1441"/>
    <mergeCell ref="L1441:O1441"/>
    <mergeCell ref="A1442:O1442"/>
    <mergeCell ref="B1443:F1443"/>
    <mergeCell ref="G1443:H1443"/>
    <mergeCell ref="I1443:K1443"/>
    <mergeCell ref="L1443:O1443"/>
    <mergeCell ref="A1444:O1444"/>
    <mergeCell ref="A1445:J1445"/>
    <mergeCell ref="K1445:O1445"/>
    <mergeCell ref="A1446:O1446"/>
    <mergeCell ref="A1447:B1447"/>
    <mergeCell ref="D1447:E1447"/>
    <mergeCell ref="F1447:G1447"/>
    <mergeCell ref="H1447:I1447"/>
    <mergeCell ref="K1447:L1447"/>
    <mergeCell ref="A1448:O1448"/>
    <mergeCell ref="A1449:C1449"/>
    <mergeCell ref="D1449:O1449"/>
    <mergeCell ref="A1450:C1450"/>
    <mergeCell ref="D1450:O1450"/>
    <mergeCell ref="A1451:C1451"/>
    <mergeCell ref="D1451:O1451"/>
    <mergeCell ref="A1452:C1452"/>
    <mergeCell ref="D1452:O1452"/>
    <mergeCell ref="A1453:C1453"/>
    <mergeCell ref="D1453:O1453"/>
    <mergeCell ref="A1454:C1454"/>
    <mergeCell ref="D1454:O1454"/>
    <mergeCell ref="A1455:C1455"/>
    <mergeCell ref="D1455:O1455"/>
    <mergeCell ref="A1456:C1456"/>
    <mergeCell ref="D1456:O1456"/>
    <mergeCell ref="A1457:C1457"/>
    <mergeCell ref="D1457:O1457"/>
    <mergeCell ref="A1458:C1458"/>
    <mergeCell ref="D1458:O1458"/>
    <mergeCell ref="A1459:C1459"/>
    <mergeCell ref="D1459:O1459"/>
    <mergeCell ref="A1460:C1460"/>
    <mergeCell ref="D1460:O1460"/>
    <mergeCell ref="A1461:C1461"/>
    <mergeCell ref="D1461:O1461"/>
    <mergeCell ref="A1462:C1462"/>
    <mergeCell ref="D1462:O1462"/>
    <mergeCell ref="A1463:C1463"/>
    <mergeCell ref="D1463:O1463"/>
    <mergeCell ref="A1464:C1464"/>
    <mergeCell ref="D1464:O1464"/>
    <mergeCell ref="A1465:B1465"/>
    <mergeCell ref="D1465:E1465"/>
    <mergeCell ref="F1465:G1465"/>
    <mergeCell ref="H1465:I1465"/>
    <mergeCell ref="K1465:L1465"/>
    <mergeCell ref="A1466:O1466"/>
    <mergeCell ref="A1467:C1467"/>
    <mergeCell ref="D1467:M1467"/>
    <mergeCell ref="N1467:O1467"/>
    <mergeCell ref="A1468:C1468"/>
    <mergeCell ref="D1468:M1468"/>
    <mergeCell ref="N1468:O1468"/>
    <mergeCell ref="A1469:C1469"/>
    <mergeCell ref="D1469:M1469"/>
    <mergeCell ref="N1469:O1469"/>
    <mergeCell ref="A1470:C1470"/>
    <mergeCell ref="D1470:M1470"/>
    <mergeCell ref="N1470:O1470"/>
    <mergeCell ref="A1471:C1471"/>
    <mergeCell ref="D1471:M1471"/>
    <mergeCell ref="N1471:O1471"/>
    <mergeCell ref="A1472:B1472"/>
    <mergeCell ref="D1472:E1472"/>
    <mergeCell ref="F1472:G1472"/>
    <mergeCell ref="H1472:I1472"/>
    <mergeCell ref="K1472:L1472"/>
    <mergeCell ref="A1473:O1473"/>
    <mergeCell ref="A1474:C1474"/>
    <mergeCell ref="D1474:O1474"/>
    <mergeCell ref="A1475:C1475"/>
    <mergeCell ref="D1475:O1475"/>
    <mergeCell ref="A1476:C1476"/>
    <mergeCell ref="D1476:O1476"/>
    <mergeCell ref="A1477:C1477"/>
    <mergeCell ref="D1477:O1477"/>
    <mergeCell ref="A1478:C1478"/>
    <mergeCell ref="D1478:O1478"/>
    <mergeCell ref="A1479:C1479"/>
    <mergeCell ref="D1479:O1479"/>
    <mergeCell ref="A1480:B1480"/>
    <mergeCell ref="D1480:E1480"/>
    <mergeCell ref="F1480:G1480"/>
    <mergeCell ref="H1480:I1480"/>
    <mergeCell ref="K1480:L1480"/>
    <mergeCell ref="A1481:O1481"/>
    <mergeCell ref="A1482:B1483"/>
    <mergeCell ref="C1482:E1483"/>
    <mergeCell ref="F1482:N1482"/>
    <mergeCell ref="O1482:O1483"/>
    <mergeCell ref="F1483:G1483"/>
    <mergeCell ref="H1483:I1483"/>
    <mergeCell ref="J1483:L1483"/>
    <mergeCell ref="M1483:N1483"/>
    <mergeCell ref="A1484:B1484"/>
    <mergeCell ref="C1484:N1484"/>
    <mergeCell ref="A1485:B1485"/>
    <mergeCell ref="C1485:N1485"/>
    <mergeCell ref="A1486:B1486"/>
    <mergeCell ref="C1486:N1486"/>
    <mergeCell ref="A1487:B1487"/>
    <mergeCell ref="C1487:N1487"/>
    <mergeCell ref="A1488:B1488"/>
    <mergeCell ref="C1488:N1488"/>
    <mergeCell ref="A1489:B1489"/>
    <mergeCell ref="C1489:N1489"/>
    <mergeCell ref="A1490:B1490"/>
    <mergeCell ref="C1490:N1490"/>
    <mergeCell ref="A1491:B1491"/>
    <mergeCell ref="C1491:N1491"/>
    <mergeCell ref="A1492:O1492"/>
    <mergeCell ref="A1493:B1494"/>
    <mergeCell ref="C1493:E1494"/>
    <mergeCell ref="F1493:N1493"/>
    <mergeCell ref="O1493:O1494"/>
    <mergeCell ref="F1494:G1494"/>
    <mergeCell ref="H1494:I1494"/>
    <mergeCell ref="J1494:L1494"/>
    <mergeCell ref="M1494:N1494"/>
    <mergeCell ref="A1495:B1495"/>
    <mergeCell ref="C1495:E1495"/>
    <mergeCell ref="F1495:G1495"/>
    <mergeCell ref="H1495:I1495"/>
    <mergeCell ref="J1495:L1495"/>
    <mergeCell ref="M1495:N1495"/>
    <mergeCell ref="A1496:B1496"/>
    <mergeCell ref="C1496:E1496"/>
    <mergeCell ref="F1496:G1496"/>
    <mergeCell ref="H1496:I1496"/>
    <mergeCell ref="J1496:L1496"/>
    <mergeCell ref="M1496:N1496"/>
    <mergeCell ref="A1497:B1497"/>
    <mergeCell ref="C1497:E1497"/>
    <mergeCell ref="F1497:G1497"/>
    <mergeCell ref="H1497:I1497"/>
    <mergeCell ref="J1497:L1497"/>
    <mergeCell ref="M1497:N1497"/>
    <mergeCell ref="A1498:B1498"/>
    <mergeCell ref="C1498:E1498"/>
    <mergeCell ref="F1498:G1498"/>
    <mergeCell ref="H1498:I1498"/>
    <mergeCell ref="J1498:L1498"/>
    <mergeCell ref="M1498:N1498"/>
    <mergeCell ref="A1499:B1499"/>
    <mergeCell ref="C1499:E1499"/>
    <mergeCell ref="F1499:G1499"/>
    <mergeCell ref="H1499:I1499"/>
    <mergeCell ref="J1499:L1499"/>
    <mergeCell ref="M1499:N1499"/>
    <mergeCell ref="A1500:B1500"/>
    <mergeCell ref="C1500:N1500"/>
    <mergeCell ref="A1501:B1501"/>
    <mergeCell ref="C1501:N1501"/>
    <mergeCell ref="A1502:B1502"/>
    <mergeCell ref="C1502:N1502"/>
    <mergeCell ref="A1503:B1503"/>
    <mergeCell ref="C1503:E1503"/>
    <mergeCell ref="F1503:G1503"/>
    <mergeCell ref="H1503:I1503"/>
    <mergeCell ref="J1503:L1503"/>
    <mergeCell ref="M1503:N1503"/>
    <mergeCell ref="A1504:B1504"/>
    <mergeCell ref="C1504:E1504"/>
    <mergeCell ref="F1504:G1504"/>
    <mergeCell ref="H1504:I1504"/>
    <mergeCell ref="J1504:L1504"/>
    <mergeCell ref="M1504:N1504"/>
    <mergeCell ref="A1505:B1505"/>
    <mergeCell ref="C1505:N1505"/>
    <mergeCell ref="A1506:B1506"/>
    <mergeCell ref="C1506:N1506"/>
    <mergeCell ref="A1507:B1507"/>
    <mergeCell ref="C1507:N1507"/>
    <mergeCell ref="A1508:B1508"/>
    <mergeCell ref="C1508:E1508"/>
    <mergeCell ref="F1508:G1508"/>
    <mergeCell ref="H1508:I1508"/>
    <mergeCell ref="J1508:L1508"/>
    <mergeCell ref="M1508:N1508"/>
    <mergeCell ref="A1509:B1509"/>
    <mergeCell ref="C1509:E1509"/>
    <mergeCell ref="F1509:G1509"/>
    <mergeCell ref="H1509:I1509"/>
    <mergeCell ref="J1509:L1509"/>
    <mergeCell ref="M1509:N1509"/>
    <mergeCell ref="A1510:B1510"/>
    <mergeCell ref="C1510:N1510"/>
    <mergeCell ref="A1511:B1511"/>
    <mergeCell ref="C1511:N1511"/>
    <mergeCell ref="A1512:B1512"/>
    <mergeCell ref="C1512:N1512"/>
    <mergeCell ref="A1513:B1513"/>
    <mergeCell ref="C1513:E1513"/>
    <mergeCell ref="F1513:G1513"/>
    <mergeCell ref="H1513:I1513"/>
    <mergeCell ref="J1513:L1513"/>
    <mergeCell ref="M1513:N1513"/>
    <mergeCell ref="A1514:O1514"/>
    <mergeCell ref="A1515:B1516"/>
    <mergeCell ref="C1515:E1516"/>
    <mergeCell ref="F1515:N1515"/>
    <mergeCell ref="O1515:O1516"/>
    <mergeCell ref="F1516:G1516"/>
    <mergeCell ref="H1516:I1516"/>
    <mergeCell ref="J1516:K1516"/>
    <mergeCell ref="L1516:N1516"/>
    <mergeCell ref="A1517:B1517"/>
    <mergeCell ref="C1517:E1517"/>
    <mergeCell ref="F1517:G1517"/>
    <mergeCell ref="H1517:I1517"/>
    <mergeCell ref="J1517:K1517"/>
    <mergeCell ref="L1517:N1517"/>
    <mergeCell ref="A1518:N1518"/>
    <mergeCell ref="A1519:G1519"/>
    <mergeCell ref="H1519:O1519"/>
    <mergeCell ref="J1520:K1520"/>
    <mergeCell ref="L1520:N1520"/>
    <mergeCell ref="A1521:C1521"/>
    <mergeCell ref="E1521:O1521"/>
    <mergeCell ref="A1522:C1522"/>
    <mergeCell ref="E1522:O1522"/>
    <mergeCell ref="A1523:C1523"/>
    <mergeCell ref="E1523:O1523"/>
    <mergeCell ref="A1524:O1524"/>
    <mergeCell ref="A1525:O1525"/>
    <mergeCell ref="A1526:O1526"/>
    <mergeCell ref="J1527:K1527"/>
    <mergeCell ref="L1527:N1527"/>
    <mergeCell ref="A1528:O1528"/>
    <mergeCell ref="B1529:F1529"/>
    <mergeCell ref="G1529:H1529"/>
    <mergeCell ref="I1529:K1529"/>
    <mergeCell ref="L1529:O1529"/>
    <mergeCell ref="A1530:O1530"/>
    <mergeCell ref="A1531:J1531"/>
    <mergeCell ref="K1531:O1531"/>
    <mergeCell ref="A1532:O1532"/>
    <mergeCell ref="A1533:B1533"/>
    <mergeCell ref="D1533:E1533"/>
    <mergeCell ref="F1533:G1533"/>
    <mergeCell ref="H1533:I1533"/>
    <mergeCell ref="K1533:L1533"/>
    <mergeCell ref="A1534:O1534"/>
    <mergeCell ref="A1535:C1535"/>
    <mergeCell ref="D1535:O1535"/>
    <mergeCell ref="A1536:C1536"/>
    <mergeCell ref="D1536:O1536"/>
    <mergeCell ref="A1537:C1537"/>
    <mergeCell ref="D1537:O1537"/>
    <mergeCell ref="A1538:C1538"/>
    <mergeCell ref="D1538:O1538"/>
    <mergeCell ref="A1539:C1539"/>
    <mergeCell ref="D1539:O1539"/>
    <mergeCell ref="A1540:C1540"/>
    <mergeCell ref="D1540:O1540"/>
    <mergeCell ref="A1541:C1541"/>
    <mergeCell ref="D1541:O1541"/>
    <mergeCell ref="A1542:C1542"/>
    <mergeCell ref="D1542:O1542"/>
    <mergeCell ref="A1543:C1543"/>
    <mergeCell ref="D1543:O1543"/>
    <mergeCell ref="A1544:C1544"/>
    <mergeCell ref="D1544:O1544"/>
    <mergeCell ref="A1545:C1545"/>
    <mergeCell ref="D1545:O1545"/>
    <mergeCell ref="A1546:C1546"/>
    <mergeCell ref="D1546:O1546"/>
    <mergeCell ref="A1547:C1547"/>
    <mergeCell ref="D1547:O1547"/>
    <mergeCell ref="A1548:C1548"/>
    <mergeCell ref="D1548:O1548"/>
    <mergeCell ref="A1549:C1549"/>
    <mergeCell ref="D1549:O1549"/>
    <mergeCell ref="A1550:C1550"/>
    <mergeCell ref="D1550:O1550"/>
    <mergeCell ref="A1551:B1551"/>
    <mergeCell ref="D1551:E1551"/>
    <mergeCell ref="F1551:G1551"/>
    <mergeCell ref="H1551:I1551"/>
    <mergeCell ref="K1551:L1551"/>
    <mergeCell ref="A1552:O1552"/>
    <mergeCell ref="A1553:C1553"/>
    <mergeCell ref="D1553:M1553"/>
    <mergeCell ref="N1553:O1553"/>
    <mergeCell ref="A1554:C1554"/>
    <mergeCell ref="D1554:M1554"/>
    <mergeCell ref="N1554:O1554"/>
    <mergeCell ref="A1555:C1555"/>
    <mergeCell ref="D1555:M1555"/>
    <mergeCell ref="N1555:O1555"/>
    <mergeCell ref="A1556:C1556"/>
    <mergeCell ref="D1556:M1556"/>
    <mergeCell ref="N1556:O1556"/>
    <mergeCell ref="A1557:C1557"/>
    <mergeCell ref="D1557:M1557"/>
    <mergeCell ref="N1557:O1557"/>
    <mergeCell ref="A1558:B1558"/>
    <mergeCell ref="D1558:E1558"/>
    <mergeCell ref="F1558:G1558"/>
    <mergeCell ref="H1558:I1558"/>
    <mergeCell ref="K1558:L1558"/>
    <mergeCell ref="A1559:O1559"/>
    <mergeCell ref="A1560:C1560"/>
    <mergeCell ref="D1560:O1560"/>
    <mergeCell ref="A1561:C1561"/>
    <mergeCell ref="D1561:O1561"/>
    <mergeCell ref="A1562:C1562"/>
    <mergeCell ref="D1562:O1562"/>
    <mergeCell ref="A1563:C1563"/>
    <mergeCell ref="D1563:O1563"/>
    <mergeCell ref="A1564:C1564"/>
    <mergeCell ref="D1564:O1564"/>
    <mergeCell ref="A1565:C1565"/>
    <mergeCell ref="D1565:O1565"/>
    <mergeCell ref="A1566:B1566"/>
    <mergeCell ref="D1566:E1566"/>
    <mergeCell ref="F1566:G1566"/>
    <mergeCell ref="H1566:I1566"/>
    <mergeCell ref="K1566:L1566"/>
    <mergeCell ref="A1567:O1567"/>
    <mergeCell ref="A1568:B1569"/>
    <mergeCell ref="C1568:E1569"/>
    <mergeCell ref="F1568:N1568"/>
    <mergeCell ref="O1568:O1569"/>
    <mergeCell ref="F1569:G1569"/>
    <mergeCell ref="H1569:I1569"/>
    <mergeCell ref="J1569:L1569"/>
    <mergeCell ref="M1569:N1569"/>
    <mergeCell ref="A1570:B1570"/>
    <mergeCell ref="C1570:N1570"/>
    <mergeCell ref="A1571:B1571"/>
    <mergeCell ref="C1571:N1571"/>
    <mergeCell ref="A1572:B1572"/>
    <mergeCell ref="C1572:N1572"/>
    <mergeCell ref="A1573:B1573"/>
    <mergeCell ref="C1573:N1573"/>
    <mergeCell ref="A1574:B1574"/>
    <mergeCell ref="C1574:N1574"/>
    <mergeCell ref="A1575:B1575"/>
    <mergeCell ref="C1575:N1575"/>
    <mergeCell ref="A1576:B1576"/>
    <mergeCell ref="C1576:N1576"/>
    <mergeCell ref="A1577:O1577"/>
    <mergeCell ref="A1578:B1579"/>
    <mergeCell ref="C1578:E1579"/>
    <mergeCell ref="F1578:N1578"/>
    <mergeCell ref="O1578:O1579"/>
    <mergeCell ref="F1579:G1579"/>
    <mergeCell ref="H1579:I1579"/>
    <mergeCell ref="J1579:L1579"/>
    <mergeCell ref="M1579:N1579"/>
    <mergeCell ref="A1580:B1580"/>
    <mergeCell ref="C1580:N1580"/>
    <mergeCell ref="A1581:B1581"/>
    <mergeCell ref="C1581:E1581"/>
    <mergeCell ref="F1581:G1581"/>
    <mergeCell ref="H1581:I1581"/>
    <mergeCell ref="J1581:L1581"/>
    <mergeCell ref="M1581:N1581"/>
    <mergeCell ref="A1582:B1582"/>
    <mergeCell ref="C1582:N1582"/>
    <mergeCell ref="A1583:B1583"/>
    <mergeCell ref="C1583:E1583"/>
    <mergeCell ref="F1583:G1583"/>
    <mergeCell ref="H1583:I1583"/>
    <mergeCell ref="J1583:L1583"/>
    <mergeCell ref="M1583:N1583"/>
    <mergeCell ref="A1584:B1584"/>
    <mergeCell ref="C1584:N1584"/>
    <mergeCell ref="A1585:B1585"/>
    <mergeCell ref="C1585:E1585"/>
    <mergeCell ref="F1585:G1585"/>
    <mergeCell ref="H1585:I1585"/>
    <mergeCell ref="J1585:L1585"/>
    <mergeCell ref="M1585:N1585"/>
    <mergeCell ref="A1586:B1586"/>
    <mergeCell ref="C1586:N1586"/>
    <mergeCell ref="A1587:B1587"/>
    <mergeCell ref="C1587:N1587"/>
    <mergeCell ref="A1588:B1588"/>
    <mergeCell ref="C1588:N1588"/>
    <mergeCell ref="A1589:B1589"/>
    <mergeCell ref="C1589:E1589"/>
    <mergeCell ref="F1589:G1589"/>
    <mergeCell ref="H1589:I1589"/>
    <mergeCell ref="J1589:L1589"/>
    <mergeCell ref="M1589:N1589"/>
    <mergeCell ref="A1590:B1590"/>
    <mergeCell ref="C1590:N1590"/>
    <mergeCell ref="A1591:B1591"/>
    <mergeCell ref="C1591:N1591"/>
    <mergeCell ref="A1592:B1592"/>
    <mergeCell ref="C1592:N1592"/>
    <mergeCell ref="A1593:B1593"/>
    <mergeCell ref="C1593:N1593"/>
    <mergeCell ref="A1594:B1594"/>
    <mergeCell ref="C1594:N1594"/>
    <mergeCell ref="A1595:B1595"/>
    <mergeCell ref="C1595:E1595"/>
    <mergeCell ref="F1595:G1595"/>
    <mergeCell ref="H1595:I1595"/>
    <mergeCell ref="J1595:L1595"/>
    <mergeCell ref="M1595:N1595"/>
    <mergeCell ref="A1596:B1596"/>
    <mergeCell ref="C1596:E1596"/>
    <mergeCell ref="F1596:G1596"/>
    <mergeCell ref="H1596:I1596"/>
    <mergeCell ref="J1596:L1596"/>
    <mergeCell ref="M1596:N1596"/>
    <mergeCell ref="A1597:B1597"/>
    <mergeCell ref="C1597:N1597"/>
    <mergeCell ref="A1598:B1598"/>
    <mergeCell ref="C1598:N1598"/>
    <mergeCell ref="A1599:B1599"/>
    <mergeCell ref="C1599:N1599"/>
    <mergeCell ref="A1600:B1600"/>
    <mergeCell ref="C1600:N1600"/>
    <mergeCell ref="A1601:B1601"/>
    <mergeCell ref="C1601:E1601"/>
    <mergeCell ref="F1601:G1601"/>
    <mergeCell ref="H1601:I1601"/>
    <mergeCell ref="J1601:L1601"/>
    <mergeCell ref="M1601:N1601"/>
    <mergeCell ref="A1602:N1602"/>
    <mergeCell ref="A1603:G1603"/>
    <mergeCell ref="H1603:O1603"/>
    <mergeCell ref="A1604:C1604"/>
    <mergeCell ref="E1604:O1604"/>
    <mergeCell ref="A1605:C1605"/>
    <mergeCell ref="E1605:O1605"/>
    <mergeCell ref="A1606:C1606"/>
    <mergeCell ref="E1606:O1606"/>
    <mergeCell ref="A1607:O1607"/>
    <mergeCell ref="A1608:O1608"/>
    <mergeCell ref="A1609:O1609"/>
    <mergeCell ref="B1610:C1610"/>
    <mergeCell ref="E1610:F1610"/>
    <mergeCell ref="G1610:H1610"/>
    <mergeCell ref="I1610:K1610"/>
    <mergeCell ref="L1610:O1610"/>
    <mergeCell ref="A1611:O1611"/>
    <mergeCell ref="B1612:F1612"/>
    <mergeCell ref="G1612:H1612"/>
    <mergeCell ref="I1612:K1612"/>
    <mergeCell ref="L1612:O1612"/>
    <mergeCell ref="A1613:O1613"/>
    <mergeCell ref="A1614:J1614"/>
    <mergeCell ref="K1614:O1614"/>
    <mergeCell ref="A1615:O1615"/>
    <mergeCell ref="A1616:B1616"/>
    <mergeCell ref="D1616:E1616"/>
    <mergeCell ref="F1616:G1616"/>
    <mergeCell ref="H1616:I1616"/>
    <mergeCell ref="K1616:L1616"/>
    <mergeCell ref="A1617:O1617"/>
    <mergeCell ref="A1618:C1618"/>
    <mergeCell ref="D1618:O1618"/>
    <mergeCell ref="A1619:C1619"/>
    <mergeCell ref="D1619:O1619"/>
    <mergeCell ref="A1620:C1620"/>
    <mergeCell ref="D1620:O1620"/>
    <mergeCell ref="A1621:C1621"/>
    <mergeCell ref="D1621:O1621"/>
    <mergeCell ref="A1622:C1622"/>
    <mergeCell ref="D1622:O1622"/>
    <mergeCell ref="A1623:C1623"/>
    <mergeCell ref="D1623:O1623"/>
    <mergeCell ref="A1624:C1624"/>
    <mergeCell ref="D1624:O1624"/>
    <mergeCell ref="A1625:C1625"/>
    <mergeCell ref="D1625:O1625"/>
    <mergeCell ref="A1626:C1626"/>
    <mergeCell ref="D1626:O1626"/>
    <mergeCell ref="A1627:C1627"/>
    <mergeCell ref="D1627:O1627"/>
    <mergeCell ref="A1628:C1628"/>
    <mergeCell ref="D1628:O1628"/>
    <mergeCell ref="A1629:C1629"/>
    <mergeCell ref="D1629:O1629"/>
    <mergeCell ref="A1630:C1630"/>
    <mergeCell ref="D1630:O1630"/>
    <mergeCell ref="A1631:C1631"/>
    <mergeCell ref="D1631:O1631"/>
    <mergeCell ref="A1632:C1632"/>
    <mergeCell ref="D1632:O1632"/>
    <mergeCell ref="A1633:C1633"/>
    <mergeCell ref="D1633:O1633"/>
    <mergeCell ref="A1634:B1634"/>
    <mergeCell ref="D1634:E1634"/>
    <mergeCell ref="F1634:G1634"/>
    <mergeCell ref="H1634:I1634"/>
    <mergeCell ref="K1634:L1634"/>
    <mergeCell ref="A1635:O1635"/>
    <mergeCell ref="A1636:C1636"/>
    <mergeCell ref="D1636:M1636"/>
    <mergeCell ref="N1636:O1636"/>
    <mergeCell ref="A1637:C1637"/>
    <mergeCell ref="D1637:M1637"/>
    <mergeCell ref="N1637:O1637"/>
    <mergeCell ref="A1638:C1638"/>
    <mergeCell ref="D1638:M1638"/>
    <mergeCell ref="N1638:O1638"/>
    <mergeCell ref="A1639:C1639"/>
    <mergeCell ref="D1639:M1639"/>
    <mergeCell ref="N1639:O1639"/>
    <mergeCell ref="A1640:C1640"/>
    <mergeCell ref="D1640:M1640"/>
    <mergeCell ref="N1640:O1640"/>
    <mergeCell ref="A1641:B1641"/>
    <mergeCell ref="D1641:E1641"/>
    <mergeCell ref="F1641:G1641"/>
    <mergeCell ref="H1641:I1641"/>
    <mergeCell ref="K1641:L1641"/>
    <mergeCell ref="A1642:O1642"/>
    <mergeCell ref="A1643:C1643"/>
    <mergeCell ref="D1643:O1643"/>
    <mergeCell ref="A1644:C1644"/>
    <mergeCell ref="D1644:O1644"/>
    <mergeCell ref="A1645:C1645"/>
    <mergeCell ref="D1645:O1645"/>
    <mergeCell ref="A1646:C1646"/>
    <mergeCell ref="D1646:O1646"/>
    <mergeCell ref="A1647:C1647"/>
    <mergeCell ref="D1647:O1647"/>
    <mergeCell ref="A1648:C1648"/>
    <mergeCell ref="D1648:O1648"/>
    <mergeCell ref="A1649:B1649"/>
    <mergeCell ref="D1649:E1649"/>
    <mergeCell ref="F1649:G1649"/>
    <mergeCell ref="H1649:I1649"/>
    <mergeCell ref="K1649:L1649"/>
    <mergeCell ref="A1650:O1650"/>
    <mergeCell ref="A1651:B1652"/>
    <mergeCell ref="C1651:E1652"/>
    <mergeCell ref="F1651:N1651"/>
    <mergeCell ref="O1651:O1652"/>
    <mergeCell ref="F1652:G1652"/>
    <mergeCell ref="H1652:I1652"/>
    <mergeCell ref="J1652:L1652"/>
    <mergeCell ref="M1652:N1652"/>
    <mergeCell ref="A1653:B1653"/>
    <mergeCell ref="C1653:N1653"/>
    <mergeCell ref="A1654:B1654"/>
    <mergeCell ref="C1654:N1654"/>
    <mergeCell ref="A1655:B1655"/>
    <mergeCell ref="C1655:N1655"/>
    <mergeCell ref="A1656:B1656"/>
    <mergeCell ref="C1656:N1656"/>
    <mergeCell ref="A1657:B1657"/>
    <mergeCell ref="C1657:N1657"/>
    <mergeCell ref="A1658:B1658"/>
    <mergeCell ref="C1658:N1658"/>
    <mergeCell ref="A1659:O1659"/>
    <mergeCell ref="A1660:B1661"/>
    <mergeCell ref="C1660:E1661"/>
    <mergeCell ref="F1660:N1660"/>
    <mergeCell ref="O1660:O1661"/>
    <mergeCell ref="F1661:G1661"/>
    <mergeCell ref="H1661:I1661"/>
    <mergeCell ref="J1661:L1661"/>
    <mergeCell ref="M1661:N1661"/>
    <mergeCell ref="A1662:B1662"/>
    <mergeCell ref="C1662:N1662"/>
    <mergeCell ref="A1663:B1663"/>
    <mergeCell ref="C1663:N1663"/>
    <mergeCell ref="A1664:B1664"/>
    <mergeCell ref="C1664:E1664"/>
    <mergeCell ref="F1664:G1664"/>
    <mergeCell ref="H1664:I1664"/>
    <mergeCell ref="J1664:L1664"/>
    <mergeCell ref="M1664:N1664"/>
    <mergeCell ref="A1665:B1665"/>
    <mergeCell ref="C1665:N1665"/>
    <mergeCell ref="A1666:B1666"/>
    <mergeCell ref="C1666:N1666"/>
    <mergeCell ref="A1667:B1667"/>
    <mergeCell ref="C1667:N1667"/>
    <mergeCell ref="A1668:B1668"/>
    <mergeCell ref="C1668:E1668"/>
    <mergeCell ref="F1668:G1668"/>
    <mergeCell ref="H1668:I1668"/>
    <mergeCell ref="J1668:L1668"/>
    <mergeCell ref="M1668:N1668"/>
    <mergeCell ref="A1669:B1669"/>
    <mergeCell ref="C1669:N1669"/>
    <mergeCell ref="A1670:B1670"/>
    <mergeCell ref="C1670:N1670"/>
    <mergeCell ref="A1671:B1671"/>
    <mergeCell ref="C1671:E1671"/>
    <mergeCell ref="F1671:G1671"/>
    <mergeCell ref="H1671:I1671"/>
    <mergeCell ref="J1671:L1671"/>
    <mergeCell ref="M1671:N1671"/>
    <mergeCell ref="A1672:B1672"/>
    <mergeCell ref="C1672:N1672"/>
    <mergeCell ref="A1673:B1673"/>
    <mergeCell ref="C1673:N1673"/>
    <mergeCell ref="A1674:B1674"/>
    <mergeCell ref="C1674:N1674"/>
    <mergeCell ref="A1675:B1675"/>
    <mergeCell ref="C1675:E1675"/>
    <mergeCell ref="F1675:G1675"/>
    <mergeCell ref="H1675:I1675"/>
    <mergeCell ref="J1675:L1675"/>
    <mergeCell ref="M1675:N1675"/>
    <mergeCell ref="A1676:B1676"/>
    <mergeCell ref="C1676:N1676"/>
    <mergeCell ref="A1677:B1677"/>
    <mergeCell ref="C1677:E1677"/>
    <mergeCell ref="F1677:G1677"/>
    <mergeCell ref="H1677:I1677"/>
    <mergeCell ref="J1677:L1677"/>
    <mergeCell ref="M1677:N1677"/>
    <mergeCell ref="A1678:B1678"/>
    <mergeCell ref="C1678:N1678"/>
    <mergeCell ref="A1679:B1679"/>
    <mergeCell ref="C1679:N1679"/>
    <mergeCell ref="A1680:B1680"/>
    <mergeCell ref="C1680:N1680"/>
    <mergeCell ref="A1681:B1681"/>
    <mergeCell ref="C1681:E1681"/>
    <mergeCell ref="F1681:G1681"/>
    <mergeCell ref="H1681:I1681"/>
    <mergeCell ref="J1681:L1681"/>
    <mergeCell ref="M1681:N1681"/>
    <mergeCell ref="A1682:B1682"/>
    <mergeCell ref="C1682:N1682"/>
    <mergeCell ref="A1683:O1683"/>
    <mergeCell ref="A1684:B1685"/>
    <mergeCell ref="C1684:E1685"/>
    <mergeCell ref="F1684:N1684"/>
    <mergeCell ref="O1684:O1685"/>
    <mergeCell ref="F1685:G1685"/>
    <mergeCell ref="H1685:I1685"/>
    <mergeCell ref="J1685:K1685"/>
    <mergeCell ref="L1685:N1685"/>
    <mergeCell ref="A1686:B1686"/>
    <mergeCell ref="C1686:E1686"/>
    <mergeCell ref="F1686:G1686"/>
    <mergeCell ref="H1686:I1686"/>
    <mergeCell ref="J1686:K1686"/>
    <mergeCell ref="L1686:N1686"/>
    <mergeCell ref="A1687:N1687"/>
    <mergeCell ref="A1688:G1688"/>
    <mergeCell ref="H1688:O1688"/>
    <mergeCell ref="J1689:K1689"/>
    <mergeCell ref="L1689:N1689"/>
    <mergeCell ref="A1690:C1690"/>
    <mergeCell ref="E1690:O1690"/>
    <mergeCell ref="A1691:C1691"/>
    <mergeCell ref="E1691:O1691"/>
    <mergeCell ref="A1692:C1692"/>
    <mergeCell ref="E1692:O1692"/>
    <mergeCell ref="A1693:O1693"/>
    <mergeCell ref="A1694:O1694"/>
    <mergeCell ref="A1695:O1695"/>
    <mergeCell ref="J1696:K1696"/>
    <mergeCell ref="L1696:N1696"/>
    <mergeCell ref="A1697:O1697"/>
    <mergeCell ref="B1698:F1698"/>
    <mergeCell ref="G1698:H1698"/>
    <mergeCell ref="I1698:K1698"/>
    <mergeCell ref="L1698:O1698"/>
    <mergeCell ref="A1699:O1699"/>
    <mergeCell ref="A1700:J1700"/>
    <mergeCell ref="K1700:O1700"/>
    <mergeCell ref="A1701:O1701"/>
    <mergeCell ref="A1702:B1702"/>
    <mergeCell ref="D1702:E1702"/>
    <mergeCell ref="F1702:G1702"/>
    <mergeCell ref="H1702:I1702"/>
    <mergeCell ref="K1702:L1702"/>
    <mergeCell ref="A1703:O1703"/>
    <mergeCell ref="A1704:C1704"/>
    <mergeCell ref="D1704:O1704"/>
    <mergeCell ref="A1705:C1705"/>
    <mergeCell ref="D1705:O1705"/>
    <mergeCell ref="A1706:C1706"/>
    <mergeCell ref="D1706:O1706"/>
    <mergeCell ref="A1707:C1707"/>
    <mergeCell ref="D1707:O1707"/>
    <mergeCell ref="A1708:C1708"/>
    <mergeCell ref="D1708:O1708"/>
    <mergeCell ref="A1709:C1709"/>
    <mergeCell ref="D1709:O1709"/>
    <mergeCell ref="A1710:C1710"/>
    <mergeCell ref="D1710:O1710"/>
    <mergeCell ref="A1711:C1711"/>
    <mergeCell ref="D1711:O1711"/>
    <mergeCell ref="A1712:C1712"/>
    <mergeCell ref="D1712:O1712"/>
    <mergeCell ref="A1713:C1713"/>
    <mergeCell ref="D1713:O1713"/>
    <mergeCell ref="A1714:C1714"/>
    <mergeCell ref="D1714:O1714"/>
    <mergeCell ref="A1715:C1715"/>
    <mergeCell ref="D1715:O1715"/>
    <mergeCell ref="A1716:C1716"/>
    <mergeCell ref="D1716:O1716"/>
    <mergeCell ref="A1717:C1717"/>
    <mergeCell ref="D1717:O1717"/>
    <mergeCell ref="A1718:C1718"/>
    <mergeCell ref="D1718:O1718"/>
    <mergeCell ref="A1719:C1719"/>
    <mergeCell ref="D1719:O1719"/>
    <mergeCell ref="A1720:B1720"/>
    <mergeCell ref="D1720:E1720"/>
    <mergeCell ref="F1720:G1720"/>
    <mergeCell ref="H1720:I1720"/>
    <mergeCell ref="K1720:L1720"/>
    <mergeCell ref="A1721:O1721"/>
    <mergeCell ref="A1722:C1722"/>
    <mergeCell ref="D1722:M1722"/>
    <mergeCell ref="N1722:O1722"/>
    <mergeCell ref="A1723:C1723"/>
    <mergeCell ref="D1723:M1723"/>
    <mergeCell ref="N1723:O1723"/>
    <mergeCell ref="A1724:C1724"/>
    <mergeCell ref="D1724:M1724"/>
    <mergeCell ref="N1724:O1724"/>
    <mergeCell ref="A1725:C1725"/>
    <mergeCell ref="D1725:M1725"/>
    <mergeCell ref="N1725:O1725"/>
    <mergeCell ref="A1726:C1726"/>
    <mergeCell ref="D1726:M1726"/>
    <mergeCell ref="N1726:O1726"/>
    <mergeCell ref="A1727:B1727"/>
    <mergeCell ref="D1727:E1727"/>
    <mergeCell ref="F1727:G1727"/>
    <mergeCell ref="H1727:I1727"/>
    <mergeCell ref="K1727:L1727"/>
    <mergeCell ref="A1728:O1728"/>
    <mergeCell ref="A1729:C1729"/>
    <mergeCell ref="D1729:O1729"/>
    <mergeCell ref="A1730:C1730"/>
    <mergeCell ref="D1730:O1730"/>
    <mergeCell ref="A1731:C1731"/>
    <mergeCell ref="D1731:O1731"/>
    <mergeCell ref="A1732:C1732"/>
    <mergeCell ref="D1732:O1732"/>
    <mergeCell ref="A1733:C1733"/>
    <mergeCell ref="D1733:O1733"/>
    <mergeCell ref="A1734:C1734"/>
    <mergeCell ref="D1734:O1734"/>
    <mergeCell ref="A1735:B1735"/>
    <mergeCell ref="D1735:E1735"/>
    <mergeCell ref="F1735:G1735"/>
    <mergeCell ref="H1735:I1735"/>
    <mergeCell ref="K1735:L1735"/>
    <mergeCell ref="A1736:O1736"/>
    <mergeCell ref="A1737:B1738"/>
    <mergeCell ref="C1737:E1738"/>
    <mergeCell ref="F1737:N1737"/>
    <mergeCell ref="O1737:O1738"/>
    <mergeCell ref="F1738:G1738"/>
    <mergeCell ref="H1738:I1738"/>
    <mergeCell ref="J1738:L1738"/>
    <mergeCell ref="M1738:N1738"/>
    <mergeCell ref="A1739:B1739"/>
    <mergeCell ref="C1739:N1739"/>
    <mergeCell ref="A1740:B1740"/>
    <mergeCell ref="C1740:N1740"/>
    <mergeCell ref="A1741:B1741"/>
    <mergeCell ref="C1741:N1741"/>
    <mergeCell ref="A1742:B1742"/>
    <mergeCell ref="C1742:N1742"/>
    <mergeCell ref="A1743:B1743"/>
    <mergeCell ref="C1743:N1743"/>
    <mergeCell ref="A1744:B1744"/>
    <mergeCell ref="C1744:N1744"/>
    <mergeCell ref="A1745:O1745"/>
    <mergeCell ref="A1746:B1747"/>
    <mergeCell ref="C1746:E1747"/>
    <mergeCell ref="F1746:N1746"/>
    <mergeCell ref="O1746:O1747"/>
    <mergeCell ref="F1747:G1747"/>
    <mergeCell ref="H1747:I1747"/>
    <mergeCell ref="J1747:L1747"/>
    <mergeCell ref="M1747:N1747"/>
    <mergeCell ref="A1748:B1748"/>
    <mergeCell ref="C1748:N1748"/>
    <mergeCell ref="A1749:B1749"/>
    <mergeCell ref="C1749:N1749"/>
    <mergeCell ref="A1750:B1750"/>
    <mergeCell ref="C1750:E1750"/>
    <mergeCell ref="F1750:G1750"/>
    <mergeCell ref="H1750:I1750"/>
    <mergeCell ref="J1750:L1750"/>
    <mergeCell ref="M1750:N1750"/>
    <mergeCell ref="A1751:B1751"/>
    <mergeCell ref="C1751:E1751"/>
    <mergeCell ref="F1751:G1751"/>
    <mergeCell ref="H1751:I1751"/>
    <mergeCell ref="J1751:L1751"/>
    <mergeCell ref="M1751:N1751"/>
    <mergeCell ref="A1752:B1752"/>
    <mergeCell ref="C1752:N1752"/>
    <mergeCell ref="A1753:B1753"/>
    <mergeCell ref="C1753:E1753"/>
    <mergeCell ref="F1753:G1753"/>
    <mergeCell ref="H1753:I1753"/>
    <mergeCell ref="J1753:L1753"/>
    <mergeCell ref="M1753:N1753"/>
    <mergeCell ref="A1754:B1754"/>
    <mergeCell ref="C1754:E1754"/>
    <mergeCell ref="F1754:G1754"/>
    <mergeCell ref="H1754:I1754"/>
    <mergeCell ref="J1754:L1754"/>
    <mergeCell ref="M1754:N1754"/>
    <mergeCell ref="A1755:B1755"/>
    <mergeCell ref="C1755:N1755"/>
    <mergeCell ref="A1756:B1756"/>
    <mergeCell ref="C1756:E1756"/>
    <mergeCell ref="F1756:G1756"/>
    <mergeCell ref="H1756:I1756"/>
    <mergeCell ref="J1756:L1756"/>
    <mergeCell ref="M1756:N1756"/>
    <mergeCell ref="A1757:B1757"/>
    <mergeCell ref="C1757:N1757"/>
    <mergeCell ref="A1758:B1758"/>
    <mergeCell ref="C1758:N1758"/>
    <mergeCell ref="A1759:B1759"/>
    <mergeCell ref="C1759:N1759"/>
    <mergeCell ref="A1760:B1760"/>
    <mergeCell ref="C1760:N1760"/>
    <mergeCell ref="A1761:B1761"/>
    <mergeCell ref="C1761:N1761"/>
    <mergeCell ref="A1762:B1762"/>
    <mergeCell ref="C1762:E1762"/>
    <mergeCell ref="F1762:G1762"/>
    <mergeCell ref="H1762:I1762"/>
    <mergeCell ref="J1762:L1762"/>
    <mergeCell ref="M1762:N1762"/>
    <mergeCell ref="A1763:B1763"/>
    <mergeCell ref="C1763:N1763"/>
    <mergeCell ref="A1764:B1764"/>
    <mergeCell ref="C1764:N1764"/>
    <mergeCell ref="A1765:B1765"/>
    <mergeCell ref="C1765:N1765"/>
    <mergeCell ref="A1766:B1766"/>
    <mergeCell ref="C1766:E1766"/>
    <mergeCell ref="F1766:G1766"/>
    <mergeCell ref="H1766:I1766"/>
    <mergeCell ref="J1766:L1766"/>
    <mergeCell ref="M1766:N1766"/>
    <mergeCell ref="A1767:B1767"/>
    <mergeCell ref="C1767:N1767"/>
    <mergeCell ref="A1768:B1768"/>
    <mergeCell ref="C1768:N1768"/>
    <mergeCell ref="A1769:B1769"/>
    <mergeCell ref="C1769:N1769"/>
    <mergeCell ref="A1770:B1770"/>
    <mergeCell ref="C1770:E1770"/>
    <mergeCell ref="F1770:G1770"/>
    <mergeCell ref="H1770:I1770"/>
    <mergeCell ref="J1770:L1770"/>
    <mergeCell ref="M1770:N1770"/>
    <mergeCell ref="A1771:B1771"/>
    <mergeCell ref="C1771:N1771"/>
    <mergeCell ref="A1772:B1772"/>
    <mergeCell ref="C1772:N1772"/>
    <mergeCell ref="A1773:B1773"/>
    <mergeCell ref="C1773:N1773"/>
    <mergeCell ref="A1774:O1774"/>
    <mergeCell ref="A1775:B1776"/>
    <mergeCell ref="C1775:E1776"/>
    <mergeCell ref="F1775:N1775"/>
    <mergeCell ref="O1775:O1776"/>
    <mergeCell ref="F1776:G1776"/>
    <mergeCell ref="H1776:I1776"/>
    <mergeCell ref="J1776:L1776"/>
    <mergeCell ref="M1776:N1776"/>
    <mergeCell ref="A1777:B1777"/>
    <mergeCell ref="C1777:E1777"/>
    <mergeCell ref="F1777:G1777"/>
    <mergeCell ref="H1777:I1777"/>
    <mergeCell ref="J1777:L1777"/>
    <mergeCell ref="M1777:N1777"/>
    <mergeCell ref="A1778:B1778"/>
    <mergeCell ref="C1778:N1778"/>
    <mergeCell ref="A1779:B1779"/>
    <mergeCell ref="C1779:N1779"/>
    <mergeCell ref="A1780:B1780"/>
    <mergeCell ref="C1780:N1780"/>
    <mergeCell ref="A1781:B1781"/>
    <mergeCell ref="C1781:E1781"/>
    <mergeCell ref="F1781:G1781"/>
    <mergeCell ref="H1781:I1781"/>
    <mergeCell ref="J1781:L1781"/>
    <mergeCell ref="M1781:N1781"/>
    <mergeCell ref="A1782:B1782"/>
    <mergeCell ref="C1782:E1782"/>
    <mergeCell ref="F1782:G1782"/>
    <mergeCell ref="H1782:I1782"/>
    <mergeCell ref="J1782:L1782"/>
    <mergeCell ref="M1782:N1782"/>
    <mergeCell ref="A1783:B1783"/>
    <mergeCell ref="C1783:N1783"/>
    <mergeCell ref="A1784:B1784"/>
    <mergeCell ref="C1784:N1784"/>
    <mergeCell ref="A1785:B1785"/>
    <mergeCell ref="C1785:N1785"/>
    <mergeCell ref="A1786:B1786"/>
    <mergeCell ref="C1786:E1786"/>
    <mergeCell ref="F1786:G1786"/>
    <mergeCell ref="H1786:I1786"/>
    <mergeCell ref="J1786:L1786"/>
    <mergeCell ref="M1786:N1786"/>
    <mergeCell ref="A1787:B1787"/>
    <mergeCell ref="C1787:E1787"/>
    <mergeCell ref="F1787:G1787"/>
    <mergeCell ref="H1787:I1787"/>
    <mergeCell ref="J1787:L1787"/>
    <mergeCell ref="M1787:N1787"/>
    <mergeCell ref="A1788:B1788"/>
    <mergeCell ref="C1788:N1788"/>
    <mergeCell ref="A1789:B1789"/>
    <mergeCell ref="C1789:N1789"/>
    <mergeCell ref="A1790:B1790"/>
    <mergeCell ref="C1790:E1790"/>
    <mergeCell ref="F1790:G1790"/>
    <mergeCell ref="H1790:I1790"/>
    <mergeCell ref="J1790:L1790"/>
    <mergeCell ref="M1790:N1790"/>
    <mergeCell ref="A1791:B1791"/>
    <mergeCell ref="C1791:N1791"/>
    <mergeCell ref="A1792:B1792"/>
    <mergeCell ref="C1792:N1792"/>
    <mergeCell ref="A1793:B1793"/>
    <mergeCell ref="C1793:N1793"/>
    <mergeCell ref="A1794:B1794"/>
    <mergeCell ref="C1794:N1794"/>
    <mergeCell ref="A1795:B1795"/>
    <mergeCell ref="C1795:E1795"/>
    <mergeCell ref="F1795:G1795"/>
    <mergeCell ref="H1795:I1795"/>
    <mergeCell ref="J1795:L1795"/>
    <mergeCell ref="M1795:N1795"/>
    <mergeCell ref="A1796:B1796"/>
    <mergeCell ref="C1796:N1796"/>
    <mergeCell ref="A1797:B1797"/>
    <mergeCell ref="C1797:E1797"/>
    <mergeCell ref="F1797:G1797"/>
    <mergeCell ref="H1797:I1797"/>
    <mergeCell ref="J1797:L1797"/>
    <mergeCell ref="M1797:N1797"/>
    <mergeCell ref="A1798:B1798"/>
    <mergeCell ref="C1798:N1798"/>
    <mergeCell ref="A1799:O1799"/>
    <mergeCell ref="A1800:B1801"/>
    <mergeCell ref="C1800:E1801"/>
    <mergeCell ref="F1800:N1800"/>
    <mergeCell ref="O1800:O1801"/>
    <mergeCell ref="F1801:G1801"/>
    <mergeCell ref="H1801:I1801"/>
    <mergeCell ref="J1801:K1801"/>
    <mergeCell ref="L1801:N1801"/>
    <mergeCell ref="A1802:B1802"/>
    <mergeCell ref="C1802:N1802"/>
    <mergeCell ref="A1803:B1803"/>
    <mergeCell ref="C1803:N1803"/>
    <mergeCell ref="A1804:B1804"/>
    <mergeCell ref="C1804:E1804"/>
    <mergeCell ref="F1804:G1804"/>
    <mergeCell ref="H1804:I1804"/>
    <mergeCell ref="J1804:K1804"/>
    <mergeCell ref="L1804:N1804"/>
    <mergeCell ref="A1805:B1805"/>
    <mergeCell ref="C1805:N1805"/>
    <mergeCell ref="A1806:B1806"/>
    <mergeCell ref="C1806:E1806"/>
    <mergeCell ref="F1806:G1806"/>
    <mergeCell ref="H1806:I1806"/>
    <mergeCell ref="J1806:K1806"/>
    <mergeCell ref="L1806:N1806"/>
    <mergeCell ref="A1807:B1807"/>
    <mergeCell ref="C1807:N1807"/>
    <mergeCell ref="A1808:B1808"/>
    <mergeCell ref="C1808:N1808"/>
    <mergeCell ref="A1809:B1809"/>
    <mergeCell ref="C1809:N1809"/>
    <mergeCell ref="A1810:B1810"/>
    <mergeCell ref="C1810:E1810"/>
    <mergeCell ref="F1810:G1810"/>
    <mergeCell ref="H1810:I1810"/>
    <mergeCell ref="J1810:K1810"/>
    <mergeCell ref="L1810:N1810"/>
    <mergeCell ref="A1811:B1811"/>
    <mergeCell ref="C1811:N1811"/>
    <mergeCell ref="A1812:B1812"/>
    <mergeCell ref="C1812:E1812"/>
    <mergeCell ref="F1812:G1812"/>
    <mergeCell ref="H1812:I1812"/>
    <mergeCell ref="J1812:K1812"/>
    <mergeCell ref="L1812:N1812"/>
    <mergeCell ref="A1813:N1813"/>
    <mergeCell ref="A1814:G1814"/>
    <mergeCell ref="H1814:O1814"/>
    <mergeCell ref="J1815:K1815"/>
    <mergeCell ref="L1815:N1815"/>
    <mergeCell ref="A1816:C1816"/>
    <mergeCell ref="E1816:O1816"/>
    <mergeCell ref="A1817:C1817"/>
    <mergeCell ref="E1817:O1817"/>
    <mergeCell ref="A1818:C1818"/>
    <mergeCell ref="E1818:O1818"/>
    <mergeCell ref="A1819:O1819"/>
    <mergeCell ref="A1820:O1820"/>
    <mergeCell ref="A1821:O1821"/>
    <mergeCell ref="J1822:K1822"/>
    <mergeCell ref="L1822:N1822"/>
    <mergeCell ref="A1823:O1823"/>
    <mergeCell ref="B1824:F1824"/>
    <mergeCell ref="G1824:H1824"/>
    <mergeCell ref="I1824:K1824"/>
    <mergeCell ref="L1824:O1824"/>
    <mergeCell ref="A1825:O1825"/>
    <mergeCell ref="A1826:J1826"/>
    <mergeCell ref="K1826:O1826"/>
    <mergeCell ref="A1827:O1827"/>
    <mergeCell ref="A1828:B1828"/>
    <mergeCell ref="D1828:E1828"/>
    <mergeCell ref="F1828:G1828"/>
    <mergeCell ref="H1828:I1828"/>
    <mergeCell ref="K1828:L1828"/>
    <mergeCell ref="A1829:O1829"/>
    <mergeCell ref="A1830:C1830"/>
    <mergeCell ref="D1830:O1830"/>
    <mergeCell ref="A1831:C1831"/>
    <mergeCell ref="D1831:O1831"/>
    <mergeCell ref="A1832:C1832"/>
    <mergeCell ref="D1832:O1832"/>
    <mergeCell ref="A1833:C1833"/>
    <mergeCell ref="D1833:O1833"/>
    <mergeCell ref="A1834:C1834"/>
    <mergeCell ref="D1834:O1834"/>
    <mergeCell ref="A1835:C1835"/>
    <mergeCell ref="D1835:O1835"/>
    <mergeCell ref="A1836:C1836"/>
    <mergeCell ref="D1836:O1836"/>
    <mergeCell ref="A1837:C1837"/>
    <mergeCell ref="D1837:O1837"/>
    <mergeCell ref="A1838:C1838"/>
    <mergeCell ref="D1838:O1838"/>
    <mergeCell ref="A1839:C1839"/>
    <mergeCell ref="D1839:O1839"/>
    <mergeCell ref="A1840:C1840"/>
    <mergeCell ref="D1840:O1840"/>
    <mergeCell ref="A1841:C1841"/>
    <mergeCell ref="D1841:O1841"/>
    <mergeCell ref="A1842:C1842"/>
    <mergeCell ref="D1842:O1842"/>
    <mergeCell ref="A1843:C1843"/>
    <mergeCell ref="D1843:O1843"/>
    <mergeCell ref="A1844:C1844"/>
    <mergeCell ref="D1844:O1844"/>
    <mergeCell ref="A1845:C1845"/>
    <mergeCell ref="D1845:O1845"/>
    <mergeCell ref="A1846:B1846"/>
    <mergeCell ref="D1846:E1846"/>
    <mergeCell ref="F1846:G1846"/>
    <mergeCell ref="H1846:I1846"/>
    <mergeCell ref="K1846:L1846"/>
    <mergeCell ref="A1847:O1847"/>
    <mergeCell ref="A1848:C1848"/>
    <mergeCell ref="D1848:M1848"/>
    <mergeCell ref="N1848:O1848"/>
    <mergeCell ref="A1849:C1849"/>
    <mergeCell ref="D1849:M1849"/>
    <mergeCell ref="N1849:O1849"/>
    <mergeCell ref="A1850:C1850"/>
    <mergeCell ref="D1850:M1850"/>
    <mergeCell ref="N1850:O1850"/>
    <mergeCell ref="A1851:C1851"/>
    <mergeCell ref="D1851:M1851"/>
    <mergeCell ref="N1851:O1851"/>
    <mergeCell ref="A1852:C1852"/>
    <mergeCell ref="D1852:M1852"/>
    <mergeCell ref="N1852:O1852"/>
    <mergeCell ref="A1853:B1853"/>
    <mergeCell ref="D1853:E1853"/>
    <mergeCell ref="F1853:G1853"/>
    <mergeCell ref="H1853:I1853"/>
    <mergeCell ref="K1853:L1853"/>
    <mergeCell ref="A1854:O1854"/>
    <mergeCell ref="A1855:C1855"/>
    <mergeCell ref="D1855:O1855"/>
    <mergeCell ref="A1856:C1856"/>
    <mergeCell ref="D1856:O1856"/>
    <mergeCell ref="A1857:C1857"/>
    <mergeCell ref="D1857:O1857"/>
    <mergeCell ref="A1858:C1858"/>
    <mergeCell ref="D1858:O1858"/>
    <mergeCell ref="A1859:C1859"/>
    <mergeCell ref="D1859:O1859"/>
    <mergeCell ref="A1860:C1860"/>
    <mergeCell ref="D1860:O1860"/>
    <mergeCell ref="A1861:B1861"/>
    <mergeCell ref="D1861:E1861"/>
    <mergeCell ref="F1861:G1861"/>
    <mergeCell ref="H1861:I1861"/>
    <mergeCell ref="K1861:L1861"/>
    <mergeCell ref="A1862:O1862"/>
    <mergeCell ref="A1863:B1864"/>
    <mergeCell ref="C1863:E1864"/>
    <mergeCell ref="F1863:N1863"/>
    <mergeCell ref="O1863:O1864"/>
    <mergeCell ref="F1864:G1864"/>
    <mergeCell ref="H1864:I1864"/>
    <mergeCell ref="J1864:L1864"/>
    <mergeCell ref="M1864:N1864"/>
    <mergeCell ref="A1865:B1865"/>
    <mergeCell ref="C1865:N1865"/>
    <mergeCell ref="A1866:B1866"/>
    <mergeCell ref="C1866:N1866"/>
    <mergeCell ref="A1867:B1867"/>
    <mergeCell ref="C1867:N1867"/>
    <mergeCell ref="A1868:B1868"/>
    <mergeCell ref="C1868:N1868"/>
    <mergeCell ref="A1869:B1869"/>
    <mergeCell ref="C1869:N1869"/>
    <mergeCell ref="A1870:B1870"/>
    <mergeCell ref="C1870:N1870"/>
    <mergeCell ref="A1871:B1871"/>
    <mergeCell ref="C1871:N1871"/>
    <mergeCell ref="A1872:O1872"/>
    <mergeCell ref="A1873:B1874"/>
    <mergeCell ref="C1873:E1874"/>
    <mergeCell ref="F1873:N1873"/>
    <mergeCell ref="O1873:O1874"/>
    <mergeCell ref="F1874:G1874"/>
    <mergeCell ref="H1874:I1874"/>
    <mergeCell ref="J1874:K1874"/>
    <mergeCell ref="L1874:N1874"/>
    <mergeCell ref="A1875:B1875"/>
    <mergeCell ref="C1875:N1875"/>
    <mergeCell ref="A1876:B1876"/>
    <mergeCell ref="C1876:E1876"/>
    <mergeCell ref="F1876:G1876"/>
    <mergeCell ref="H1876:I1876"/>
    <mergeCell ref="J1876:K1876"/>
    <mergeCell ref="L1876:N1876"/>
    <mergeCell ref="A1877:B1877"/>
    <mergeCell ref="C1877:E1877"/>
    <mergeCell ref="F1877:G1877"/>
    <mergeCell ref="H1877:I1877"/>
    <mergeCell ref="J1877:K1877"/>
    <mergeCell ref="L1877:N1877"/>
    <mergeCell ref="A1878:B1878"/>
    <mergeCell ref="C1878:E1878"/>
    <mergeCell ref="F1878:G1878"/>
    <mergeCell ref="H1878:I1878"/>
    <mergeCell ref="J1878:K1878"/>
    <mergeCell ref="L1878:N1878"/>
    <mergeCell ref="A1879:B1879"/>
    <mergeCell ref="C1879:E1879"/>
    <mergeCell ref="F1879:G1879"/>
    <mergeCell ref="H1879:I1879"/>
    <mergeCell ref="J1879:K1879"/>
    <mergeCell ref="L1879:N1879"/>
    <mergeCell ref="A1880:B1880"/>
    <mergeCell ref="C1880:N1880"/>
    <mergeCell ref="A1881:B1881"/>
    <mergeCell ref="C1881:N1881"/>
    <mergeCell ref="A1882:B1882"/>
    <mergeCell ref="C1882:N1882"/>
    <mergeCell ref="A1883:B1883"/>
    <mergeCell ref="C1883:N1883"/>
    <mergeCell ref="A1884:B1884"/>
    <mergeCell ref="C1884:N1884"/>
    <mergeCell ref="A1885:B1885"/>
    <mergeCell ref="C1885:E1885"/>
    <mergeCell ref="F1885:G1885"/>
    <mergeCell ref="H1885:I1885"/>
    <mergeCell ref="J1885:K1885"/>
    <mergeCell ref="L1885:N1885"/>
    <mergeCell ref="A1886:B1886"/>
    <mergeCell ref="C1886:E1886"/>
    <mergeCell ref="F1886:G1886"/>
    <mergeCell ref="H1886:I1886"/>
    <mergeCell ref="J1886:K1886"/>
    <mergeCell ref="L1886:N1886"/>
    <mergeCell ref="A1887:B1887"/>
    <mergeCell ref="C1887:E1887"/>
    <mergeCell ref="F1887:G1887"/>
    <mergeCell ref="H1887:I1887"/>
    <mergeCell ref="J1887:K1887"/>
    <mergeCell ref="L1887:N1887"/>
    <mergeCell ref="A1888:N1888"/>
    <mergeCell ref="A1889:G1889"/>
    <mergeCell ref="H1889:O1889"/>
    <mergeCell ref="J1890:K1890"/>
    <mergeCell ref="L1890:N1890"/>
    <mergeCell ref="A1891:C1891"/>
    <mergeCell ref="E1891:O1891"/>
    <mergeCell ref="A1892:C1892"/>
    <mergeCell ref="E1892:O1892"/>
    <mergeCell ref="A1893:C1893"/>
    <mergeCell ref="E1893:O1893"/>
    <mergeCell ref="A1894:O1894"/>
    <mergeCell ref="A1895:O1895"/>
    <mergeCell ref="A1896:O1896"/>
    <mergeCell ref="J1897:K1897"/>
    <mergeCell ref="L1897:N1897"/>
    <mergeCell ref="A1898:O1898"/>
    <mergeCell ref="B1899:F1899"/>
    <mergeCell ref="G1899:H1899"/>
    <mergeCell ref="I1899:K1899"/>
    <mergeCell ref="L1899:O1899"/>
    <mergeCell ref="A1900:O1900"/>
    <mergeCell ref="B1901:F1901"/>
    <mergeCell ref="G1901:H1901"/>
    <mergeCell ref="I1901:K1901"/>
    <mergeCell ref="L1901:O1901"/>
    <mergeCell ref="A1902:O1902"/>
    <mergeCell ref="A1903:J1903"/>
    <mergeCell ref="K1903:O1903"/>
    <mergeCell ref="A1904:O1904"/>
    <mergeCell ref="A1905:B1905"/>
    <mergeCell ref="D1905:E1905"/>
    <mergeCell ref="F1905:G1905"/>
    <mergeCell ref="H1905:I1905"/>
    <mergeCell ref="K1905:L1905"/>
    <mergeCell ref="A1906:O1906"/>
    <mergeCell ref="A1907:C1907"/>
    <mergeCell ref="D1907:O1907"/>
    <mergeCell ref="A1908:C1908"/>
    <mergeCell ref="D1908:O1908"/>
    <mergeCell ref="A1909:C1909"/>
    <mergeCell ref="D1909:O1909"/>
    <mergeCell ref="A1910:C1910"/>
    <mergeCell ref="D1910:O1910"/>
    <mergeCell ref="A1911:C1911"/>
    <mergeCell ref="D1911:O1911"/>
    <mergeCell ref="A1912:C1912"/>
    <mergeCell ref="D1912:O1912"/>
    <mergeCell ref="A1913:C1913"/>
    <mergeCell ref="D1913:O1913"/>
    <mergeCell ref="A1914:C1914"/>
    <mergeCell ref="D1914:O1914"/>
    <mergeCell ref="A1915:C1915"/>
    <mergeCell ref="D1915:O1915"/>
    <mergeCell ref="A1916:C1916"/>
    <mergeCell ref="D1916:O1916"/>
    <mergeCell ref="A1917:C1917"/>
    <mergeCell ref="D1917:O1917"/>
    <mergeCell ref="A1918:C1918"/>
    <mergeCell ref="D1918:O1918"/>
    <mergeCell ref="A1919:C1919"/>
    <mergeCell ref="D1919:O1919"/>
    <mergeCell ref="A1920:C1920"/>
    <mergeCell ref="D1920:O1920"/>
    <mergeCell ref="A1921:C1921"/>
    <mergeCell ref="D1921:O1921"/>
    <mergeCell ref="A1922:C1922"/>
    <mergeCell ref="D1922:O1922"/>
    <mergeCell ref="A1923:B1923"/>
    <mergeCell ref="D1923:E1923"/>
    <mergeCell ref="F1923:G1923"/>
    <mergeCell ref="H1923:I1923"/>
    <mergeCell ref="K1923:L1923"/>
    <mergeCell ref="A1924:O1924"/>
    <mergeCell ref="A1925:C1925"/>
    <mergeCell ref="D1925:M1925"/>
    <mergeCell ref="N1925:O1925"/>
    <mergeCell ref="A1926:C1926"/>
    <mergeCell ref="D1926:M1926"/>
    <mergeCell ref="N1926:O1926"/>
    <mergeCell ref="A1927:C1927"/>
    <mergeCell ref="D1927:M1927"/>
    <mergeCell ref="N1927:O1927"/>
    <mergeCell ref="A1928:C1928"/>
    <mergeCell ref="D1928:M1928"/>
    <mergeCell ref="N1928:O1928"/>
    <mergeCell ref="A1929:C1929"/>
    <mergeCell ref="D1929:M1929"/>
    <mergeCell ref="N1929:O1929"/>
    <mergeCell ref="A1930:B1930"/>
    <mergeCell ref="D1930:E1930"/>
    <mergeCell ref="F1930:G1930"/>
    <mergeCell ref="H1930:I1930"/>
    <mergeCell ref="K1930:L1930"/>
    <mergeCell ref="A1931:O1931"/>
    <mergeCell ref="A1932:C1932"/>
    <mergeCell ref="D1932:O1932"/>
    <mergeCell ref="A1933:C1933"/>
    <mergeCell ref="D1933:O1933"/>
    <mergeCell ref="A1934:C1934"/>
    <mergeCell ref="D1934:O1934"/>
    <mergeCell ref="A1935:C1935"/>
    <mergeCell ref="D1935:O1935"/>
    <mergeCell ref="A1936:C1936"/>
    <mergeCell ref="D1936:O1936"/>
    <mergeCell ref="A1937:C1937"/>
    <mergeCell ref="D1937:O1937"/>
    <mergeCell ref="A1938:B1938"/>
    <mergeCell ref="D1938:E1938"/>
    <mergeCell ref="F1938:G1938"/>
    <mergeCell ref="H1938:I1938"/>
    <mergeCell ref="K1938:L1938"/>
    <mergeCell ref="A1939:O1939"/>
    <mergeCell ref="A1940:B1941"/>
    <mergeCell ref="C1940:E1941"/>
    <mergeCell ref="F1940:N1940"/>
    <mergeCell ref="O1940:O1941"/>
    <mergeCell ref="F1941:G1941"/>
    <mergeCell ref="H1941:I1941"/>
    <mergeCell ref="J1941:L1941"/>
    <mergeCell ref="M1941:N1941"/>
    <mergeCell ref="A1942:B1942"/>
    <mergeCell ref="C1942:N1942"/>
    <mergeCell ref="A1943:B1943"/>
    <mergeCell ref="C1943:N1943"/>
    <mergeCell ref="A1944:B1944"/>
    <mergeCell ref="C1944:N1944"/>
    <mergeCell ref="A1945:B1945"/>
    <mergeCell ref="C1945:N1945"/>
    <mergeCell ref="A1946:B1946"/>
    <mergeCell ref="C1946:N1946"/>
    <mergeCell ref="A1947:B1947"/>
    <mergeCell ref="C1947:N1947"/>
    <mergeCell ref="A1948:B1948"/>
    <mergeCell ref="C1948:N1948"/>
    <mergeCell ref="A1949:O1949"/>
    <mergeCell ref="A1950:B1951"/>
    <mergeCell ref="C1950:E1951"/>
    <mergeCell ref="F1950:N1950"/>
    <mergeCell ref="O1950:O1951"/>
    <mergeCell ref="F1951:G1951"/>
    <mergeCell ref="H1951:I1951"/>
    <mergeCell ref="J1951:L1951"/>
    <mergeCell ref="M1951:N1951"/>
    <mergeCell ref="A1952:B1952"/>
    <mergeCell ref="C1952:N1952"/>
    <mergeCell ref="A1953:B1953"/>
    <mergeCell ref="C1953:E1953"/>
    <mergeCell ref="F1953:G1953"/>
    <mergeCell ref="H1953:I1953"/>
    <mergeCell ref="J1953:L1953"/>
    <mergeCell ref="M1953:N1953"/>
    <mergeCell ref="A1954:B1954"/>
    <mergeCell ref="C1954:E1954"/>
    <mergeCell ref="F1954:G1954"/>
    <mergeCell ref="H1954:I1954"/>
    <mergeCell ref="J1954:L1954"/>
    <mergeCell ref="M1954:N1954"/>
    <mergeCell ref="A1955:B1955"/>
    <mergeCell ref="C1955:E1955"/>
    <mergeCell ref="F1955:G1955"/>
    <mergeCell ref="H1955:I1955"/>
    <mergeCell ref="J1955:L1955"/>
    <mergeCell ref="M1955:N1955"/>
    <mergeCell ref="A1956:B1956"/>
    <mergeCell ref="C1956:E1956"/>
    <mergeCell ref="F1956:G1956"/>
    <mergeCell ref="H1956:I1956"/>
    <mergeCell ref="J1956:L1956"/>
    <mergeCell ref="M1956:N1956"/>
    <mergeCell ref="A1957:B1957"/>
    <mergeCell ref="C1957:E1957"/>
    <mergeCell ref="F1957:G1957"/>
    <mergeCell ref="H1957:I1957"/>
    <mergeCell ref="J1957:L1957"/>
    <mergeCell ref="M1957:N1957"/>
    <mergeCell ref="A1958:B1958"/>
    <mergeCell ref="C1958:N1958"/>
    <mergeCell ref="A1959:B1959"/>
    <mergeCell ref="C1959:N1959"/>
    <mergeCell ref="A1960:B1960"/>
    <mergeCell ref="C1960:N1960"/>
    <mergeCell ref="A1961:B1961"/>
    <mergeCell ref="C1961:N1961"/>
    <mergeCell ref="A1962:B1962"/>
    <mergeCell ref="C1962:N1962"/>
    <mergeCell ref="A1963:B1963"/>
    <mergeCell ref="C1963:E1963"/>
    <mergeCell ref="F1963:G1963"/>
    <mergeCell ref="H1963:I1963"/>
    <mergeCell ref="J1963:L1963"/>
    <mergeCell ref="M1963:N1963"/>
    <mergeCell ref="A1964:B1964"/>
    <mergeCell ref="C1964:E1964"/>
    <mergeCell ref="F1964:G1964"/>
    <mergeCell ref="H1964:I1964"/>
    <mergeCell ref="J1964:L1964"/>
    <mergeCell ref="M1964:N1964"/>
    <mergeCell ref="A1965:B1965"/>
    <mergeCell ref="C1965:N1965"/>
    <mergeCell ref="A1966:B1966"/>
    <mergeCell ref="C1966:N1966"/>
    <mergeCell ref="A1967:B1967"/>
    <mergeCell ref="C1967:N1967"/>
    <mergeCell ref="A1968:B1968"/>
    <mergeCell ref="C1968:E1968"/>
    <mergeCell ref="F1968:G1968"/>
    <mergeCell ref="H1968:I1968"/>
    <mergeCell ref="J1968:L1968"/>
    <mergeCell ref="M1968:N1968"/>
    <mergeCell ref="A1969:N1969"/>
    <mergeCell ref="A1970:G1970"/>
    <mergeCell ref="H1970:O1970"/>
    <mergeCell ref="A1971:C1971"/>
    <mergeCell ref="E1971:O1971"/>
    <mergeCell ref="A1972:C1972"/>
    <mergeCell ref="E1972:O1972"/>
    <mergeCell ref="A1973:C1973"/>
    <mergeCell ref="E1973:O1973"/>
    <mergeCell ref="A1974:O1974"/>
    <mergeCell ref="A1975:O1975"/>
    <mergeCell ref="A1976:O1976"/>
    <mergeCell ref="B1977:C1977"/>
    <mergeCell ref="E1977:F1977"/>
    <mergeCell ref="G1977:H1977"/>
    <mergeCell ref="I1977:K1977"/>
    <mergeCell ref="L1977:O1977"/>
    <mergeCell ref="A1978:O1978"/>
    <mergeCell ref="B1979:F1979"/>
    <mergeCell ref="G1979:H1979"/>
    <mergeCell ref="I1979:K1979"/>
    <mergeCell ref="L1979:O1979"/>
    <mergeCell ref="A1980:O1980"/>
    <mergeCell ref="A1981:J1981"/>
    <mergeCell ref="K1981:O1981"/>
    <mergeCell ref="A1982:O1982"/>
    <mergeCell ref="A1983:B1983"/>
    <mergeCell ref="D1983:E1983"/>
    <mergeCell ref="F1983:G1983"/>
    <mergeCell ref="H1983:I1983"/>
    <mergeCell ref="K1983:L1983"/>
    <mergeCell ref="A1984:O1984"/>
    <mergeCell ref="A1985:C1985"/>
    <mergeCell ref="D1985:O1985"/>
    <mergeCell ref="A1986:C1986"/>
    <mergeCell ref="D1986:O1986"/>
    <mergeCell ref="A1987:C1987"/>
    <mergeCell ref="D1987:O1987"/>
    <mergeCell ref="A1988:C1988"/>
    <mergeCell ref="D1988:O1988"/>
    <mergeCell ref="A1989:C1989"/>
    <mergeCell ref="D1989:O1989"/>
    <mergeCell ref="A1990:C1990"/>
    <mergeCell ref="D1990:O1990"/>
    <mergeCell ref="A1991:C1991"/>
    <mergeCell ref="D1991:O1991"/>
    <mergeCell ref="A1992:C1992"/>
    <mergeCell ref="D1992:O1992"/>
    <mergeCell ref="A1993:C1993"/>
    <mergeCell ref="D1993:O1993"/>
    <mergeCell ref="A1994:C1994"/>
    <mergeCell ref="D1994:O1994"/>
    <mergeCell ref="A1995:C1995"/>
    <mergeCell ref="D1995:O1995"/>
    <mergeCell ref="A1996:C1996"/>
    <mergeCell ref="D1996:O1996"/>
    <mergeCell ref="A1997:C1997"/>
    <mergeCell ref="D1997:O1997"/>
    <mergeCell ref="A1998:C1998"/>
    <mergeCell ref="D1998:O1998"/>
    <mergeCell ref="A1999:C1999"/>
    <mergeCell ref="D1999:O1999"/>
    <mergeCell ref="A2000:C2000"/>
    <mergeCell ref="D2000:O2000"/>
    <mergeCell ref="A2001:B2001"/>
    <mergeCell ref="D2001:E2001"/>
    <mergeCell ref="F2001:G2001"/>
    <mergeCell ref="H2001:I2001"/>
    <mergeCell ref="K2001:L2001"/>
    <mergeCell ref="A2002:O2002"/>
    <mergeCell ref="A2003:C2003"/>
    <mergeCell ref="D2003:M2003"/>
    <mergeCell ref="N2003:O2003"/>
    <mergeCell ref="A2004:C2004"/>
    <mergeCell ref="D2004:M2004"/>
    <mergeCell ref="N2004:O2004"/>
    <mergeCell ref="A2005:C2005"/>
    <mergeCell ref="D2005:M2005"/>
    <mergeCell ref="N2005:O2005"/>
    <mergeCell ref="A2006:C2006"/>
    <mergeCell ref="D2006:M2006"/>
    <mergeCell ref="N2006:O2006"/>
    <mergeCell ref="A2007:C2007"/>
    <mergeCell ref="D2007:M2007"/>
    <mergeCell ref="N2007:O2007"/>
    <mergeCell ref="A2008:B2008"/>
    <mergeCell ref="D2008:E2008"/>
    <mergeCell ref="F2008:G2008"/>
    <mergeCell ref="H2008:I2008"/>
    <mergeCell ref="K2008:L2008"/>
    <mergeCell ref="A2009:O2009"/>
    <mergeCell ref="A2010:C2010"/>
    <mergeCell ref="D2010:O2010"/>
    <mergeCell ref="A2011:C2011"/>
    <mergeCell ref="D2011:O2011"/>
    <mergeCell ref="A2012:C2012"/>
    <mergeCell ref="D2012:O2012"/>
    <mergeCell ref="A2013:C2013"/>
    <mergeCell ref="D2013:O2013"/>
    <mergeCell ref="A2014:C2014"/>
    <mergeCell ref="D2014:O2014"/>
    <mergeCell ref="A2015:C2015"/>
    <mergeCell ref="D2015:O2015"/>
    <mergeCell ref="A2016:B2016"/>
    <mergeCell ref="D2016:E2016"/>
    <mergeCell ref="F2016:G2016"/>
    <mergeCell ref="H2016:I2016"/>
    <mergeCell ref="K2016:L2016"/>
    <mergeCell ref="A2017:O2017"/>
    <mergeCell ref="A2018:B2019"/>
    <mergeCell ref="C2018:E2019"/>
    <mergeCell ref="F2018:N2018"/>
    <mergeCell ref="O2018:O2019"/>
    <mergeCell ref="F2019:G2019"/>
    <mergeCell ref="H2019:I2019"/>
    <mergeCell ref="J2019:L2019"/>
    <mergeCell ref="M2019:N2019"/>
    <mergeCell ref="A2020:B2020"/>
    <mergeCell ref="C2020:N2020"/>
    <mergeCell ref="A2021:B2021"/>
    <mergeCell ref="C2021:N2021"/>
    <mergeCell ref="A2022:B2022"/>
    <mergeCell ref="C2022:N2022"/>
    <mergeCell ref="A2023:B2023"/>
    <mergeCell ref="C2023:N2023"/>
    <mergeCell ref="A2024:B2024"/>
    <mergeCell ref="C2024:N2024"/>
    <mergeCell ref="A2025:B2025"/>
    <mergeCell ref="C2025:N2025"/>
    <mergeCell ref="A2026:O2026"/>
    <mergeCell ref="A2027:B2028"/>
    <mergeCell ref="C2027:E2028"/>
    <mergeCell ref="F2027:N2027"/>
    <mergeCell ref="O2027:O2028"/>
    <mergeCell ref="F2028:G2028"/>
    <mergeCell ref="H2028:I2028"/>
    <mergeCell ref="J2028:K2028"/>
    <mergeCell ref="L2028:N2028"/>
    <mergeCell ref="A2029:B2029"/>
    <mergeCell ref="C2029:N2029"/>
    <mergeCell ref="A2030:B2030"/>
    <mergeCell ref="C2030:N2030"/>
    <mergeCell ref="A2031:B2031"/>
    <mergeCell ref="C2031:E2031"/>
    <mergeCell ref="F2031:G2031"/>
    <mergeCell ref="H2031:I2031"/>
    <mergeCell ref="J2031:K2031"/>
    <mergeCell ref="L2031:N2031"/>
    <mergeCell ref="A2032:B2032"/>
    <mergeCell ref="C2032:N2032"/>
    <mergeCell ref="A2033:B2033"/>
    <mergeCell ref="C2033:N2033"/>
    <mergeCell ref="A2034:B2034"/>
    <mergeCell ref="C2034:N2034"/>
    <mergeCell ref="A2035:B2035"/>
    <mergeCell ref="C2035:E2035"/>
    <mergeCell ref="F2035:G2035"/>
    <mergeCell ref="H2035:I2035"/>
    <mergeCell ref="J2035:K2035"/>
    <mergeCell ref="L2035:N2035"/>
    <mergeCell ref="A2036:B2036"/>
    <mergeCell ref="C2036:N2036"/>
    <mergeCell ref="A2037:B2037"/>
    <mergeCell ref="C2037:N2037"/>
    <mergeCell ref="A2038:B2038"/>
    <mergeCell ref="C2038:N2038"/>
    <mergeCell ref="A2039:B2039"/>
    <mergeCell ref="C2039:E2039"/>
    <mergeCell ref="F2039:G2039"/>
    <mergeCell ref="H2039:I2039"/>
    <mergeCell ref="J2039:K2039"/>
    <mergeCell ref="L2039:N2039"/>
    <mergeCell ref="A2040:N2040"/>
    <mergeCell ref="A2041:G2041"/>
    <mergeCell ref="H2041:O2041"/>
    <mergeCell ref="J2042:K2042"/>
    <mergeCell ref="L2042:N2042"/>
    <mergeCell ref="A2043:C2043"/>
    <mergeCell ref="E2043:O2043"/>
    <mergeCell ref="A2044:C2044"/>
    <mergeCell ref="E2044:O2044"/>
    <mergeCell ref="A2045:C2045"/>
    <mergeCell ref="E2045:O2045"/>
    <mergeCell ref="A2046:O2046"/>
    <mergeCell ref="A2047:O2047"/>
    <mergeCell ref="A2048:O2048"/>
    <mergeCell ref="J2049:K2049"/>
    <mergeCell ref="L2049:N2049"/>
    <mergeCell ref="A2050:O2050"/>
    <mergeCell ref="B2051:F2051"/>
    <mergeCell ref="G2051:H2051"/>
    <mergeCell ref="I2051:K2051"/>
    <mergeCell ref="L2051:O2051"/>
    <mergeCell ref="A2052:O2052"/>
    <mergeCell ref="A2053:J2053"/>
    <mergeCell ref="K2053:O2053"/>
    <mergeCell ref="A2054:O2054"/>
    <mergeCell ref="A2055:B2055"/>
    <mergeCell ref="D2055:E2055"/>
    <mergeCell ref="F2055:G2055"/>
    <mergeCell ref="H2055:I2055"/>
    <mergeCell ref="K2055:L2055"/>
    <mergeCell ref="A2056:O2056"/>
    <mergeCell ref="A2057:C2057"/>
    <mergeCell ref="D2057:O2057"/>
    <mergeCell ref="A2058:C2058"/>
    <mergeCell ref="D2058:O2058"/>
    <mergeCell ref="A2059:C2059"/>
    <mergeCell ref="D2059:O2059"/>
    <mergeCell ref="A2060:C2060"/>
    <mergeCell ref="D2060:O2060"/>
    <mergeCell ref="A2061:C2061"/>
    <mergeCell ref="D2061:O2061"/>
    <mergeCell ref="A2062:C2062"/>
    <mergeCell ref="D2062:O2062"/>
    <mergeCell ref="A2063:C2063"/>
    <mergeCell ref="D2063:O2063"/>
    <mergeCell ref="A2064:C2064"/>
    <mergeCell ref="D2064:O2064"/>
    <mergeCell ref="A2065:C2065"/>
    <mergeCell ref="D2065:O2065"/>
    <mergeCell ref="A2066:C2066"/>
    <mergeCell ref="D2066:O2066"/>
    <mergeCell ref="A2067:C2067"/>
    <mergeCell ref="D2067:O2067"/>
    <mergeCell ref="A2068:C2068"/>
    <mergeCell ref="D2068:O2068"/>
    <mergeCell ref="A2069:C2069"/>
    <mergeCell ref="D2069:O2069"/>
    <mergeCell ref="A2070:C2070"/>
    <mergeCell ref="D2070:O2070"/>
    <mergeCell ref="A2071:C2071"/>
    <mergeCell ref="D2071:O2071"/>
    <mergeCell ref="A2072:C2072"/>
    <mergeCell ref="D2072:O2072"/>
    <mergeCell ref="A2073:B2073"/>
    <mergeCell ref="D2073:E2073"/>
    <mergeCell ref="F2073:G2073"/>
    <mergeCell ref="H2073:I2073"/>
    <mergeCell ref="K2073:L2073"/>
    <mergeCell ref="A2074:O2074"/>
    <mergeCell ref="A2075:C2075"/>
    <mergeCell ref="D2075:M2075"/>
    <mergeCell ref="N2075:O2075"/>
    <mergeCell ref="A2076:C2076"/>
    <mergeCell ref="D2076:M2076"/>
    <mergeCell ref="N2076:O2076"/>
    <mergeCell ref="A2077:C2077"/>
    <mergeCell ref="D2077:M2077"/>
    <mergeCell ref="N2077:O2077"/>
    <mergeCell ref="A2078:C2078"/>
    <mergeCell ref="D2078:M2078"/>
    <mergeCell ref="N2078:O2078"/>
    <mergeCell ref="A2079:C2079"/>
    <mergeCell ref="D2079:M2079"/>
    <mergeCell ref="N2079:O2079"/>
    <mergeCell ref="A2080:B2080"/>
    <mergeCell ref="D2080:E2080"/>
    <mergeCell ref="F2080:G2080"/>
    <mergeCell ref="H2080:I2080"/>
    <mergeCell ref="K2080:L2080"/>
    <mergeCell ref="A2081:O2081"/>
    <mergeCell ref="A2082:C2082"/>
    <mergeCell ref="D2082:O2082"/>
    <mergeCell ref="A2083:C2083"/>
    <mergeCell ref="D2083:O2083"/>
    <mergeCell ref="A2084:C2084"/>
    <mergeCell ref="D2084:O2084"/>
    <mergeCell ref="A2085:C2085"/>
    <mergeCell ref="D2085:O2085"/>
    <mergeCell ref="A2086:C2086"/>
    <mergeCell ref="D2086:O2086"/>
    <mergeCell ref="A2087:C2087"/>
    <mergeCell ref="D2087:O2087"/>
    <mergeCell ref="A2088:B2088"/>
    <mergeCell ref="D2088:E2088"/>
    <mergeCell ref="F2088:G2088"/>
    <mergeCell ref="H2088:I2088"/>
    <mergeCell ref="K2088:L2088"/>
    <mergeCell ref="A2089:O2089"/>
    <mergeCell ref="A2090:B2091"/>
    <mergeCell ref="C2090:E2091"/>
    <mergeCell ref="F2090:N2090"/>
    <mergeCell ref="O2090:O2091"/>
    <mergeCell ref="F2091:G2091"/>
    <mergeCell ref="H2091:I2091"/>
    <mergeCell ref="J2091:L2091"/>
    <mergeCell ref="M2091:N2091"/>
    <mergeCell ref="A2092:B2092"/>
    <mergeCell ref="C2092:N2092"/>
    <mergeCell ref="A2093:B2093"/>
    <mergeCell ref="C2093:N2093"/>
    <mergeCell ref="A2094:B2094"/>
    <mergeCell ref="C2094:N2094"/>
    <mergeCell ref="A2095:B2095"/>
    <mergeCell ref="C2095:N2095"/>
    <mergeCell ref="A2096:B2096"/>
    <mergeCell ref="C2096:N2096"/>
    <mergeCell ref="A2097:B2097"/>
    <mergeCell ref="C2097:N2097"/>
    <mergeCell ref="A2098:B2098"/>
    <mergeCell ref="C2098:N2098"/>
    <mergeCell ref="A2099:B2099"/>
    <mergeCell ref="C2099:N2099"/>
    <mergeCell ref="A2100:O2100"/>
    <mergeCell ref="A2101:B2102"/>
    <mergeCell ref="C2101:E2102"/>
    <mergeCell ref="F2101:N2101"/>
    <mergeCell ref="O2101:O2102"/>
    <mergeCell ref="F2102:G2102"/>
    <mergeCell ref="H2102:I2102"/>
    <mergeCell ref="J2102:K2102"/>
    <mergeCell ref="L2102:N2102"/>
    <mergeCell ref="A2103:B2103"/>
    <mergeCell ref="C2103:E2103"/>
    <mergeCell ref="F2103:G2103"/>
    <mergeCell ref="H2103:I2103"/>
    <mergeCell ref="J2103:K2103"/>
    <mergeCell ref="L2103:N2103"/>
    <mergeCell ref="A2104:B2104"/>
    <mergeCell ref="C2104:N2104"/>
    <mergeCell ref="A2105:B2105"/>
    <mergeCell ref="C2105:N2105"/>
    <mergeCell ref="A2106:B2106"/>
    <mergeCell ref="C2106:E2106"/>
    <mergeCell ref="F2106:G2106"/>
    <mergeCell ref="H2106:I2106"/>
    <mergeCell ref="J2106:K2106"/>
    <mergeCell ref="L2106:N2106"/>
    <mergeCell ref="A2107:B2107"/>
    <mergeCell ref="C2107:N2107"/>
    <mergeCell ref="A2108:B2108"/>
    <mergeCell ref="C2108:E2108"/>
    <mergeCell ref="F2108:G2108"/>
    <mergeCell ref="H2108:I2108"/>
    <mergeCell ref="J2108:K2108"/>
    <mergeCell ref="L2108:N2108"/>
    <mergeCell ref="A2109:N2109"/>
    <mergeCell ref="A2110:G2110"/>
    <mergeCell ref="H2110:O2110"/>
    <mergeCell ref="J2111:K2111"/>
    <mergeCell ref="L2111:N2111"/>
    <mergeCell ref="A2112:C2112"/>
    <mergeCell ref="E2112:O2112"/>
    <mergeCell ref="A2113:C2113"/>
    <mergeCell ref="E2113:O2113"/>
    <mergeCell ref="A2114:C2114"/>
    <mergeCell ref="E2114:O2114"/>
    <mergeCell ref="A2115:O2115"/>
    <mergeCell ref="A2116:O2116"/>
    <mergeCell ref="A2117:O2117"/>
    <mergeCell ref="J2118:K2118"/>
    <mergeCell ref="L2118:N2118"/>
    <mergeCell ref="A2119:O2119"/>
    <mergeCell ref="B2120:F2120"/>
    <mergeCell ref="G2120:H2120"/>
    <mergeCell ref="I2120:K2120"/>
    <mergeCell ref="L2120:O2120"/>
    <mergeCell ref="A2121:O2121"/>
    <mergeCell ref="A2122:J2122"/>
    <mergeCell ref="K2122:O2122"/>
    <mergeCell ref="A2123:O2123"/>
    <mergeCell ref="A2124:B2124"/>
    <mergeCell ref="D2124:E2124"/>
    <mergeCell ref="F2124:G2124"/>
    <mergeCell ref="H2124:I2124"/>
    <mergeCell ref="K2124:L2124"/>
    <mergeCell ref="A2125:O2125"/>
    <mergeCell ref="A2126:C2126"/>
    <mergeCell ref="D2126:O2126"/>
    <mergeCell ref="A2127:C2127"/>
    <mergeCell ref="D2127:O2127"/>
    <mergeCell ref="A2128:C2128"/>
    <mergeCell ref="D2128:O2128"/>
    <mergeCell ref="A2129:C2129"/>
    <mergeCell ref="D2129:O2129"/>
    <mergeCell ref="A2130:C2130"/>
    <mergeCell ref="D2130:O2130"/>
    <mergeCell ref="A2131:C2131"/>
    <mergeCell ref="D2131:O2131"/>
    <mergeCell ref="A2132:C2132"/>
    <mergeCell ref="D2132:O2132"/>
    <mergeCell ref="A2133:C2133"/>
    <mergeCell ref="D2133:O2133"/>
    <mergeCell ref="A2134:C2134"/>
    <mergeCell ref="D2134:O2134"/>
    <mergeCell ref="A2135:C2135"/>
    <mergeCell ref="D2135:O2135"/>
    <mergeCell ref="A2136:C2136"/>
    <mergeCell ref="D2136:O2136"/>
    <mergeCell ref="A2137:C2137"/>
    <mergeCell ref="D2137:O2137"/>
    <mergeCell ref="A2138:C2138"/>
    <mergeCell ref="D2138:O2138"/>
    <mergeCell ref="A2139:C2139"/>
    <mergeCell ref="D2139:O2139"/>
    <mergeCell ref="A2140:C2140"/>
    <mergeCell ref="D2140:O2140"/>
    <mergeCell ref="A2141:C2141"/>
    <mergeCell ref="D2141:O2141"/>
    <mergeCell ref="A2142:B2142"/>
    <mergeCell ref="D2142:E2142"/>
    <mergeCell ref="F2142:G2142"/>
    <mergeCell ref="H2142:I2142"/>
    <mergeCell ref="K2142:L2142"/>
    <mergeCell ref="A2143:O2143"/>
    <mergeCell ref="A2144:C2144"/>
    <mergeCell ref="D2144:M2144"/>
    <mergeCell ref="N2144:O2144"/>
    <mergeCell ref="A2145:C2145"/>
    <mergeCell ref="D2145:M2145"/>
    <mergeCell ref="N2145:O2145"/>
    <mergeCell ref="A2146:C2146"/>
    <mergeCell ref="D2146:M2146"/>
    <mergeCell ref="N2146:O2146"/>
    <mergeCell ref="A2147:C2147"/>
    <mergeCell ref="D2147:M2147"/>
    <mergeCell ref="N2147:O2147"/>
    <mergeCell ref="A2148:C2148"/>
    <mergeCell ref="D2148:M2148"/>
    <mergeCell ref="N2148:O2148"/>
    <mergeCell ref="A2149:B2149"/>
    <mergeCell ref="D2149:E2149"/>
    <mergeCell ref="F2149:G2149"/>
    <mergeCell ref="H2149:I2149"/>
    <mergeCell ref="K2149:L2149"/>
    <mergeCell ref="A2150:O2150"/>
    <mergeCell ref="A2151:C2151"/>
    <mergeCell ref="D2151:O2151"/>
    <mergeCell ref="A2152:C2152"/>
    <mergeCell ref="D2152:O2152"/>
    <mergeCell ref="A2153:C2153"/>
    <mergeCell ref="D2153:O2153"/>
    <mergeCell ref="A2154:C2154"/>
    <mergeCell ref="D2154:O2154"/>
    <mergeCell ref="A2155:C2155"/>
    <mergeCell ref="D2155:O2155"/>
    <mergeCell ref="A2156:C2156"/>
    <mergeCell ref="D2156:O2156"/>
    <mergeCell ref="A2157:B2157"/>
    <mergeCell ref="D2157:E2157"/>
    <mergeCell ref="F2157:G2157"/>
    <mergeCell ref="H2157:I2157"/>
    <mergeCell ref="K2157:L2157"/>
    <mergeCell ref="A2158:O2158"/>
    <mergeCell ref="A2159:B2160"/>
    <mergeCell ref="C2159:E2160"/>
    <mergeCell ref="F2159:N2159"/>
    <mergeCell ref="O2159:O2160"/>
    <mergeCell ref="F2160:G2160"/>
    <mergeCell ref="H2160:I2160"/>
    <mergeCell ref="J2160:L2160"/>
    <mergeCell ref="M2160:N2160"/>
    <mergeCell ref="A2161:B2161"/>
    <mergeCell ref="C2161:N2161"/>
    <mergeCell ref="A2162:B2162"/>
    <mergeCell ref="C2162:N2162"/>
    <mergeCell ref="A2163:B2163"/>
    <mergeCell ref="C2163:N2163"/>
    <mergeCell ref="A2164:B2164"/>
    <mergeCell ref="C2164:N2164"/>
    <mergeCell ref="A2165:B2165"/>
    <mergeCell ref="C2165:N2165"/>
    <mergeCell ref="A2166:B2166"/>
    <mergeCell ref="C2166:N2166"/>
    <mergeCell ref="A2167:B2167"/>
    <mergeCell ref="C2167:N2167"/>
    <mergeCell ref="A2168:B2168"/>
    <mergeCell ref="C2168:N2168"/>
    <mergeCell ref="A2169:O2169"/>
    <mergeCell ref="A2170:B2171"/>
    <mergeCell ref="C2170:E2171"/>
    <mergeCell ref="F2170:N2170"/>
    <mergeCell ref="O2170:O2171"/>
    <mergeCell ref="F2171:G2171"/>
    <mergeCell ref="H2171:I2171"/>
    <mergeCell ref="J2171:K2171"/>
    <mergeCell ref="L2171:N2171"/>
    <mergeCell ref="A2172:B2172"/>
    <mergeCell ref="C2172:E2172"/>
    <mergeCell ref="F2172:G2172"/>
    <mergeCell ref="H2172:I2172"/>
    <mergeCell ref="J2172:K2172"/>
    <mergeCell ref="L2172:N2172"/>
    <mergeCell ref="A2173:B2173"/>
    <mergeCell ref="C2173:N2173"/>
    <mergeCell ref="A2174:B2174"/>
    <mergeCell ref="C2174:N2174"/>
    <mergeCell ref="A2175:B2175"/>
    <mergeCell ref="C2175:N2175"/>
    <mergeCell ref="A2176:B2176"/>
    <mergeCell ref="C2176:N2176"/>
    <mergeCell ref="A2177:B2177"/>
    <mergeCell ref="C2177:N2177"/>
    <mergeCell ref="A2178:B2178"/>
    <mergeCell ref="C2178:E2178"/>
    <mergeCell ref="F2178:G2178"/>
    <mergeCell ref="H2178:I2178"/>
    <mergeCell ref="J2178:K2178"/>
    <mergeCell ref="L2178:N2178"/>
    <mergeCell ref="A2179:B2179"/>
    <mergeCell ref="C2179:N2179"/>
    <mergeCell ref="A2180:B2180"/>
    <mergeCell ref="C2180:E2180"/>
    <mergeCell ref="F2180:G2180"/>
    <mergeCell ref="H2180:I2180"/>
    <mergeCell ref="J2180:K2180"/>
    <mergeCell ref="L2180:N2180"/>
    <mergeCell ref="B2192:F2192"/>
    <mergeCell ref="G2192:H2192"/>
    <mergeCell ref="I2192:K2192"/>
    <mergeCell ref="L2192:O2192"/>
    <mergeCell ref="A2193:O2193"/>
    <mergeCell ref="A2181:N2181"/>
    <mergeCell ref="A2182:G2182"/>
    <mergeCell ref="H2182:O2182"/>
    <mergeCell ref="J2183:K2183"/>
    <mergeCell ref="L2183:N2183"/>
    <mergeCell ref="A2184:C2184"/>
    <mergeCell ref="E2184:O2184"/>
    <mergeCell ref="A2185:C2185"/>
    <mergeCell ref="E2185:O2185"/>
    <mergeCell ref="A2186:C2186"/>
    <mergeCell ref="E2186:O2186"/>
    <mergeCell ref="A2187:O2187"/>
    <mergeCell ref="A2188:O2188"/>
    <mergeCell ref="A2189:O2189"/>
    <mergeCell ref="J2190:K2190"/>
    <mergeCell ref="L2190:N2190"/>
    <mergeCell ref="A2191:O2191"/>
  </mergeCells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2026-01-02T08:51:42Z</dcterms:created>
  <dcterms:modified xsi:type="dcterms:W3CDTF">2026-02-23T08:17:28Z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2026-01-02T00:00:00Z</vt:filetime>
  </property>
  <property fmtid="{D5CDD505-2E9C-101B-9397-08002B2CF9AE}" pid="3" name="LastSaved">
    <vt:filetime>2026-01-02T00:00:00Z</vt:filetime>
  </property>
  <property fmtid="{D5CDD505-2E9C-101B-9397-08002B2CF9AE}" pid="4" name="Producer">
    <vt:lpwstr>iLovePDF</vt:lpwstr>
  </property>
</Properties>
</file>