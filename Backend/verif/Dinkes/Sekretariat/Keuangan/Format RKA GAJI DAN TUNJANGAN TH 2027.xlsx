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E:\RKA 2027\"/>
    </mc:Choice>
  </mc:AlternateContent>
  <xr:revisionPtr revIDLastSave="0" documentId="13_ncr:1_{0470698F-CBBF-4DC3-854A-305693E709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kode sub kegiatan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eOFbojenaZYJi3fO66NsIv0blmS2lpBK3+Bh1gm1Ru4="/>
    </ext>
  </extLst>
</workbook>
</file>

<file path=xl/calcChain.xml><?xml version="1.0" encoding="utf-8"?>
<calcChain xmlns="http://schemas.openxmlformats.org/spreadsheetml/2006/main">
  <c r="F873" i="1" l="1"/>
  <c r="G873" i="1" s="1"/>
  <c r="F867" i="1"/>
  <c r="G867" i="1" s="1"/>
  <c r="D851" i="1"/>
  <c r="D900" i="1"/>
  <c r="F667" i="1"/>
  <c r="G667" i="1" s="1"/>
  <c r="F664" i="1"/>
  <c r="G664" i="1" s="1"/>
  <c r="F627" i="1"/>
  <c r="G627" i="1" s="1"/>
  <c r="D637" i="1"/>
  <c r="D629" i="1"/>
  <c r="G629" i="1" s="1"/>
  <c r="D631" i="1"/>
  <c r="D633" i="1"/>
  <c r="F600" i="1"/>
  <c r="D618" i="1"/>
  <c r="G618" i="1" s="1"/>
  <c r="D620" i="1"/>
  <c r="G620" i="1" s="1"/>
  <c r="D612" i="1"/>
  <c r="F580" i="1"/>
  <c r="G580" i="1" s="1"/>
  <c r="D593" i="1"/>
  <c r="D591" i="1"/>
  <c r="G591" i="1" s="1"/>
  <c r="D586" i="1"/>
  <c r="G586" i="1" s="1"/>
  <c r="D584" i="1"/>
  <c r="D582" i="1"/>
  <c r="G582" i="1" s="1"/>
  <c r="F568" i="1"/>
  <c r="D572" i="1"/>
  <c r="G572" i="1" s="1"/>
  <c r="D570" i="1"/>
  <c r="G570" i="1" s="1"/>
  <c r="D576" i="1"/>
  <c r="G576" i="1" s="1"/>
  <c r="F379" i="1"/>
  <c r="G379" i="1" s="1"/>
  <c r="G377" i="1" s="1"/>
  <c r="D396" i="1"/>
  <c r="D384" i="1"/>
  <c r="G384" i="1"/>
  <c r="D382" i="1"/>
  <c r="G382" i="1" s="1"/>
  <c r="D388" i="1"/>
  <c r="G388" i="1" s="1"/>
  <c r="D386" i="1"/>
  <c r="G386" i="1" s="1"/>
  <c r="F347" i="1"/>
  <c r="G347" i="1" s="1"/>
  <c r="D351" i="1"/>
  <c r="G351" i="1" s="1"/>
  <c r="D355" i="1"/>
  <c r="D324" i="1"/>
  <c r="G324" i="1" s="1"/>
  <c r="D330" i="1"/>
  <c r="F315" i="1"/>
  <c r="G315" i="1" s="1"/>
  <c r="D287" i="1"/>
  <c r="F36" i="1"/>
  <c r="D49" i="1"/>
  <c r="D128" i="1"/>
  <c r="G128" i="1"/>
  <c r="D126" i="1"/>
  <c r="G126" i="1" s="1"/>
  <c r="G47" i="1"/>
  <c r="G44" i="1"/>
  <c r="G39" i="1"/>
  <c r="F908" i="1"/>
  <c r="G908" i="1" s="1"/>
  <c r="G906" i="1"/>
  <c r="G904" i="1"/>
  <c r="G902" i="1"/>
  <c r="G900" i="1"/>
  <c r="G899" i="1"/>
  <c r="D897" i="1"/>
  <c r="G897" i="1" s="1"/>
  <c r="D896" i="1"/>
  <c r="G896" i="1" s="1"/>
  <c r="G895" i="1"/>
  <c r="G894" i="1"/>
  <c r="G892" i="1"/>
  <c r="D890" i="1"/>
  <c r="G890" i="1" s="1"/>
  <c r="G889" i="1"/>
  <c r="G888" i="1"/>
  <c r="G887" i="1"/>
  <c r="G886" i="1"/>
  <c r="G885" i="1"/>
  <c r="G884" i="1"/>
  <c r="G882" i="1"/>
  <c r="G880" i="1"/>
  <c r="G878" i="1"/>
  <c r="D872" i="1"/>
  <c r="G872" i="1" s="1"/>
  <c r="D866" i="1"/>
  <c r="G866" i="1" s="1"/>
  <c r="D865" i="1"/>
  <c r="G865" i="1" s="1"/>
  <c r="D864" i="1"/>
  <c r="G864" i="1" s="1"/>
  <c r="F859" i="1"/>
  <c r="G859" i="1" s="1"/>
  <c r="G857" i="1"/>
  <c r="G855" i="1"/>
  <c r="G853" i="1"/>
  <c r="G851" i="1"/>
  <c r="G850" i="1"/>
  <c r="D848" i="1"/>
  <c r="G848" i="1" s="1"/>
  <c r="D847" i="1"/>
  <c r="G847" i="1" s="1"/>
  <c r="G846" i="1"/>
  <c r="G845" i="1"/>
  <c r="G843" i="1"/>
  <c r="G841" i="1"/>
  <c r="G840" i="1"/>
  <c r="G839" i="1"/>
  <c r="G838" i="1"/>
  <c r="G837" i="1"/>
  <c r="G836" i="1"/>
  <c r="G835" i="1"/>
  <c r="G833" i="1"/>
  <c r="G831" i="1"/>
  <c r="G829" i="1"/>
  <c r="F824" i="1"/>
  <c r="G824" i="1" s="1"/>
  <c r="G822" i="1"/>
  <c r="G820" i="1"/>
  <c r="F816" i="1"/>
  <c r="G816" i="1" s="1"/>
  <c r="G814" i="1"/>
  <c r="G812" i="1"/>
  <c r="G810" i="1"/>
  <c r="D808" i="1"/>
  <c r="G808" i="1" s="1"/>
  <c r="G807" i="1"/>
  <c r="D805" i="1"/>
  <c r="G805" i="1" s="1"/>
  <c r="D804" i="1"/>
  <c r="G804" i="1" s="1"/>
  <c r="G803" i="1"/>
  <c r="G802" i="1"/>
  <c r="G800" i="1"/>
  <c r="G798" i="1"/>
  <c r="G797" i="1"/>
  <c r="G796" i="1"/>
  <c r="G795" i="1"/>
  <c r="G794" i="1"/>
  <c r="G793" i="1"/>
  <c r="G792" i="1"/>
  <c r="G790" i="1"/>
  <c r="G788" i="1"/>
  <c r="G786" i="1"/>
  <c r="F780" i="1"/>
  <c r="G780" i="1" s="1"/>
  <c r="G778" i="1"/>
  <c r="D776" i="1"/>
  <c r="G776" i="1" s="1"/>
  <c r="D774" i="1"/>
  <c r="G774" i="1" s="1"/>
  <c r="D772" i="1"/>
  <c r="G772" i="1" s="1"/>
  <c r="D770" i="1"/>
  <c r="G770" i="1" s="1"/>
  <c r="D768" i="1"/>
  <c r="G768" i="1" s="1"/>
  <c r="F764" i="1"/>
  <c r="G764" i="1" s="1"/>
  <c r="D762" i="1"/>
  <c r="G762" i="1" s="1"/>
  <c r="D760" i="1"/>
  <c r="G760" i="1" s="1"/>
  <c r="D758" i="1"/>
  <c r="G758" i="1" s="1"/>
  <c r="D753" i="1"/>
  <c r="G753" i="1" s="1"/>
  <c r="D751" i="1"/>
  <c r="G751" i="1" s="1"/>
  <c r="D749" i="1"/>
  <c r="G749" i="1" s="1"/>
  <c r="D747" i="1"/>
  <c r="G747" i="1" s="1"/>
  <c r="D745" i="1"/>
  <c r="G745" i="1" s="1"/>
  <c r="D743" i="1"/>
  <c r="G743" i="1" s="1"/>
  <c r="F741" i="1"/>
  <c r="G741" i="1" s="1"/>
  <c r="F737" i="1"/>
  <c r="G737" i="1" s="1"/>
  <c r="D735" i="1"/>
  <c r="G735" i="1" s="1"/>
  <c r="D733" i="1"/>
  <c r="G733" i="1" s="1"/>
  <c r="D731" i="1"/>
  <c r="G731" i="1" s="1"/>
  <c r="G726" i="1"/>
  <c r="D724" i="1"/>
  <c r="G724" i="1" s="1"/>
  <c r="D722" i="1"/>
  <c r="G722" i="1" s="1"/>
  <c r="D720" i="1"/>
  <c r="G720" i="1" s="1"/>
  <c r="D718" i="1"/>
  <c r="G718" i="1" s="1"/>
  <c r="D716" i="1"/>
  <c r="G716" i="1" s="1"/>
  <c r="F714" i="1"/>
  <c r="G714" i="1" s="1"/>
  <c r="F710" i="1"/>
  <c r="G710" i="1" s="1"/>
  <c r="D708" i="1"/>
  <c r="G708" i="1" s="1"/>
  <c r="D706" i="1"/>
  <c r="G706" i="1" s="1"/>
  <c r="D704" i="1"/>
  <c r="G704" i="1" s="1"/>
  <c r="G699" i="1"/>
  <c r="G697" i="1"/>
  <c r="D695" i="1"/>
  <c r="G695" i="1" s="1"/>
  <c r="D693" i="1"/>
  <c r="G693" i="1" s="1"/>
  <c r="D691" i="1"/>
  <c r="G691" i="1" s="1"/>
  <c r="F689" i="1"/>
  <c r="D689" i="1"/>
  <c r="G689" i="1" s="1"/>
  <c r="F687" i="1"/>
  <c r="G687" i="1" s="1"/>
  <c r="F684" i="1"/>
  <c r="G684" i="1" s="1"/>
  <c r="D682" i="1"/>
  <c r="G682" i="1" s="1"/>
  <c r="D680" i="1"/>
  <c r="G680" i="1" s="1"/>
  <c r="D678" i="1"/>
  <c r="G678" i="1" s="1"/>
  <c r="G676" i="1" s="1"/>
  <c r="G675" i="1" s="1"/>
  <c r="G673" i="1"/>
  <c r="D671" i="1"/>
  <c r="G671" i="1" s="1"/>
  <c r="D669" i="1"/>
  <c r="G669" i="1" s="1"/>
  <c r="G662" i="1"/>
  <c r="G660" i="1"/>
  <c r="D658" i="1"/>
  <c r="G658" i="1" s="1"/>
  <c r="D656" i="1"/>
  <c r="G656" i="1" s="1"/>
  <c r="D654" i="1"/>
  <c r="G654" i="1" s="1"/>
  <c r="D652" i="1"/>
  <c r="G652" i="1" s="1"/>
  <c r="D650" i="1"/>
  <c r="G650" i="1" s="1"/>
  <c r="D648" i="1"/>
  <c r="G648" i="1" s="1"/>
  <c r="G646" i="1"/>
  <c r="D641" i="1"/>
  <c r="G641" i="1" s="1"/>
  <c r="D639" i="1"/>
  <c r="G639" i="1" s="1"/>
  <c r="G637" i="1"/>
  <c r="D635" i="1"/>
  <c r="G635" i="1" s="1"/>
  <c r="G633" i="1"/>
  <c r="G631" i="1"/>
  <c r="D624" i="1"/>
  <c r="G624" i="1" s="1"/>
  <c r="D622" i="1"/>
  <c r="G622" i="1" s="1"/>
  <c r="D616" i="1"/>
  <c r="G616" i="1" s="1"/>
  <c r="D614" i="1"/>
  <c r="G614" i="1" s="1"/>
  <c r="G612" i="1"/>
  <c r="D610" i="1"/>
  <c r="G610" i="1" s="1"/>
  <c r="D608" i="1"/>
  <c r="G608" i="1" s="1"/>
  <c r="D606" i="1"/>
  <c r="G606" i="1" s="1"/>
  <c r="D604" i="1"/>
  <c r="G604" i="1" s="1"/>
  <c r="D602" i="1"/>
  <c r="G602" i="1" s="1"/>
  <c r="G600" i="1"/>
  <c r="D595" i="1"/>
  <c r="G595" i="1" s="1"/>
  <c r="G593" i="1"/>
  <c r="F589" i="1"/>
  <c r="G589" i="1" s="1"/>
  <c r="G584" i="1"/>
  <c r="D574" i="1"/>
  <c r="G574" i="1" s="1"/>
  <c r="G568" i="1"/>
  <c r="G566" i="1"/>
  <c r="G564" i="1"/>
  <c r="D562" i="1"/>
  <c r="G562" i="1" s="1"/>
  <c r="D560" i="1"/>
  <c r="G560" i="1" s="1"/>
  <c r="D558" i="1"/>
  <c r="G558" i="1" s="1"/>
  <c r="D556" i="1"/>
  <c r="G556" i="1" s="1"/>
  <c r="D554" i="1"/>
  <c r="G554" i="1" s="1"/>
  <c r="G552" i="1"/>
  <c r="D550" i="1"/>
  <c r="G550" i="1" s="1"/>
  <c r="G548" i="1"/>
  <c r="D546" i="1"/>
  <c r="G546" i="1" s="1"/>
  <c r="G544" i="1"/>
  <c r="G542" i="1"/>
  <c r="D540" i="1"/>
  <c r="G540" i="1" s="1"/>
  <c r="G538" i="1"/>
  <c r="G536" i="1"/>
  <c r="D534" i="1"/>
  <c r="G534" i="1" s="1"/>
  <c r="D532" i="1"/>
  <c r="G532" i="1" s="1"/>
  <c r="G530" i="1"/>
  <c r="D527" i="1"/>
  <c r="G527" i="1" s="1"/>
  <c r="D525" i="1"/>
  <c r="G525" i="1" s="1"/>
  <c r="D523" i="1"/>
  <c r="G523" i="1" s="1"/>
  <c r="G521" i="1"/>
  <c r="D519" i="1"/>
  <c r="G519" i="1" s="1"/>
  <c r="G517" i="1"/>
  <c r="G515" i="1"/>
  <c r="G513" i="1"/>
  <c r="G511" i="1"/>
  <c r="G509" i="1"/>
  <c r="D507" i="1"/>
  <c r="G507" i="1" s="1"/>
  <c r="G505" i="1"/>
  <c r="G503" i="1"/>
  <c r="G501" i="1"/>
  <c r="G499" i="1"/>
  <c r="G497" i="1"/>
  <c r="G495" i="1"/>
  <c r="D493" i="1"/>
  <c r="G493" i="1" s="1"/>
  <c r="D491" i="1"/>
  <c r="G491" i="1" s="1"/>
  <c r="D489" i="1"/>
  <c r="G489" i="1" s="1"/>
  <c r="G487" i="1"/>
  <c r="G485" i="1"/>
  <c r="G483" i="1"/>
  <c r="G481" i="1"/>
  <c r="D479" i="1"/>
  <c r="G479" i="1" s="1"/>
  <c r="G477" i="1"/>
  <c r="G475" i="1"/>
  <c r="G473" i="1"/>
  <c r="D471" i="1"/>
  <c r="G471" i="1" s="1"/>
  <c r="G469" i="1"/>
  <c r="G467" i="1"/>
  <c r="G465" i="1"/>
  <c r="G463" i="1"/>
  <c r="D461" i="1"/>
  <c r="G461" i="1" s="1"/>
  <c r="G459" i="1"/>
  <c r="G457" i="1"/>
  <c r="D455" i="1"/>
  <c r="G455" i="1" s="1"/>
  <c r="G453" i="1"/>
  <c r="D451" i="1"/>
  <c r="G451" i="1" s="1"/>
  <c r="G449" i="1"/>
  <c r="G447" i="1"/>
  <c r="G445" i="1"/>
  <c r="D443" i="1"/>
  <c r="G443" i="1" s="1"/>
  <c r="G441" i="1"/>
  <c r="G439" i="1"/>
  <c r="G437" i="1"/>
  <c r="G435" i="1"/>
  <c r="D433" i="1"/>
  <c r="G433" i="1" s="1"/>
  <c r="D431" i="1"/>
  <c r="G431" i="1" s="1"/>
  <c r="G429" i="1"/>
  <c r="G427" i="1"/>
  <c r="G425" i="1"/>
  <c r="G423" i="1"/>
  <c r="G421" i="1"/>
  <c r="D419" i="1"/>
  <c r="G419" i="1" s="1"/>
  <c r="G417" i="1"/>
  <c r="G414" i="1"/>
  <c r="G412" i="1"/>
  <c r="G410" i="1"/>
  <c r="G408" i="1"/>
  <c r="G406" i="1"/>
  <c r="D404" i="1"/>
  <c r="G404" i="1" s="1"/>
  <c r="G402" i="1"/>
  <c r="G400" i="1"/>
  <c r="D398" i="1"/>
  <c r="G398" i="1" s="1"/>
  <c r="G396" i="1"/>
  <c r="D394" i="1"/>
  <c r="G394" i="1" s="1"/>
  <c r="D392" i="1"/>
  <c r="G392" i="1" s="1"/>
  <c r="D390" i="1"/>
  <c r="G390" i="1" s="1"/>
  <c r="D374" i="1"/>
  <c r="G374" i="1" s="1"/>
  <c r="D372" i="1"/>
  <c r="G372" i="1" s="1"/>
  <c r="D370" i="1"/>
  <c r="G370" i="1" s="1"/>
  <c r="D368" i="1"/>
  <c r="G368" i="1" s="1"/>
  <c r="D366" i="1"/>
  <c r="G366" i="1" s="1"/>
  <c r="G361" i="1"/>
  <c r="G359" i="1"/>
  <c r="F357" i="1"/>
  <c r="D357" i="1"/>
  <c r="F355" i="1"/>
  <c r="F353" i="1"/>
  <c r="D353" i="1"/>
  <c r="G353" i="1" s="1"/>
  <c r="F351" i="1"/>
  <c r="F349" i="1"/>
  <c r="D349" i="1"/>
  <c r="G349" i="1" s="1"/>
  <c r="F344" i="1"/>
  <c r="G344" i="1" s="1"/>
  <c r="F342" i="1"/>
  <c r="G342" i="1" s="1"/>
  <c r="D340" i="1"/>
  <c r="G340" i="1" s="1"/>
  <c r="D338" i="1"/>
  <c r="G338" i="1" s="1"/>
  <c r="D336" i="1"/>
  <c r="G336" i="1" s="1"/>
  <c r="D334" i="1"/>
  <c r="G334" i="1" s="1"/>
  <c r="D332" i="1"/>
  <c r="G332" i="1" s="1"/>
  <c r="G330" i="1"/>
  <c r="F328" i="1"/>
  <c r="D328" i="1"/>
  <c r="G328" i="1" s="1"/>
  <c r="F326" i="1"/>
  <c r="D326" i="1"/>
  <c r="G326" i="1" s="1"/>
  <c r="F324" i="1"/>
  <c r="F322" i="1"/>
  <c r="D322" i="1"/>
  <c r="G322" i="1" s="1"/>
  <c r="F320" i="1"/>
  <c r="D320" i="1"/>
  <c r="G313" i="1"/>
  <c r="G310" i="1"/>
  <c r="D307" i="1"/>
  <c r="G307" i="1" s="1"/>
  <c r="D304" i="1"/>
  <c r="G304" i="1" s="1"/>
  <c r="D301" i="1"/>
  <c r="G301" i="1" s="1"/>
  <c r="G299" i="1"/>
  <c r="D297" i="1"/>
  <c r="G297" i="1" s="1"/>
  <c r="D294" i="1"/>
  <c r="G294" i="1" s="1"/>
  <c r="D292" i="1"/>
  <c r="G292" i="1" s="1"/>
  <c r="D290" i="1"/>
  <c r="G290" i="1" s="1"/>
  <c r="G287" i="1"/>
  <c r="D285" i="1"/>
  <c r="G285" i="1" s="1"/>
  <c r="G283" i="1"/>
  <c r="G278" i="1"/>
  <c r="G276" i="1"/>
  <c r="G274" i="1"/>
  <c r="D273" i="1"/>
  <c r="G273" i="1" s="1"/>
  <c r="G271" i="1"/>
  <c r="G269" i="1"/>
  <c r="G267" i="1"/>
  <c r="D265" i="1"/>
  <c r="G265" i="1" s="1"/>
  <c r="D263" i="1"/>
  <c r="G263" i="1" s="1"/>
  <c r="G261" i="1"/>
  <c r="G258" i="1"/>
  <c r="D256" i="1"/>
  <c r="G256" i="1" s="1"/>
  <c r="G254" i="1"/>
  <c r="G252" i="1"/>
  <c r="G250" i="1"/>
  <c r="G248" i="1"/>
  <c r="D246" i="1"/>
  <c r="G246" i="1" s="1"/>
  <c r="D244" i="1"/>
  <c r="G244" i="1" s="1"/>
  <c r="D242" i="1"/>
  <c r="G242" i="1" s="1"/>
  <c r="D240" i="1"/>
  <c r="G240" i="1" s="1"/>
  <c r="G238" i="1"/>
  <c r="G235" i="1"/>
  <c r="D233" i="1"/>
  <c r="G233" i="1" s="1"/>
  <c r="D231" i="1"/>
  <c r="G231" i="1" s="1"/>
  <c r="D229" i="1"/>
  <c r="G229" i="1" s="1"/>
  <c r="D227" i="1"/>
  <c r="G227" i="1" s="1"/>
  <c r="D225" i="1"/>
  <c r="G225" i="1" s="1"/>
  <c r="D223" i="1"/>
  <c r="G223" i="1" s="1"/>
  <c r="D221" i="1"/>
  <c r="G221" i="1" s="1"/>
  <c r="G219" i="1"/>
  <c r="G217" i="1"/>
  <c r="D215" i="1"/>
  <c r="G215" i="1" s="1"/>
  <c r="D213" i="1"/>
  <c r="G213" i="1" s="1"/>
  <c r="G210" i="1"/>
  <c r="D208" i="1"/>
  <c r="G208" i="1" s="1"/>
  <c r="D206" i="1"/>
  <c r="G206" i="1" s="1"/>
  <c r="G204" i="1"/>
  <c r="D202" i="1"/>
  <c r="G202" i="1" s="1"/>
  <c r="G200" i="1"/>
  <c r="D198" i="1"/>
  <c r="G198" i="1" s="1"/>
  <c r="D196" i="1"/>
  <c r="G196" i="1" s="1"/>
  <c r="D194" i="1"/>
  <c r="G194" i="1" s="1"/>
  <c r="D192" i="1"/>
  <c r="G192" i="1" s="1"/>
  <c r="D190" i="1"/>
  <c r="G190" i="1" s="1"/>
  <c r="D188" i="1"/>
  <c r="G188" i="1" s="1"/>
  <c r="G185" i="1"/>
  <c r="G183" i="1"/>
  <c r="D181" i="1"/>
  <c r="G181" i="1" s="1"/>
  <c r="G179" i="1"/>
  <c r="G177" i="1"/>
  <c r="D175" i="1"/>
  <c r="G175" i="1" s="1"/>
  <c r="D173" i="1"/>
  <c r="G173" i="1" s="1"/>
  <c r="D171" i="1"/>
  <c r="G171" i="1" s="1"/>
  <c r="D169" i="1"/>
  <c r="G169" i="1" s="1"/>
  <c r="D167" i="1"/>
  <c r="G167" i="1" s="1"/>
  <c r="D165" i="1"/>
  <c r="G165" i="1" s="1"/>
  <c r="G163" i="1"/>
  <c r="D161" i="1"/>
  <c r="G161" i="1" s="1"/>
  <c r="D159" i="1"/>
  <c r="G159" i="1" s="1"/>
  <c r="G157" i="1"/>
  <c r="D154" i="1"/>
  <c r="G154" i="1" s="1"/>
  <c r="G152" i="1"/>
  <c r="G150" i="1"/>
  <c r="G148" i="1"/>
  <c r="G146" i="1"/>
  <c r="G144" i="1"/>
  <c r="D142" i="1"/>
  <c r="G142" i="1" s="1"/>
  <c r="D140" i="1"/>
  <c r="G140" i="1" s="1"/>
  <c r="G138" i="1"/>
  <c r="D136" i="1"/>
  <c r="G136" i="1" s="1"/>
  <c r="G134" i="1"/>
  <c r="G132" i="1"/>
  <c r="G130" i="1"/>
  <c r="D124" i="1"/>
  <c r="G124" i="1" s="1"/>
  <c r="G122" i="1"/>
  <c r="D119" i="1"/>
  <c r="G119" i="1" s="1"/>
  <c r="G117" i="1"/>
  <c r="G115" i="1"/>
  <c r="G113" i="1"/>
  <c r="G111" i="1"/>
  <c r="G109" i="1"/>
  <c r="D107" i="1"/>
  <c r="G107" i="1" s="1"/>
  <c r="D105" i="1"/>
  <c r="G105" i="1" s="1"/>
  <c r="G103" i="1"/>
  <c r="G101" i="1"/>
  <c r="G99" i="1"/>
  <c r="G97" i="1"/>
  <c r="D95" i="1"/>
  <c r="G95" i="1" s="1"/>
  <c r="D93" i="1"/>
  <c r="G93" i="1" s="1"/>
  <c r="G90" i="1"/>
  <c r="G88" i="1"/>
  <c r="D86" i="1"/>
  <c r="G86" i="1" s="1"/>
  <c r="G84" i="1"/>
  <c r="G82" i="1"/>
  <c r="D80" i="1"/>
  <c r="G80" i="1" s="1"/>
  <c r="D78" i="1"/>
  <c r="G78" i="1" s="1"/>
  <c r="G76" i="1"/>
  <c r="G74" i="1"/>
  <c r="D72" i="1"/>
  <c r="G72" i="1" s="1"/>
  <c r="G69" i="1"/>
  <c r="D67" i="1"/>
  <c r="G67" i="1" s="1"/>
  <c r="G65" i="1"/>
  <c r="G63" i="1"/>
  <c r="G61" i="1"/>
  <c r="G59" i="1"/>
  <c r="D57" i="1"/>
  <c r="G57" i="1" s="1"/>
  <c r="G55" i="1"/>
  <c r="D53" i="1"/>
  <c r="G53" i="1" s="1"/>
  <c r="D51" i="1"/>
  <c r="G51" i="1" s="1"/>
  <c r="G49" i="1"/>
  <c r="D42" i="1"/>
  <c r="G42" i="1" s="1"/>
  <c r="G37" i="1"/>
  <c r="G36" i="1"/>
  <c r="B926" i="1"/>
  <c r="G913" i="1"/>
  <c r="G912" i="1"/>
  <c r="G870" i="1" l="1"/>
  <c r="G869" i="1" s="1"/>
  <c r="G868" i="1" s="1"/>
  <c r="G579" i="1"/>
  <c r="G578" i="1" s="1"/>
  <c r="G567" i="1"/>
  <c r="G666" i="1"/>
  <c r="G665" i="1" s="1"/>
  <c r="G35" i="1"/>
  <c r="G320" i="1"/>
  <c r="G40" i="1"/>
  <c r="G259" i="1"/>
  <c r="G355" i="1"/>
  <c r="G346" i="1" s="1"/>
  <c r="G357" i="1"/>
  <c r="G318" i="1"/>
  <c r="G317" i="1" s="1"/>
  <c r="G91" i="1"/>
  <c r="G876" i="1"/>
  <c r="G380" i="1"/>
  <c r="G528" i="1"/>
  <c r="G70" i="1"/>
  <c r="G236" i="1"/>
  <c r="G818" i="1"/>
  <c r="G817" i="1" s="1"/>
  <c r="G766" i="1"/>
  <c r="G765" i="1" s="1"/>
  <c r="G45" i="1"/>
  <c r="G280" i="1"/>
  <c r="G364" i="1"/>
  <c r="G363" i="1" s="1"/>
  <c r="G362" i="1" s="1"/>
  <c r="G827" i="1"/>
  <c r="G626" i="1"/>
  <c r="G729" i="1"/>
  <c r="G728" i="1" s="1"/>
  <c r="G784" i="1"/>
  <c r="G686" i="1"/>
  <c r="G862" i="1"/>
  <c r="G861" i="1" s="1"/>
  <c r="G860" i="1" s="1"/>
  <c r="G415" i="1"/>
  <c r="G644" i="1"/>
  <c r="G186" i="1"/>
  <c r="G211" i="1"/>
  <c r="G588" i="1"/>
  <c r="G587" i="1" s="1"/>
  <c r="G702" i="1"/>
  <c r="G739" i="1"/>
  <c r="G738" i="1" s="1"/>
  <c r="G120" i="1"/>
  <c r="G155" i="1"/>
  <c r="G598" i="1"/>
  <c r="G712" i="1"/>
  <c r="G711" i="1" s="1"/>
  <c r="G756" i="1"/>
  <c r="G875" i="1" l="1"/>
  <c r="G874" i="1" s="1"/>
  <c r="G376" i="1"/>
  <c r="G597" i="1"/>
  <c r="G643" i="1"/>
  <c r="G642" i="1" s="1"/>
  <c r="G727" i="1"/>
  <c r="G625" i="1"/>
  <c r="G826" i="1"/>
  <c r="G825" i="1" s="1"/>
  <c r="G279" i="1"/>
  <c r="G701" i="1"/>
  <c r="G577" i="1"/>
  <c r="G33" i="1"/>
  <c r="G345" i="1"/>
  <c r="G685" i="1"/>
  <c r="G755" i="1"/>
  <c r="G783" i="1"/>
  <c r="G782" i="1" s="1"/>
  <c r="G375" i="1" l="1"/>
  <c r="G316" i="1"/>
  <c r="G700" i="1"/>
  <c r="G781" i="1"/>
  <c r="G754" i="1"/>
  <c r="G674" i="1"/>
  <c r="G596" i="1"/>
  <c r="G32" i="1"/>
  <c r="G31" i="1" l="1"/>
  <c r="G30" i="1" s="1"/>
  <c r="G29" i="1" s="1"/>
  <c r="G28" i="1" s="1"/>
  <c r="G910" i="1" l="1"/>
  <c r="I28" i="1"/>
</calcChain>
</file>

<file path=xl/sharedStrings.xml><?xml version="1.0" encoding="utf-8"?>
<sst xmlns="http://schemas.openxmlformats.org/spreadsheetml/2006/main" count="1404" uniqueCount="503">
  <si>
    <t>RENCANA KERJA DAN ANGGARAN
SATUAN KERJA PERANGKAT DAERAH</t>
  </si>
  <si>
    <t>Formulir 
RKA-RINCIAN BELANJA
SKPD</t>
  </si>
  <si>
    <t>Urusan</t>
  </si>
  <si>
    <t>: 1.02 URUSAN PEMERINTAHAN WAJIB YANG BERKAITAN DENGAN PELAYANAN DASAR</t>
  </si>
  <si>
    <t>Unit Organisasi</t>
  </si>
  <si>
    <t>: 1.02.0.00.0.00.01.0000 DINAS KESEHATAN</t>
  </si>
  <si>
    <t>Sub Unit Organisasi</t>
  </si>
  <si>
    <t>Program</t>
  </si>
  <si>
    <t>Kegiatan</t>
  </si>
  <si>
    <t>Sub Kegiatan</t>
  </si>
  <si>
    <t>Sumber Pendanaan</t>
  </si>
  <si>
    <t>Lokasi Kegiatan</t>
  </si>
  <si>
    <t>Waktu Pelaksanaan</t>
  </si>
  <si>
    <t>: Januari s.d. Desember</t>
  </si>
  <si>
    <t>Kelompok Sasaran</t>
  </si>
  <si>
    <t>:</t>
  </si>
  <si>
    <t>Indikator dan Tolok Ukur Kinerja Belanja</t>
  </si>
  <si>
    <t>Indikator</t>
  </si>
  <si>
    <t>Tolak Ukur Kinerja</t>
  </si>
  <si>
    <t>Target Kinerja</t>
  </si>
  <si>
    <t>Capaian Program</t>
  </si>
  <si>
    <t>Masukan</t>
  </si>
  <si>
    <t>Keluaran</t>
  </si>
  <si>
    <t>Hasil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</si>
  <si>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</si>
  <si>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</si>
  <si>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</si>
  <si>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</si>
  <si>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</si>
  <si>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</si>
  <si>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</si>
  <si>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(Rp)</t>
  </si>
  <si>
    <t>Jumlah Anggaran Sub Kegiatan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</si>
  <si>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</si>
  <si>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</si>
  <si>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</si>
  <si>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</si>
  <si>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</si>
  <si>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</si>
  <si>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</si>
  <si>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</si>
  <si>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</si>
  <si>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</si>
  <si>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</si>
  <si>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</si>
  <si>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 2026</t>
  </si>
  <si>
    <t>Pemerintah Kabupaten Bogor Tahun Anggaran 2027</t>
  </si>
  <si>
    <t>Jumlah 2027</t>
  </si>
  <si>
    <t>Jumlah 2028</t>
  </si>
  <si>
    <t>Kabupaten Bogor,                                2026</t>
  </si>
  <si>
    <t>Kepala ...</t>
  </si>
  <si>
    <t>: 4804</t>
  </si>
  <si>
    <t>: 4795</t>
  </si>
  <si>
    <t>5</t>
  </si>
  <si>
    <t>BELANJA DAERAH</t>
  </si>
  <si>
    <t>5.1</t>
  </si>
  <si>
    <t>BELANJA OPERASI</t>
  </si>
  <si>
    <t xml:space="preserve"> </t>
  </si>
  <si>
    <t>Belanja Pegawai</t>
  </si>
  <si>
    <t>5.1.01.01</t>
  </si>
  <si>
    <t>Belanja Gaji dan Tunjangan ASN</t>
  </si>
  <si>
    <t>5.1.01.01.01</t>
  </si>
  <si>
    <t>Belanja Gaji Pokok ASN</t>
  </si>
  <si>
    <t>5.1.01.01.01.0001</t>
  </si>
  <si>
    <t>Belanja Gaji Pokok PNS</t>
  </si>
  <si>
    <r>
      <rPr>
        <b/>
        <sz val="9"/>
        <rFont val="Arial"/>
        <family val="2"/>
      </rPr>
      <t>[ # ] Belanja Gaji Pokok PNS
Sumber Dana : Dana Transfer Umum-Dana Alokasi Umum</t>
    </r>
  </si>
  <si>
    <t xml:space="preserve">               </t>
  </si>
  <si>
    <t>[ - ] acress (2%)</t>
  </si>
  <si>
    <r>
      <rPr>
        <sz val="9"/>
        <rFont val="Arial MT"/>
        <charset val="134"/>
      </rPr>
      <t>Belanja Gaji Pokok PNS</t>
    </r>
  </si>
  <si>
    <r>
      <rPr>
        <sz val="9"/>
        <rFont val="Arial MT"/>
        <charset val="134"/>
      </rPr>
      <t>Paket</t>
    </r>
  </si>
  <si>
    <r>
      <rPr>
        <b/>
        <sz val="9"/>
        <rFont val="Arial"/>
        <family val="2"/>
      </rPr>
      <t>[ # ] Belanja Gaji Pokok PNS Golongan II/a
Sumber Dana : Dana Transfer Umum-Dana Alokasi Umum</t>
    </r>
  </si>
  <si>
    <t>[ - ] Masa Kerja Golongan 23 Tahun</t>
  </si>
  <si>
    <r>
      <rPr>
        <sz val="9"/>
        <rFont val="Arial MT"/>
        <charset val="134"/>
      </rPr>
      <t>Bulan Orang</t>
    </r>
  </si>
  <si>
    <r>
      <rPr>
        <b/>
        <sz val="9"/>
        <rFont val="Arial"/>
        <family val="2"/>
      </rPr>
      <t>[ # ] Belanja Gaji Pokok PNS Golongan II/b
Sumber Dana : Dana Transfer Umum-Dana Alokasi Umum</t>
    </r>
  </si>
  <si>
    <t>[ - ] Masa Kerja Golongan 17 Tahun</t>
  </si>
  <si>
    <t>[ - ] Masa Kerja Golongan 19 Tahun</t>
  </si>
  <si>
    <r>
      <rPr>
        <b/>
        <sz val="9"/>
        <rFont val="Arial"/>
        <family val="2"/>
      </rPr>
      <t>[ # ] Belanja Gaji Pokok PNS Golongan II/c
Sumber Dana : Dana Transfer Umum-Dana Alokasi Umum</t>
    </r>
  </si>
  <si>
    <t>[ - ] Masa Kerja Golongan 21 Tahun</t>
  </si>
  <si>
    <t>[ - ] Masa Kerja Golongan 5 Tahun</t>
  </si>
  <si>
    <t>[ - ] Masa Kerja Golongan 7 Tahun</t>
  </si>
  <si>
    <t>[ - ] Masa Kerja Golongan 15 Tahun</t>
  </si>
  <si>
    <t>[ - ] Masa Kerja Golongan 33 Tahun</t>
  </si>
  <si>
    <t>[ - ] Masa kerja golongan 27 tahun</t>
  </si>
  <si>
    <t>[ - ] Masa kerja golongan 31 tahun</t>
  </si>
  <si>
    <t>[ - ] Masa kerja golongan 33 tahun</t>
  </si>
  <si>
    <t>[ - ] Masa kerja golongan 3 tahun</t>
  </si>
  <si>
    <t>[ - ] Masa kerja golongan 0 tahun</t>
  </si>
  <si>
    <r>
      <rPr>
        <b/>
        <sz val="9"/>
        <rFont val="Arial"/>
        <family val="2"/>
      </rPr>
      <t>[ # ] Belanja Gaji Pokok PNS Golongan II/d
Sumber Dana : Dana Transfer Umum-Dana Alokasi Umum</t>
    </r>
  </si>
  <si>
    <t>[ - ] Masa kerja golongan 13 tahun</t>
  </si>
  <si>
    <t>[ - ] Masa kerja golongan 17 tahun</t>
  </si>
  <si>
    <t>[ - ] Masa kerja golongan 25 tahun</t>
  </si>
  <si>
    <t>[ - ] Masa kerja golongan 9 tahun</t>
  </si>
  <si>
    <t>[ - ] Masa kerja golongan 11 tahun</t>
  </si>
  <si>
    <t>[ - ] Masa kerja golongan 15 tahun</t>
  </si>
  <si>
    <r>
      <rPr>
        <b/>
        <sz val="9"/>
        <rFont val="Arial"/>
        <family val="2"/>
      </rPr>
      <t>[ # ] Belanja Gaji Pokok PNS Golongan III/a
Sumber Dana : Dana Transfer Umum-Dana Alokasi Umum</t>
    </r>
  </si>
  <si>
    <t>[ - ] Masa Kerja Golongan 8 Tahun</t>
  </si>
  <si>
    <t>[ - ] Masa kerja golongan 24 tahun</t>
  </si>
  <si>
    <t>[ - ] Masa kerja golongan 1 tahun</t>
  </si>
  <si>
    <t>[ - ] Masa kerja golongan 2 tahun</t>
  </si>
  <si>
    <t>[ - ] Masa kerja golongan 4 tahun</t>
  </si>
  <si>
    <t>[ - ] Masa kerja golongan 18 tahun</t>
  </si>
  <si>
    <t>[ - ] Masa kerja golongan 10 tahun</t>
  </si>
  <si>
    <t>[ - ] Masa kerja golongan 21 tahun</t>
  </si>
  <si>
    <t>[ - ] Masa kerja golongan 22 tahun</t>
  </si>
  <si>
    <t>[ - ] Masa kerja golongan 26 tahun</t>
  </si>
  <si>
    <r>
      <rPr>
        <b/>
        <sz val="9"/>
        <rFont val="Arial"/>
        <family val="2"/>
      </rPr>
      <t>[ # ] Belanja Gaji Pokok PNS Golongan III/b
Sumber Dana : Dana Transfer Umum-Dana Alokasi Umum</t>
    </r>
  </si>
  <si>
    <t>[ - ] Masa Kerja Golongan 4 Tahun</t>
  </si>
  <si>
    <t>[ - ] Masa Kerja Golongan 12 Tahun</t>
  </si>
  <si>
    <t>[ - ] Masa Kerja Golongan 6 Tahun</t>
  </si>
  <si>
    <t>[ - ] Masa kerja golongan 8 tahun</t>
  </si>
  <si>
    <t>[ - ] Masa kerja golongan 28 tahun</t>
  </si>
  <si>
    <t>[ - ] Masa kerja golongan 30 tahun</t>
  </si>
  <si>
    <t>[ - ] Masa kerja golongan 20 tahun</t>
  </si>
  <si>
    <r>
      <rPr>
        <b/>
        <sz val="9"/>
        <rFont val="Arial"/>
        <family val="2"/>
      </rPr>
      <t>[ # ] Belanja Gaji Pokok PNS Golongan III/c
Sumber Dana : Dana Transfer Umum-Dana Alokasi Umum</t>
    </r>
  </si>
  <si>
    <t>[ - ] Masa Kerja Golongan 10 Tahun</t>
  </si>
  <si>
    <t>[ - ] Masa Kerja Golongan 20 Tahun</t>
  </si>
  <si>
    <t>[ - ] Masa Kerja Golongan 13 Tahun</t>
  </si>
  <si>
    <t>[ - ] Masa Kerja Golongan 14 Tahun</t>
  </si>
  <si>
    <t>[ - ] Masa Kerja Golongan 18 Tahun</t>
  </si>
  <si>
    <t>[ - ] Masa kerja golongan 32 tahun</t>
  </si>
  <si>
    <r>
      <rPr>
        <b/>
        <sz val="9"/>
        <rFont val="Arial"/>
        <family val="2"/>
      </rPr>
      <t>[ # ] Belanja Gaji Pokok PNS Golongan III/d
Sumber Dana : Dana Transfer Umum-Dana Alokasi Umum</t>
    </r>
  </si>
  <si>
    <t>[ - ] Masa kerja golongan 12 tahun</t>
  </si>
  <si>
    <t>[ - ] Masa kerja golongan 29 tahun</t>
  </si>
  <si>
    <r>
      <rPr>
        <b/>
        <sz val="9"/>
        <rFont val="Arial"/>
        <family val="2"/>
      </rPr>
      <t>[ # ] Belanja Gaji Pokok PNS Golongan IV/a
Sumber Dana : Dana Transfer Umum-Dana Alokasi Umum</t>
    </r>
  </si>
  <si>
    <t>[ - ] Masa Kerja Golongan 22 Tahun</t>
  </si>
  <si>
    <t>[ - ] Masa Kerja Golongan 16 Tahun</t>
  </si>
  <si>
    <r>
      <rPr>
        <b/>
        <sz val="9"/>
        <rFont val="Arial"/>
        <family val="2"/>
      </rPr>
      <t>[ # ] Belanja Gaji Pokok PNS Golongan IV/b
Sumber Dana : Dana Transfer Umum-Dana Alokasi Umum</t>
    </r>
  </si>
  <si>
    <r>
      <rPr>
        <b/>
        <sz val="9"/>
        <rFont val="Arial"/>
        <family val="2"/>
      </rPr>
      <t>[ # ] Belanja Gaji Pokok PNS Golongan IV/c
Sumber Dana : Dana Transfer Umum-Dana Alokasi Umum</t>
    </r>
  </si>
  <si>
    <t>[ # ] Belanja Gaji Pokok PNS Golongan IV/d
Sumber Dana : Dana Transfer Umum-Dana Alokasi Umum</t>
  </si>
  <si>
    <t>[ - ] Masa Kerja Golongan 30 Tahun</t>
  </si>
  <si>
    <t>5.1.01.01.01.0002</t>
  </si>
  <si>
    <t>Belanja Gaji Pokok PPPK</t>
  </si>
  <si>
    <t>[ # ] Belanja Gaji Pokok PPPK
Sumber Dana : Dana Transfer Umum-Dana Alokasi Umum</t>
  </si>
  <si>
    <t>[ - ] Golongan 7</t>
  </si>
  <si>
    <t>[ - ] Masa kerja golongan 7 tahun</t>
  </si>
  <si>
    <t>Bulan Orang</t>
  </si>
  <si>
    <t>[ - ] Masa kerja golongan 5 tahun</t>
  </si>
  <si>
    <t>[ - ] Golongan 9</t>
  </si>
  <si>
    <r>
      <rPr>
        <sz val="9"/>
        <rFont val="Arial MT"/>
        <charset val="134"/>
      </rPr>
      <t>Belanja Gaji Pokok PPPK</t>
    </r>
  </si>
  <si>
    <t>[ - ] Golongan 10</t>
  </si>
  <si>
    <t>[ - ] Golongan 5</t>
  </si>
  <si>
    <t>[ - ] Golongan 3</t>
  </si>
  <si>
    <t>[ - ] Golongan 1</t>
  </si>
  <si>
    <t>[ - ] Golongan 11</t>
  </si>
  <si>
    <t>[ - ] Acress</t>
  </si>
  <si>
    <t>5.1.01.01.02</t>
  </si>
  <si>
    <t>Belanja Tunjangan Keluarga ASN</t>
  </si>
  <si>
    <t>5.1.01.01.02.0001</t>
  </si>
  <si>
    <t>Belanja Tunjangan Keluarga PNS</t>
  </si>
  <si>
    <r>
      <rPr>
        <b/>
        <sz val="9"/>
        <rFont val="Arial"/>
        <family val="2"/>
      </rPr>
      <t>[ # ] Belanja Tunjangan Keluarga PNS
Sumber Dana : Dana Transfer Umum-Dana Alokasi Umum</t>
    </r>
  </si>
  <si>
    <t>[ - ] Belanja Tunjangan Keluarga PNS Golongan II/a</t>
  </si>
  <si>
    <r>
      <rPr>
        <sz val="9"/>
        <rFont val="Arial MT"/>
        <charset val="134"/>
      </rPr>
      <t>Belanja Tunjangan Keluarga PNS</t>
    </r>
  </si>
  <si>
    <t>Bulan</t>
  </si>
  <si>
    <t>[ - ] Belanja Tunjangan Keluarga PNS Golongan II/b</t>
  </si>
  <si>
    <r>
      <rPr>
        <sz val="9"/>
        <rFont val="Arial MT"/>
        <charset val="134"/>
      </rPr>
      <t>Bulan</t>
    </r>
  </si>
  <si>
    <t>[ - ] Belanja Tunjangan Keluarga PNS Golongan II/c</t>
  </si>
  <si>
    <t>[ - ] Belanja Tunjangan Keluarga PNS Golongan II/d</t>
  </si>
  <si>
    <t>[ - ] Belanja Tunjangan Keluarga PNS Golongan III/a</t>
  </si>
  <si>
    <t>[ - ] Belanja Tunjangan Keluarga PNS Golongan III/b</t>
  </si>
  <si>
    <t>[ - ] Belanja Tunjangan Keluarga PNS Golongan III/c</t>
  </si>
  <si>
    <t>[ - ] Belanja Tunjangan Keluarga PNS Golongan III/d</t>
  </si>
  <si>
    <t>[ - ] Belanja Tunjangan Keluarga PNS Golongan IV/a</t>
  </si>
  <si>
    <t>[ - ] Belanja Tunjangan Keluarga PNS Golongan IV/b</t>
  </si>
  <si>
    <t>[ - ] Belanja Tunjangan Keluarga PNS Golongan IV/c</t>
  </si>
  <si>
    <t>[ - ] Belanja Tunjangan Keluarga PNS Golongan IV/d</t>
  </si>
  <si>
    <t>5.1.01.01.02.0002</t>
  </si>
  <si>
    <t>Belanja Tunjangan Keluarga PPPK</t>
  </si>
  <si>
    <t>[ # ] Belanja Tunjangan Keluarga PPPK</t>
  </si>
  <si>
    <t>acress</t>
  </si>
  <si>
    <t>[ - ] Belanja Tunjangan Keluarga PPPK Golongan XI</t>
  </si>
  <si>
    <r>
      <rPr>
        <sz val="9"/>
        <rFont val="Arial MT"/>
        <charset val="134"/>
      </rPr>
      <t>Belanja Tunjangan Keluarga PPPK</t>
    </r>
  </si>
  <si>
    <t>[ - ] Belanja Tunjangan Keluarga PPPK Golongan X</t>
  </si>
  <si>
    <t>[ - ] Belanja Tunjangan Keluarga PPPK Golongan IX</t>
  </si>
  <si>
    <t>[ - ] Belanja Tunjangan Keluarga PPPK Golongan VII</t>
  </si>
  <si>
    <t>[ - ] Belanja Tunjangan Keluarga PPPK Golongan V</t>
  </si>
  <si>
    <t>[ - ] Belanja Tunjangan Keluarga PPPK Golongan III</t>
  </si>
  <si>
    <t>[ - ] Belanja Tunjangan Keluarga PPPK Golongan I</t>
  </si>
  <si>
    <t>5.1.01.01.03</t>
  </si>
  <si>
    <t>Belanja Tunjangan Jabatan ASN</t>
  </si>
  <si>
    <t>5.1.01.01.03.0001</t>
  </si>
  <si>
    <t>Belanja Tunjangan Jabatan PNS</t>
  </si>
  <si>
    <r>
      <rPr>
        <b/>
        <sz val="9"/>
        <rFont val="Arial"/>
        <family val="2"/>
      </rPr>
      <t>[ # ] Belanja Tunjangan Jabatan PNS
Sumber Dana : Dana Transfer Umum-Dana Alokasi Umum</t>
    </r>
  </si>
  <si>
    <t>[ - ] Belanja Tunjangan Jabatan PNS Eselon II/a</t>
  </si>
  <si>
    <r>
      <rPr>
        <sz val="9"/>
        <rFont val="Arial MT"/>
        <charset val="134"/>
      </rPr>
      <t>Belanja Tunjangan Jabatan PNS</t>
    </r>
  </si>
  <si>
    <t>[ - ] Belanja Tunjangan Jabatan PNS Eselon III/a</t>
  </si>
  <si>
    <t>[ - ] Belanja Tunjangan Jabatan PNS Eselon IIII/b</t>
  </si>
  <si>
    <t>[ - ] Belanja Tunjangan Jabatan PNS Eselon IV/a</t>
  </si>
  <si>
    <t>[ - ] Belanja Tunjangan Jabatan PNS Eselon IV/b</t>
  </si>
  <si>
    <t>5.1.01.01.04</t>
  </si>
  <si>
    <t>Belanja Tunjangan Fungsional ASN</t>
  </si>
  <si>
    <t>5.1.01.01.04.0001</t>
  </si>
  <si>
    <t>Belanja Tunjangan Fungsional PNS</t>
  </si>
  <si>
    <r>
      <rPr>
        <b/>
        <sz val="9"/>
        <rFont val="Arial"/>
        <family val="2"/>
      </rPr>
      <t>[ # ] Belanja Tunjangan Fungsional PNS
Sumber Dana : Dana Transfer Umum-Dana Alokasi Umum</t>
    </r>
  </si>
  <si>
    <t>Paket</t>
  </si>
  <si>
    <r>
      <rPr>
        <b/>
        <sz val="9"/>
        <rFont val="Arial"/>
        <family val="2"/>
      </rPr>
      <t>[ # ] Belanja Tunjangan Fungsional PNS Golongan IV
Sumber Dana : Dana Transfer Umum-Dana Alokasi Umum</t>
    </r>
  </si>
  <si>
    <t>PEMBIMBING KESEHATAN KERJA</t>
  </si>
  <si>
    <t>PEMBIMBING KESEHATAN KERJA AHLI MADYA</t>
  </si>
  <si>
    <r>
      <rPr>
        <sz val="9"/>
        <rFont val="Arial MT"/>
        <charset val="134"/>
      </rPr>
      <t>Belanja Tunjangan Fungsional PNS</t>
    </r>
  </si>
  <si>
    <t>PEREKAM MEDIS MADYA</t>
  </si>
  <si>
    <t>DOKTER AHLI UTAMA</t>
  </si>
  <si>
    <t>DOKTER AHLI MADYA</t>
  </si>
  <si>
    <t>DOKTER GIGI MADYA</t>
  </si>
  <si>
    <t>DOKTER MADYA</t>
  </si>
  <si>
    <t>ADMINISTRATOR KESEHATAN AHLI MADYA</t>
  </si>
  <si>
    <t>BIDAN MADYA</t>
  </si>
  <si>
    <t>EPIDEMIOLOG KESEHATAN MADYA AHLI</t>
  </si>
  <si>
    <t>FISIOTERAPIS MADYA</t>
  </si>
  <si>
    <t>NUTRISIONIS MADYA</t>
  </si>
  <si>
    <t>PENYULUH KESEHATAN MASYARAKAT MADYA</t>
  </si>
  <si>
    <t>PERAWAT MADYA</t>
  </si>
  <si>
    <t>PERAWAT UTAMA</t>
  </si>
  <si>
    <t>DOKTER MUDA</t>
  </si>
  <si>
    <t>FISIOTERAPIS MUDA</t>
  </si>
  <si>
    <r>
      <rPr>
        <b/>
        <sz val="9"/>
        <rFont val="Arial"/>
        <family val="2"/>
      </rPr>
      <t>[ # ] Belanja Tunjangan Fungsional PNS Golongan III
Sumber Dana : Dana Transfer Umum-Dana Alokasi Umum</t>
    </r>
  </si>
  <si>
    <t>BAHAYA RADIASI TINGKAT I</t>
  </si>
  <si>
    <t>PEMBIMBING KESEHATAN KERJA MUDA</t>
  </si>
  <si>
    <t>ANALIS SDM APARATUR AHLI MUDA</t>
  </si>
  <si>
    <t>ANALIS SUMBER DAYA MANUSIA APARATUR AHLI MUDA</t>
  </si>
  <si>
    <t>PEREKAM MEDIS PENYELIA</t>
  </si>
  <si>
    <t>APOTEKER MUDA</t>
  </si>
  <si>
    <t>DOKTER AHLI MUDA</t>
  </si>
  <si>
    <t>DOKTER GIGI MUDA</t>
  </si>
  <si>
    <t>ADMINISTRASI KESEHATAN MUDA</t>
  </si>
  <si>
    <t>Administrator Kesehatan Muda</t>
  </si>
  <si>
    <t>BIDAN MUDA</t>
  </si>
  <si>
    <t>BIDAN UTAMA</t>
  </si>
  <si>
    <t>EPIDEMIOLOG KESEHATAN MUDA</t>
  </si>
  <si>
    <t>NUTRISIONIS MUDA</t>
  </si>
  <si>
    <t>PENYULUH KESEHATAN MASYARAKAT MUDA</t>
  </si>
  <si>
    <t>PERAWAT MUDA</t>
  </si>
  <si>
    <t>PRANATA LABORATORIUM KESEHATAN MUDA</t>
  </si>
  <si>
    <t>SANITARIAN MUDA</t>
  </si>
  <si>
    <t>ANALIS SUMBER DAYA MANUSIA APARATUR AHLI PERTAMA</t>
  </si>
  <si>
    <t>PRANATA SUMBER DAYA MANUSIA APARATUR MAHIR</t>
  </si>
  <si>
    <t>PENATA ANESTESI AHLI PERTAMA</t>
  </si>
  <si>
    <t xml:space="preserve">PRANATA KOMPUTER AHLI PERTAMA </t>
  </si>
  <si>
    <t>ASISTEN APOTEKER PENYELIA</t>
  </si>
  <si>
    <t>BIDAN PENYELIA</t>
  </si>
  <si>
    <t>FISIOTERAPIS PENYELIA</t>
  </si>
  <si>
    <t>NUTRISIONIS PENYELIA</t>
  </si>
  <si>
    <t>PERAWAT GIGI PENYELIA</t>
  </si>
  <si>
    <t>PERAWAT PENYELIA</t>
  </si>
  <si>
    <t>SANITARIAN PENYELIA</t>
  </si>
  <si>
    <t>PRANATA LABORATORIUM KESEHATAN PENYELIA</t>
  </si>
  <si>
    <t>PENGELOLA PENGADAAN BARANG DAN JASA AHLI PERTAMA</t>
  </si>
  <si>
    <t>PRANATA KOMPUTER PELAKSANA</t>
  </si>
  <si>
    <t>APOTEKER PERTAMA</t>
  </si>
  <si>
    <t>DOKTER AHLI PERTAMA</t>
  </si>
  <si>
    <t>DOKTER GIGI PERTAMA</t>
  </si>
  <si>
    <t>DOKTER PERTAMA</t>
  </si>
  <si>
    <t>Administrator Kesehatan Pertama</t>
  </si>
  <si>
    <t>BIDAN PERTAMA</t>
  </si>
  <si>
    <t>EPIDEMIOLOG KESEHATAN PERTAMA</t>
  </si>
  <si>
    <t>NUTRISIONIS PERTAMA</t>
  </si>
  <si>
    <t>PENYULUH KESEHATAN MASYARAKAT PERTAMA</t>
  </si>
  <si>
    <t>PERAWAT AHLI PERTAMA</t>
  </si>
  <si>
    <t>PERAWAT PERTAMA</t>
  </si>
  <si>
    <t>PRANATA HUBUNGAN MASYARAKAT PENYELIA</t>
  </si>
  <si>
    <t>PRANATA LABORATORIUM KESEHATAN PERTAMA</t>
  </si>
  <si>
    <t>BIDAN MAHIR / PELAKSANA LANJUTAN</t>
  </si>
  <si>
    <t>FISIOTERAPIS PELAKSANA LANJUTAN</t>
  </si>
  <si>
    <t>PERAWAT MAHIR / PELAKSANA LANJUTAN</t>
  </si>
  <si>
    <t>PRANATA LABORATORIUM KESEHATAN PELAKSANA LANJUTAN</t>
  </si>
  <si>
    <t>ASISTEN APOTEKER MAHIR</t>
  </si>
  <si>
    <t>NUTRISIONIS MAHIR</t>
  </si>
  <si>
    <t>FISIOTERAPIS PELAKSANA</t>
  </si>
  <si>
    <r>
      <rPr>
        <b/>
        <sz val="9"/>
        <rFont val="Arial"/>
        <family val="2"/>
      </rPr>
      <t>[ # ] Belanja Tunjangan Fungsional PNS Golongan II
Sumber Dana : Dana Transfer Umum-Dana Alokasi Umum</t>
    </r>
  </si>
  <si>
    <t>PEREKAM MEDIS PELAKSANA</t>
  </si>
  <si>
    <t>ELEKTROMEDIS TERAMPIL</t>
  </si>
  <si>
    <t xml:space="preserve">PRANATA SDM APARATUR TERAMPIL </t>
  </si>
  <si>
    <t>Arsiparis Terampil</t>
  </si>
  <si>
    <t>ASISTEN APOTEKER PELAKSANA</t>
  </si>
  <si>
    <t>BIDAN PELAKSANA</t>
  </si>
  <si>
    <t>NUTRISIONIS PELAKSANA</t>
  </si>
  <si>
    <t>PERAWAT GIGI PELAKSANA</t>
  </si>
  <si>
    <t>PERAWAT PELAKSANA</t>
  </si>
  <si>
    <t>PERAWAT TERAMPIL /  PELAKSANA</t>
  </si>
  <si>
    <t>PRANATA LABORATORIUM KESEHATAN PELAKSANA</t>
  </si>
  <si>
    <t>SANITARIAN PELAKSANA</t>
  </si>
  <si>
    <t>TERAPIS WICARA TERAMPIL</t>
  </si>
  <si>
    <t>TEKNISI TRANSPUSI DARAH TERAMPIL</t>
  </si>
  <si>
    <t>5.1.01.01.04.0002</t>
  </si>
  <si>
    <t>Belanja Tunjangan Fungsional PPPK</t>
  </si>
  <si>
    <t>paket</t>
  </si>
  <si>
    <t>[ - ] Belanja Tunjangan Fungsional PPPK Golongan 11</t>
  </si>
  <si>
    <t>[ - ] Belanja Tunjangan Fungsional PPPK Golongan 10</t>
  </si>
  <si>
    <t>[ - ] Belanja Tunjangan Fungsional PPPK Golongan 9</t>
  </si>
  <si>
    <t>[ - ] Belanja Tunjangan Fungsional PPPK Golongan 7</t>
  </si>
  <si>
    <t>5.1.01.01.05</t>
  </si>
  <si>
    <t>Belanja Tunjangan Fungsional Umum ASN</t>
  </si>
  <si>
    <t>5.1.01.01.05.0001</t>
  </si>
  <si>
    <t>Belanja Tunjangan Fungsional Umum PNS</t>
  </si>
  <si>
    <r>
      <rPr>
        <b/>
        <sz val="9"/>
        <rFont val="Arial"/>
        <family val="2"/>
      </rPr>
      <t>[ # ] Belanja Tunjangan Fungsional Umum PNS
Sumber Dana : Dana Transfer Umum-Dana Alokasi Umum</t>
    </r>
  </si>
  <si>
    <t>[ - ] Belanja Tunjangan Fungsional Umum PNS Golongan IV</t>
  </si>
  <si>
    <r>
      <rPr>
        <sz val="9"/>
        <rFont val="Arial MT"/>
        <charset val="134"/>
      </rPr>
      <t>Belanja Tunjangan Fungsional Umum PNS</t>
    </r>
  </si>
  <si>
    <t>[ - ] Belanja Tunjangan Fungsional Umum PNS Golongan III</t>
  </si>
  <si>
    <t>[ - ] Belanja Tunjangan Fungsional Umum PNS Golongan II</t>
  </si>
  <si>
    <t>5.1.01.01.05.0002</t>
  </si>
  <si>
    <t>Belanja Tunjangan Fungsional Umum PPPK</t>
  </si>
  <si>
    <t>[ # ] Belanja Tunjangan Fungsional Umum PPPK
Sumber Dana : Dana Transfer Umum-Dana Alokasi Umum</t>
  </si>
  <si>
    <t>[ - ] Belanja Tunjangan Fungsional Umum PPPK Golongan 5</t>
  </si>
  <si>
    <t>[ - ] Belanja Tunjangan Fungsional Umum PPPK Golongan 3</t>
  </si>
  <si>
    <t>[ - ] Belanja Tunjangan Fungsional Umum PPPK Golongan 1</t>
  </si>
  <si>
    <t>5.1.01.01.06</t>
  </si>
  <si>
    <t>Belanja Tunjangan Beras ASN</t>
  </si>
  <si>
    <t>5.1.01.01.06.0001</t>
  </si>
  <si>
    <t>Belanja Tunjangan Beras PNS</t>
  </si>
  <si>
    <r>
      <rPr>
        <b/>
        <sz val="9"/>
        <rFont val="Arial"/>
        <family val="2"/>
      </rPr>
      <t>[ # ] Belanja Tunjangan Beras PNS
Sumber Dana : Dana Transfer Umum-Dana Alokasi Umum</t>
    </r>
  </si>
  <si>
    <r>
      <rPr>
        <sz val="9"/>
        <rFont val="Arial MT"/>
        <charset val="134"/>
      </rPr>
      <t>Belanja Tunjangan Beras PNS</t>
    </r>
  </si>
  <si>
    <t>[ - ] Belanja Tunjangan Beras PNS Golongan IV/d</t>
  </si>
  <si>
    <t>[ - ] Belanja Tunjangan Beras PNS Golongan IV/c</t>
  </si>
  <si>
    <t>[ - ] Belanja Tunjangan Beras PNS Golongan IV/b</t>
  </si>
  <si>
    <t>[ - ] Belanja Tunjangan Beras PNS Golongan IV/a</t>
  </si>
  <si>
    <t>[ - ] Belanja Tunjangan Beras PNS Golongan III/d</t>
  </si>
  <si>
    <t>[ - ] Belanja Tunjangan Beras PNS Golongan III/c</t>
  </si>
  <si>
    <t>[ - ] Belanja Tunjangan Beras PNS Golongan III/b</t>
  </si>
  <si>
    <t>[ - ] Belanja Tunjangan Beras PNS Golongan III/a</t>
  </si>
  <si>
    <t>[ - ] Belanja Tunjangan Beras PNS Golongan II/d</t>
  </si>
  <si>
    <t>[ - ] Belanja Tunjangan Beras PNS Golongan II/c</t>
  </si>
  <si>
    <t>[ - ] Belanja Tunjangan Beras PNS Golongan II/b</t>
  </si>
  <si>
    <t>[ - ] Belanja Tunjangan Beras PNS Golongan II/a</t>
  </si>
  <si>
    <t>5.1.01.01.06.0002</t>
  </si>
  <si>
    <t>Belanja Tunjangan Beras PPPK</t>
  </si>
  <si>
    <r>
      <rPr>
        <b/>
        <sz val="9"/>
        <rFont val="Arial"/>
        <family val="2"/>
      </rPr>
      <t>[ # ] Belanja Tunjangan Beras PPPK
Sumber Dana : Dana Transfer Umum-Dana Alokasi Umum</t>
    </r>
  </si>
  <si>
    <t>[ - ] Belanja Tunjangan Beras PPPK Golongan 11</t>
  </si>
  <si>
    <t>[ - ] Belanja Tunjangan Beras PPPK Golongan 10</t>
  </si>
  <si>
    <t>[ - ] Belanja Tunjangan Beras PPPK Golongan 9</t>
  </si>
  <si>
    <r>
      <rPr>
        <sz val="9"/>
        <rFont val="Arial MT"/>
        <charset val="134"/>
      </rPr>
      <t>Belanja Tunjangan Beras PPPK</t>
    </r>
  </si>
  <si>
    <t>[ - ] Belanja Tunjangan Beras PPPK Golongan 7</t>
  </si>
  <si>
    <t>[ - ] Belanja Tunjangan Beras PPPK Golongan 5</t>
  </si>
  <si>
    <t>[ - ] Belanja Tunjangan Beras PPPK Golongan 3</t>
  </si>
  <si>
    <t>[ - ] Belanja Tunjangan Beras PPPK Golongan 1</t>
  </si>
  <si>
    <t>5.1.01.01.07</t>
  </si>
  <si>
    <t>Belanja Tunjangan PPh/Tunjangan Khusus ASN</t>
  </si>
  <si>
    <t>5.1.01.01.07.0001</t>
  </si>
  <si>
    <t>Belanja Tunjangan PPh/Tunjangan Khusus PNS</t>
  </si>
  <si>
    <r>
      <rPr>
        <b/>
        <sz val="9"/>
        <rFont val="Arial"/>
        <family val="2"/>
      </rPr>
      <t>[ # ] Belanja Tunjangan PPh/Tunjangan Khusus PNS
Sumber Dana : Dana Transfer Umum-Dana Alokasi Umum</t>
    </r>
  </si>
  <si>
    <t>[ - ] Belanja Tunjangan PPH/Tunjangan Khusus PNS Golongan IV/d</t>
  </si>
  <si>
    <t>[ - ] Belanja Tunjangan PPH/Tunjangan Khusus PNS Golongan IV/c</t>
  </si>
  <si>
    <r>
      <rPr>
        <sz val="9"/>
        <rFont val="Arial MT"/>
        <charset val="134"/>
      </rPr>
      <t>Belanja Tunjangan PPh/Tunjangan Khusus PNS</t>
    </r>
  </si>
  <si>
    <t>[ - ] Belanja Tunjangan PPH/Tunjangan Khusus PNS Golongan IV/b</t>
  </si>
  <si>
    <t>[ - ] Belanja Tunjangan PPH/Tunjangan Khusus PNS Golongan IV/a</t>
  </si>
  <si>
    <t>[ - ] Belanja Tunjangan PPH/Tunjangan Khusus PNS Golongan III/d</t>
  </si>
  <si>
    <t>[ - ] Belanja Tunjangan PPH/Tunjangan Khusus PNS Golongan III/c</t>
  </si>
  <si>
    <t>[ - ] Belanja Tunjangan PPH/Tunjangan Khusus PNS Golongan III/b</t>
  </si>
  <si>
    <t>[ - ] [-] Belanja Tunjangan PPh/Tunjangan Khusus PNS Pegawai Dinas Kesehatan (Kantor Dinas + Puskesmas + UPT Labkesda + UPT Kesja) Gaji 13 dan 14 Tahun 2024 dan 2025</t>
  </si>
  <si>
    <r>
      <rPr>
        <sz val="9"/>
        <rFont val="Arial MT"/>
        <charset val="134"/>
      </rPr>
      <t>Kali</t>
    </r>
  </si>
  <si>
    <t>[ - ] [-] Belanja Tunjangan PPh/Tunjangan Khusus PNS Pegawai Dinas Kesehatan (Kantor Dinas + Puskesmas + UPT Labkesda + UPT Kesja) Gaji 13 dan 14</t>
  </si>
  <si>
    <t xml:space="preserve">[ # ] Belanja Tunjangan PPh/Tunjangan Khusus PNS
</t>
  </si>
  <si>
    <t>5.1.01.01.07.0002</t>
  </si>
  <si>
    <t>Belanja Tunjangan PPh/Tunjangan Khusus PPPK</t>
  </si>
  <si>
    <t>[ # ] Belanja Tunjangan PPh/Tunjangan Khusus PPPK
Sumber Dana : Dana Transfer Umum-Dana Alokasi Umum</t>
  </si>
  <si>
    <t>[ - ] Belanja Tunjangan PPH/Tunjangan Khusus PPPK Golongan 10</t>
  </si>
  <si>
    <t>[ - ] Belanja Tunjangan PPH/Tunjangan Khusus PPPK Golongan 9</t>
  </si>
  <si>
    <t>[ - ] [-] Belanja Tunjangan PPh/Tunjangan Khusus PPPK (Gaji 13 dan 14)</t>
  </si>
  <si>
    <t>5.1.01.01.08</t>
  </si>
  <si>
    <t>Belanja Pembulatan Gaji ASN</t>
  </si>
  <si>
    <t>5.1.01.01.08.0001</t>
  </si>
  <si>
    <t>Belanja Pembulatan Gaji PNS</t>
  </si>
  <si>
    <r>
      <rPr>
        <b/>
        <sz val="9"/>
        <rFont val="Arial"/>
        <family val="2"/>
      </rPr>
      <t>[ # ] Belanja Pembulatan Gaji PNS
Sumber Dana : Dana Transfer Umum-Dana Alokasi Umum</t>
    </r>
  </si>
  <si>
    <t>[ - ] Belanja Pembulatan Gaji PNS Golongan IV</t>
  </si>
  <si>
    <r>
      <rPr>
        <sz val="9"/>
        <rFont val="Arial MT"/>
        <charset val="134"/>
      </rPr>
      <t>Belanja Pembulatan Gaji PNS</t>
    </r>
  </si>
  <si>
    <t>[ - ] Belanja Pembulatan Gaji PNS Golongan III</t>
  </si>
  <si>
    <t>[ - ] Belanja Pembulatan Gaji PNS Golongan II</t>
  </si>
  <si>
    <t>5.1.01.01.08.0002</t>
  </si>
  <si>
    <t>Belanja Pembulatan Gaji PPPK</t>
  </si>
  <si>
    <r>
      <rPr>
        <b/>
        <sz val="9"/>
        <rFont val="Arial"/>
        <family val="2"/>
      </rPr>
      <t>[ # ] Belanja Pembulatan Gaji PPPK
Sumber Dana : Dana Transfer Umum-Dana Alokasi Umum</t>
    </r>
  </si>
  <si>
    <t>[ - ] Belanja Pembulatan Gaji PPPK Golongan 10</t>
  </si>
  <si>
    <r>
      <rPr>
        <sz val="9"/>
        <rFont val="Arial MT"/>
        <charset val="134"/>
      </rPr>
      <t>Belanja Pembulatan Gaji PPPK</t>
    </r>
  </si>
  <si>
    <t>[ - ] Belanja Pembulatan Gaji PPPK Golongan 9</t>
  </si>
  <si>
    <t>[ - ] Belanja Pembulatan Gaji PPPK Golongan 7</t>
  </si>
  <si>
    <t>[ - ] Belanja Pembulatan Gaji PPPK Golongan 5</t>
  </si>
  <si>
    <t>[ - ] Belanja Pembulatan Gaji PPPK Golongan 3</t>
  </si>
  <si>
    <t>[ - ] Belanja Pembulatan Gaji PPPK Golongan 1</t>
  </si>
  <si>
    <t>5.1.01.01.09</t>
  </si>
  <si>
    <t>Belanja Iuran Jaminan Kesehatan ASN</t>
  </si>
  <si>
    <t>5.1.01.01.09.0001</t>
  </si>
  <si>
    <t>Belanja Iuran Jaminan Kesehatan PNS</t>
  </si>
  <si>
    <r>
      <rPr>
        <b/>
        <sz val="9"/>
        <rFont val="Arial"/>
        <family val="2"/>
      </rPr>
      <t>[ # ] Belanja Iuran Jaminan Kesehatan PNS
Sumber Dana : Dana Transfer Umum-Dana Alokasi Umum</t>
    </r>
  </si>
  <si>
    <t>[ - ] Belanja Iuran Jaminan Kesehatan PNS Golongan IV</t>
  </si>
  <si>
    <r>
      <rPr>
        <sz val="9"/>
        <rFont val="Arial MT"/>
        <charset val="134"/>
      </rPr>
      <t>Belanja Iuran Jaminan Kesehatan PNS</t>
    </r>
  </si>
  <si>
    <t>[ - ] Belanja Iuran Jaminan Kesehatan PNS Golongan III</t>
  </si>
  <si>
    <t>[ - ] Belanja Iuran Jaminan Kesehatan PNS Golongan II</t>
  </si>
  <si>
    <t>[ - ] Belanja Iuran Jaminan Kesehatan PNS tahun 2025 (Unsur TPP, Tamsil Puskesmas)</t>
  </si>
  <si>
    <t>5.1.01.01.09.0002</t>
  </si>
  <si>
    <t>Belanja Iuran Jaminan Kesehatan PPPK</t>
  </si>
  <si>
    <r>
      <rPr>
        <b/>
        <sz val="9"/>
        <rFont val="Arial"/>
        <family val="2"/>
      </rPr>
      <t>[ # ] Belanja Iuran Jaminan Kesehatan PPPK
Sumber Dana : Dana Transfer Umum-Dana Alokasi Umum</t>
    </r>
  </si>
  <si>
    <t>[ - ] Belanja Iuran Jaminan Kesehatan PPPK tahun 2025 (Unsur TPP)</t>
  </si>
  <si>
    <t>[ - ] Belanja Iuran Jaminan Kesehatan PPPK Golongan 10</t>
  </si>
  <si>
    <r>
      <rPr>
        <sz val="9"/>
        <rFont val="Arial MT"/>
        <charset val="134"/>
      </rPr>
      <t>Belanja Iuran Jaminan Kesehatan PPPK</t>
    </r>
  </si>
  <si>
    <t>[ - ] Belanja Iuran Jaminan Kesehatan PPPK Golongan 9</t>
  </si>
  <si>
    <t>[ - ] Belanja Iuran Jaminan Kesehatan PPPK Golongan 7</t>
  </si>
  <si>
    <t>[ - ] Belanja Iuran Jaminan Kesehatan PPPK Golongan 5</t>
  </si>
  <si>
    <t>[ - ] Belanja Iuran Jaminan Kesehatan PPPK Golongan 3</t>
  </si>
  <si>
    <t>[ - ] Belanja Iuran Jaminan Kesehatan PPPK Golongan 1</t>
  </si>
  <si>
    <t>5.1.01.01.10</t>
  </si>
  <si>
    <t>Belanja Iuran Jaminan Kecelakaan Kerja ASN</t>
  </si>
  <si>
    <t>5.1.01.01.10.0001</t>
  </si>
  <si>
    <t>Belanja Iuran Jaminan Kecelakaan Kerja PNS</t>
  </si>
  <si>
    <r>
      <rPr>
        <b/>
        <sz val="9"/>
        <rFont val="Arial"/>
        <family val="2"/>
      </rPr>
      <t>[ # ] Belanja Iuran Jaminan Kecelakaan Kerja PNS
Sumber Dana : Dana Transfer Umum-Dana Alokasi Umum</t>
    </r>
  </si>
  <si>
    <t>[ - ] Belanja Iuran Jaminan Kecelakaan Kerja PNS Golongan IV</t>
  </si>
  <si>
    <r>
      <rPr>
        <sz val="9"/>
        <rFont val="Arial MT"/>
        <charset val="134"/>
      </rPr>
      <t>Belanja Iuran Jaminan Kecelakaan Kerja PNS</t>
    </r>
  </si>
  <si>
    <t>[ - ] Belanja Iuran Jaminan Kecelakaan Kerja PNS Golongan III</t>
  </si>
  <si>
    <t>[ - ] Belanja Iuran Jaminan Kecelakaan Kerja PNS Golongan II</t>
  </si>
  <si>
    <t>[ - ] Belanja Iuran Jaminan Kecelakaan Kerja PNS</t>
  </si>
  <si>
    <t>5.1.01.01.10.0002</t>
  </si>
  <si>
    <t>Belanja Iuran Jaminan Kecelakaan Kerja PPPK</t>
  </si>
  <si>
    <r>
      <rPr>
        <b/>
        <sz val="9"/>
        <rFont val="Arial"/>
        <family val="2"/>
      </rPr>
      <t>[ # ] Belanja Iuran Jaminan Kecelakaan Kerja PPPK
Sumber Dana : Dana Transfer Umum-Dana Alokasi Umum</t>
    </r>
  </si>
  <si>
    <t xml:space="preserve">[ - ] Belanja Iuran Jaminan Kecelakaan Kerja PPPK </t>
  </si>
  <si>
    <t>[ - ] Belanja Iuran Jaminan Kecelakaan Kerja PPPK Golongan 10</t>
  </si>
  <si>
    <r>
      <rPr>
        <sz val="9"/>
        <rFont val="Arial MT"/>
        <charset val="134"/>
      </rPr>
      <t>Belanja Iuran Jaminan Kecelakaan Kerja PPPK</t>
    </r>
  </si>
  <si>
    <t>[ - ] Belanja Iuran Jaminan Kecelakaan Kerja PPPK Golongan 9</t>
  </si>
  <si>
    <t>[ - ] Belanja Iuran Jaminan Kecelakaan Kerja PPPK Golongan 7</t>
  </si>
  <si>
    <t>[ - ] Belanja Iuran Jaminan Kecelakaan Kerja PPPK Golongan 5</t>
  </si>
  <si>
    <t>[ - ] Belanja Iuran Jaminan Kecelakaan Kerja PPPK Golongan 3</t>
  </si>
  <si>
    <t>[ - ] Belanja Iuran Jaminan Kecelakaan Kerja PPPK Golongan 1</t>
  </si>
  <si>
    <t>5.1.01.01.11</t>
  </si>
  <si>
    <t>Belanja Iuran Jaminan Kematian ASN</t>
  </si>
  <si>
    <t>5.1.01.01.11.0001</t>
  </si>
  <si>
    <t>Belanja Iuran Jaminan Kematian PNS</t>
  </si>
  <si>
    <r>
      <rPr>
        <b/>
        <sz val="9"/>
        <rFont val="Arial"/>
        <family val="2"/>
      </rPr>
      <t>[ # ] Belanja Iuran Jaminan Kematian PNS
Sumber Dana : Dana Transfer Umum-Dana Alokasi Umum</t>
    </r>
  </si>
  <si>
    <t>[ - ] Belanja Iuran Jaminan Kematian PNS Golongan IV</t>
  </si>
  <si>
    <r>
      <rPr>
        <sz val="9"/>
        <rFont val="Arial MT"/>
        <charset val="134"/>
      </rPr>
      <t>Belanja Iuran Jaminan Kematian PNS</t>
    </r>
  </si>
  <si>
    <t>[ - ] Belanja Iuran Jaminan Kematian PNS Golongan III</t>
  </si>
  <si>
    <t>[ - ] Belanja Iuran Jaminan Kematian PNS Golongan II</t>
  </si>
  <si>
    <t>5.1.01.01.11.0002</t>
  </si>
  <si>
    <t>Belanja Iuran Jaminan Kematian PPPK</t>
  </si>
  <si>
    <r>
      <rPr>
        <b/>
        <sz val="9"/>
        <rFont val="Arial"/>
        <family val="2"/>
      </rPr>
      <t>[ # ] Belanja Iuran Jaminan Kematian PPPK
Sumber Dana : Dana Transfer Umum-Dana Alokasi Umum</t>
    </r>
  </si>
  <si>
    <t>[ - ] Belanja Iuran Jaminan Kematian PPPK Golongan 10</t>
  </si>
  <si>
    <r>
      <rPr>
        <sz val="9"/>
        <rFont val="Arial MT"/>
        <charset val="134"/>
      </rPr>
      <t>Belanja Iuran Jaminan Kematian PPPK</t>
    </r>
  </si>
  <si>
    <t>[ - ] Belanja Iuran Jaminan Kematian PPPK Golongan 9</t>
  </si>
  <si>
    <t>[ - ] Belanja Iuran Jaminan Kematian PPPK Golongan 7</t>
  </si>
  <si>
    <t>[ - ] Belanja Iuran Jaminan Kematian PPPK Golongan 5</t>
  </si>
  <si>
    <t>[ - ] Belanja Iuran Jaminan Kematian PPPK Golongan 3</t>
  </si>
  <si>
    <t>[ - ] Belanja Iuran Jaminan Kematian PPPK Golongan 1</t>
  </si>
  <si>
    <t>5.1.01.02</t>
  </si>
  <si>
    <t>Belanja Tambahan Penghasilan ASN</t>
  </si>
  <si>
    <t>5.1.01.02.01</t>
  </si>
  <si>
    <t>Tambahan Penghasilan berdasarkan Beban Kerja ASN</t>
  </si>
  <si>
    <t>5.1.01.02.01.0001</t>
  </si>
  <si>
    <t>Tambahan Penghasilan berdasarkan Beban Kerja PNS</t>
  </si>
  <si>
    <t>[ # ] Tambahan Penghasilan berdasarkan Beban Kerja PNS Sumber Dana : PENDAPATAN ASLI DAERAH (PAD)</t>
  </si>
  <si>
    <t>[ - ] Belanja Tambahan Penghasilan berdasarkan Beban Kerja PNS Kelas 14</t>
  </si>
  <si>
    <r>
      <rPr>
        <sz val="9"/>
        <rFont val="Arial MT"/>
        <charset val="134"/>
      </rPr>
      <t>Tambahan Penghasilan berdasarkan Beban Kerja PNS</t>
    </r>
  </si>
  <si>
    <t>[ - ] Belanja Tambahan Penghasilan berdasarkan Beban Kerja PNS Kelas 12</t>
  </si>
  <si>
    <t>[ - ] Belanja Tambahan Penghasilan berdasarkan Beban Kerja PNS Kelas 11</t>
  </si>
  <si>
    <t>[ - ] Belanja Tambahan Penghasilan berdasarkan Beban Kerja PNS Kelas 9</t>
  </si>
  <si>
    <t>[ - ] Belanja Tambahan Penghasilan berdasarkan Beban Kerja PNS Kelas 8</t>
  </si>
  <si>
    <t>[ - ] Belanja Tambahan Penghasilan berdasarkan Beban Kerja PNS Kelas 7</t>
  </si>
  <si>
    <t>[ - ] Belanja Tambahan Penghasilan berdasarkan Beban Kerja PNS Kelas 6</t>
  </si>
  <si>
    <t>[ - ] Belanja Tambahan Penghasilan berdasarkan Beban Kerja PNS Kelas 5</t>
  </si>
  <si>
    <t>[ - ] Belanja Tambahan Penghasilan berdasarkan Beban Kerja PNS Kelas 4</t>
  </si>
  <si>
    <t>[ - ] Belanja Tambahan Penghasilan berdasarkan Beban Kerja PNS Kelas 3</t>
  </si>
  <si>
    <t>tahun</t>
  </si>
  <si>
    <t>5.1.01.02.01.0002</t>
  </si>
  <si>
    <t>Tambahan Penghasilan berdasarkan Beban Kerja PPPK</t>
  </si>
  <si>
    <t>[ # ] Tambahan Penghasilan berdasarkan Beban Kerja PPPK Sumber Dana : PENDAPATAN ASLI DAERAH (PAD)</t>
  </si>
  <si>
    <t>[ - ] Belanja Tambahan Penghasilan berdasarkan Beban Kerja PPPK Kelas 7</t>
  </si>
  <si>
    <r>
      <rPr>
        <sz val="9"/>
        <rFont val="Arial MT"/>
        <charset val="134"/>
      </rPr>
      <t>Tambahan Penghasilan berdasarkan Beban Kerja PPPK</t>
    </r>
  </si>
  <si>
    <t xml:space="preserve">[ - ] Belanja Tambahan Penghasilan berdasarkan Beban Kerja PPPK </t>
  </si>
  <si>
    <t>5.1.01.02.03</t>
  </si>
  <si>
    <t>Tambahan Penghasilan berdasarkan Kondisi Kerja ASN</t>
  </si>
  <si>
    <t>5.1.01.02.03.0001</t>
  </si>
  <si>
    <t>Tambahan Penghasilan berdasarkan Kondisi Kerja PNS</t>
  </si>
  <si>
    <t>[ # ] Belanja Tambahan Penghasilan berdasarkan Kondisi Kerja PNS Sumber Dana : PENDAPATAN ASLI DAERAH (PAD)</t>
  </si>
  <si>
    <t>[ - ] Belanja Tambahan Penghasilan berdasarkan Kondisi Kerja PNS Kelas 14</t>
  </si>
  <si>
    <r>
      <rPr>
        <sz val="9"/>
        <rFont val="Arial MT"/>
        <charset val="134"/>
      </rPr>
      <t>Tambahan Penghasilan berdasarkan Kondisi Kerja PNS</t>
    </r>
  </si>
  <si>
    <t>[ - ] Belanja Tambahan Penghasilan berdasarkan Kondisi Kerja PNS Kelas 12</t>
  </si>
  <si>
    <t>[ - ] Belanja Tambahan Penghasilan berdasarkan Kondisi Kerja PNS Kelas 11</t>
  </si>
  <si>
    <t>[ - ] Belanja Tambahan Penghasilan berdasarkan Kondisi Kerja PNS Kelas 9</t>
  </si>
  <si>
    <t>[ - ] Belanja Tambahan Penghasilan berdasarkan Kondisi Kerja PNS Kelas 8</t>
  </si>
  <si>
    <t>[ - ] Belanja Tambahan Penghasilan berdasarkan Kondisi Kerja PNS Kelas 7</t>
  </si>
  <si>
    <t>[ - ] Belanja Tambahan Penghasilan berdasarkan Kondisi Kerja PNS Kelas 6</t>
  </si>
  <si>
    <t>[ - ] Belanja Tambahan Penghasilan berdasarkan Kondisi Kerja PNS Kelas 5</t>
  </si>
  <si>
    <t>[ - ] Belanja Tambahan Penghasilan berdasarkan Kondisi Kerja PNS Kelas 4</t>
  </si>
  <si>
    <t>[ - ] Belanja Tambahan Penghasilan berdasarkan Kondisi Kerja PNS Kelas 3</t>
  </si>
  <si>
    <t>5.1.01.02.04</t>
  </si>
  <si>
    <t>Tambahan Penghasilan berdasarkan Kelangkaan Profesi ASN</t>
  </si>
  <si>
    <t>5.1.01.02.04.0001</t>
  </si>
  <si>
    <t>Tambahan Penghasilan berdasarkan Kelangkaan Profesi PNS</t>
  </si>
  <si>
    <t>[ # ] Tambahan Penghasilan berdasarkan Kelangkaan Profesi ASN Sumber Dana : PENDAPATAN ASLI DAERAH (PAD)</t>
  </si>
  <si>
    <t>[ - ] Tambahan Penghasilan berdasarkan Kelangkaan Profesi PNS</t>
  </si>
  <si>
    <r>
      <rPr>
        <sz val="9"/>
        <rFont val="Arial MT"/>
        <charset val="134"/>
      </rPr>
      <t>Tambahan Penghasilan berdasarkan Kelangkaan Profesi PNS</t>
    </r>
  </si>
  <si>
    <t>5.1.01.02.04.0002</t>
  </si>
  <si>
    <t>Tambahan Penghasilan berdasarkan Kelangkaan Profesi PPPK</t>
  </si>
  <si>
    <t>[ - ] Tambahan Penghasilan berdasarkan Kelangkaan Profesi PPPK</t>
  </si>
  <si>
    <t>5.1.01.02.05</t>
  </si>
  <si>
    <t>Tambahan Penghasilan berdasarkan Prestasi Kerja ASN</t>
  </si>
  <si>
    <t>5.1.01.02.05.0001</t>
  </si>
  <si>
    <t>Tambahan Penghasilan berdasarkan Prestasi Kerja PNS</t>
  </si>
  <si>
    <t>[ # ] Tambahan Penghasilan berdasarkan Prestasi Kerja PNS Sumber Dana : PENDAPATAN ASLI DAERAH (PAD)</t>
  </si>
  <si>
    <t>[ - ] Belanja Tambahan Penghasilan berdasarkan Prestasi Kerja PNS Kelas 14</t>
  </si>
  <si>
    <r>
      <rPr>
        <sz val="9"/>
        <rFont val="Arial MT"/>
        <charset val="134"/>
      </rPr>
      <t>Tambahan Penghasilan berdasarkan Prestasi Kerja PNS</t>
    </r>
  </si>
  <si>
    <t>[ - ] Belanja Tambahan Penghasilan berdasarkan Prestasi Kerja PNS Kelas 12</t>
  </si>
  <si>
    <t>[ - ] Belanja Tambahan Penghasilan berdasarkan Prestasi Kerja PNS Kelas 11</t>
  </si>
  <si>
    <t>[ - ] Belanja Tambahan Penghasilan berdasarkan Prestasi Kerja PNS Kelas 9</t>
  </si>
  <si>
    <t>[ - ] Belanja Tambahan Penghasilan berdasarkan Prestasi Kerja PNS Kelas 8</t>
  </si>
  <si>
    <t>[ - ] Tambahan Penghasilan berdasarkan Prestasi Kerja PNS Kelas 7</t>
  </si>
  <si>
    <t>[ - ] Belanja Tambahan Penghasilan berdasarkan Prestasi Kerja PNS Kelas 6</t>
  </si>
  <si>
    <t>[ - ] Tambahan Penghasilan berdasarkan Prestasi Kerja PNS Kelas 5</t>
  </si>
  <si>
    <t>[ - ] Tambahan Penghasilan berdasarkan Prestasi Kerja PNS Kelas 4</t>
  </si>
  <si>
    <t>[ - ] Tambahan Penghasilan berdasarkan Prestasi Kerja PNS Kelas 3</t>
  </si>
  <si>
    <t>Jumlah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</si>
</sst>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m\.d\.yy;@"/>
    <numFmt numFmtId="166" formatCode="_(* #,##0.00_);_(* \(#,##0.00\);_(* &quot;-&quot;??_);_(@_)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10"/>
      <name val="Times New Roman"/>
      <family val="1"/>
    </font>
    <font>
      <sz val="9"/>
      <name val="Arial MT"/>
      <charset val="134"/>
    </font>
    <font>
      <sz val="10"/>
      <name val="Arial"/>
      <family val="2"/>
    </font>
    <font>
      <b/>
      <sz val="10"/>
      <name val="Times New Roman"/>
      <family val="1"/>
    </font>
    <font>
      <sz val="9"/>
      <name val="Arial"/>
      <family val="2"/>
    </font>
    <font>
      <sz val="8"/>
      <name val="Times New Roman"/>
      <family val="1"/>
    </font>
    <font>
      <b/>
      <sz val="9"/>
      <name val="Arial MT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29">
    <xf numFmtId="0" fontId="0" fillId="0" borderId="0" xfId="0"/>
    <xf numFmtId="43" fontId="9" fillId="0" borderId="0" xfId="1" applyFont="1" applyFill="1" applyBorder="1" applyAlignment="1">
      <alignment horizontal="left" vertical="top"/>
    </xf>
    <xf numFmtId="43" fontId="8" fillId="0" borderId="13" xfId="1" applyFont="1" applyFill="1" applyBorder="1" applyAlignment="1">
      <alignment horizontal="left" vertical="top" wrapText="1" indent="1"/>
    </xf>
    <xf numFmtId="166" fontId="8" fillId="0" borderId="13" xfId="1" applyNumberFormat="1" applyFont="1" applyFill="1" applyBorder="1" applyAlignment="1">
      <alignment horizontal="left" vertical="top" wrapText="1" indent="2"/>
    </xf>
    <xf numFmtId="43" fontId="8" fillId="0" borderId="13" xfId="1" applyFont="1" applyFill="1" applyBorder="1" applyAlignment="1">
      <alignment horizontal="right" vertical="top" wrapText="1"/>
    </xf>
    <xf numFmtId="43" fontId="9" fillId="0" borderId="13" xfId="1" applyFont="1" applyFill="1" applyBorder="1" applyAlignment="1">
      <alignment horizontal="left" vertical="center" wrapText="1"/>
    </xf>
    <xf numFmtId="43" fontId="10" fillId="0" borderId="13" xfId="1" applyFont="1" applyFill="1" applyBorder="1" applyAlignment="1">
      <alignment horizontal="right" vertical="top" wrapText="1"/>
    </xf>
    <xf numFmtId="43" fontId="8" fillId="0" borderId="13" xfId="1" applyFont="1" applyFill="1" applyBorder="1" applyAlignment="1">
      <alignment horizontal="left" vertical="top" wrapText="1" indent="2"/>
    </xf>
    <xf numFmtId="43" fontId="10" fillId="0" borderId="13" xfId="1" applyFont="1" applyFill="1" applyBorder="1" applyAlignment="1">
      <alignment horizontal="right" vertical="top"/>
    </xf>
    <xf numFmtId="43" fontId="9" fillId="0" borderId="13" xfId="1" applyFont="1" applyFill="1" applyBorder="1" applyAlignment="1">
      <alignment horizontal="left" vertical="top"/>
    </xf>
    <xf numFmtId="43" fontId="12" fillId="0" borderId="13" xfId="1" applyFont="1" applyFill="1" applyBorder="1" applyAlignment="1">
      <alignment horizontal="left" vertical="top"/>
    </xf>
    <xf numFmtId="43" fontId="14" fillId="0" borderId="13" xfId="1" applyFont="1" applyFill="1" applyBorder="1" applyAlignment="1">
      <alignment vertical="top" wrapText="1"/>
    </xf>
    <xf numFmtId="43" fontId="13" fillId="0" borderId="13" xfId="1" applyFont="1" applyFill="1" applyBorder="1" applyAlignment="1">
      <alignment horizontal="right" vertical="top" wrapText="1"/>
    </xf>
    <xf numFmtId="43" fontId="15" fillId="0" borderId="13" xfId="1" applyFont="1" applyFill="1" applyBorder="1" applyAlignment="1">
      <alignment horizontal="right" vertical="top" wrapText="1"/>
    </xf>
    <xf numFmtId="43" fontId="13" fillId="0" borderId="13" xfId="1" applyFont="1" applyFill="1" applyBorder="1" applyAlignment="1">
      <alignment vertical="top"/>
    </xf>
    <xf numFmtId="43" fontId="9" fillId="0" borderId="13" xfId="1" applyFont="1" applyFill="1" applyBorder="1" applyAlignment="1">
      <alignment vertical="top" wrapText="1"/>
    </xf>
    <xf numFmtId="43" fontId="10" fillId="0" borderId="13" xfId="1" applyFont="1" applyFill="1" applyBorder="1" applyAlignment="1">
      <alignment horizontal="right" vertical="center"/>
    </xf>
    <xf numFmtId="43" fontId="10" fillId="0" borderId="13" xfId="1" applyFont="1" applyFill="1" applyBorder="1" applyAlignment="1">
      <alignment horizontal="right" vertical="center" wrapText="1"/>
    </xf>
    <xf numFmtId="43" fontId="8" fillId="0" borderId="13" xfId="1" applyFont="1" applyFill="1" applyBorder="1" applyAlignment="1">
      <alignment vertical="top" wrapText="1"/>
    </xf>
    <xf numFmtId="43" fontId="9" fillId="0" borderId="13" xfId="1" applyFont="1" applyFill="1" applyBorder="1" applyAlignment="1">
      <alignment horizontal="left" vertical="center"/>
    </xf>
    <xf numFmtId="43" fontId="8" fillId="0" borderId="13" xfId="1" applyFont="1" applyFill="1" applyBorder="1" applyAlignment="1">
      <alignment horizontal="right" vertical="top"/>
    </xf>
    <xf numFmtId="43" fontId="13" fillId="0" borderId="13" xfId="1" applyFont="1" applyFill="1" applyBorder="1" applyAlignment="1">
      <alignment horizontal="left" vertical="top" wrapText="1" indent="2"/>
    </xf>
    <xf numFmtId="0" fontId="0" fillId="0" borderId="0" xfId="0" applyFill="1"/>
    <xf numFmtId="0" fontId="0" fillId="0" borderId="0" xfId="0" applyFill="1" applyAlignment="1">
      <alignment vertical="center"/>
    </xf>
    <xf numFmtId="0" fontId="2" fillId="0" borderId="13" xfId="0" applyFont="1" applyFill="1" applyBorder="1" applyAlignment="1">
      <alignment horizontal="center"/>
    </xf>
    <xf numFmtId="0" fontId="4" fillId="0" borderId="13" xfId="0" applyFont="1" applyFill="1" applyBorder="1"/>
    <xf numFmtId="0" fontId="0" fillId="0" borderId="13" xfId="0" applyFill="1" applyBorder="1"/>
    <xf numFmtId="0" fontId="5" fillId="0" borderId="13" xfId="0" applyFont="1" applyFill="1" applyBorder="1"/>
    <xf numFmtId="0" fontId="5" fillId="0" borderId="13" xfId="0" applyFont="1" applyFill="1" applyBorder="1" applyAlignment="1">
      <alignment horizontal="left"/>
    </xf>
    <xf numFmtId="164" fontId="2" fillId="0" borderId="13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vertical="top"/>
    </xf>
    <xf numFmtId="0" fontId="2" fillId="0" borderId="13" xfId="0" applyFont="1" applyFill="1" applyBorder="1" applyAlignment="1">
      <alignment vertical="center"/>
    </xf>
    <xf numFmtId="0" fontId="3" fillId="0" borderId="13" xfId="0" applyFont="1" applyFill="1" applyBorder="1" applyAlignment="1"/>
    <xf numFmtId="0" fontId="8" fillId="0" borderId="13" xfId="0" applyFont="1" applyFill="1" applyBorder="1" applyAlignment="1">
      <alignment horizontal="left" vertical="top" wrapText="1"/>
    </xf>
    <xf numFmtId="0" fontId="8" fillId="0" borderId="13" xfId="0" applyFont="1" applyFill="1" applyBorder="1" applyAlignment="1">
      <alignment vertical="top" wrapText="1"/>
    </xf>
    <xf numFmtId="43" fontId="9" fillId="0" borderId="0" xfId="0" applyNumberFormat="1" applyFon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165" fontId="8" fillId="0" borderId="13" xfId="0" applyNumberFormat="1" applyFont="1" applyFill="1" applyBorder="1" applyAlignment="1">
      <alignment horizontal="left" vertical="top" shrinkToFit="1"/>
    </xf>
    <xf numFmtId="0" fontId="9" fillId="0" borderId="0" xfId="0" applyFont="1" applyFill="1" applyAlignment="1">
      <alignment horizontal="left" vertical="top"/>
    </xf>
    <xf numFmtId="43" fontId="0" fillId="0" borderId="0" xfId="1" applyFont="1" applyFill="1" applyAlignment="1">
      <alignment horizontal="left" vertical="top"/>
    </xf>
    <xf numFmtId="166" fontId="9" fillId="0" borderId="0" xfId="0" applyNumberFormat="1" applyFont="1" applyFill="1" applyAlignment="1">
      <alignment horizontal="left" vertical="top"/>
    </xf>
    <xf numFmtId="0" fontId="9" fillId="0" borderId="13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vertical="top" wrapText="1"/>
    </xf>
    <xf numFmtId="43" fontId="9" fillId="0" borderId="0" xfId="1" applyFont="1" applyFill="1" applyAlignment="1">
      <alignment horizontal="left" vertical="top"/>
    </xf>
    <xf numFmtId="0" fontId="9" fillId="0" borderId="13" xfId="0" applyFont="1" applyFill="1" applyBorder="1" applyAlignment="1">
      <alignment horizontal="left" vertical="top" wrapText="1"/>
    </xf>
    <xf numFmtId="0" fontId="10" fillId="0" borderId="13" xfId="0" applyFont="1" applyFill="1" applyBorder="1" applyAlignment="1">
      <alignment horizontal="left" vertical="top" wrapText="1" indent="2"/>
    </xf>
    <xf numFmtId="1" fontId="10" fillId="0" borderId="13" xfId="0" applyNumberFormat="1" applyFont="1" applyFill="1" applyBorder="1" applyAlignment="1">
      <alignment horizontal="left" vertical="top" shrinkToFit="1"/>
    </xf>
    <xf numFmtId="0" fontId="10" fillId="0" borderId="13" xfId="0" applyFont="1" applyFill="1" applyBorder="1" applyAlignment="1">
      <alignment horizontal="left" vertical="top" wrapText="1"/>
    </xf>
    <xf numFmtId="3" fontId="11" fillId="0" borderId="13" xfId="0" applyNumberFormat="1" applyFont="1" applyFill="1" applyBorder="1" applyAlignment="1">
      <alignment vertical="top" shrinkToFit="1"/>
    </xf>
    <xf numFmtId="3" fontId="10" fillId="0" borderId="13" xfId="0" applyNumberFormat="1" applyFont="1" applyFill="1" applyBorder="1" applyAlignment="1">
      <alignment horizontal="left" vertical="top" shrinkToFit="1"/>
    </xf>
    <xf numFmtId="0" fontId="9" fillId="0" borderId="13" xfId="0" applyFont="1" applyFill="1" applyBorder="1" applyAlignment="1">
      <alignment horizontal="left" vertical="top"/>
    </xf>
    <xf numFmtId="0" fontId="10" fillId="0" borderId="13" xfId="0" applyFont="1" applyFill="1" applyBorder="1" applyAlignment="1">
      <alignment horizontal="left" vertical="top"/>
    </xf>
    <xf numFmtId="3" fontId="8" fillId="0" borderId="13" xfId="0" applyNumberFormat="1" applyFont="1" applyFill="1" applyBorder="1" applyAlignment="1">
      <alignment vertical="top" wrapText="1"/>
    </xf>
    <xf numFmtId="0" fontId="13" fillId="0" borderId="13" xfId="0" applyFont="1" applyFill="1" applyBorder="1" applyAlignment="1">
      <alignment horizontal="left" vertical="top"/>
    </xf>
    <xf numFmtId="0" fontId="13" fillId="0" borderId="13" xfId="0" applyFont="1" applyFill="1" applyBorder="1" applyAlignment="1">
      <alignment vertical="top" wrapText="1"/>
    </xf>
    <xf numFmtId="0" fontId="8" fillId="0" borderId="13" xfId="0" applyFont="1" applyFill="1" applyBorder="1" applyAlignment="1">
      <alignment vertical="top"/>
    </xf>
    <xf numFmtId="43" fontId="13" fillId="0" borderId="13" xfId="1" applyFont="1" applyFill="1" applyBorder="1" applyAlignment="1">
      <alignment vertical="top" wrapText="1"/>
    </xf>
    <xf numFmtId="0" fontId="10" fillId="0" borderId="13" xfId="0" applyFont="1" applyFill="1" applyBorder="1" applyAlignment="1">
      <alignment horizontal="left" vertical="top" indent="2"/>
    </xf>
    <xf numFmtId="0" fontId="10" fillId="0" borderId="13" xfId="0" applyFont="1" applyFill="1" applyBorder="1" applyAlignment="1">
      <alignment horizontal="left" vertical="center"/>
    </xf>
    <xf numFmtId="3" fontId="10" fillId="0" borderId="13" xfId="0" applyNumberFormat="1" applyFont="1" applyFill="1" applyBorder="1" applyAlignment="1">
      <alignment horizontal="left" vertical="center" shrinkToFit="1"/>
    </xf>
    <xf numFmtId="0" fontId="10" fillId="0" borderId="13" xfId="0" applyFont="1" applyFill="1" applyBorder="1" applyAlignment="1">
      <alignment horizontal="left" vertical="center" wrapText="1"/>
    </xf>
    <xf numFmtId="1" fontId="10" fillId="0" borderId="13" xfId="0" applyNumberFormat="1" applyFont="1" applyFill="1" applyBorder="1" applyAlignment="1">
      <alignment horizontal="left" vertical="center" shrinkToFit="1"/>
    </xf>
    <xf numFmtId="0" fontId="0" fillId="0" borderId="0" xfId="0" applyFill="1" applyAlignment="1">
      <alignment horizontal="left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13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left" vertical="top"/>
    </xf>
    <xf numFmtId="3" fontId="10" fillId="0" borderId="13" xfId="0" applyNumberFormat="1" applyFont="1" applyFill="1" applyBorder="1" applyAlignment="1">
      <alignment horizontal="left" vertical="top" wrapText="1" shrinkToFit="1"/>
    </xf>
    <xf numFmtId="0" fontId="8" fillId="0" borderId="13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vertical="center" wrapText="1"/>
    </xf>
    <xf numFmtId="0" fontId="12" fillId="0" borderId="13" xfId="0" applyFont="1" applyFill="1" applyBorder="1" applyAlignment="1">
      <alignment horizontal="left" vertical="top" wrapText="1"/>
    </xf>
    <xf numFmtId="43" fontId="8" fillId="0" borderId="13" xfId="0" applyNumberFormat="1" applyFont="1" applyFill="1" applyBorder="1" applyAlignment="1">
      <alignment horizontal="left" vertical="top" wrapText="1" indent="1"/>
    </xf>
    <xf numFmtId="0" fontId="2" fillId="0" borderId="13" xfId="0" applyFont="1" applyFill="1" applyBorder="1" applyAlignment="1">
      <alignment horizontal="left" vertical="center"/>
    </xf>
    <xf numFmtId="0" fontId="3" fillId="0" borderId="13" xfId="0" applyFont="1" applyFill="1" applyBorder="1"/>
    <xf numFmtId="164" fontId="2" fillId="0" borderId="16" xfId="0" applyNumberFormat="1" applyFont="1" applyFill="1" applyBorder="1" applyAlignment="1">
      <alignment horizontal="right" vertical="top"/>
    </xf>
    <xf numFmtId="0" fontId="5" fillId="0" borderId="0" xfId="0" applyFont="1" applyFill="1" applyAlignment="1">
      <alignment horizontal="right"/>
    </xf>
    <xf numFmtId="0" fontId="5" fillId="0" borderId="1" xfId="0" applyFont="1" applyFill="1" applyBorder="1" applyAlignment="1">
      <alignment vertical="top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top"/>
    </xf>
    <xf numFmtId="164" fontId="5" fillId="0" borderId="6" xfId="0" applyNumberFormat="1" applyFont="1" applyFill="1" applyBorder="1" applyAlignment="1">
      <alignment vertical="top"/>
    </xf>
    <xf numFmtId="0" fontId="5" fillId="0" borderId="1" xfId="0" applyFont="1" applyFill="1" applyBorder="1"/>
    <xf numFmtId="164" fontId="5" fillId="0" borderId="6" xfId="0" applyNumberFormat="1" applyFont="1" applyFill="1" applyBorder="1"/>
    <xf numFmtId="0" fontId="5" fillId="0" borderId="8" xfId="0" applyFont="1" applyFill="1" applyBorder="1"/>
    <xf numFmtId="164" fontId="5" fillId="0" borderId="9" xfId="0" applyNumberFormat="1" applyFont="1" applyFill="1" applyBorder="1"/>
    <xf numFmtId="0" fontId="5" fillId="0" borderId="4" xfId="0" applyFont="1" applyFill="1" applyBorder="1" applyAlignment="1">
      <alignment horizontal="center"/>
    </xf>
    <xf numFmtId="164" fontId="5" fillId="0" borderId="7" xfId="0" applyNumberFormat="1" applyFont="1" applyFill="1" applyBorder="1"/>
    <xf numFmtId="0" fontId="5" fillId="0" borderId="10" xfId="0" applyFont="1" applyFill="1" applyBorder="1"/>
    <xf numFmtId="0" fontId="5" fillId="0" borderId="11" xfId="0" applyFont="1" applyFill="1" applyBorder="1"/>
    <xf numFmtId="164" fontId="5" fillId="0" borderId="12" xfId="0" applyNumberFormat="1" applyFont="1" applyFill="1" applyBorder="1"/>
    <xf numFmtId="164" fontId="5" fillId="0" borderId="0" xfId="0" applyNumberFormat="1" applyFont="1" applyFill="1"/>
    <xf numFmtId="43" fontId="0" fillId="0" borderId="0" xfId="0" applyNumberFormat="1" applyFill="1" applyAlignment="1">
      <alignment horizontal="left" vertical="top"/>
    </xf>
    <xf numFmtId="166" fontId="0" fillId="0" borderId="0" xfId="0" applyNumberFormat="1" applyFill="1" applyBorder="1"/>
    <xf numFmtId="0" fontId="8" fillId="0" borderId="13" xfId="0" applyFont="1" applyFill="1" applyBorder="1" applyAlignment="1">
      <alignment horizontal="right" vertical="top" wrapText="1" indent="1"/>
    </xf>
    <xf numFmtId="0" fontId="2" fillId="0" borderId="13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left"/>
    </xf>
    <xf numFmtId="0" fontId="4" fillId="0" borderId="14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1" fillId="0" borderId="17" xfId="0" applyFont="1" applyFill="1" applyBorder="1" applyAlignment="1">
      <alignment horizontal="left"/>
    </xf>
    <xf numFmtId="0" fontId="1" fillId="0" borderId="14" xfId="0" applyFont="1" applyFill="1" applyBorder="1" applyAlignment="1">
      <alignment horizontal="left"/>
    </xf>
    <xf numFmtId="0" fontId="1" fillId="0" borderId="18" xfId="0" applyFont="1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7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2" fillId="0" borderId="13" xfId="0" applyFont="1" applyFill="1" applyBorder="1" applyAlignment="1">
      <alignment horizontal="center" vertical="center" wrapText="1"/>
    </xf>
    <xf numFmtId="0" fontId="3" fillId="0" borderId="13" xfId="0" applyFont="1" applyFill="1" applyBorder="1"/>
    <xf numFmtId="0" fontId="3" fillId="0" borderId="13" xfId="0" applyFont="1" applyFill="1" applyBorder="1" applyAlignment="1">
      <alignment vertical="center"/>
    </xf>
    <xf numFmtId="0" fontId="5" fillId="0" borderId="13" xfId="0" applyFont="1" applyFill="1" applyBorder="1"/>
    <xf numFmtId="0" fontId="0" fillId="0" borderId="13" xfId="0" applyFill="1" applyBorder="1"/>
    <xf numFmtId="0" fontId="2" fillId="0" borderId="13" xfId="0" applyFont="1" applyFill="1" applyBorder="1"/>
    <xf numFmtId="0" fontId="2" fillId="0" borderId="13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left"/>
    </xf>
    <xf numFmtId="164" fontId="5" fillId="0" borderId="13" xfId="0" applyNumberFormat="1" applyFont="1" applyFill="1" applyBorder="1" applyAlignment="1">
      <alignment horizontal="left"/>
    </xf>
    <xf numFmtId="0" fontId="5" fillId="0" borderId="13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center"/>
    </xf>
    <xf numFmtId="0" fontId="0" fillId="0" borderId="0" xfId="0" applyFill="1"/>
    <xf numFmtId="0" fontId="3" fillId="0" borderId="9" xfId="0" applyFont="1" applyFill="1" applyBorder="1"/>
    <xf numFmtId="0" fontId="6" fillId="0" borderId="8" xfId="0" applyFont="1" applyFill="1" applyBorder="1" applyAlignment="1">
      <alignment horizontal="center"/>
    </xf>
    <xf numFmtId="9" fontId="5" fillId="0" borderId="13" xfId="0" applyNumberFormat="1" applyFont="1" applyFill="1" applyBorder="1" applyAlignment="1">
      <alignment horizontal="right"/>
    </xf>
    <xf numFmtId="0" fontId="2" fillId="0" borderId="10" xfId="0" applyFont="1" applyFill="1" applyBorder="1" applyAlignment="1">
      <alignment horizontal="right" vertical="top"/>
    </xf>
    <xf numFmtId="0" fontId="3" fillId="0" borderId="11" xfId="0" applyFont="1" applyFill="1" applyBorder="1"/>
    <xf numFmtId="0" fontId="3" fillId="0" borderId="15" xfId="0" applyFont="1" applyFill="1" applyBorder="1"/>
    <xf numFmtId="0" fontId="5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1"/>
  <sheetViews>
    <sheetView tabSelected="1" topLeftCell="A13" workbookViewId="0">
      <selection activeCell="M29" sqref="M29"/>
    </sheetView>
  </sheetViews>
  <sheetFormatPr defaultColWidth="14.42578125" defaultRowHeight="15" customHeight="1"/>
  <cols>
    <col min="1" max="1" width="18.42578125" style="22" bestFit="1" customWidth="1"/>
    <col min="2" max="2" width="51.5703125" style="22" customWidth="1"/>
    <col min="3" max="3" width="6.7109375" style="22" customWidth="1"/>
    <col min="4" max="4" width="5.28515625" style="22" customWidth="1"/>
    <col min="5" max="5" width="10.5703125" style="22" bestFit="1" customWidth="1"/>
    <col min="6" max="6" width="14.28515625" style="22" bestFit="1" customWidth="1"/>
    <col min="7" max="7" width="20.42578125" style="22" bestFit="1" customWidth="1"/>
    <col min="8" max="8" width="19.28515625" style="22" bestFit="1" customWidth="1"/>
    <col min="9" max="9" width="18.42578125" style="22" bestFit="1" customWidth="1"/>
    <col min="10" max="10" width="18.7109375" style="22" bestFit="1" customWidth="1"/>
    <col min="11" max="11" width="16.5703125" style="22" bestFit="1" customWidth="1"/>
    <col min="12" max="12" width="19" style="22" bestFit="1" customWidth="1"/>
    <col min="13" max="16384" width="14.42578125" style="22"/>
  </cols>
  <sheetData>
    <row r="1" spans="1:7" ht="44.25" customHeight="1">
      <c r="A1" s="109" t="s">
        <v>0</v>
      </c>
      <c r="B1" s="110"/>
      <c r="C1" s="110"/>
      <c r="D1" s="110"/>
      <c r="E1" s="110"/>
      <c r="F1" s="109" t="s">
        <v>1</v>
      </c>
      <c r="G1" s="110"/>
    </row>
    <row r="2" spans="1:7" s="23" customFormat="1">
      <c r="A2" s="93" t="s">
        <v>46</v>
      </c>
      <c r="B2" s="111"/>
      <c r="C2" s="111"/>
      <c r="D2" s="111"/>
      <c r="E2" s="111"/>
      <c r="F2" s="111"/>
      <c r="G2" s="111"/>
    </row>
    <row r="3" spans="1:7">
      <c r="A3" s="24"/>
      <c r="B3" s="94"/>
      <c r="C3" s="95"/>
      <c r="D3" s="95"/>
      <c r="E3" s="95"/>
      <c r="F3" s="95"/>
      <c r="G3" s="96"/>
    </row>
    <row r="4" spans="1:7" ht="14.25" customHeight="1">
      <c r="A4" s="25" t="s">
        <v>2</v>
      </c>
      <c r="B4" s="112" t="s">
        <v>3</v>
      </c>
      <c r="C4" s="113"/>
      <c r="D4" s="113"/>
      <c r="E4" s="113"/>
      <c r="F4" s="113"/>
      <c r="G4" s="113"/>
    </row>
    <row r="5" spans="1:7" ht="14.25" customHeight="1">
      <c r="A5" s="25" t="s">
        <v>4</v>
      </c>
      <c r="B5" s="112" t="s">
        <v>5</v>
      </c>
      <c r="C5" s="113"/>
      <c r="D5" s="113"/>
      <c r="E5" s="113"/>
      <c r="F5" s="113"/>
      <c r="G5" s="113"/>
    </row>
    <row r="6" spans="1:7" ht="14.25" customHeight="1">
      <c r="A6" s="25" t="s">
        <v>6</v>
      </c>
      <c r="B6" s="112" t="s">
        <v>15</v>
      </c>
      <c r="C6" s="113"/>
      <c r="D6" s="113"/>
      <c r="E6" s="113"/>
      <c r="F6" s="113"/>
      <c r="G6" s="113"/>
    </row>
    <row r="7" spans="1:7" ht="14.25" customHeight="1">
      <c r="A7" s="25" t="s">
        <v>7</v>
      </c>
      <c r="B7" s="112" t="s">
        <v>15</v>
      </c>
      <c r="C7" s="113"/>
      <c r="D7" s="113"/>
      <c r="E7" s="113"/>
      <c r="F7" s="113"/>
      <c r="G7" s="113"/>
    </row>
    <row r="8" spans="1:7" ht="14.25" customHeight="1">
      <c r="A8" s="25" t="s">
        <v>8</v>
      </c>
      <c r="B8" s="112" t="s">
        <v>15</v>
      </c>
      <c r="C8" s="113"/>
      <c r="D8" s="113"/>
      <c r="E8" s="113"/>
      <c r="F8" s="113"/>
      <c r="G8" s="113"/>
    </row>
    <row r="9" spans="1:7" ht="14.25" customHeight="1">
      <c r="A9" s="25" t="s">
        <v>9</v>
      </c>
      <c r="B9" s="114" t="s">
        <v>15</v>
      </c>
      <c r="C9" s="113"/>
      <c r="D9" s="113"/>
      <c r="E9" s="113"/>
      <c r="F9" s="113"/>
      <c r="G9" s="113"/>
    </row>
    <row r="10" spans="1:7" ht="14.25" customHeight="1">
      <c r="A10" s="25" t="s">
        <v>10</v>
      </c>
      <c r="B10" s="112" t="s">
        <v>15</v>
      </c>
      <c r="C10" s="113"/>
      <c r="D10" s="113"/>
      <c r="E10" s="113"/>
      <c r="F10" s="113"/>
      <c r="G10" s="113"/>
    </row>
    <row r="11" spans="1:7" ht="14.25" customHeight="1">
      <c r="A11" s="25" t="s">
        <v>11</v>
      </c>
      <c r="B11" s="112" t="s">
        <v>15</v>
      </c>
      <c r="C11" s="113"/>
      <c r="D11" s="113"/>
      <c r="E11" s="113"/>
      <c r="F11" s="113"/>
      <c r="G11" s="113"/>
    </row>
    <row r="12" spans="1:7" ht="14.25" customHeight="1">
      <c r="A12" s="25" t="s">
        <v>12</v>
      </c>
      <c r="B12" s="112" t="s">
        <v>13</v>
      </c>
      <c r="C12" s="113"/>
      <c r="D12" s="113"/>
      <c r="E12" s="113"/>
      <c r="F12" s="113"/>
      <c r="G12" s="113"/>
    </row>
    <row r="13" spans="1:7" ht="14.25" customHeight="1">
      <c r="A13" s="25" t="s">
        <v>14</v>
      </c>
      <c r="B13" s="97" t="s">
        <v>15</v>
      </c>
      <c r="C13" s="98"/>
      <c r="D13" s="98"/>
      <c r="E13" s="98"/>
      <c r="F13" s="98"/>
      <c r="G13" s="99"/>
    </row>
    <row r="14" spans="1:7" ht="14.25" customHeight="1">
      <c r="A14" s="26" t="s">
        <v>45</v>
      </c>
      <c r="B14" s="100" t="s">
        <v>51</v>
      </c>
      <c r="C14" s="101"/>
      <c r="D14" s="101"/>
      <c r="E14" s="101"/>
      <c r="F14" s="101"/>
      <c r="G14" s="102"/>
    </row>
    <row r="15" spans="1:7" ht="14.25" customHeight="1">
      <c r="A15" s="26" t="s">
        <v>47</v>
      </c>
      <c r="B15" s="100" t="s">
        <v>52</v>
      </c>
      <c r="C15" s="101"/>
      <c r="D15" s="101"/>
      <c r="E15" s="101"/>
      <c r="F15" s="101"/>
      <c r="G15" s="102"/>
    </row>
    <row r="16" spans="1:7" ht="14.25" customHeight="1">
      <c r="A16" s="26" t="s">
        <v>48</v>
      </c>
      <c r="B16" s="103" t="s">
        <v>15</v>
      </c>
      <c r="C16" s="104"/>
      <c r="D16" s="104"/>
      <c r="E16" s="104"/>
      <c r="F16" s="104"/>
      <c r="G16" s="105"/>
    </row>
    <row r="17" spans="1:12">
      <c r="A17" s="26"/>
      <c r="B17" s="106"/>
      <c r="C17" s="107"/>
      <c r="D17" s="107"/>
      <c r="E17" s="107"/>
      <c r="F17" s="107"/>
      <c r="G17" s="108"/>
    </row>
    <row r="18" spans="1:12">
      <c r="A18" s="115" t="s">
        <v>16</v>
      </c>
      <c r="B18" s="110"/>
      <c r="C18" s="110"/>
      <c r="D18" s="110"/>
      <c r="E18" s="110"/>
      <c r="F18" s="110"/>
      <c r="G18" s="110"/>
    </row>
    <row r="19" spans="1:12" ht="14.25" customHeight="1">
      <c r="A19" s="24" t="s">
        <v>17</v>
      </c>
      <c r="B19" s="115" t="s">
        <v>18</v>
      </c>
      <c r="C19" s="110"/>
      <c r="D19" s="110"/>
      <c r="E19" s="110"/>
      <c r="F19" s="115" t="s">
        <v>19</v>
      </c>
      <c r="G19" s="110"/>
    </row>
    <row r="20" spans="1:12">
      <c r="A20" s="27" t="s">
        <v>20</v>
      </c>
      <c r="B20" s="116"/>
      <c r="C20" s="110"/>
      <c r="D20" s="110"/>
      <c r="E20" s="110"/>
      <c r="F20" s="116"/>
      <c r="G20" s="110"/>
    </row>
    <row r="21" spans="1:12" ht="14.25" customHeight="1">
      <c r="A21" s="27" t="s">
        <v>21</v>
      </c>
      <c r="B21" s="116"/>
      <c r="C21" s="110"/>
      <c r="D21" s="110"/>
      <c r="E21" s="110"/>
      <c r="F21" s="117"/>
      <c r="G21" s="110"/>
    </row>
    <row r="22" spans="1:12" ht="15.75" customHeight="1">
      <c r="A22" s="27" t="s">
        <v>22</v>
      </c>
      <c r="B22" s="116"/>
      <c r="C22" s="110"/>
      <c r="D22" s="110"/>
      <c r="E22" s="110"/>
      <c r="F22" s="118"/>
      <c r="G22" s="110"/>
    </row>
    <row r="23" spans="1:12" ht="15.75" customHeight="1">
      <c r="A23" s="27" t="s">
        <v>23</v>
      </c>
      <c r="B23" s="116"/>
      <c r="C23" s="110"/>
      <c r="D23" s="110"/>
      <c r="E23" s="110"/>
      <c r="F23" s="123"/>
      <c r="G23" s="110"/>
    </row>
    <row r="24" spans="1:12" ht="6" customHeight="1">
      <c r="A24" s="26"/>
      <c r="B24" s="28"/>
      <c r="C24" s="28"/>
      <c r="D24" s="28"/>
      <c r="E24" s="28"/>
      <c r="F24" s="28"/>
      <c r="G24" s="28"/>
    </row>
    <row r="25" spans="1:12" ht="14.25" customHeight="1">
      <c r="A25" s="93" t="s">
        <v>24</v>
      </c>
      <c r="B25" s="93" t="s">
        <v>25</v>
      </c>
      <c r="C25" s="93" t="s">
        <v>26</v>
      </c>
      <c r="D25" s="93"/>
      <c r="E25" s="93"/>
      <c r="F25" s="93"/>
      <c r="G25" s="29" t="s">
        <v>27</v>
      </c>
    </row>
    <row r="26" spans="1:12" ht="15.75" customHeight="1">
      <c r="A26" s="110"/>
      <c r="B26" s="93"/>
      <c r="C26" s="93" t="s">
        <v>28</v>
      </c>
      <c r="D26" s="93"/>
      <c r="E26" s="30" t="s">
        <v>29</v>
      </c>
      <c r="F26" s="30" t="s">
        <v>30</v>
      </c>
      <c r="G26" s="29" t="s">
        <v>31</v>
      </c>
      <c r="I26" s="1"/>
    </row>
    <row r="27" spans="1:12">
      <c r="A27" s="31"/>
      <c r="B27" s="32"/>
      <c r="C27" s="33"/>
      <c r="D27" s="33"/>
      <c r="E27" s="33"/>
      <c r="F27" s="33"/>
      <c r="G27" s="29"/>
    </row>
    <row r="28" spans="1:12" s="37" customFormat="1">
      <c r="A28" s="34" t="s">
        <v>53</v>
      </c>
      <c r="B28" s="35" t="s">
        <v>54</v>
      </c>
      <c r="C28" s="35"/>
      <c r="D28" s="35"/>
      <c r="E28" s="35"/>
      <c r="F28" s="35"/>
      <c r="G28" s="2">
        <f>G29</f>
        <v>397083459195</v>
      </c>
      <c r="H28" s="1">
        <v>397083459195</v>
      </c>
      <c r="I28" s="36">
        <f>G28-H28</f>
        <v>0</v>
      </c>
      <c r="J28" s="40"/>
    </row>
    <row r="29" spans="1:12" s="37" customFormat="1">
      <c r="A29" s="34" t="s">
        <v>55</v>
      </c>
      <c r="B29" s="35" t="s">
        <v>56</v>
      </c>
      <c r="C29" s="35"/>
      <c r="D29" s="35"/>
      <c r="E29" s="35"/>
      <c r="F29" s="35"/>
      <c r="G29" s="2">
        <f>G30</f>
        <v>397083459195</v>
      </c>
      <c r="I29" s="1"/>
      <c r="J29" s="40"/>
    </row>
    <row r="30" spans="1:12" s="37" customFormat="1">
      <c r="A30" s="38">
        <v>37012</v>
      </c>
      <c r="B30" s="35" t="s">
        <v>58</v>
      </c>
      <c r="C30" s="35"/>
      <c r="D30" s="35"/>
      <c r="E30" s="35"/>
      <c r="F30" s="35"/>
      <c r="G30" s="2">
        <f>G31+G781</f>
        <v>397083459195</v>
      </c>
      <c r="I30" s="36"/>
      <c r="J30" s="40"/>
    </row>
    <row r="31" spans="1:12" s="37" customFormat="1">
      <c r="A31" s="34" t="s">
        <v>59</v>
      </c>
      <c r="B31" s="35" t="s">
        <v>60</v>
      </c>
      <c r="C31" s="35"/>
      <c r="D31" s="35"/>
      <c r="E31" s="35"/>
      <c r="F31" s="35"/>
      <c r="G31" s="2">
        <f>G32+G316+G362+G375+G577+G596+G642+G674+G700+G727+G754</f>
        <v>309763359906</v>
      </c>
      <c r="I31" s="39"/>
      <c r="J31" s="90"/>
      <c r="L31" s="90"/>
    </row>
    <row r="32" spans="1:12" s="37" customFormat="1">
      <c r="A32" s="34" t="s">
        <v>61</v>
      </c>
      <c r="B32" s="35" t="s">
        <v>62</v>
      </c>
      <c r="C32" s="35"/>
      <c r="D32" s="35"/>
      <c r="E32" s="35"/>
      <c r="F32" s="35"/>
      <c r="G32" s="2">
        <f>G33+G279</f>
        <v>228880584038</v>
      </c>
      <c r="H32" s="40"/>
      <c r="I32" s="41"/>
      <c r="J32" s="90"/>
      <c r="K32" s="90"/>
    </row>
    <row r="33" spans="1:12" s="37" customFormat="1">
      <c r="A33" s="34" t="s">
        <v>63</v>
      </c>
      <c r="B33" s="35" t="s">
        <v>64</v>
      </c>
      <c r="C33" s="35"/>
      <c r="D33" s="35"/>
      <c r="E33" s="35"/>
      <c r="F33" s="35"/>
      <c r="G33" s="3">
        <f>G35+G37+G40+G45+G70+G91+G120+G155+G186+G211+G236+G259</f>
        <v>149840158479</v>
      </c>
      <c r="I33" s="91"/>
      <c r="J33" s="40"/>
    </row>
    <row r="34" spans="1:12" s="37" customFormat="1" ht="24">
      <c r="A34" s="42"/>
      <c r="B34" s="43" t="s">
        <v>65</v>
      </c>
      <c r="C34" s="43"/>
      <c r="D34" s="43"/>
      <c r="E34" s="43"/>
      <c r="F34" s="43"/>
      <c r="G34" s="4" t="s">
        <v>66</v>
      </c>
      <c r="I34" s="39"/>
      <c r="J34" s="40"/>
    </row>
    <row r="35" spans="1:12" s="37" customFormat="1">
      <c r="A35" s="42"/>
      <c r="B35" s="35" t="s">
        <v>67</v>
      </c>
      <c r="C35" s="35"/>
      <c r="D35" s="35"/>
      <c r="E35" s="35"/>
      <c r="F35" s="35"/>
      <c r="G35" s="5">
        <f>G36</f>
        <v>497831079</v>
      </c>
      <c r="I35" s="44"/>
      <c r="J35" s="90"/>
      <c r="L35" s="90"/>
    </row>
    <row r="36" spans="1:12" s="37" customFormat="1">
      <c r="A36" s="45"/>
      <c r="B36" s="46" t="s">
        <v>68</v>
      </c>
      <c r="C36" s="47">
        <v>1</v>
      </c>
      <c r="D36" s="47"/>
      <c r="E36" s="48" t="s">
        <v>69</v>
      </c>
      <c r="F36" s="49">
        <f>229159920+16602440+3120000+180289800-4900000+55570560+1+17988358</f>
        <v>497831079</v>
      </c>
      <c r="G36" s="6">
        <f>C36*F36</f>
        <v>497831079</v>
      </c>
      <c r="I36" s="39"/>
      <c r="L36" s="90"/>
    </row>
    <row r="37" spans="1:12" s="37" customFormat="1" ht="24">
      <c r="A37" s="42"/>
      <c r="B37" s="43" t="s">
        <v>70</v>
      </c>
      <c r="C37" s="43"/>
      <c r="D37" s="43"/>
      <c r="E37" s="43"/>
      <c r="F37" s="43"/>
      <c r="G37" s="4">
        <f>G39</f>
        <v>43681400</v>
      </c>
      <c r="I37" s="39"/>
      <c r="L37" s="90"/>
    </row>
    <row r="38" spans="1:12" s="37" customFormat="1">
      <c r="A38" s="42"/>
      <c r="B38" s="35" t="s">
        <v>71</v>
      </c>
      <c r="C38" s="35"/>
      <c r="D38" s="35"/>
      <c r="E38" s="35"/>
      <c r="F38" s="35"/>
      <c r="G38" s="5"/>
      <c r="I38" s="1"/>
    </row>
    <row r="39" spans="1:12" s="37" customFormat="1">
      <c r="A39" s="45"/>
      <c r="B39" s="46" t="s">
        <v>68</v>
      </c>
      <c r="C39" s="48">
        <v>14</v>
      </c>
      <c r="D39" s="48">
        <v>1</v>
      </c>
      <c r="E39" s="48" t="s">
        <v>72</v>
      </c>
      <c r="F39" s="50">
        <v>3120100</v>
      </c>
      <c r="G39" s="6">
        <f>C39*D39*F39</f>
        <v>43681400</v>
      </c>
      <c r="I39" s="39"/>
    </row>
    <row r="40" spans="1:12" s="37" customFormat="1" ht="24">
      <c r="A40" s="42"/>
      <c r="B40" s="43" t="s">
        <v>73</v>
      </c>
      <c r="C40" s="43"/>
      <c r="D40" s="43"/>
      <c r="E40" s="43"/>
      <c r="F40" s="43"/>
      <c r="G40" s="4">
        <f>SUM(G42:G44)</f>
        <v>125760600</v>
      </c>
      <c r="I40" s="39"/>
    </row>
    <row r="41" spans="1:12" s="37" customFormat="1">
      <c r="A41" s="42"/>
      <c r="B41" s="35" t="s">
        <v>74</v>
      </c>
      <c r="C41" s="35"/>
      <c r="D41" s="35"/>
      <c r="E41" s="35"/>
      <c r="F41" s="35"/>
      <c r="G41" s="5"/>
      <c r="I41" s="39"/>
    </row>
    <row r="42" spans="1:12" s="37" customFormat="1">
      <c r="A42" s="45"/>
      <c r="B42" s="46" t="s">
        <v>68</v>
      </c>
      <c r="C42" s="48">
        <v>14</v>
      </c>
      <c r="D42" s="48">
        <f>2</f>
        <v>2</v>
      </c>
      <c r="E42" s="48" t="s">
        <v>72</v>
      </c>
      <c r="F42" s="50">
        <v>2963200</v>
      </c>
      <c r="G42" s="6">
        <f>C42*D42*F42</f>
        <v>82969600</v>
      </c>
      <c r="I42" s="39"/>
    </row>
    <row r="43" spans="1:12" s="37" customFormat="1">
      <c r="A43" s="45"/>
      <c r="B43" s="35" t="s">
        <v>75</v>
      </c>
      <c r="C43" s="35"/>
      <c r="D43" s="35"/>
      <c r="E43" s="35"/>
      <c r="F43" s="35"/>
      <c r="G43" s="5"/>
      <c r="I43" s="39"/>
    </row>
    <row r="44" spans="1:12" s="37" customFormat="1">
      <c r="A44" s="45"/>
      <c r="B44" s="46" t="s">
        <v>68</v>
      </c>
      <c r="C44" s="48">
        <v>14</v>
      </c>
      <c r="D44" s="48">
        <v>1</v>
      </c>
      <c r="E44" s="48" t="s">
        <v>72</v>
      </c>
      <c r="F44" s="50">
        <v>3056500</v>
      </c>
      <c r="G44" s="6">
        <f>C44*D44*F44</f>
        <v>42791000</v>
      </c>
      <c r="I44" s="39"/>
    </row>
    <row r="45" spans="1:12" s="37" customFormat="1" ht="24">
      <c r="A45" s="42"/>
      <c r="B45" s="43" t="s">
        <v>76</v>
      </c>
      <c r="C45" s="43"/>
      <c r="D45" s="43"/>
      <c r="E45" s="43"/>
      <c r="F45" s="43"/>
      <c r="G45" s="4">
        <f>SUM(G47:G69)</f>
        <v>16345716800</v>
      </c>
      <c r="I45" s="1"/>
    </row>
    <row r="46" spans="1:12" s="37" customFormat="1">
      <c r="A46" s="42"/>
      <c r="B46" s="35" t="s">
        <v>77</v>
      </c>
      <c r="C46" s="35"/>
      <c r="D46" s="35"/>
      <c r="E46" s="35"/>
      <c r="F46" s="35"/>
      <c r="G46" s="5"/>
      <c r="I46" s="39"/>
    </row>
    <row r="47" spans="1:12" s="37" customFormat="1">
      <c r="A47" s="45"/>
      <c r="B47" s="46" t="s">
        <v>68</v>
      </c>
      <c r="C47" s="48">
        <v>14</v>
      </c>
      <c r="D47" s="48">
        <v>5</v>
      </c>
      <c r="E47" s="48" t="s">
        <v>72</v>
      </c>
      <c r="F47" s="50">
        <v>3286200</v>
      </c>
      <c r="G47" s="6">
        <f>C47*D47*F47</f>
        <v>230034000</v>
      </c>
      <c r="I47" s="39"/>
    </row>
    <row r="48" spans="1:12" s="37" customFormat="1">
      <c r="A48" s="42"/>
      <c r="B48" s="35" t="s">
        <v>78</v>
      </c>
      <c r="C48" s="35"/>
      <c r="D48" s="35"/>
      <c r="E48" s="35"/>
      <c r="F48" s="35"/>
      <c r="G48" s="5"/>
      <c r="I48" s="39"/>
    </row>
    <row r="49" spans="1:9" s="37" customFormat="1">
      <c r="A49" s="45"/>
      <c r="B49" s="46" t="s">
        <v>68</v>
      </c>
      <c r="C49" s="48">
        <v>14</v>
      </c>
      <c r="D49" s="48">
        <f>90+72</f>
        <v>162</v>
      </c>
      <c r="E49" s="48" t="s">
        <v>72</v>
      </c>
      <c r="F49" s="50">
        <v>2564200</v>
      </c>
      <c r="G49" s="6">
        <f>C49*D49*F49</f>
        <v>5815605600</v>
      </c>
      <c r="I49" s="39"/>
    </row>
    <row r="50" spans="1:9" s="37" customFormat="1">
      <c r="A50" s="45"/>
      <c r="B50" s="35" t="s">
        <v>79</v>
      </c>
      <c r="C50" s="35"/>
      <c r="D50" s="35"/>
      <c r="E50" s="35"/>
      <c r="F50" s="35"/>
      <c r="G50" s="5"/>
      <c r="I50" s="39"/>
    </row>
    <row r="51" spans="1:9" s="37" customFormat="1">
      <c r="A51" s="45"/>
      <c r="B51" s="46" t="s">
        <v>68</v>
      </c>
      <c r="C51" s="48">
        <v>14</v>
      </c>
      <c r="D51" s="48">
        <f>2+2+2</f>
        <v>6</v>
      </c>
      <c r="E51" s="48" t="s">
        <v>72</v>
      </c>
      <c r="F51" s="50">
        <v>2645000</v>
      </c>
      <c r="G51" s="6">
        <f>C51*D51*F51</f>
        <v>222180000</v>
      </c>
      <c r="I51" s="39"/>
    </row>
    <row r="52" spans="1:9" s="37" customFormat="1">
      <c r="A52" s="42"/>
      <c r="B52" s="35" t="s">
        <v>80</v>
      </c>
      <c r="C52" s="35"/>
      <c r="D52" s="35"/>
      <c r="E52" s="35"/>
      <c r="F52" s="35"/>
      <c r="G52" s="5"/>
      <c r="I52" s="39"/>
    </row>
    <row r="53" spans="1:9" s="37" customFormat="1">
      <c r="A53" s="45"/>
      <c r="B53" s="46" t="s">
        <v>68</v>
      </c>
      <c r="C53" s="48">
        <v>14</v>
      </c>
      <c r="D53" s="48">
        <f>1+ 75</f>
        <v>76</v>
      </c>
      <c r="E53" s="48" t="s">
        <v>72</v>
      </c>
      <c r="F53" s="50">
        <v>2994300</v>
      </c>
      <c r="G53" s="6">
        <f>C53*D53*F53</f>
        <v>3185935200</v>
      </c>
      <c r="I53" s="39"/>
    </row>
    <row r="54" spans="1:9" s="37" customFormat="1">
      <c r="A54" s="42"/>
      <c r="B54" s="35" t="s">
        <v>81</v>
      </c>
      <c r="C54" s="35"/>
      <c r="D54" s="35"/>
      <c r="E54" s="35"/>
      <c r="F54" s="35"/>
      <c r="G54" s="5"/>
      <c r="I54" s="39"/>
    </row>
    <row r="55" spans="1:9" s="37" customFormat="1">
      <c r="A55" s="45"/>
      <c r="B55" s="46" t="s">
        <v>68</v>
      </c>
      <c r="C55" s="48">
        <v>14</v>
      </c>
      <c r="D55" s="48">
        <v>1</v>
      </c>
      <c r="E55" s="48" t="s">
        <v>72</v>
      </c>
      <c r="F55" s="50">
        <v>3958200</v>
      </c>
      <c r="G55" s="6">
        <f>C55*D55*F55</f>
        <v>55414800</v>
      </c>
      <c r="I55" s="39"/>
    </row>
    <row r="56" spans="1:9" s="37" customFormat="1">
      <c r="A56" s="42"/>
      <c r="B56" s="35" t="s">
        <v>75</v>
      </c>
      <c r="C56" s="35"/>
      <c r="D56" s="35"/>
      <c r="E56" s="35"/>
      <c r="F56" s="35"/>
      <c r="G56" s="5"/>
      <c r="I56" s="39"/>
    </row>
    <row r="57" spans="1:9" s="37" customFormat="1">
      <c r="A57" s="45"/>
      <c r="B57" s="46" t="s">
        <v>68</v>
      </c>
      <c r="C57" s="48">
        <v>14</v>
      </c>
      <c r="D57" s="48">
        <f>2+70</f>
        <v>72</v>
      </c>
      <c r="E57" s="48" t="s">
        <v>72</v>
      </c>
      <c r="F57" s="50">
        <v>3185800</v>
      </c>
      <c r="G57" s="6">
        <f>C57*D57*F57</f>
        <v>3211286400</v>
      </c>
      <c r="I57" s="39"/>
    </row>
    <row r="58" spans="1:9" s="37" customFormat="1">
      <c r="A58" s="42"/>
      <c r="B58" s="35" t="s">
        <v>71</v>
      </c>
      <c r="C58" s="35"/>
      <c r="D58" s="35"/>
      <c r="E58" s="35"/>
      <c r="F58" s="35"/>
      <c r="G58" s="5"/>
      <c r="I58" s="39"/>
    </row>
    <row r="59" spans="1:9" s="37" customFormat="1">
      <c r="A59" s="45"/>
      <c r="B59" s="46" t="s">
        <v>68</v>
      </c>
      <c r="C59" s="48">
        <v>14</v>
      </c>
      <c r="D59" s="48">
        <v>3</v>
      </c>
      <c r="E59" s="48" t="s">
        <v>72</v>
      </c>
      <c r="F59" s="50">
        <v>3389700</v>
      </c>
      <c r="G59" s="6">
        <f>C59*D59*F59</f>
        <v>142367400</v>
      </c>
      <c r="I59" s="39"/>
    </row>
    <row r="60" spans="1:9" s="37" customFormat="1">
      <c r="A60" s="42"/>
      <c r="B60" s="35" t="s">
        <v>82</v>
      </c>
      <c r="C60" s="35"/>
      <c r="D60" s="35"/>
      <c r="E60" s="35"/>
      <c r="F60" s="35"/>
      <c r="G60" s="5"/>
      <c r="I60" s="39"/>
    </row>
    <row r="61" spans="1:9" s="37" customFormat="1">
      <c r="A61" s="45"/>
      <c r="B61" s="46" t="s">
        <v>68</v>
      </c>
      <c r="C61" s="48">
        <v>14</v>
      </c>
      <c r="D61" s="48">
        <v>1</v>
      </c>
      <c r="E61" s="48" t="s">
        <v>72</v>
      </c>
      <c r="F61" s="50">
        <v>3606500</v>
      </c>
      <c r="G61" s="6">
        <f>C61*D61*F61</f>
        <v>50491000</v>
      </c>
      <c r="I61" s="39"/>
    </row>
    <row r="62" spans="1:9" s="37" customFormat="1">
      <c r="A62" s="42"/>
      <c r="B62" s="35" t="s">
        <v>83</v>
      </c>
      <c r="C62" s="35"/>
      <c r="D62" s="35"/>
      <c r="E62" s="35"/>
      <c r="F62" s="35"/>
      <c r="G62" s="5"/>
      <c r="I62" s="39"/>
    </row>
    <row r="63" spans="1:9" s="37" customFormat="1">
      <c r="A63" s="45"/>
      <c r="B63" s="46" t="s">
        <v>68</v>
      </c>
      <c r="C63" s="48">
        <v>14</v>
      </c>
      <c r="D63" s="48">
        <v>1</v>
      </c>
      <c r="E63" s="48" t="s">
        <v>72</v>
      </c>
      <c r="F63" s="50">
        <v>3837300</v>
      </c>
      <c r="G63" s="6">
        <f>C63*D63*F63</f>
        <v>53722200</v>
      </c>
      <c r="I63" s="39"/>
    </row>
    <row r="64" spans="1:9" s="37" customFormat="1">
      <c r="A64" s="45"/>
      <c r="B64" s="35" t="s">
        <v>84</v>
      </c>
      <c r="C64" s="35"/>
      <c r="D64" s="35"/>
      <c r="E64" s="35"/>
      <c r="F64" s="35"/>
      <c r="G64" s="5"/>
      <c r="I64" s="39"/>
    </row>
    <row r="65" spans="1:9" s="37" customFormat="1">
      <c r="A65" s="45"/>
      <c r="B65" s="46" t="s">
        <v>68</v>
      </c>
      <c r="C65" s="48">
        <v>14</v>
      </c>
      <c r="D65" s="48">
        <v>7</v>
      </c>
      <c r="E65" s="48" t="s">
        <v>72</v>
      </c>
      <c r="F65" s="50">
        <v>3958200</v>
      </c>
      <c r="G65" s="6">
        <f>C65*D65*F65</f>
        <v>387903600</v>
      </c>
      <c r="I65" s="39"/>
    </row>
    <row r="66" spans="1:9" s="37" customFormat="1">
      <c r="A66" s="45"/>
      <c r="B66" s="35" t="s">
        <v>85</v>
      </c>
      <c r="C66" s="35"/>
      <c r="D66" s="35"/>
      <c r="E66" s="35"/>
      <c r="F66" s="35"/>
      <c r="G66" s="5"/>
      <c r="I66" s="39"/>
    </row>
    <row r="67" spans="1:9" s="37" customFormat="1">
      <c r="A67" s="45"/>
      <c r="B67" s="46" t="s">
        <v>68</v>
      </c>
      <c r="C67" s="48">
        <v>14</v>
      </c>
      <c r="D67" s="48">
        <f>1+70</f>
        <v>71</v>
      </c>
      <c r="E67" s="48" t="s">
        <v>72</v>
      </c>
      <c r="F67" s="50">
        <v>2485900</v>
      </c>
      <c r="G67" s="6">
        <f>C67*D67*F67</f>
        <v>2470984600</v>
      </c>
      <c r="I67" s="39"/>
    </row>
    <row r="68" spans="1:9" s="37" customFormat="1">
      <c r="A68" s="45"/>
      <c r="B68" s="35" t="s">
        <v>86</v>
      </c>
      <c r="C68" s="35"/>
      <c r="D68" s="35"/>
      <c r="E68" s="35"/>
      <c r="F68" s="35"/>
      <c r="G68" s="5"/>
      <c r="I68" s="39"/>
    </row>
    <row r="69" spans="1:9" s="37" customFormat="1">
      <c r="A69" s="45"/>
      <c r="B69" s="46" t="s">
        <v>68</v>
      </c>
      <c r="C69" s="48">
        <v>14</v>
      </c>
      <c r="D69" s="48">
        <v>17</v>
      </c>
      <c r="E69" s="48" t="s">
        <v>72</v>
      </c>
      <c r="F69" s="50">
        <v>2184000</v>
      </c>
      <c r="G69" s="6">
        <f>C69*D69*F69</f>
        <v>519792000</v>
      </c>
      <c r="I69" s="39"/>
    </row>
    <row r="70" spans="1:9" s="37" customFormat="1" ht="24">
      <c r="A70" s="42"/>
      <c r="B70" s="43" t="s">
        <v>87</v>
      </c>
      <c r="C70" s="43"/>
      <c r="D70" s="43"/>
      <c r="E70" s="43"/>
      <c r="F70" s="43"/>
      <c r="G70" s="4">
        <f>SUM(G72:G90)</f>
        <v>11258270800</v>
      </c>
      <c r="I70" s="1"/>
    </row>
    <row r="71" spans="1:9" s="37" customFormat="1">
      <c r="A71" s="42"/>
      <c r="B71" s="35" t="s">
        <v>77</v>
      </c>
      <c r="C71" s="35"/>
      <c r="D71" s="35"/>
      <c r="E71" s="35"/>
      <c r="F71" s="35"/>
      <c r="G71" s="5"/>
      <c r="I71" s="39"/>
    </row>
    <row r="72" spans="1:9" s="37" customFormat="1">
      <c r="A72" s="45"/>
      <c r="B72" s="46" t="s">
        <v>68</v>
      </c>
      <c r="C72" s="48">
        <v>14</v>
      </c>
      <c r="D72" s="48">
        <f>10+3</f>
        <v>13</v>
      </c>
      <c r="E72" s="48" t="s">
        <v>72</v>
      </c>
      <c r="F72" s="50">
        <v>3425200</v>
      </c>
      <c r="G72" s="6">
        <f>C72*D72*F72</f>
        <v>623386400</v>
      </c>
      <c r="I72" s="39"/>
    </row>
    <row r="73" spans="1:9" s="37" customFormat="1">
      <c r="A73" s="45"/>
      <c r="B73" s="35" t="s">
        <v>71</v>
      </c>
      <c r="C73" s="35"/>
      <c r="D73" s="35"/>
      <c r="E73" s="35"/>
      <c r="F73" s="35"/>
      <c r="G73" s="5"/>
      <c r="I73" s="39"/>
    </row>
    <row r="74" spans="1:9" s="37" customFormat="1">
      <c r="A74" s="45"/>
      <c r="B74" s="46" t="s">
        <v>68</v>
      </c>
      <c r="C74" s="48">
        <v>14</v>
      </c>
      <c r="D74" s="48">
        <v>4</v>
      </c>
      <c r="E74" s="48" t="s">
        <v>72</v>
      </c>
      <c r="F74" s="50">
        <v>3533100</v>
      </c>
      <c r="G74" s="6">
        <f>C74*D74*F74</f>
        <v>197853600</v>
      </c>
      <c r="I74" s="39"/>
    </row>
    <row r="75" spans="1:9" s="37" customFormat="1">
      <c r="A75" s="42"/>
      <c r="B75" s="35" t="s">
        <v>75</v>
      </c>
      <c r="C75" s="35"/>
      <c r="D75" s="35"/>
      <c r="E75" s="35"/>
      <c r="F75" s="35"/>
      <c r="G75" s="5"/>
      <c r="I75" s="39"/>
    </row>
    <row r="76" spans="1:9" s="37" customFormat="1">
      <c r="A76" s="45"/>
      <c r="B76" s="46" t="s">
        <v>68</v>
      </c>
      <c r="C76" s="48">
        <v>14</v>
      </c>
      <c r="D76" s="48">
        <v>13</v>
      </c>
      <c r="E76" s="48" t="s">
        <v>72</v>
      </c>
      <c r="F76" s="50">
        <v>3320600</v>
      </c>
      <c r="G76" s="6">
        <f>C76*D76*F76</f>
        <v>604349200</v>
      </c>
      <c r="I76" s="39"/>
    </row>
    <row r="77" spans="1:9" s="37" customFormat="1">
      <c r="A77" s="42"/>
      <c r="B77" s="35" t="s">
        <v>79</v>
      </c>
      <c r="C77" s="35"/>
      <c r="D77" s="35"/>
      <c r="E77" s="35"/>
      <c r="F77" s="35"/>
      <c r="G77" s="5"/>
      <c r="I77" s="39"/>
    </row>
    <row r="78" spans="1:9" s="37" customFormat="1">
      <c r="A78" s="45"/>
      <c r="B78" s="46" t="s">
        <v>68</v>
      </c>
      <c r="C78" s="48">
        <v>14</v>
      </c>
      <c r="D78" s="48">
        <f>127+13</f>
        <v>140</v>
      </c>
      <c r="E78" s="48" t="s">
        <v>72</v>
      </c>
      <c r="F78" s="50">
        <v>2756800</v>
      </c>
      <c r="G78" s="6">
        <f>C78*D78*F78</f>
        <v>5403328000</v>
      </c>
      <c r="I78" s="39"/>
    </row>
    <row r="79" spans="1:9" s="37" customFormat="1">
      <c r="A79" s="45"/>
      <c r="B79" s="35" t="s">
        <v>88</v>
      </c>
      <c r="C79" s="35"/>
      <c r="D79" s="35"/>
      <c r="E79" s="35"/>
      <c r="F79" s="35"/>
      <c r="G79" s="5"/>
      <c r="I79" s="39"/>
    </row>
    <row r="80" spans="1:9" s="37" customFormat="1">
      <c r="A80" s="45"/>
      <c r="B80" s="46" t="s">
        <v>68</v>
      </c>
      <c r="C80" s="48">
        <v>14</v>
      </c>
      <c r="D80" s="48">
        <f>1+50</f>
        <v>51</v>
      </c>
      <c r="E80" s="48" t="s">
        <v>72</v>
      </c>
      <c r="F80" s="50">
        <v>3025600</v>
      </c>
      <c r="G80" s="6">
        <f>C80*D80*F80</f>
        <v>2160278400</v>
      </c>
      <c r="I80" s="39"/>
    </row>
    <row r="81" spans="1:9" s="37" customFormat="1">
      <c r="A81" s="42"/>
      <c r="B81" s="35" t="s">
        <v>89</v>
      </c>
      <c r="C81" s="35"/>
      <c r="D81" s="35"/>
      <c r="E81" s="35"/>
      <c r="F81" s="35"/>
      <c r="G81" s="5"/>
      <c r="I81" s="39"/>
    </row>
    <row r="82" spans="1:9" s="37" customFormat="1">
      <c r="A82" s="45"/>
      <c r="B82" s="46" t="s">
        <v>68</v>
      </c>
      <c r="C82" s="48">
        <v>14</v>
      </c>
      <c r="D82" s="48">
        <v>12</v>
      </c>
      <c r="E82" s="48" t="s">
        <v>72</v>
      </c>
      <c r="F82" s="50">
        <v>3219200</v>
      </c>
      <c r="G82" s="6">
        <f>C82*D82*F82</f>
        <v>540825600</v>
      </c>
      <c r="I82" s="39"/>
    </row>
    <row r="83" spans="1:9" s="37" customFormat="1">
      <c r="A83" s="42"/>
      <c r="B83" s="35" t="s">
        <v>90</v>
      </c>
      <c r="C83" s="35"/>
      <c r="D83" s="35"/>
      <c r="E83" s="35"/>
      <c r="F83" s="35"/>
      <c r="G83" s="5"/>
      <c r="I83" s="39"/>
    </row>
    <row r="84" spans="1:9" s="37" customFormat="1">
      <c r="A84" s="45"/>
      <c r="B84" s="46" t="s">
        <v>68</v>
      </c>
      <c r="C84" s="48">
        <v>14</v>
      </c>
      <c r="D84" s="48">
        <v>1</v>
      </c>
      <c r="E84" s="48" t="s">
        <v>72</v>
      </c>
      <c r="F84" s="50">
        <v>3644300</v>
      </c>
      <c r="G84" s="6">
        <f>C84*D84*F84</f>
        <v>51020200</v>
      </c>
      <c r="I84" s="39"/>
    </row>
    <row r="85" spans="1:9" s="37" customFormat="1">
      <c r="A85" s="45"/>
      <c r="B85" s="35" t="s">
        <v>91</v>
      </c>
      <c r="C85" s="35"/>
      <c r="D85" s="35"/>
      <c r="E85" s="35"/>
      <c r="F85" s="35"/>
      <c r="G85" s="5"/>
      <c r="I85" s="39"/>
    </row>
    <row r="86" spans="1:9" s="37" customFormat="1">
      <c r="A86" s="45"/>
      <c r="B86" s="46" t="s">
        <v>68</v>
      </c>
      <c r="C86" s="48">
        <v>14</v>
      </c>
      <c r="D86" s="48">
        <f>24+16</f>
        <v>40</v>
      </c>
      <c r="E86" s="48" t="s">
        <v>72</v>
      </c>
      <c r="F86" s="50">
        <v>2843700</v>
      </c>
      <c r="G86" s="6">
        <f>C86*D86*F86</f>
        <v>1592472000</v>
      </c>
      <c r="I86" s="39"/>
    </row>
    <row r="87" spans="1:9" s="37" customFormat="1">
      <c r="A87" s="45"/>
      <c r="B87" s="35" t="s">
        <v>92</v>
      </c>
      <c r="C87" s="35"/>
      <c r="D87" s="35"/>
      <c r="E87" s="35"/>
      <c r="F87" s="35"/>
      <c r="G87" s="5"/>
      <c r="I87" s="39"/>
    </row>
    <row r="88" spans="1:9" s="37" customFormat="1">
      <c r="A88" s="45"/>
      <c r="B88" s="46" t="s">
        <v>68</v>
      </c>
      <c r="C88" s="48">
        <v>14</v>
      </c>
      <c r="D88" s="48">
        <v>1</v>
      </c>
      <c r="E88" s="48" t="s">
        <v>72</v>
      </c>
      <c r="F88" s="50">
        <v>2933200</v>
      </c>
      <c r="G88" s="6">
        <f>C88*D88*F88</f>
        <v>41064800</v>
      </c>
      <c r="I88" s="39"/>
    </row>
    <row r="89" spans="1:9" s="37" customFormat="1">
      <c r="A89" s="45"/>
      <c r="B89" s="35" t="s">
        <v>93</v>
      </c>
      <c r="C89" s="35"/>
      <c r="D89" s="35"/>
      <c r="E89" s="35"/>
      <c r="F89" s="35"/>
      <c r="G89" s="5"/>
      <c r="I89" s="39"/>
    </row>
    <row r="90" spans="1:9" s="37" customFormat="1">
      <c r="A90" s="45"/>
      <c r="B90" s="46" t="s">
        <v>68</v>
      </c>
      <c r="C90" s="48">
        <v>14</v>
      </c>
      <c r="D90" s="48">
        <v>1</v>
      </c>
      <c r="E90" s="48" t="s">
        <v>72</v>
      </c>
      <c r="F90" s="50">
        <v>3120900</v>
      </c>
      <c r="G90" s="6">
        <f>C90*D90*F90</f>
        <v>43692600</v>
      </c>
      <c r="I90" s="39"/>
    </row>
    <row r="91" spans="1:9" s="37" customFormat="1" ht="24">
      <c r="A91" s="42"/>
      <c r="B91" s="43" t="s">
        <v>94</v>
      </c>
      <c r="C91" s="43"/>
      <c r="D91" s="43"/>
      <c r="E91" s="43"/>
      <c r="F91" s="43"/>
      <c r="G91" s="4">
        <f>SUM(G93:G119)</f>
        <v>17213387800</v>
      </c>
      <c r="I91" s="39"/>
    </row>
    <row r="92" spans="1:9" s="37" customFormat="1">
      <c r="A92" s="42"/>
      <c r="B92" s="35" t="s">
        <v>74</v>
      </c>
      <c r="C92" s="35"/>
      <c r="D92" s="35"/>
      <c r="E92" s="35"/>
      <c r="F92" s="35"/>
      <c r="G92" s="5"/>
      <c r="I92" s="39"/>
    </row>
    <row r="93" spans="1:9" s="37" customFormat="1">
      <c r="A93" s="45"/>
      <c r="B93" s="46" t="s">
        <v>68</v>
      </c>
      <c r="C93" s="48">
        <v>14</v>
      </c>
      <c r="D93" s="48">
        <f>12+1</f>
        <v>13</v>
      </c>
      <c r="E93" s="48" t="s">
        <v>72</v>
      </c>
      <c r="F93" s="50">
        <v>3570100</v>
      </c>
      <c r="G93" s="6">
        <f>C93*D93*F93</f>
        <v>649758200</v>
      </c>
      <c r="I93" s="39"/>
    </row>
    <row r="94" spans="1:9" s="37" customFormat="1">
      <c r="A94" s="42"/>
      <c r="B94" s="35" t="s">
        <v>95</v>
      </c>
      <c r="C94" s="35"/>
      <c r="D94" s="35"/>
      <c r="E94" s="35"/>
      <c r="F94" s="35"/>
      <c r="G94" s="5"/>
      <c r="I94" s="39"/>
    </row>
    <row r="95" spans="1:9" s="37" customFormat="1">
      <c r="A95" s="45"/>
      <c r="B95" s="46" t="s">
        <v>68</v>
      </c>
      <c r="C95" s="48">
        <v>14</v>
      </c>
      <c r="D95" s="48">
        <f>7+4</f>
        <v>11</v>
      </c>
      <c r="E95" s="48" t="s">
        <v>72</v>
      </c>
      <c r="F95" s="50">
        <v>3153600</v>
      </c>
      <c r="G95" s="6">
        <f>C95*D95*F95</f>
        <v>485654400</v>
      </c>
      <c r="I95" s="39"/>
    </row>
    <row r="96" spans="1:9" s="37" customFormat="1">
      <c r="A96" s="42"/>
      <c r="B96" s="35" t="s">
        <v>96</v>
      </c>
      <c r="C96" s="35"/>
      <c r="D96" s="35"/>
      <c r="E96" s="35"/>
      <c r="F96" s="35"/>
      <c r="G96" s="5"/>
      <c r="I96" s="39"/>
    </row>
    <row r="97" spans="1:9" s="37" customFormat="1">
      <c r="A97" s="45"/>
      <c r="B97" s="46" t="s">
        <v>68</v>
      </c>
      <c r="C97" s="48">
        <v>14</v>
      </c>
      <c r="D97" s="48">
        <v>6</v>
      </c>
      <c r="E97" s="48" t="s">
        <v>72</v>
      </c>
      <c r="F97" s="50">
        <v>4041500</v>
      </c>
      <c r="G97" s="6">
        <f>C97*D97*F97</f>
        <v>339486000</v>
      </c>
      <c r="I97" s="39"/>
    </row>
    <row r="98" spans="1:9" s="37" customFormat="1">
      <c r="A98" s="45"/>
      <c r="B98" s="35" t="s">
        <v>97</v>
      </c>
      <c r="C98" s="35"/>
      <c r="D98" s="35"/>
      <c r="E98" s="35"/>
      <c r="F98" s="35"/>
      <c r="G98" s="6"/>
      <c r="I98" s="39"/>
    </row>
    <row r="99" spans="1:9" s="37" customFormat="1">
      <c r="A99" s="45"/>
      <c r="B99" s="46" t="s">
        <v>68</v>
      </c>
      <c r="C99" s="48">
        <v>14</v>
      </c>
      <c r="D99" s="48">
        <v>1</v>
      </c>
      <c r="E99" s="48" t="s">
        <v>72</v>
      </c>
      <c r="F99" s="50">
        <v>2785700</v>
      </c>
      <c r="G99" s="6">
        <f>C99*D99*F99</f>
        <v>38999800</v>
      </c>
      <c r="I99" s="39"/>
    </row>
    <row r="100" spans="1:9" s="37" customFormat="1">
      <c r="A100" s="42"/>
      <c r="B100" s="35" t="s">
        <v>98</v>
      </c>
      <c r="C100" s="35"/>
      <c r="D100" s="35"/>
      <c r="E100" s="35"/>
      <c r="F100" s="35"/>
      <c r="G100" s="6"/>
      <c r="I100" s="39"/>
    </row>
    <row r="101" spans="1:9" s="37" customFormat="1">
      <c r="A101" s="45"/>
      <c r="B101" s="46" t="s">
        <v>68</v>
      </c>
      <c r="C101" s="48">
        <v>14</v>
      </c>
      <c r="D101" s="48">
        <v>3</v>
      </c>
      <c r="E101" s="48" t="s">
        <v>72</v>
      </c>
      <c r="F101" s="50">
        <v>2873500</v>
      </c>
      <c r="G101" s="6">
        <f>C101*D101*F101</f>
        <v>120687000</v>
      </c>
      <c r="I101" s="39"/>
    </row>
    <row r="102" spans="1:9" s="37" customFormat="1">
      <c r="A102" s="45"/>
      <c r="B102" s="35" t="s">
        <v>99</v>
      </c>
      <c r="C102" s="35"/>
      <c r="D102" s="35"/>
      <c r="E102" s="35"/>
      <c r="F102" s="35"/>
      <c r="G102" s="6"/>
      <c r="I102" s="39"/>
    </row>
    <row r="103" spans="1:9" s="37" customFormat="1">
      <c r="A103" s="45"/>
      <c r="B103" s="46" t="s">
        <v>68</v>
      </c>
      <c r="C103" s="48">
        <v>14</v>
      </c>
      <c r="D103" s="48">
        <v>2</v>
      </c>
      <c r="E103" s="48" t="s">
        <v>72</v>
      </c>
      <c r="F103" s="50">
        <v>2964000</v>
      </c>
      <c r="G103" s="6">
        <f>C103*D103*F103</f>
        <v>82992000</v>
      </c>
      <c r="I103" s="39"/>
    </row>
    <row r="104" spans="1:9" s="37" customFormat="1">
      <c r="A104" s="42"/>
      <c r="B104" s="35" t="s">
        <v>100</v>
      </c>
      <c r="C104" s="35"/>
      <c r="D104" s="35"/>
      <c r="E104" s="35"/>
      <c r="F104" s="35"/>
      <c r="G104" s="5"/>
      <c r="I104" s="39"/>
    </row>
    <row r="105" spans="1:9" s="37" customFormat="1">
      <c r="A105" s="45"/>
      <c r="B105" s="46" t="s">
        <v>68</v>
      </c>
      <c r="C105" s="48">
        <v>14</v>
      </c>
      <c r="D105" s="48">
        <f>2+38</f>
        <v>40</v>
      </c>
      <c r="E105" s="48" t="s">
        <v>72</v>
      </c>
      <c r="F105" s="50">
        <v>3682500</v>
      </c>
      <c r="G105" s="6">
        <f>C105*D105*F105</f>
        <v>2062200000</v>
      </c>
      <c r="I105" s="39"/>
    </row>
    <row r="106" spans="1:9" s="37" customFormat="1">
      <c r="A106" s="42"/>
      <c r="B106" s="35" t="s">
        <v>101</v>
      </c>
      <c r="C106" s="35"/>
      <c r="D106" s="35"/>
      <c r="E106" s="35"/>
      <c r="F106" s="35"/>
      <c r="G106" s="5"/>
      <c r="I106" s="39"/>
    </row>
    <row r="107" spans="1:9" s="37" customFormat="1">
      <c r="A107" s="45"/>
      <c r="B107" s="46" t="s">
        <v>68</v>
      </c>
      <c r="C107" s="48">
        <v>14</v>
      </c>
      <c r="D107" s="48">
        <f>2+100</f>
        <v>102</v>
      </c>
      <c r="E107" s="48" t="s">
        <v>72</v>
      </c>
      <c r="F107" s="50">
        <v>3252900</v>
      </c>
      <c r="G107" s="6">
        <f>C107*D107*F107</f>
        <v>4645141200</v>
      </c>
      <c r="I107" s="39"/>
    </row>
    <row r="108" spans="1:9" s="37" customFormat="1">
      <c r="A108" s="42"/>
      <c r="B108" s="35" t="s">
        <v>88</v>
      </c>
      <c r="C108" s="35"/>
      <c r="D108" s="35"/>
      <c r="E108" s="35"/>
      <c r="F108" s="35"/>
      <c r="G108" s="5"/>
      <c r="I108" s="39"/>
    </row>
    <row r="109" spans="1:9" s="37" customFormat="1">
      <c r="A109" s="45"/>
      <c r="B109" s="46" t="s">
        <v>68</v>
      </c>
      <c r="C109" s="48">
        <v>14</v>
      </c>
      <c r="D109" s="48">
        <v>50</v>
      </c>
      <c r="E109" s="48" t="s">
        <v>72</v>
      </c>
      <c r="F109" s="50">
        <v>3355400</v>
      </c>
      <c r="G109" s="6">
        <f>C109*D109*F109</f>
        <v>2348780000</v>
      </c>
      <c r="I109" s="39"/>
    </row>
    <row r="110" spans="1:9" s="37" customFormat="1">
      <c r="A110" s="42"/>
      <c r="B110" s="35" t="s">
        <v>93</v>
      </c>
      <c r="C110" s="35"/>
      <c r="D110" s="35"/>
      <c r="E110" s="35"/>
      <c r="F110" s="35"/>
      <c r="G110" s="5"/>
      <c r="I110" s="39"/>
    </row>
    <row r="111" spans="1:9" s="37" customFormat="1">
      <c r="A111" s="45"/>
      <c r="B111" s="46" t="s">
        <v>68</v>
      </c>
      <c r="C111" s="48">
        <v>14</v>
      </c>
      <c r="D111" s="48">
        <v>30</v>
      </c>
      <c r="E111" s="48" t="s">
        <v>72</v>
      </c>
      <c r="F111" s="50">
        <v>3461100</v>
      </c>
      <c r="G111" s="6">
        <f>C111*D111*F111</f>
        <v>1453662000</v>
      </c>
      <c r="I111" s="39"/>
    </row>
    <row r="112" spans="1:9" s="37" customFormat="1">
      <c r="A112" s="42"/>
      <c r="B112" s="35" t="s">
        <v>102</v>
      </c>
      <c r="C112" s="35"/>
      <c r="D112" s="35"/>
      <c r="E112" s="35"/>
      <c r="F112" s="35"/>
      <c r="G112" s="5"/>
      <c r="I112" s="39"/>
    </row>
    <row r="113" spans="1:9" s="37" customFormat="1">
      <c r="A113" s="45"/>
      <c r="B113" s="46" t="s">
        <v>68</v>
      </c>
      <c r="C113" s="48">
        <v>14</v>
      </c>
      <c r="D113" s="48">
        <v>7</v>
      </c>
      <c r="E113" s="48" t="s">
        <v>72</v>
      </c>
      <c r="F113" s="50">
        <v>3798500</v>
      </c>
      <c r="G113" s="6">
        <f>C113*D113*F113</f>
        <v>372253000</v>
      </c>
      <c r="I113" s="39"/>
    </row>
    <row r="114" spans="1:9" s="37" customFormat="1">
      <c r="A114" s="42"/>
      <c r="B114" s="35" t="s">
        <v>103</v>
      </c>
      <c r="C114" s="35"/>
      <c r="D114" s="35"/>
      <c r="E114" s="35"/>
      <c r="F114" s="35"/>
      <c r="G114" s="5"/>
      <c r="I114" s="39"/>
    </row>
    <row r="115" spans="1:9" s="37" customFormat="1">
      <c r="A115" s="45"/>
      <c r="B115" s="46" t="s">
        <v>68</v>
      </c>
      <c r="C115" s="48">
        <v>14</v>
      </c>
      <c r="D115" s="48">
        <v>2</v>
      </c>
      <c r="E115" s="48" t="s">
        <v>72</v>
      </c>
      <c r="F115" s="50">
        <v>3918100</v>
      </c>
      <c r="G115" s="6">
        <f>C115*D115*F115</f>
        <v>109706800</v>
      </c>
      <c r="I115" s="39"/>
    </row>
    <row r="116" spans="1:9" s="37" customFormat="1">
      <c r="A116" s="45"/>
      <c r="B116" s="35" t="s">
        <v>104</v>
      </c>
      <c r="C116" s="35"/>
      <c r="D116" s="35"/>
      <c r="E116" s="35"/>
      <c r="F116" s="35"/>
      <c r="G116" s="5"/>
      <c r="I116" s="39"/>
    </row>
    <row r="117" spans="1:9" s="37" customFormat="1">
      <c r="A117" s="45"/>
      <c r="B117" s="46" t="s">
        <v>68</v>
      </c>
      <c r="C117" s="48">
        <v>14</v>
      </c>
      <c r="D117" s="48">
        <v>3</v>
      </c>
      <c r="E117" s="48" t="s">
        <v>72</v>
      </c>
      <c r="F117" s="50">
        <v>4168800</v>
      </c>
      <c r="G117" s="6">
        <f>C117*D117*F117</f>
        <v>175089600</v>
      </c>
      <c r="I117" s="39"/>
    </row>
    <row r="118" spans="1:9" s="37" customFormat="1">
      <c r="A118" s="45"/>
      <c r="B118" s="35" t="s">
        <v>86</v>
      </c>
      <c r="C118" s="35"/>
      <c r="D118" s="35"/>
      <c r="E118" s="35"/>
      <c r="F118" s="35"/>
      <c r="G118" s="5"/>
      <c r="I118" s="39"/>
    </row>
    <row r="119" spans="1:9" s="37" customFormat="1">
      <c r="A119" s="45"/>
      <c r="B119" s="46" t="s">
        <v>68</v>
      </c>
      <c r="C119" s="48">
        <v>14</v>
      </c>
      <c r="D119" s="48">
        <f>8+3+100</f>
        <v>111</v>
      </c>
      <c r="E119" s="48" t="s">
        <v>72</v>
      </c>
      <c r="F119" s="50">
        <v>2785700</v>
      </c>
      <c r="G119" s="6">
        <f>C119*D119*F119</f>
        <v>4328977800</v>
      </c>
      <c r="I119" s="39"/>
    </row>
    <row r="120" spans="1:9" s="37" customFormat="1" ht="24">
      <c r="A120" s="42"/>
      <c r="B120" s="43" t="s">
        <v>105</v>
      </c>
      <c r="C120" s="43"/>
      <c r="D120" s="43"/>
      <c r="E120" s="43"/>
      <c r="F120" s="43"/>
      <c r="G120" s="7">
        <f>SUM(G122:G154)</f>
        <v>16621172400</v>
      </c>
      <c r="I120" s="39"/>
    </row>
    <row r="121" spans="1:9" s="37" customFormat="1">
      <c r="A121" s="42"/>
      <c r="B121" s="35" t="s">
        <v>77</v>
      </c>
      <c r="C121" s="35"/>
      <c r="D121" s="35"/>
      <c r="E121" s="35"/>
      <c r="F121" s="35"/>
      <c r="G121" s="5"/>
      <c r="I121" s="39"/>
    </row>
    <row r="122" spans="1:9" s="37" customFormat="1">
      <c r="A122" s="51"/>
      <c r="B122" s="52" t="s">
        <v>68</v>
      </c>
      <c r="C122" s="52">
        <v>14</v>
      </c>
      <c r="D122" s="52">
        <v>1</v>
      </c>
      <c r="E122" s="52" t="s">
        <v>72</v>
      </c>
      <c r="F122" s="50">
        <v>3959200</v>
      </c>
      <c r="G122" s="8">
        <f>C122*D122*F122</f>
        <v>55428800</v>
      </c>
      <c r="I122" s="39"/>
    </row>
    <row r="123" spans="1:9" s="37" customFormat="1">
      <c r="A123" s="42"/>
      <c r="B123" s="35" t="s">
        <v>74</v>
      </c>
      <c r="C123" s="35"/>
      <c r="D123" s="35"/>
      <c r="E123" s="35"/>
      <c r="F123" s="35"/>
      <c r="G123" s="5"/>
      <c r="I123" s="39"/>
    </row>
    <row r="124" spans="1:9" s="37" customFormat="1">
      <c r="A124" s="45"/>
      <c r="B124" s="46" t="s">
        <v>68</v>
      </c>
      <c r="C124" s="48">
        <v>14</v>
      </c>
      <c r="D124" s="48">
        <f>16+1</f>
        <v>17</v>
      </c>
      <c r="E124" s="48" t="s">
        <v>72</v>
      </c>
      <c r="F124" s="50">
        <v>3721100</v>
      </c>
      <c r="G124" s="6">
        <f>C124*D124*F124</f>
        <v>885621800</v>
      </c>
      <c r="I124" s="39"/>
    </row>
    <row r="125" spans="1:9" s="37" customFormat="1">
      <c r="A125" s="42"/>
      <c r="B125" s="35" t="s">
        <v>106</v>
      </c>
      <c r="C125" s="35"/>
      <c r="D125" s="35"/>
      <c r="E125" s="35"/>
      <c r="F125" s="35"/>
      <c r="G125" s="5"/>
      <c r="I125" s="39"/>
    </row>
    <row r="126" spans="1:9" s="37" customFormat="1">
      <c r="A126" s="45"/>
      <c r="B126" s="46" t="s">
        <v>68</v>
      </c>
      <c r="C126" s="48">
        <v>14</v>
      </c>
      <c r="D126" s="48">
        <f>6+4+10</f>
        <v>20</v>
      </c>
      <c r="E126" s="48" t="s">
        <v>72</v>
      </c>
      <c r="F126" s="50">
        <v>3089300</v>
      </c>
      <c r="G126" s="6">
        <f>C126*D126*F126</f>
        <v>865004000</v>
      </c>
      <c r="I126" s="39"/>
    </row>
    <row r="127" spans="1:9" s="37" customFormat="1">
      <c r="A127" s="42"/>
      <c r="B127" s="35" t="s">
        <v>107</v>
      </c>
      <c r="C127" s="35"/>
      <c r="D127" s="35"/>
      <c r="E127" s="35"/>
      <c r="F127" s="35"/>
      <c r="G127" s="5"/>
      <c r="I127" s="39"/>
    </row>
    <row r="128" spans="1:9" s="37" customFormat="1">
      <c r="A128" s="45"/>
      <c r="B128" s="46" t="s">
        <v>68</v>
      </c>
      <c r="C128" s="48">
        <v>14</v>
      </c>
      <c r="D128" s="48">
        <f>16+6</f>
        <v>22</v>
      </c>
      <c r="E128" s="48" t="s">
        <v>72</v>
      </c>
      <c r="F128" s="50">
        <v>3497300</v>
      </c>
      <c r="G128" s="6">
        <f>C128*D128*F128</f>
        <v>1077168400</v>
      </c>
      <c r="I128" s="39"/>
    </row>
    <row r="129" spans="1:9" s="37" customFormat="1">
      <c r="A129" s="42"/>
      <c r="B129" s="35" t="s">
        <v>80</v>
      </c>
      <c r="C129" s="35"/>
      <c r="D129" s="35"/>
      <c r="E129" s="35"/>
      <c r="F129" s="35"/>
      <c r="G129" s="5"/>
      <c r="I129" s="39"/>
    </row>
    <row r="130" spans="1:9" s="37" customFormat="1">
      <c r="A130" s="45"/>
      <c r="B130" s="46" t="s">
        <v>68</v>
      </c>
      <c r="C130" s="48">
        <v>14</v>
      </c>
      <c r="D130" s="48">
        <v>7</v>
      </c>
      <c r="E130" s="48" t="s">
        <v>72</v>
      </c>
      <c r="F130" s="50">
        <v>3607500</v>
      </c>
      <c r="G130" s="6">
        <f>C130*D130*F130</f>
        <v>353535000</v>
      </c>
      <c r="I130" s="39"/>
    </row>
    <row r="131" spans="1:9" s="37" customFormat="1">
      <c r="A131" s="42"/>
      <c r="B131" s="35" t="s">
        <v>75</v>
      </c>
      <c r="C131" s="35"/>
      <c r="D131" s="35"/>
      <c r="E131" s="35"/>
      <c r="F131" s="35"/>
      <c r="G131" s="5"/>
      <c r="I131" s="39"/>
    </row>
    <row r="132" spans="1:9" s="37" customFormat="1">
      <c r="A132" s="45"/>
      <c r="B132" s="46" t="s">
        <v>68</v>
      </c>
      <c r="C132" s="48">
        <v>14</v>
      </c>
      <c r="D132" s="48">
        <v>16</v>
      </c>
      <c r="E132" s="48" t="s">
        <v>72</v>
      </c>
      <c r="F132" s="50">
        <v>3838300</v>
      </c>
      <c r="G132" s="6">
        <f>C132*D132*F132</f>
        <v>859779200</v>
      </c>
      <c r="I132" s="39"/>
    </row>
    <row r="133" spans="1:9" s="37" customFormat="1">
      <c r="A133" s="42"/>
      <c r="B133" s="35" t="s">
        <v>108</v>
      </c>
      <c r="C133" s="35"/>
      <c r="D133" s="35"/>
      <c r="E133" s="35"/>
      <c r="F133" s="35"/>
      <c r="G133" s="5"/>
      <c r="I133" s="39"/>
    </row>
    <row r="134" spans="1:9" s="37" customFormat="1">
      <c r="A134" s="45"/>
      <c r="B134" s="46" t="s">
        <v>68</v>
      </c>
      <c r="C134" s="48">
        <v>14</v>
      </c>
      <c r="D134" s="48">
        <v>16</v>
      </c>
      <c r="E134" s="48" t="s">
        <v>72</v>
      </c>
      <c r="F134" s="50">
        <v>3186600</v>
      </c>
      <c r="G134" s="6">
        <f>C134*D134*F134</f>
        <v>713798400</v>
      </c>
      <c r="I134" s="39"/>
    </row>
    <row r="135" spans="1:9" s="37" customFormat="1">
      <c r="A135" s="42"/>
      <c r="B135" s="35" t="s">
        <v>101</v>
      </c>
      <c r="C135" s="35"/>
      <c r="D135" s="35"/>
      <c r="E135" s="35"/>
      <c r="F135" s="35"/>
      <c r="G135" s="5"/>
      <c r="I135" s="39"/>
    </row>
    <row r="136" spans="1:9" s="37" customFormat="1">
      <c r="A136" s="45"/>
      <c r="B136" s="46" t="s">
        <v>68</v>
      </c>
      <c r="C136" s="48">
        <v>14</v>
      </c>
      <c r="D136" s="48">
        <f>22+6</f>
        <v>28</v>
      </c>
      <c r="E136" s="48" t="s">
        <v>72</v>
      </c>
      <c r="F136" s="50">
        <v>3390500</v>
      </c>
      <c r="G136" s="6">
        <f>C136*D136*F136</f>
        <v>1329076000</v>
      </c>
      <c r="I136" s="39"/>
    </row>
    <row r="137" spans="1:9" s="37" customFormat="1">
      <c r="A137" s="42"/>
      <c r="B137" s="35" t="s">
        <v>96</v>
      </c>
      <c r="C137" s="35"/>
      <c r="D137" s="35"/>
      <c r="E137" s="35"/>
      <c r="F137" s="35"/>
      <c r="G137" s="5"/>
      <c r="I137" s="39"/>
    </row>
    <row r="138" spans="1:9" s="37" customFormat="1">
      <c r="A138" s="45"/>
      <c r="B138" s="46" t="s">
        <v>68</v>
      </c>
      <c r="C138" s="48">
        <v>14</v>
      </c>
      <c r="D138" s="48">
        <v>8</v>
      </c>
      <c r="E138" s="48" t="s">
        <v>72</v>
      </c>
      <c r="F138" s="50">
        <v>4212500</v>
      </c>
      <c r="G138" s="6">
        <f>C138*D138*F138</f>
        <v>471800000</v>
      </c>
      <c r="I138" s="39"/>
    </row>
    <row r="139" spans="1:9" s="37" customFormat="1">
      <c r="A139" s="42"/>
      <c r="B139" s="35" t="s">
        <v>98</v>
      </c>
      <c r="C139" s="35"/>
      <c r="D139" s="35"/>
      <c r="E139" s="35"/>
      <c r="F139" s="35"/>
      <c r="G139" s="5"/>
      <c r="I139" s="39"/>
    </row>
    <row r="140" spans="1:9" s="37" customFormat="1">
      <c r="A140" s="45"/>
      <c r="B140" s="46" t="s">
        <v>68</v>
      </c>
      <c r="C140" s="48">
        <v>14</v>
      </c>
      <c r="D140" s="48">
        <f>62+5</f>
        <v>67</v>
      </c>
      <c r="E140" s="48" t="s">
        <v>72</v>
      </c>
      <c r="F140" s="50">
        <v>2995000</v>
      </c>
      <c r="G140" s="6">
        <f>C140*D140*F140</f>
        <v>2809310000</v>
      </c>
      <c r="I140" s="39"/>
    </row>
    <row r="141" spans="1:9" s="37" customFormat="1">
      <c r="A141" s="42"/>
      <c r="B141" s="35" t="s">
        <v>109</v>
      </c>
      <c r="C141" s="35"/>
      <c r="D141" s="35"/>
      <c r="E141" s="35"/>
      <c r="F141" s="35"/>
      <c r="G141" s="5"/>
      <c r="I141" s="39"/>
    </row>
    <row r="142" spans="1:9" s="37" customFormat="1">
      <c r="A142" s="45"/>
      <c r="B142" s="46" t="s">
        <v>68</v>
      </c>
      <c r="C142" s="48">
        <v>14</v>
      </c>
      <c r="D142" s="48">
        <f>15+9</f>
        <v>24</v>
      </c>
      <c r="E142" s="48" t="s">
        <v>72</v>
      </c>
      <c r="F142" s="50">
        <v>3287000</v>
      </c>
      <c r="G142" s="6">
        <f>C142*D142*F142</f>
        <v>1104432000</v>
      </c>
      <c r="I142" s="39"/>
    </row>
    <row r="143" spans="1:9" s="37" customFormat="1">
      <c r="A143" s="42"/>
      <c r="B143" s="35" t="s">
        <v>103</v>
      </c>
      <c r="C143" s="35"/>
      <c r="D143" s="35"/>
      <c r="E143" s="35"/>
      <c r="F143" s="35"/>
      <c r="G143" s="5"/>
      <c r="I143" s="39"/>
    </row>
    <row r="144" spans="1:9" s="37" customFormat="1">
      <c r="A144" s="45"/>
      <c r="B144" s="46" t="s">
        <v>68</v>
      </c>
      <c r="C144" s="48">
        <v>14</v>
      </c>
      <c r="D144" s="48">
        <v>18</v>
      </c>
      <c r="E144" s="48" t="s">
        <v>72</v>
      </c>
      <c r="F144" s="50">
        <v>4083900</v>
      </c>
      <c r="G144" s="6">
        <f>C144*D144*F144</f>
        <v>1029142800</v>
      </c>
      <c r="I144" s="39"/>
    </row>
    <row r="145" spans="1:9" s="37" customFormat="1">
      <c r="A145" s="42"/>
      <c r="B145" s="35" t="s">
        <v>104</v>
      </c>
      <c r="C145" s="35"/>
      <c r="D145" s="35"/>
      <c r="E145" s="35"/>
      <c r="F145" s="35"/>
      <c r="G145" s="5"/>
      <c r="I145" s="39"/>
    </row>
    <row r="146" spans="1:9" s="37" customFormat="1">
      <c r="A146" s="45"/>
      <c r="B146" s="46" t="s">
        <v>68</v>
      </c>
      <c r="C146" s="48">
        <v>14</v>
      </c>
      <c r="D146" s="48">
        <v>8</v>
      </c>
      <c r="E146" s="48" t="s">
        <v>72</v>
      </c>
      <c r="F146" s="50">
        <v>4345100</v>
      </c>
      <c r="G146" s="6">
        <f>C146*D146*F146</f>
        <v>486651200</v>
      </c>
      <c r="I146" s="39"/>
    </row>
    <row r="147" spans="1:9" s="37" customFormat="1">
      <c r="A147" s="42"/>
      <c r="B147" s="35" t="s">
        <v>110</v>
      </c>
      <c r="C147" s="35"/>
      <c r="D147" s="35"/>
      <c r="E147" s="35"/>
      <c r="F147" s="35"/>
      <c r="G147" s="5"/>
      <c r="I147" s="39"/>
    </row>
    <row r="148" spans="1:9" s="37" customFormat="1">
      <c r="A148" s="45"/>
      <c r="B148" s="46" t="s">
        <v>68</v>
      </c>
      <c r="C148" s="48">
        <v>14</v>
      </c>
      <c r="D148" s="48">
        <v>2</v>
      </c>
      <c r="E148" s="48" t="s">
        <v>72</v>
      </c>
      <c r="F148" s="50">
        <v>4482000</v>
      </c>
      <c r="G148" s="6">
        <f>C148*D148*F148</f>
        <v>125496000</v>
      </c>
      <c r="I148" s="39"/>
    </row>
    <row r="149" spans="1:9" s="37" customFormat="1">
      <c r="A149" s="42"/>
      <c r="B149" s="35" t="s">
        <v>111</v>
      </c>
      <c r="C149" s="35"/>
      <c r="D149" s="35"/>
      <c r="E149" s="35"/>
      <c r="F149" s="35"/>
      <c r="G149" s="5"/>
      <c r="I149" s="39"/>
    </row>
    <row r="150" spans="1:9" s="37" customFormat="1">
      <c r="A150" s="45"/>
      <c r="B150" s="46" t="s">
        <v>68</v>
      </c>
      <c r="C150" s="48">
        <v>14</v>
      </c>
      <c r="D150" s="48">
        <v>1</v>
      </c>
      <c r="E150" s="48" t="s">
        <v>72</v>
      </c>
      <c r="F150" s="50">
        <v>4623200</v>
      </c>
      <c r="G150" s="6">
        <f>C150*D150*F150</f>
        <v>64724800</v>
      </c>
      <c r="I150" s="39"/>
    </row>
    <row r="151" spans="1:9" s="37" customFormat="1">
      <c r="A151" s="45"/>
      <c r="B151" s="35" t="s">
        <v>112</v>
      </c>
      <c r="C151" s="35"/>
      <c r="D151" s="35"/>
      <c r="E151" s="35"/>
      <c r="F151" s="35"/>
      <c r="G151" s="5"/>
      <c r="I151" s="39"/>
    </row>
    <row r="152" spans="1:9" s="37" customFormat="1">
      <c r="A152" s="45"/>
      <c r="B152" s="46" t="s">
        <v>68</v>
      </c>
      <c r="C152" s="48">
        <v>14</v>
      </c>
      <c r="D152" s="48">
        <v>11</v>
      </c>
      <c r="E152" s="48" t="s">
        <v>72</v>
      </c>
      <c r="F152" s="50">
        <v>3959200</v>
      </c>
      <c r="G152" s="6">
        <f>C152*D152*F152</f>
        <v>609716800</v>
      </c>
      <c r="I152" s="39"/>
    </row>
    <row r="153" spans="1:9" s="37" customFormat="1">
      <c r="A153" s="45"/>
      <c r="B153" s="35" t="s">
        <v>86</v>
      </c>
      <c r="C153" s="35"/>
      <c r="D153" s="35"/>
      <c r="E153" s="35"/>
      <c r="F153" s="35"/>
      <c r="G153" s="5"/>
      <c r="I153" s="39"/>
    </row>
    <row r="154" spans="1:9" s="37" customFormat="1">
      <c r="A154" s="45"/>
      <c r="B154" s="46" t="s">
        <v>68</v>
      </c>
      <c r="C154" s="48">
        <v>14</v>
      </c>
      <c r="D154" s="48">
        <f>36+4+53</f>
        <v>93</v>
      </c>
      <c r="E154" s="48" t="s">
        <v>72</v>
      </c>
      <c r="F154" s="50">
        <v>2903600</v>
      </c>
      <c r="G154" s="6">
        <f>C154*D154*F154</f>
        <v>3780487200</v>
      </c>
      <c r="I154" s="39"/>
    </row>
    <row r="155" spans="1:9" s="37" customFormat="1" ht="24">
      <c r="A155" s="42"/>
      <c r="B155" s="43" t="s">
        <v>113</v>
      </c>
      <c r="C155" s="43"/>
      <c r="D155" s="43"/>
      <c r="E155" s="43"/>
      <c r="F155" s="43"/>
      <c r="G155" s="7">
        <f>SUM(G157:G185)</f>
        <v>14213047800</v>
      </c>
      <c r="I155" s="39"/>
    </row>
    <row r="156" spans="1:9" s="37" customFormat="1">
      <c r="A156" s="42"/>
      <c r="B156" s="35" t="s">
        <v>71</v>
      </c>
      <c r="C156" s="35"/>
      <c r="D156" s="35"/>
      <c r="E156" s="35"/>
      <c r="F156" s="35"/>
      <c r="G156" s="5"/>
      <c r="I156" s="39"/>
    </row>
    <row r="157" spans="1:9" s="37" customFormat="1">
      <c r="A157" s="42"/>
      <c r="B157" s="46" t="s">
        <v>68</v>
      </c>
      <c r="C157" s="48">
        <v>14</v>
      </c>
      <c r="D157" s="48">
        <v>30</v>
      </c>
      <c r="E157" s="48" t="s">
        <v>72</v>
      </c>
      <c r="F157" s="50">
        <v>4256600</v>
      </c>
      <c r="G157" s="6">
        <f>C157*D157*F157</f>
        <v>1787772000</v>
      </c>
      <c r="I157" s="39"/>
    </row>
    <row r="158" spans="1:9" s="37" customFormat="1">
      <c r="A158" s="42"/>
      <c r="B158" s="35" t="s">
        <v>114</v>
      </c>
      <c r="C158" s="35"/>
      <c r="D158" s="35"/>
      <c r="E158" s="35"/>
      <c r="F158" s="35"/>
      <c r="G158" s="5"/>
      <c r="I158" s="39"/>
    </row>
    <row r="159" spans="1:9" s="37" customFormat="1">
      <c r="A159" s="42"/>
      <c r="B159" s="46" t="s">
        <v>68</v>
      </c>
      <c r="C159" s="48">
        <v>14</v>
      </c>
      <c r="D159" s="48">
        <f>10+1</f>
        <v>11</v>
      </c>
      <c r="E159" s="48" t="s">
        <v>72</v>
      </c>
      <c r="F159" s="50">
        <v>3533900</v>
      </c>
      <c r="G159" s="6">
        <f>C159*D159*F159</f>
        <v>544220600</v>
      </c>
      <c r="I159" s="39"/>
    </row>
    <row r="160" spans="1:9" s="37" customFormat="1">
      <c r="A160" s="42"/>
      <c r="B160" s="35" t="s">
        <v>108</v>
      </c>
      <c r="C160" s="35"/>
      <c r="D160" s="35"/>
      <c r="E160" s="35"/>
      <c r="F160" s="35"/>
      <c r="G160" s="5"/>
      <c r="I160" s="39"/>
    </row>
    <row r="161" spans="1:9" s="37" customFormat="1">
      <c r="A161" s="42"/>
      <c r="B161" s="46" t="s">
        <v>68</v>
      </c>
      <c r="C161" s="48">
        <v>14</v>
      </c>
      <c r="D161" s="48">
        <f>42+7</f>
        <v>49</v>
      </c>
      <c r="E161" s="48" t="s">
        <v>72</v>
      </c>
      <c r="F161" s="50">
        <v>3321400</v>
      </c>
      <c r="G161" s="6">
        <f>C161*D161*F161</f>
        <v>2278480400</v>
      </c>
      <c r="I161" s="39"/>
    </row>
    <row r="162" spans="1:9" s="37" customFormat="1">
      <c r="A162" s="42"/>
      <c r="B162" s="35" t="s">
        <v>115</v>
      </c>
      <c r="C162" s="35"/>
      <c r="D162" s="35"/>
      <c r="E162" s="35"/>
      <c r="F162" s="35"/>
      <c r="G162" s="5"/>
      <c r="I162" s="39"/>
    </row>
    <row r="163" spans="1:9" s="37" customFormat="1">
      <c r="A163" s="45"/>
      <c r="B163" s="46" t="s">
        <v>68</v>
      </c>
      <c r="C163" s="48">
        <v>14</v>
      </c>
      <c r="D163" s="48">
        <v>19</v>
      </c>
      <c r="E163" s="48" t="s">
        <v>72</v>
      </c>
      <c r="F163" s="50">
        <v>4126600</v>
      </c>
      <c r="G163" s="6">
        <f>C163*D163*F163</f>
        <v>1097675600</v>
      </c>
      <c r="I163" s="39"/>
    </row>
    <row r="164" spans="1:9" s="37" customFormat="1">
      <c r="A164" s="42"/>
      <c r="B164" s="35" t="s">
        <v>74</v>
      </c>
      <c r="C164" s="35"/>
      <c r="D164" s="35"/>
      <c r="E164" s="35"/>
      <c r="F164" s="35"/>
      <c r="G164" s="5"/>
      <c r="I164" s="39"/>
    </row>
    <row r="165" spans="1:9" s="37" customFormat="1">
      <c r="A165" s="45"/>
      <c r="B165" s="46" t="s">
        <v>68</v>
      </c>
      <c r="C165" s="48">
        <v>14</v>
      </c>
      <c r="D165" s="48">
        <f>27+3</f>
        <v>30</v>
      </c>
      <c r="E165" s="48" t="s">
        <v>72</v>
      </c>
      <c r="F165" s="50">
        <v>3878500</v>
      </c>
      <c r="G165" s="6">
        <f>C165*D165*F165</f>
        <v>1628970000</v>
      </c>
      <c r="I165" s="39"/>
    </row>
    <row r="166" spans="1:9" s="37" customFormat="1">
      <c r="A166" s="42"/>
      <c r="B166" s="35" t="s">
        <v>106</v>
      </c>
      <c r="C166" s="35"/>
      <c r="D166" s="35"/>
      <c r="E166" s="35"/>
      <c r="F166" s="35"/>
      <c r="G166" s="5"/>
      <c r="I166" s="39"/>
    </row>
    <row r="167" spans="1:9" s="37" customFormat="1">
      <c r="A167" s="45"/>
      <c r="B167" s="46" t="s">
        <v>68</v>
      </c>
      <c r="C167" s="48">
        <v>14</v>
      </c>
      <c r="D167" s="48">
        <f>10+4</f>
        <v>14</v>
      </c>
      <c r="E167" s="48" t="s">
        <v>72</v>
      </c>
      <c r="F167" s="50">
        <v>3220000</v>
      </c>
      <c r="G167" s="6">
        <f>C167*D167*F167</f>
        <v>631120000</v>
      </c>
      <c r="I167" s="39"/>
    </row>
    <row r="168" spans="1:9" s="37" customFormat="1">
      <c r="A168" s="42"/>
      <c r="B168" s="35" t="s">
        <v>116</v>
      </c>
      <c r="C168" s="35"/>
      <c r="D168" s="35"/>
      <c r="E168" s="35"/>
      <c r="F168" s="35"/>
      <c r="G168" s="5"/>
      <c r="I168" s="39"/>
    </row>
    <row r="169" spans="1:9" s="37" customFormat="1">
      <c r="A169" s="45"/>
      <c r="B169" s="46" t="s">
        <v>68</v>
      </c>
      <c r="C169" s="48">
        <v>14</v>
      </c>
      <c r="D169" s="48">
        <f>30+9</f>
        <v>39</v>
      </c>
      <c r="E169" s="48" t="s">
        <v>72</v>
      </c>
      <c r="F169" s="50">
        <v>3645200</v>
      </c>
      <c r="G169" s="6">
        <f>C169*D169*F169</f>
        <v>1990279200</v>
      </c>
      <c r="I169" s="39"/>
    </row>
    <row r="170" spans="1:9" s="37" customFormat="1">
      <c r="A170" s="42"/>
      <c r="B170" s="35" t="s">
        <v>117</v>
      </c>
      <c r="C170" s="35"/>
      <c r="D170" s="35"/>
      <c r="E170" s="35"/>
      <c r="F170" s="35"/>
      <c r="G170" s="5"/>
      <c r="I170" s="39"/>
    </row>
    <row r="171" spans="1:9" s="37" customFormat="1">
      <c r="A171" s="45"/>
      <c r="B171" s="46" t="s">
        <v>68</v>
      </c>
      <c r="C171" s="48">
        <v>14</v>
      </c>
      <c r="D171" s="48">
        <f>21+1</f>
        <v>22</v>
      </c>
      <c r="E171" s="48" t="s">
        <v>72</v>
      </c>
      <c r="F171" s="50">
        <v>3760100</v>
      </c>
      <c r="G171" s="6">
        <f>C171*D171*F171</f>
        <v>1158110800</v>
      </c>
      <c r="I171" s="39"/>
    </row>
    <row r="172" spans="1:9" s="37" customFormat="1">
      <c r="A172" s="42"/>
      <c r="B172" s="35" t="s">
        <v>118</v>
      </c>
      <c r="C172" s="35"/>
      <c r="D172" s="35"/>
      <c r="E172" s="35"/>
      <c r="F172" s="35"/>
      <c r="G172" s="5"/>
      <c r="I172" s="39"/>
    </row>
    <row r="173" spans="1:9" s="37" customFormat="1">
      <c r="A173" s="45"/>
      <c r="B173" s="46" t="s">
        <v>68</v>
      </c>
      <c r="C173" s="48">
        <v>14</v>
      </c>
      <c r="D173" s="48">
        <f>19+3</f>
        <v>22</v>
      </c>
      <c r="E173" s="48" t="s">
        <v>72</v>
      </c>
      <c r="F173" s="50">
        <v>4000600</v>
      </c>
      <c r="G173" s="6">
        <f>C173*D173*F173</f>
        <v>1232184800</v>
      </c>
      <c r="I173" s="39"/>
    </row>
    <row r="174" spans="1:9" s="37" customFormat="1">
      <c r="A174" s="42"/>
      <c r="B174" s="35" t="s">
        <v>110</v>
      </c>
      <c r="C174" s="35"/>
      <c r="D174" s="35"/>
      <c r="E174" s="35"/>
      <c r="F174" s="35"/>
      <c r="G174" s="5"/>
      <c r="I174" s="39"/>
    </row>
    <row r="175" spans="1:9" s="37" customFormat="1">
      <c r="A175" s="45"/>
      <c r="B175" s="46" t="s">
        <v>68</v>
      </c>
      <c r="C175" s="48">
        <v>14</v>
      </c>
      <c r="D175" s="48">
        <f>2+1</f>
        <v>3</v>
      </c>
      <c r="E175" s="48" t="s">
        <v>72</v>
      </c>
      <c r="F175" s="50">
        <v>4671600</v>
      </c>
      <c r="G175" s="6">
        <f>C175*D175*F175</f>
        <v>196207200</v>
      </c>
      <c r="I175" s="39"/>
    </row>
    <row r="176" spans="1:9" s="37" customFormat="1">
      <c r="A176" s="42"/>
      <c r="B176" s="35" t="s">
        <v>90</v>
      </c>
      <c r="C176" s="35"/>
      <c r="D176" s="35"/>
      <c r="E176" s="35"/>
      <c r="F176" s="35"/>
      <c r="G176" s="5"/>
      <c r="I176" s="39"/>
    </row>
    <row r="177" spans="1:9" s="37" customFormat="1">
      <c r="A177" s="45"/>
      <c r="B177" s="46" t="s">
        <v>68</v>
      </c>
      <c r="C177" s="48">
        <v>14</v>
      </c>
      <c r="D177" s="48">
        <v>20</v>
      </c>
      <c r="E177" s="48" t="s">
        <v>72</v>
      </c>
      <c r="F177" s="50">
        <v>4390700</v>
      </c>
      <c r="G177" s="6">
        <f>C177*D177*F177</f>
        <v>1229396000</v>
      </c>
      <c r="I177" s="39"/>
    </row>
    <row r="178" spans="1:9" s="37" customFormat="1">
      <c r="A178" s="42"/>
      <c r="B178" s="35" t="s">
        <v>109</v>
      </c>
      <c r="C178" s="35"/>
      <c r="D178" s="35"/>
      <c r="E178" s="35"/>
      <c r="F178" s="35"/>
      <c r="G178" s="5"/>
      <c r="I178" s="39"/>
    </row>
    <row r="179" spans="1:9" s="37" customFormat="1">
      <c r="A179" s="45"/>
      <c r="B179" s="46" t="s">
        <v>68</v>
      </c>
      <c r="C179" s="48">
        <v>14</v>
      </c>
      <c r="D179" s="48">
        <v>1</v>
      </c>
      <c r="E179" s="48" t="s">
        <v>72</v>
      </c>
      <c r="F179" s="50">
        <v>3426000</v>
      </c>
      <c r="G179" s="6">
        <f>C179*D179*F179</f>
        <v>47964000</v>
      </c>
      <c r="I179" s="39"/>
    </row>
    <row r="180" spans="1:9" s="37" customFormat="1">
      <c r="A180" s="42"/>
      <c r="B180" s="35" t="s">
        <v>104</v>
      </c>
      <c r="C180" s="35"/>
      <c r="D180" s="35"/>
      <c r="E180" s="35"/>
      <c r="F180" s="35"/>
      <c r="G180" s="5"/>
      <c r="I180" s="39"/>
    </row>
    <row r="181" spans="1:9" s="37" customFormat="1">
      <c r="A181" s="45"/>
      <c r="B181" s="46" t="s">
        <v>68</v>
      </c>
      <c r="C181" s="48">
        <v>14</v>
      </c>
      <c r="D181" s="48">
        <f>3+1</f>
        <v>4</v>
      </c>
      <c r="E181" s="48" t="s">
        <v>72</v>
      </c>
      <c r="F181" s="50">
        <v>4528900</v>
      </c>
      <c r="G181" s="6">
        <f>C181*D181*F181</f>
        <v>253618400</v>
      </c>
      <c r="I181" s="39"/>
    </row>
    <row r="182" spans="1:9" s="37" customFormat="1">
      <c r="A182" s="42"/>
      <c r="B182" s="35" t="s">
        <v>111</v>
      </c>
      <c r="C182" s="35"/>
      <c r="D182" s="35"/>
      <c r="E182" s="35"/>
      <c r="F182" s="35"/>
      <c r="G182" s="5"/>
      <c r="I182" s="39"/>
    </row>
    <row r="183" spans="1:9" s="37" customFormat="1">
      <c r="A183" s="45"/>
      <c r="B183" s="46" t="s">
        <v>68</v>
      </c>
      <c r="C183" s="48">
        <v>14</v>
      </c>
      <c r="D183" s="48">
        <v>1</v>
      </c>
      <c r="E183" s="48" t="s">
        <v>72</v>
      </c>
      <c r="F183" s="50">
        <v>4818700</v>
      </c>
      <c r="G183" s="6">
        <f>C183*D183*F183</f>
        <v>67461800</v>
      </c>
      <c r="I183" s="39"/>
    </row>
    <row r="184" spans="1:9" s="37" customFormat="1">
      <c r="A184" s="45"/>
      <c r="B184" s="35" t="s">
        <v>119</v>
      </c>
      <c r="C184" s="35"/>
      <c r="D184" s="35"/>
      <c r="E184" s="35"/>
      <c r="F184" s="35"/>
      <c r="G184" s="5"/>
      <c r="I184" s="39"/>
    </row>
    <row r="185" spans="1:9" s="37" customFormat="1">
      <c r="A185" s="45"/>
      <c r="B185" s="46" t="s">
        <v>68</v>
      </c>
      <c r="C185" s="48">
        <v>14</v>
      </c>
      <c r="D185" s="48">
        <v>1</v>
      </c>
      <c r="E185" s="48" t="s">
        <v>72</v>
      </c>
      <c r="F185" s="50">
        <v>4970500</v>
      </c>
      <c r="G185" s="6">
        <f>C185*D185*F185</f>
        <v>69587000</v>
      </c>
      <c r="I185" s="39"/>
    </row>
    <row r="186" spans="1:9" s="37" customFormat="1" ht="24">
      <c r="A186" s="42"/>
      <c r="B186" s="43" t="s">
        <v>120</v>
      </c>
      <c r="C186" s="43"/>
      <c r="D186" s="43"/>
      <c r="E186" s="43"/>
      <c r="F186" s="43"/>
      <c r="G186" s="7">
        <f>SUM(G188:G210)</f>
        <v>35490985600</v>
      </c>
      <c r="I186" s="39"/>
    </row>
    <row r="187" spans="1:9" s="37" customFormat="1">
      <c r="A187" s="42"/>
      <c r="B187" s="35" t="s">
        <v>77</v>
      </c>
      <c r="C187" s="35"/>
      <c r="D187" s="35"/>
      <c r="E187" s="35"/>
      <c r="F187" s="53"/>
      <c r="G187" s="5"/>
      <c r="I187" s="39"/>
    </row>
    <row r="188" spans="1:9" s="37" customFormat="1">
      <c r="A188" s="45"/>
      <c r="B188" s="46" t="s">
        <v>68</v>
      </c>
      <c r="C188" s="48">
        <v>14</v>
      </c>
      <c r="D188" s="48">
        <f>34+1</f>
        <v>35</v>
      </c>
      <c r="E188" s="48" t="s">
        <v>72</v>
      </c>
      <c r="F188" s="50">
        <v>4301200</v>
      </c>
      <c r="G188" s="6">
        <f>C188*D188*F188</f>
        <v>2107588000</v>
      </c>
      <c r="I188" s="39"/>
    </row>
    <row r="189" spans="1:9" s="37" customFormat="1">
      <c r="A189" s="42"/>
      <c r="B189" s="35" t="s">
        <v>74</v>
      </c>
      <c r="C189" s="35"/>
      <c r="D189" s="35"/>
      <c r="E189" s="35"/>
      <c r="F189" s="35"/>
      <c r="G189" s="5"/>
      <c r="I189" s="39"/>
    </row>
    <row r="190" spans="1:9" s="37" customFormat="1">
      <c r="A190" s="45"/>
      <c r="B190" s="46" t="s">
        <v>68</v>
      </c>
      <c r="C190" s="48">
        <v>14</v>
      </c>
      <c r="D190" s="48">
        <f>21+7</f>
        <v>28</v>
      </c>
      <c r="E190" s="48" t="s">
        <v>72</v>
      </c>
      <c r="F190" s="50">
        <v>4042500</v>
      </c>
      <c r="G190" s="6">
        <f>C190*D190*F190</f>
        <v>1584660000</v>
      </c>
      <c r="I190" s="39"/>
    </row>
    <row r="191" spans="1:9" s="37" customFormat="1">
      <c r="A191" s="42"/>
      <c r="B191" s="35" t="s">
        <v>117</v>
      </c>
      <c r="C191" s="35"/>
      <c r="D191" s="35"/>
      <c r="E191" s="35"/>
      <c r="F191" s="35"/>
      <c r="G191" s="5"/>
      <c r="I191" s="39"/>
    </row>
    <row r="192" spans="1:9" s="37" customFormat="1">
      <c r="A192" s="45"/>
      <c r="B192" s="46" t="s">
        <v>68</v>
      </c>
      <c r="C192" s="48">
        <v>14</v>
      </c>
      <c r="D192" s="48">
        <f>25+11</f>
        <v>36</v>
      </c>
      <c r="E192" s="48" t="s">
        <v>72</v>
      </c>
      <c r="F192" s="50">
        <v>3919100</v>
      </c>
      <c r="G192" s="6">
        <f>C192*D192*F192</f>
        <v>1975226400</v>
      </c>
      <c r="I192" s="39"/>
    </row>
    <row r="193" spans="1:9" s="37" customFormat="1">
      <c r="A193" s="42"/>
      <c r="B193" s="35" t="s">
        <v>75</v>
      </c>
      <c r="C193" s="35"/>
      <c r="D193" s="35"/>
      <c r="E193" s="35"/>
      <c r="F193" s="35"/>
      <c r="G193" s="5"/>
      <c r="I193" s="39"/>
    </row>
    <row r="194" spans="1:9" s="37" customFormat="1">
      <c r="A194" s="45"/>
      <c r="B194" s="46" t="s">
        <v>68</v>
      </c>
      <c r="C194" s="48">
        <v>14</v>
      </c>
      <c r="D194" s="48">
        <f>80+7</f>
        <v>87</v>
      </c>
      <c r="E194" s="48" t="s">
        <v>72</v>
      </c>
      <c r="F194" s="50">
        <v>4169900</v>
      </c>
      <c r="G194" s="6">
        <f>C194*D194*F194</f>
        <v>5078938200</v>
      </c>
      <c r="I194" s="39"/>
    </row>
    <row r="195" spans="1:9" s="37" customFormat="1">
      <c r="A195" s="42"/>
      <c r="B195" s="35" t="s">
        <v>92</v>
      </c>
      <c r="C195" s="35"/>
      <c r="D195" s="35"/>
      <c r="E195" s="35"/>
      <c r="F195" s="35"/>
      <c r="G195" s="5"/>
      <c r="I195" s="39"/>
    </row>
    <row r="196" spans="1:9" s="37" customFormat="1">
      <c r="A196" s="45"/>
      <c r="B196" s="46" t="s">
        <v>68</v>
      </c>
      <c r="C196" s="48">
        <v>14</v>
      </c>
      <c r="D196" s="48">
        <f>9+4</f>
        <v>13</v>
      </c>
      <c r="E196" s="48" t="s">
        <v>72</v>
      </c>
      <c r="F196" s="50">
        <v>3683400</v>
      </c>
      <c r="G196" s="6">
        <f>C196*D196*F196</f>
        <v>670378800</v>
      </c>
      <c r="I196" s="39"/>
    </row>
    <row r="197" spans="1:9" s="37" customFormat="1">
      <c r="A197" s="42"/>
      <c r="B197" s="35" t="s">
        <v>90</v>
      </c>
      <c r="C197" s="35"/>
      <c r="D197" s="35"/>
      <c r="E197" s="35"/>
      <c r="F197" s="35"/>
      <c r="G197" s="5"/>
      <c r="I197" s="39"/>
    </row>
    <row r="198" spans="1:9" s="37" customFormat="1">
      <c r="A198" s="45"/>
      <c r="B198" s="46" t="s">
        <v>68</v>
      </c>
      <c r="C198" s="48">
        <v>14</v>
      </c>
      <c r="D198" s="48">
        <f>37+1</f>
        <v>38</v>
      </c>
      <c r="E198" s="48" t="s">
        <v>72</v>
      </c>
      <c r="F198" s="50">
        <v>4576400</v>
      </c>
      <c r="G198" s="6">
        <f>C198*D198*F198</f>
        <v>2434644800</v>
      </c>
      <c r="I198" s="39"/>
    </row>
    <row r="199" spans="1:9" s="37" customFormat="1">
      <c r="A199" s="42"/>
      <c r="B199" s="35" t="s">
        <v>104</v>
      </c>
      <c r="C199" s="35"/>
      <c r="D199" s="35"/>
      <c r="E199" s="35"/>
      <c r="F199" s="35"/>
      <c r="G199" s="5"/>
      <c r="I199" s="39"/>
    </row>
    <row r="200" spans="1:9" s="37" customFormat="1">
      <c r="A200" s="45"/>
      <c r="B200" s="46" t="s">
        <v>68</v>
      </c>
      <c r="C200" s="48">
        <v>14</v>
      </c>
      <c r="D200" s="48">
        <v>73</v>
      </c>
      <c r="E200" s="48" t="s">
        <v>72</v>
      </c>
      <c r="F200" s="50">
        <v>4720500</v>
      </c>
      <c r="G200" s="6">
        <f>C200*D200*F200</f>
        <v>4824351000</v>
      </c>
      <c r="I200" s="39"/>
    </row>
    <row r="201" spans="1:9" s="37" customFormat="1">
      <c r="A201" s="42"/>
      <c r="B201" s="35" t="s">
        <v>121</v>
      </c>
      <c r="C201" s="35"/>
      <c r="D201" s="35"/>
      <c r="E201" s="35"/>
      <c r="F201" s="35"/>
      <c r="G201" s="5"/>
      <c r="I201" s="39"/>
    </row>
    <row r="202" spans="1:9" s="37" customFormat="1">
      <c r="A202" s="45"/>
      <c r="B202" s="46" t="s">
        <v>68</v>
      </c>
      <c r="C202" s="48">
        <v>14</v>
      </c>
      <c r="D202" s="48">
        <f>11+1+50</f>
        <v>62</v>
      </c>
      <c r="E202" s="48" t="s">
        <v>72</v>
      </c>
      <c r="F202" s="50">
        <v>3799400</v>
      </c>
      <c r="G202" s="6">
        <f>C202*D202*F202</f>
        <v>3297879200</v>
      </c>
      <c r="I202" s="39"/>
    </row>
    <row r="203" spans="1:9" s="37" customFormat="1">
      <c r="A203" s="42"/>
      <c r="B203" s="35" t="s">
        <v>103</v>
      </c>
      <c r="C203" s="35"/>
      <c r="D203" s="35"/>
      <c r="E203" s="35"/>
      <c r="F203" s="35"/>
      <c r="G203" s="5"/>
      <c r="I203" s="39"/>
    </row>
    <row r="204" spans="1:9" s="37" customFormat="1">
      <c r="A204" s="45"/>
      <c r="B204" s="46" t="s">
        <v>68</v>
      </c>
      <c r="C204" s="48">
        <v>14</v>
      </c>
      <c r="D204" s="48">
        <v>23</v>
      </c>
      <c r="E204" s="48" t="s">
        <v>72</v>
      </c>
      <c r="F204" s="50">
        <v>4436700</v>
      </c>
      <c r="G204" s="6">
        <f>C204*D204*F204</f>
        <v>1428617400</v>
      </c>
      <c r="I204" s="39"/>
    </row>
    <row r="205" spans="1:9" s="37" customFormat="1">
      <c r="A205" s="42"/>
      <c r="B205" s="35" t="s">
        <v>122</v>
      </c>
      <c r="C205" s="35"/>
      <c r="D205" s="35"/>
      <c r="E205" s="35"/>
      <c r="F205" s="35"/>
      <c r="G205" s="5"/>
      <c r="I205" s="39"/>
    </row>
    <row r="206" spans="1:9" s="37" customFormat="1">
      <c r="A206" s="45"/>
      <c r="B206" s="46" t="s">
        <v>68</v>
      </c>
      <c r="C206" s="48">
        <v>14</v>
      </c>
      <c r="D206" s="48">
        <f>108-2</f>
        <v>106</v>
      </c>
      <c r="E206" s="48" t="s">
        <v>72</v>
      </c>
      <c r="F206" s="50">
        <v>4869200</v>
      </c>
      <c r="G206" s="6">
        <f>C206*D206*F206</f>
        <v>7225892800</v>
      </c>
      <c r="I206" s="39"/>
    </row>
    <row r="207" spans="1:9" s="37" customFormat="1">
      <c r="A207" s="42"/>
      <c r="B207" s="35" t="s">
        <v>111</v>
      </c>
      <c r="C207" s="35"/>
      <c r="D207" s="35"/>
      <c r="E207" s="35"/>
      <c r="F207" s="35"/>
      <c r="G207" s="5"/>
      <c r="I207" s="39"/>
    </row>
    <row r="208" spans="1:9" s="37" customFormat="1">
      <c r="A208" s="45"/>
      <c r="B208" s="46" t="s">
        <v>68</v>
      </c>
      <c r="C208" s="48">
        <v>14</v>
      </c>
      <c r="D208" s="48">
        <f>62+2</f>
        <v>64</v>
      </c>
      <c r="E208" s="48" t="s">
        <v>72</v>
      </c>
      <c r="F208" s="50">
        <v>5022500</v>
      </c>
      <c r="G208" s="6">
        <f>C208*D208*F208</f>
        <v>4500160000</v>
      </c>
      <c r="I208" s="39"/>
    </row>
    <row r="209" spans="1:9" s="37" customFormat="1">
      <c r="A209" s="42"/>
      <c r="B209" s="35" t="s">
        <v>119</v>
      </c>
      <c r="C209" s="35"/>
      <c r="D209" s="35"/>
      <c r="E209" s="35"/>
      <c r="F209" s="35"/>
      <c r="G209" s="5"/>
      <c r="I209" s="39"/>
    </row>
    <row r="210" spans="1:9" s="37" customFormat="1">
      <c r="A210" s="45"/>
      <c r="B210" s="46" t="s">
        <v>68</v>
      </c>
      <c r="C210" s="48">
        <v>14</v>
      </c>
      <c r="D210" s="48">
        <v>5</v>
      </c>
      <c r="E210" s="48" t="s">
        <v>72</v>
      </c>
      <c r="F210" s="50">
        <v>5180700</v>
      </c>
      <c r="G210" s="6">
        <f>C210*D210*F210</f>
        <v>362649000</v>
      </c>
      <c r="I210" s="39"/>
    </row>
    <row r="211" spans="1:9" s="37" customFormat="1" ht="24">
      <c r="A211" s="42"/>
      <c r="B211" s="43" t="s">
        <v>123</v>
      </c>
      <c r="C211" s="43"/>
      <c r="D211" s="43"/>
      <c r="E211" s="43"/>
      <c r="F211" s="43"/>
      <c r="G211" s="7">
        <f>SUM(G213:G235)</f>
        <v>29018325000</v>
      </c>
      <c r="I211" s="39"/>
    </row>
    <row r="212" spans="1:9" s="37" customFormat="1">
      <c r="A212" s="42"/>
      <c r="B212" s="35" t="s">
        <v>124</v>
      </c>
      <c r="C212" s="35"/>
      <c r="D212" s="35"/>
      <c r="E212" s="35"/>
      <c r="F212" s="35"/>
      <c r="G212" s="5"/>
      <c r="I212" s="39"/>
    </row>
    <row r="213" spans="1:9" s="37" customFormat="1">
      <c r="A213" s="45"/>
      <c r="B213" s="46" t="s">
        <v>68</v>
      </c>
      <c r="C213" s="48">
        <v>14</v>
      </c>
      <c r="D213" s="48">
        <f>5+2</f>
        <v>7</v>
      </c>
      <c r="E213" s="48" t="s">
        <v>72</v>
      </c>
      <c r="F213" s="50">
        <v>4624300</v>
      </c>
      <c r="G213" s="6">
        <f>C213*D213*F213</f>
        <v>453181400</v>
      </c>
      <c r="I213" s="39"/>
    </row>
    <row r="214" spans="1:9" s="37" customFormat="1">
      <c r="A214" s="42"/>
      <c r="B214" s="35" t="s">
        <v>125</v>
      </c>
      <c r="C214" s="35"/>
      <c r="D214" s="35"/>
      <c r="E214" s="35"/>
      <c r="F214" s="35"/>
      <c r="G214" s="5"/>
      <c r="I214" s="39"/>
    </row>
    <row r="215" spans="1:9" s="37" customFormat="1">
      <c r="A215" s="45"/>
      <c r="B215" s="46" t="s">
        <v>68</v>
      </c>
      <c r="C215" s="48">
        <v>14</v>
      </c>
      <c r="D215" s="48">
        <f>4+1+100</f>
        <v>105</v>
      </c>
      <c r="E215" s="48" t="s">
        <v>72</v>
      </c>
      <c r="F215" s="50">
        <v>4213500</v>
      </c>
      <c r="G215" s="6">
        <f>C215*D215*F215</f>
        <v>6193845000</v>
      </c>
      <c r="I215" s="39"/>
    </row>
    <row r="216" spans="1:9" s="37" customFormat="1">
      <c r="A216" s="42"/>
      <c r="B216" s="35" t="s">
        <v>100</v>
      </c>
      <c r="C216" s="35"/>
      <c r="D216" s="35"/>
      <c r="E216" s="35"/>
      <c r="F216" s="35"/>
      <c r="G216" s="5"/>
      <c r="I216" s="39"/>
    </row>
    <row r="217" spans="1:9" s="37" customFormat="1">
      <c r="A217" s="45"/>
      <c r="B217" s="46" t="s">
        <v>68</v>
      </c>
      <c r="C217" s="48">
        <v>14</v>
      </c>
      <c r="D217" s="48">
        <v>8</v>
      </c>
      <c r="E217" s="48" t="s">
        <v>72</v>
      </c>
      <c r="F217" s="50">
        <v>4346200</v>
      </c>
      <c r="G217" s="6">
        <f>C217*D217*F217</f>
        <v>486774400</v>
      </c>
      <c r="I217" s="39"/>
    </row>
    <row r="218" spans="1:9" s="37" customFormat="1">
      <c r="A218" s="42"/>
      <c r="B218" s="35" t="s">
        <v>96</v>
      </c>
      <c r="C218" s="35"/>
      <c r="D218" s="35"/>
      <c r="E218" s="35"/>
      <c r="F218" s="35"/>
      <c r="G218" s="5"/>
      <c r="I218" s="39"/>
    </row>
    <row r="219" spans="1:9" s="37" customFormat="1">
      <c r="A219" s="45"/>
      <c r="B219" s="46" t="s">
        <v>68</v>
      </c>
      <c r="C219" s="48">
        <v>14</v>
      </c>
      <c r="D219" s="48">
        <v>13</v>
      </c>
      <c r="E219" s="48" t="s">
        <v>72</v>
      </c>
      <c r="F219" s="50">
        <v>4770000</v>
      </c>
      <c r="G219" s="6">
        <f>C219*D219*F219</f>
        <v>868140000</v>
      </c>
      <c r="I219" s="39"/>
    </row>
    <row r="220" spans="1:9" s="37" customFormat="1">
      <c r="A220" s="42"/>
      <c r="B220" s="35" t="s">
        <v>101</v>
      </c>
      <c r="C220" s="35"/>
      <c r="D220" s="35"/>
      <c r="E220" s="35"/>
      <c r="F220" s="35"/>
      <c r="G220" s="5"/>
      <c r="I220" s="39"/>
    </row>
    <row r="221" spans="1:9" s="37" customFormat="1">
      <c r="A221" s="45"/>
      <c r="B221" s="46" t="s">
        <v>68</v>
      </c>
      <c r="C221" s="48">
        <v>14</v>
      </c>
      <c r="D221" s="48">
        <f>2+1+50</f>
        <v>53</v>
      </c>
      <c r="E221" s="48" t="s">
        <v>72</v>
      </c>
      <c r="F221" s="50">
        <v>3839200</v>
      </c>
      <c r="G221" s="6">
        <f>C221*D221*F221</f>
        <v>2848686400</v>
      </c>
      <c r="I221" s="39"/>
    </row>
    <row r="222" spans="1:9" s="37" customFormat="1">
      <c r="A222" s="42"/>
      <c r="B222" s="35" t="s">
        <v>121</v>
      </c>
      <c r="C222" s="35"/>
      <c r="D222" s="35"/>
      <c r="E222" s="35"/>
      <c r="F222" s="35"/>
      <c r="G222" s="5"/>
      <c r="I222" s="39"/>
    </row>
    <row r="223" spans="1:9" s="37" customFormat="1">
      <c r="A223" s="45"/>
      <c r="B223" s="46" t="s">
        <v>68</v>
      </c>
      <c r="C223" s="48">
        <v>14</v>
      </c>
      <c r="D223" s="48">
        <f>5+50</f>
        <v>55</v>
      </c>
      <c r="E223" s="48" t="s">
        <v>72</v>
      </c>
      <c r="F223" s="50">
        <v>3960200</v>
      </c>
      <c r="G223" s="6">
        <f>C223*D223*F223</f>
        <v>3049354000</v>
      </c>
      <c r="I223" s="39"/>
    </row>
    <row r="224" spans="1:9" s="37" customFormat="1">
      <c r="A224" s="42"/>
      <c r="B224" s="35" t="s">
        <v>93</v>
      </c>
      <c r="C224" s="35"/>
      <c r="D224" s="35"/>
      <c r="E224" s="35"/>
      <c r="F224" s="35"/>
      <c r="G224" s="5"/>
      <c r="I224" s="39"/>
    </row>
    <row r="225" spans="1:9" s="37" customFormat="1">
      <c r="A225" s="45"/>
      <c r="B225" s="46" t="s">
        <v>68</v>
      </c>
      <c r="C225" s="48">
        <v>14</v>
      </c>
      <c r="D225" s="48">
        <f>5+4+100</f>
        <v>109</v>
      </c>
      <c r="E225" s="48" t="s">
        <v>72</v>
      </c>
      <c r="F225" s="50">
        <v>4084900</v>
      </c>
      <c r="G225" s="6">
        <f>C225*D225*F225</f>
        <v>6233557400</v>
      </c>
      <c r="I225" s="39"/>
    </row>
    <row r="226" spans="1:9" s="37" customFormat="1">
      <c r="A226" s="42"/>
      <c r="B226" s="35" t="s">
        <v>112</v>
      </c>
      <c r="C226" s="35"/>
      <c r="D226" s="35"/>
      <c r="E226" s="35"/>
      <c r="F226" s="35"/>
      <c r="G226" s="5"/>
      <c r="I226" s="39"/>
    </row>
    <row r="227" spans="1:9" s="37" customFormat="1">
      <c r="A227" s="45"/>
      <c r="B227" s="46" t="s">
        <v>68</v>
      </c>
      <c r="C227" s="48">
        <v>14</v>
      </c>
      <c r="D227" s="48">
        <f>8+1</f>
        <v>9</v>
      </c>
      <c r="E227" s="48" t="s">
        <v>72</v>
      </c>
      <c r="F227" s="50">
        <v>4483100</v>
      </c>
      <c r="G227" s="6">
        <f>C227*D227*F227</f>
        <v>564870600</v>
      </c>
      <c r="I227" s="39"/>
    </row>
    <row r="228" spans="1:9" s="37" customFormat="1">
      <c r="A228" s="42"/>
      <c r="B228" s="35" t="s">
        <v>104</v>
      </c>
      <c r="C228" s="35"/>
      <c r="D228" s="35"/>
      <c r="E228" s="35"/>
      <c r="F228" s="35"/>
      <c r="G228" s="5"/>
      <c r="I228" s="39"/>
    </row>
    <row r="229" spans="1:9" s="37" customFormat="1">
      <c r="A229" s="45"/>
      <c r="B229" s="46" t="s">
        <v>68</v>
      </c>
      <c r="C229" s="48">
        <v>14</v>
      </c>
      <c r="D229" s="48">
        <f>12+2</f>
        <v>14</v>
      </c>
      <c r="E229" s="48" t="s">
        <v>72</v>
      </c>
      <c r="F229" s="50">
        <v>4920200</v>
      </c>
      <c r="G229" s="6">
        <f>C229*D229*F229</f>
        <v>964359200</v>
      </c>
      <c r="I229" s="39"/>
    </row>
    <row r="230" spans="1:9" s="37" customFormat="1">
      <c r="A230" s="42"/>
      <c r="B230" s="35" t="s">
        <v>110</v>
      </c>
      <c r="C230" s="35"/>
      <c r="D230" s="35"/>
      <c r="E230" s="35"/>
      <c r="F230" s="35"/>
      <c r="G230" s="5"/>
      <c r="I230" s="39"/>
    </row>
    <row r="231" spans="1:9" s="37" customFormat="1">
      <c r="A231" s="45"/>
      <c r="B231" s="46" t="s">
        <v>68</v>
      </c>
      <c r="C231" s="48">
        <v>14</v>
      </c>
      <c r="D231" s="48">
        <f>63+2</f>
        <v>65</v>
      </c>
      <c r="E231" s="48" t="s">
        <v>72</v>
      </c>
      <c r="F231" s="50">
        <v>5075200</v>
      </c>
      <c r="G231" s="6">
        <f>C231*D231*F231</f>
        <v>4618432000</v>
      </c>
      <c r="I231" s="39"/>
    </row>
    <row r="232" spans="1:9" s="37" customFormat="1">
      <c r="A232" s="42"/>
      <c r="B232" s="35" t="s">
        <v>111</v>
      </c>
      <c r="C232" s="35"/>
      <c r="D232" s="35"/>
      <c r="E232" s="35"/>
      <c r="F232" s="35"/>
      <c r="G232" s="5"/>
      <c r="I232" s="39"/>
    </row>
    <row r="233" spans="1:9" s="37" customFormat="1">
      <c r="A233" s="45"/>
      <c r="B233" s="46" t="s">
        <v>68</v>
      </c>
      <c r="C233" s="48">
        <v>14</v>
      </c>
      <c r="D233" s="48">
        <f>25+1</f>
        <v>26</v>
      </c>
      <c r="E233" s="48" t="s">
        <v>72</v>
      </c>
      <c r="F233" s="50">
        <v>5235000</v>
      </c>
      <c r="G233" s="6">
        <f>C233*D233*F233</f>
        <v>1905540000</v>
      </c>
      <c r="I233" s="39"/>
    </row>
    <row r="234" spans="1:9" s="37" customFormat="1">
      <c r="A234" s="42"/>
      <c r="B234" s="35" t="s">
        <v>119</v>
      </c>
      <c r="C234" s="35"/>
      <c r="D234" s="35"/>
      <c r="E234" s="35"/>
      <c r="F234" s="35"/>
      <c r="G234" s="5"/>
      <c r="I234" s="39"/>
    </row>
    <row r="235" spans="1:9" s="37" customFormat="1">
      <c r="A235" s="45"/>
      <c r="B235" s="46" t="s">
        <v>68</v>
      </c>
      <c r="C235" s="48">
        <v>14</v>
      </c>
      <c r="D235" s="48">
        <v>11</v>
      </c>
      <c r="E235" s="48" t="s">
        <v>72</v>
      </c>
      <c r="F235" s="50">
        <v>5399900</v>
      </c>
      <c r="G235" s="6">
        <f>C235*D235*F235</f>
        <v>831584600</v>
      </c>
      <c r="I235" s="39"/>
    </row>
    <row r="236" spans="1:9" s="37" customFormat="1" ht="24">
      <c r="A236" s="42"/>
      <c r="B236" s="43" t="s">
        <v>126</v>
      </c>
      <c r="C236" s="43"/>
      <c r="D236" s="43"/>
      <c r="E236" s="43"/>
      <c r="F236" s="43"/>
      <c r="G236" s="4">
        <f>SUM(G238:G258)</f>
        <v>6210155000</v>
      </c>
      <c r="I236" s="39"/>
    </row>
    <row r="237" spans="1:9" s="37" customFormat="1">
      <c r="A237" s="42"/>
      <c r="B237" s="35" t="s">
        <v>74</v>
      </c>
      <c r="C237" s="35"/>
      <c r="D237" s="35"/>
      <c r="E237" s="35"/>
      <c r="F237" s="35"/>
      <c r="G237" s="5"/>
      <c r="I237" s="39"/>
    </row>
    <row r="238" spans="1:9" s="37" customFormat="1">
      <c r="A238" s="45"/>
      <c r="B238" s="46" t="s">
        <v>68</v>
      </c>
      <c r="C238" s="48">
        <v>14</v>
      </c>
      <c r="D238" s="48">
        <v>13</v>
      </c>
      <c r="E238" s="48" t="s">
        <v>72</v>
      </c>
      <c r="F238" s="50">
        <v>4391800</v>
      </c>
      <c r="G238" s="6">
        <f>C238*D238*F238</f>
        <v>799307600</v>
      </c>
      <c r="I238" s="39"/>
    </row>
    <row r="239" spans="1:9" s="37" customFormat="1">
      <c r="A239" s="42"/>
      <c r="B239" s="35" t="s">
        <v>75</v>
      </c>
      <c r="C239" s="35"/>
      <c r="D239" s="35"/>
      <c r="E239" s="35"/>
      <c r="F239" s="35"/>
      <c r="G239" s="5"/>
      <c r="I239" s="39"/>
    </row>
    <row r="240" spans="1:9" s="37" customFormat="1">
      <c r="A240" s="45"/>
      <c r="B240" s="46" t="s">
        <v>68</v>
      </c>
      <c r="C240" s="48">
        <v>14</v>
      </c>
      <c r="D240" s="48">
        <f>10+1</f>
        <v>11</v>
      </c>
      <c r="E240" s="48" t="s">
        <v>72</v>
      </c>
      <c r="F240" s="50">
        <v>4530100</v>
      </c>
      <c r="G240" s="6">
        <f>C240*D240*F240</f>
        <v>697635400</v>
      </c>
      <c r="I240" s="39"/>
    </row>
    <row r="241" spans="1:9" s="37" customFormat="1">
      <c r="A241" s="42"/>
      <c r="B241" s="35" t="s">
        <v>71</v>
      </c>
      <c r="C241" s="35"/>
      <c r="D241" s="35"/>
      <c r="E241" s="35"/>
      <c r="F241" s="35"/>
      <c r="G241" s="5"/>
      <c r="I241" s="39"/>
    </row>
    <row r="242" spans="1:9" s="37" customFormat="1">
      <c r="A242" s="45"/>
      <c r="B242" s="46" t="s">
        <v>68</v>
      </c>
      <c r="C242" s="48">
        <v>14</v>
      </c>
      <c r="D242" s="48">
        <f>9+1</f>
        <v>10</v>
      </c>
      <c r="E242" s="48" t="s">
        <v>72</v>
      </c>
      <c r="F242" s="50">
        <v>4819900</v>
      </c>
      <c r="G242" s="6">
        <f>C242*D242*F242</f>
        <v>674786000</v>
      </c>
      <c r="I242" s="39"/>
    </row>
    <row r="243" spans="1:9" s="37" customFormat="1">
      <c r="A243" s="42"/>
      <c r="B243" s="35" t="s">
        <v>93</v>
      </c>
      <c r="C243" s="35"/>
      <c r="D243" s="35"/>
      <c r="E243" s="35"/>
      <c r="F243" s="35"/>
      <c r="G243" s="5"/>
      <c r="I243" s="39"/>
    </row>
    <row r="244" spans="1:9" s="37" customFormat="1">
      <c r="A244" s="45"/>
      <c r="B244" s="46" t="s">
        <v>68</v>
      </c>
      <c r="C244" s="48">
        <v>14</v>
      </c>
      <c r="D244" s="48">
        <f>14+2</f>
        <v>16</v>
      </c>
      <c r="E244" s="48" t="s">
        <v>72</v>
      </c>
      <c r="F244" s="50">
        <v>4257700</v>
      </c>
      <c r="G244" s="6">
        <f>C244*D244*F244</f>
        <v>953724800</v>
      </c>
      <c r="I244" s="39"/>
    </row>
    <row r="245" spans="1:9" s="37" customFormat="1">
      <c r="A245" s="42"/>
      <c r="B245" s="35" t="s">
        <v>112</v>
      </c>
      <c r="C245" s="35"/>
      <c r="D245" s="35"/>
      <c r="E245" s="35"/>
      <c r="F245" s="35"/>
      <c r="G245" s="5"/>
      <c r="I245" s="39"/>
    </row>
    <row r="246" spans="1:9" s="37" customFormat="1">
      <c r="A246" s="45"/>
      <c r="B246" s="46" t="s">
        <v>68</v>
      </c>
      <c r="C246" s="48">
        <v>14</v>
      </c>
      <c r="D246" s="48">
        <f>21+1</f>
        <v>22</v>
      </c>
      <c r="E246" s="48" t="s">
        <v>72</v>
      </c>
      <c r="F246" s="50">
        <v>4672800</v>
      </c>
      <c r="G246" s="6">
        <f>C246*D246*F246</f>
        <v>1439222400</v>
      </c>
      <c r="I246" s="39"/>
    </row>
    <row r="247" spans="1:9" s="37" customFormat="1">
      <c r="A247" s="45"/>
      <c r="B247" s="35" t="s">
        <v>110</v>
      </c>
      <c r="C247" s="35"/>
      <c r="D247" s="35"/>
      <c r="E247" s="35"/>
      <c r="F247" s="35"/>
      <c r="G247" s="5"/>
      <c r="I247" s="39"/>
    </row>
    <row r="248" spans="1:9" s="37" customFormat="1">
      <c r="A248" s="45"/>
      <c r="B248" s="46" t="s">
        <v>68</v>
      </c>
      <c r="C248" s="48">
        <v>14</v>
      </c>
      <c r="D248" s="48">
        <v>1</v>
      </c>
      <c r="E248" s="48" t="s">
        <v>72</v>
      </c>
      <c r="F248" s="50">
        <v>5513600</v>
      </c>
      <c r="G248" s="6">
        <f>C248*D248*F248</f>
        <v>77190400</v>
      </c>
      <c r="I248" s="39"/>
    </row>
    <row r="249" spans="1:9" s="37" customFormat="1">
      <c r="A249" s="42"/>
      <c r="B249" s="35" t="s">
        <v>122</v>
      </c>
      <c r="C249" s="35"/>
      <c r="D249" s="35"/>
      <c r="E249" s="35"/>
      <c r="F249" s="35"/>
      <c r="G249" s="5"/>
      <c r="I249" s="39"/>
    </row>
    <row r="250" spans="1:9" s="37" customFormat="1">
      <c r="A250" s="45"/>
      <c r="B250" s="46" t="s">
        <v>68</v>
      </c>
      <c r="C250" s="48">
        <v>14</v>
      </c>
      <c r="D250" s="48">
        <v>3</v>
      </c>
      <c r="E250" s="48" t="s">
        <v>72</v>
      </c>
      <c r="F250" s="50">
        <v>5289800</v>
      </c>
      <c r="G250" s="6">
        <f>C250*D250*F250</f>
        <v>222171600</v>
      </c>
      <c r="I250" s="39"/>
    </row>
    <row r="251" spans="1:9" s="37" customFormat="1">
      <c r="A251" s="42"/>
      <c r="B251" s="35" t="s">
        <v>111</v>
      </c>
      <c r="C251" s="35"/>
      <c r="D251" s="35"/>
      <c r="E251" s="35"/>
      <c r="F251" s="35"/>
      <c r="G251" s="5"/>
      <c r="I251" s="39"/>
    </row>
    <row r="252" spans="1:9" s="37" customFormat="1">
      <c r="A252" s="45"/>
      <c r="B252" s="46" t="s">
        <v>68</v>
      </c>
      <c r="C252" s="48">
        <v>14</v>
      </c>
      <c r="D252" s="48">
        <v>8</v>
      </c>
      <c r="E252" s="48" t="s">
        <v>72</v>
      </c>
      <c r="F252" s="50">
        <v>5456400</v>
      </c>
      <c r="G252" s="6">
        <f>C252*D252*F252</f>
        <v>611116800</v>
      </c>
      <c r="I252" s="39"/>
    </row>
    <row r="253" spans="1:9" s="37" customFormat="1">
      <c r="A253" s="42"/>
      <c r="B253" s="35" t="s">
        <v>119</v>
      </c>
      <c r="C253" s="35"/>
      <c r="D253" s="35"/>
      <c r="E253" s="35"/>
      <c r="F253" s="35"/>
      <c r="G253" s="5"/>
      <c r="I253" s="39"/>
    </row>
    <row r="254" spans="1:9" s="37" customFormat="1">
      <c r="A254" s="45"/>
      <c r="B254" s="46" t="s">
        <v>68</v>
      </c>
      <c r="C254" s="48">
        <v>14</v>
      </c>
      <c r="D254" s="48">
        <v>4</v>
      </c>
      <c r="E254" s="48" t="s">
        <v>72</v>
      </c>
      <c r="F254" s="50">
        <v>5628300</v>
      </c>
      <c r="G254" s="6">
        <f>C254*D254*F254</f>
        <v>315184800</v>
      </c>
      <c r="I254" s="39"/>
    </row>
    <row r="255" spans="1:9" s="37" customFormat="1">
      <c r="A255" s="45"/>
      <c r="B255" s="35" t="s">
        <v>96</v>
      </c>
      <c r="C255" s="35"/>
      <c r="D255" s="35"/>
      <c r="E255" s="35"/>
      <c r="F255" s="35"/>
      <c r="G255" s="5"/>
      <c r="I255" s="39"/>
    </row>
    <row r="256" spans="1:9" s="37" customFormat="1">
      <c r="A256" s="45"/>
      <c r="B256" s="46" t="s">
        <v>64</v>
      </c>
      <c r="C256" s="48">
        <v>14</v>
      </c>
      <c r="D256" s="48">
        <f>4+1</f>
        <v>5</v>
      </c>
      <c r="E256" s="48" t="s">
        <v>72</v>
      </c>
      <c r="F256" s="50">
        <v>4971700</v>
      </c>
      <c r="G256" s="6">
        <f>C256*D256*F256</f>
        <v>348019000</v>
      </c>
      <c r="I256" s="39"/>
    </row>
    <row r="257" spans="1:9" s="37" customFormat="1">
      <c r="A257" s="45"/>
      <c r="B257" s="35" t="s">
        <v>104</v>
      </c>
      <c r="C257" s="35"/>
      <c r="D257" s="35"/>
      <c r="E257" s="35"/>
      <c r="F257" s="35"/>
      <c r="G257" s="5"/>
      <c r="I257" s="39"/>
    </row>
    <row r="258" spans="1:9" s="37" customFormat="1">
      <c r="A258" s="45"/>
      <c r="B258" s="46" t="s">
        <v>64</v>
      </c>
      <c r="C258" s="48">
        <v>14</v>
      </c>
      <c r="D258" s="48">
        <v>1</v>
      </c>
      <c r="E258" s="48" t="s">
        <v>72</v>
      </c>
      <c r="F258" s="50">
        <v>5128300</v>
      </c>
      <c r="G258" s="6">
        <f>C258*D258*F258</f>
        <v>71796200</v>
      </c>
      <c r="I258" s="39"/>
    </row>
    <row r="259" spans="1:9" s="37" customFormat="1" ht="24">
      <c r="A259" s="42"/>
      <c r="B259" s="43" t="s">
        <v>127</v>
      </c>
      <c r="C259" s="43"/>
      <c r="D259" s="43"/>
      <c r="E259" s="43"/>
      <c r="F259" s="43"/>
      <c r="G259" s="4">
        <f>SUM(G261:G273)</f>
        <v>2801824200</v>
      </c>
      <c r="I259" s="39"/>
    </row>
    <row r="260" spans="1:9" s="37" customFormat="1">
      <c r="A260" s="42"/>
      <c r="B260" s="35" t="s">
        <v>115</v>
      </c>
      <c r="C260" s="35"/>
      <c r="D260" s="35"/>
      <c r="E260" s="35"/>
      <c r="F260" s="35"/>
      <c r="G260" s="5"/>
      <c r="I260" s="39"/>
    </row>
    <row r="261" spans="1:9" s="37" customFormat="1">
      <c r="A261" s="45"/>
      <c r="B261" s="46" t="s">
        <v>68</v>
      </c>
      <c r="C261" s="48">
        <v>14</v>
      </c>
      <c r="D261" s="48">
        <v>7</v>
      </c>
      <c r="E261" s="48" t="s">
        <v>72</v>
      </c>
      <c r="F261" s="50">
        <v>4870400</v>
      </c>
      <c r="G261" s="6">
        <f>C261*D261*F261</f>
        <v>477299200</v>
      </c>
      <c r="I261" s="39"/>
    </row>
    <row r="262" spans="1:9" s="37" customFormat="1">
      <c r="A262" s="42"/>
      <c r="B262" s="35" t="s">
        <v>75</v>
      </c>
      <c r="C262" s="35"/>
      <c r="D262" s="35"/>
      <c r="E262" s="35"/>
      <c r="F262" s="35"/>
      <c r="G262" s="5"/>
      <c r="I262" s="39"/>
    </row>
    <row r="263" spans="1:9" s="37" customFormat="1">
      <c r="A263" s="45"/>
      <c r="B263" s="46" t="s">
        <v>68</v>
      </c>
      <c r="C263" s="48">
        <v>14</v>
      </c>
      <c r="D263" s="48">
        <f>5+2</f>
        <v>7</v>
      </c>
      <c r="E263" s="48" t="s">
        <v>72</v>
      </c>
      <c r="F263" s="50">
        <v>4721700</v>
      </c>
      <c r="G263" s="6">
        <f>C263*D263*F263</f>
        <v>462726600</v>
      </c>
      <c r="I263" s="39"/>
    </row>
    <row r="264" spans="1:9" s="37" customFormat="1">
      <c r="A264" s="42"/>
      <c r="B264" s="35" t="s">
        <v>124</v>
      </c>
      <c r="C264" s="35"/>
      <c r="D264" s="35"/>
      <c r="E264" s="35"/>
      <c r="F264" s="35"/>
      <c r="G264" s="5"/>
      <c r="I264" s="39"/>
    </row>
    <row r="265" spans="1:9" s="37" customFormat="1">
      <c r="A265" s="45"/>
      <c r="B265" s="46" t="s">
        <v>68</v>
      </c>
      <c r="C265" s="48">
        <v>14</v>
      </c>
      <c r="D265" s="48">
        <f>4+2</f>
        <v>6</v>
      </c>
      <c r="E265" s="48" t="s">
        <v>72</v>
      </c>
      <c r="F265" s="50">
        <v>5023800</v>
      </c>
      <c r="G265" s="6">
        <f>C265*D265*F265</f>
        <v>421999200</v>
      </c>
      <c r="I265" s="39"/>
    </row>
    <row r="266" spans="1:9" s="37" customFormat="1">
      <c r="A266" s="42"/>
      <c r="B266" s="35" t="s">
        <v>96</v>
      </c>
      <c r="C266" s="35"/>
      <c r="D266" s="35"/>
      <c r="E266" s="35"/>
      <c r="F266" s="35"/>
      <c r="G266" s="5"/>
      <c r="I266" s="39"/>
    </row>
    <row r="267" spans="1:9" s="37" customFormat="1">
      <c r="A267" s="45"/>
      <c r="B267" s="46" t="s">
        <v>68</v>
      </c>
      <c r="C267" s="48">
        <v>14</v>
      </c>
      <c r="D267" s="48">
        <v>8</v>
      </c>
      <c r="E267" s="48" t="s">
        <v>72</v>
      </c>
      <c r="F267" s="50">
        <v>5182000</v>
      </c>
      <c r="G267" s="6">
        <f>C267*D267*F267</f>
        <v>580384000</v>
      </c>
      <c r="I267" s="39"/>
    </row>
    <row r="268" spans="1:9" s="37" customFormat="1">
      <c r="A268" s="45"/>
      <c r="B268" s="35" t="s">
        <v>104</v>
      </c>
      <c r="C268" s="35"/>
      <c r="D268" s="35"/>
      <c r="E268" s="35"/>
      <c r="F268" s="35"/>
      <c r="G268" s="5"/>
      <c r="I268" s="39"/>
    </row>
    <row r="269" spans="1:9" s="37" customFormat="1">
      <c r="A269" s="45"/>
      <c r="B269" s="46" t="s">
        <v>68</v>
      </c>
      <c r="C269" s="48">
        <v>14</v>
      </c>
      <c r="D269" s="48">
        <v>5</v>
      </c>
      <c r="E269" s="48" t="s">
        <v>72</v>
      </c>
      <c r="F269" s="50">
        <v>5345200</v>
      </c>
      <c r="G269" s="6">
        <f>C269*D269*F269</f>
        <v>374164000</v>
      </c>
      <c r="I269" s="39"/>
    </row>
    <row r="270" spans="1:9" s="37" customFormat="1">
      <c r="A270" s="42"/>
      <c r="B270" s="35" t="s">
        <v>111</v>
      </c>
      <c r="C270" s="35"/>
      <c r="D270" s="35"/>
      <c r="E270" s="35"/>
      <c r="F270" s="35"/>
      <c r="G270" s="5"/>
      <c r="I270" s="39"/>
    </row>
    <row r="271" spans="1:9" s="37" customFormat="1">
      <c r="A271" s="45"/>
      <c r="B271" s="46" t="s">
        <v>68</v>
      </c>
      <c r="C271" s="48">
        <v>14</v>
      </c>
      <c r="D271" s="48">
        <v>3</v>
      </c>
      <c r="E271" s="48" t="s">
        <v>72</v>
      </c>
      <c r="F271" s="50">
        <v>5687200</v>
      </c>
      <c r="G271" s="6">
        <f>C271*D271*F271</f>
        <v>238862400</v>
      </c>
      <c r="I271" s="39"/>
    </row>
    <row r="272" spans="1:9" s="37" customFormat="1">
      <c r="A272" s="45"/>
      <c r="B272" s="35" t="s">
        <v>119</v>
      </c>
      <c r="C272" s="48"/>
      <c r="D272" s="48"/>
      <c r="E272" s="48"/>
      <c r="F272" s="50"/>
      <c r="G272" s="6"/>
      <c r="I272" s="39"/>
    </row>
    <row r="273" spans="1:11" s="37" customFormat="1">
      <c r="A273" s="45"/>
      <c r="B273" s="46" t="s">
        <v>68</v>
      </c>
      <c r="C273" s="48">
        <v>14</v>
      </c>
      <c r="D273" s="48">
        <f>1+2</f>
        <v>3</v>
      </c>
      <c r="E273" s="48" t="s">
        <v>72</v>
      </c>
      <c r="F273" s="50">
        <v>5866400</v>
      </c>
      <c r="G273" s="6">
        <f>C273*D273*F273</f>
        <v>246388800</v>
      </c>
      <c r="I273" s="39"/>
    </row>
    <row r="274" spans="1:11" s="37" customFormat="1" ht="24">
      <c r="A274" s="42"/>
      <c r="B274" s="35" t="s">
        <v>128</v>
      </c>
      <c r="C274" s="43"/>
      <c r="D274" s="43"/>
      <c r="E274" s="43"/>
      <c r="F274" s="43"/>
      <c r="G274" s="4">
        <f>SUM(G276:G278)</f>
        <v>158911200</v>
      </c>
      <c r="I274" s="39"/>
    </row>
    <row r="275" spans="1:11" s="37" customFormat="1">
      <c r="A275" s="42"/>
      <c r="B275" s="35" t="s">
        <v>129</v>
      </c>
      <c r="C275" s="35"/>
      <c r="D275" s="35"/>
      <c r="E275" s="35"/>
      <c r="F275" s="35"/>
      <c r="G275" s="5"/>
      <c r="I275" s="39"/>
    </row>
    <row r="276" spans="1:11" s="37" customFormat="1">
      <c r="A276" s="45"/>
      <c r="B276" s="46" t="s">
        <v>68</v>
      </c>
      <c r="C276" s="48">
        <v>14</v>
      </c>
      <c r="D276" s="48">
        <v>1</v>
      </c>
      <c r="E276" s="48" t="s">
        <v>72</v>
      </c>
      <c r="F276" s="50">
        <v>6114500</v>
      </c>
      <c r="G276" s="6">
        <f>C276*D276*F276</f>
        <v>85603000</v>
      </c>
      <c r="I276" s="39"/>
    </row>
    <row r="277" spans="1:11" s="37" customFormat="1">
      <c r="A277" s="42"/>
      <c r="B277" s="35" t="s">
        <v>124</v>
      </c>
      <c r="C277" s="35"/>
      <c r="D277" s="35"/>
      <c r="E277" s="35"/>
      <c r="F277" s="35"/>
      <c r="G277" s="5"/>
      <c r="I277" s="39"/>
    </row>
    <row r="278" spans="1:11" s="37" customFormat="1">
      <c r="A278" s="45"/>
      <c r="B278" s="46" t="s">
        <v>68</v>
      </c>
      <c r="C278" s="48">
        <v>14</v>
      </c>
      <c r="D278" s="48">
        <v>1</v>
      </c>
      <c r="E278" s="48" t="s">
        <v>72</v>
      </c>
      <c r="F278" s="50">
        <v>5236300</v>
      </c>
      <c r="G278" s="6">
        <f>C278*D278*F278</f>
        <v>73308200</v>
      </c>
      <c r="I278" s="39"/>
    </row>
    <row r="279" spans="1:11" s="37" customFormat="1">
      <c r="A279" s="34" t="s">
        <v>130</v>
      </c>
      <c r="B279" s="35" t="s">
        <v>131</v>
      </c>
      <c r="C279" s="35"/>
      <c r="D279" s="35"/>
      <c r="E279" s="35"/>
      <c r="F279" s="35"/>
      <c r="G279" s="7">
        <f>G280</f>
        <v>79040425559</v>
      </c>
      <c r="H279" s="40"/>
      <c r="I279" s="1"/>
      <c r="J279" s="90"/>
      <c r="K279" s="90"/>
    </row>
    <row r="280" spans="1:11" s="37" customFormat="1" ht="24">
      <c r="A280" s="42"/>
      <c r="B280" s="35" t="s">
        <v>132</v>
      </c>
      <c r="C280" s="43"/>
      <c r="D280" s="43"/>
      <c r="E280" s="43"/>
      <c r="F280" s="43"/>
      <c r="G280" s="7">
        <f>SUM(G281:G315)</f>
        <v>79040425559</v>
      </c>
      <c r="I280" s="1"/>
      <c r="K280" s="90"/>
    </row>
    <row r="281" spans="1:11" s="37" customFormat="1">
      <c r="A281" s="42"/>
      <c r="B281" s="35" t="s">
        <v>133</v>
      </c>
      <c r="C281" s="35"/>
      <c r="D281" s="35"/>
      <c r="E281" s="35"/>
      <c r="F281" s="35"/>
      <c r="G281" s="5"/>
      <c r="I281" s="39"/>
    </row>
    <row r="282" spans="1:11" s="37" customFormat="1">
      <c r="A282" s="42"/>
      <c r="B282" s="35" t="s">
        <v>134</v>
      </c>
      <c r="C282" s="35"/>
      <c r="D282" s="35"/>
      <c r="E282" s="35"/>
      <c r="F282" s="35"/>
      <c r="G282" s="5"/>
      <c r="I282" s="39"/>
    </row>
    <row r="283" spans="1:11" s="37" customFormat="1">
      <c r="A283" s="45"/>
      <c r="B283" s="46" t="s">
        <v>131</v>
      </c>
      <c r="C283" s="48">
        <v>14</v>
      </c>
      <c r="D283" s="48">
        <v>17</v>
      </c>
      <c r="E283" s="48" t="s">
        <v>135</v>
      </c>
      <c r="F283" s="50">
        <v>3041700</v>
      </c>
      <c r="G283" s="6">
        <f>C283*D283*F283</f>
        <v>723924600</v>
      </c>
      <c r="I283" s="39"/>
    </row>
    <row r="284" spans="1:11" s="37" customFormat="1">
      <c r="A284" s="45"/>
      <c r="B284" s="35" t="s">
        <v>85</v>
      </c>
      <c r="C284" s="35"/>
      <c r="D284" s="35"/>
      <c r="E284" s="35"/>
      <c r="F284" s="35"/>
      <c r="G284" s="5"/>
      <c r="I284" s="39"/>
    </row>
    <row r="285" spans="1:11" s="37" customFormat="1">
      <c r="A285" s="45"/>
      <c r="B285" s="46" t="s">
        <v>131</v>
      </c>
      <c r="C285" s="48">
        <v>14</v>
      </c>
      <c r="D285" s="48">
        <f>489+11+137</f>
        <v>637</v>
      </c>
      <c r="E285" s="48" t="s">
        <v>135</v>
      </c>
      <c r="F285" s="50">
        <v>2858800</v>
      </c>
      <c r="G285" s="6">
        <f>C285*D285*F285</f>
        <v>25494778400</v>
      </c>
      <c r="I285" s="1"/>
    </row>
    <row r="286" spans="1:11" s="37" customFormat="1">
      <c r="A286" s="45"/>
      <c r="B286" s="35" t="s">
        <v>136</v>
      </c>
      <c r="C286" s="35"/>
      <c r="D286" s="35"/>
      <c r="E286" s="35"/>
      <c r="F286" s="35"/>
      <c r="G286" s="5"/>
      <c r="I286" s="39"/>
    </row>
    <row r="287" spans="1:11" s="37" customFormat="1">
      <c r="A287" s="45"/>
      <c r="B287" s="46" t="s">
        <v>131</v>
      </c>
      <c r="C287" s="48">
        <v>14</v>
      </c>
      <c r="D287" s="48">
        <f>421+18</f>
        <v>439</v>
      </c>
      <c r="E287" s="48" t="s">
        <v>135</v>
      </c>
      <c r="F287" s="50">
        <v>2948800</v>
      </c>
      <c r="G287" s="6">
        <f>C287*D287*F287</f>
        <v>18123324800</v>
      </c>
      <c r="I287" s="39"/>
    </row>
    <row r="288" spans="1:11" s="37" customFormat="1">
      <c r="A288" s="45"/>
      <c r="B288" s="35" t="s">
        <v>137</v>
      </c>
      <c r="C288" s="48"/>
      <c r="D288" s="48"/>
      <c r="E288" s="48"/>
      <c r="F288" s="50"/>
      <c r="G288" s="6"/>
      <c r="I288" s="39"/>
    </row>
    <row r="289" spans="1:9" s="37" customFormat="1">
      <c r="A289" s="42"/>
      <c r="B289" s="35" t="s">
        <v>97</v>
      </c>
      <c r="C289" s="35"/>
      <c r="D289" s="35"/>
      <c r="E289" s="35"/>
      <c r="F289" s="35"/>
      <c r="G289" s="5"/>
      <c r="I289" s="39"/>
    </row>
    <row r="290" spans="1:9" s="37" customFormat="1">
      <c r="A290" s="45"/>
      <c r="B290" s="46" t="s">
        <v>138</v>
      </c>
      <c r="C290" s="48">
        <v>14</v>
      </c>
      <c r="D290" s="48">
        <f>137+12+90</f>
        <v>239</v>
      </c>
      <c r="E290" s="48" t="s">
        <v>72</v>
      </c>
      <c r="F290" s="50">
        <v>3203600</v>
      </c>
      <c r="G290" s="6">
        <f>C290*D290*F290</f>
        <v>10719245600</v>
      </c>
      <c r="I290" s="39"/>
    </row>
    <row r="291" spans="1:9" s="37" customFormat="1">
      <c r="A291" s="45"/>
      <c r="B291" s="35" t="s">
        <v>98</v>
      </c>
      <c r="C291" s="35"/>
      <c r="D291" s="35"/>
      <c r="E291" s="35"/>
      <c r="F291" s="35"/>
      <c r="G291" s="5"/>
      <c r="I291" s="39"/>
    </row>
    <row r="292" spans="1:9" s="37" customFormat="1">
      <c r="A292" s="45"/>
      <c r="B292" s="46" t="s">
        <v>138</v>
      </c>
      <c r="C292" s="48">
        <v>14</v>
      </c>
      <c r="D292" s="48">
        <f>5+100</f>
        <v>105</v>
      </c>
      <c r="E292" s="48" t="s">
        <v>72</v>
      </c>
      <c r="F292" s="50">
        <v>3304400</v>
      </c>
      <c r="G292" s="6">
        <f>C292*D292*F292</f>
        <v>4857468000</v>
      </c>
      <c r="I292" s="39"/>
    </row>
    <row r="293" spans="1:9" s="37" customFormat="1">
      <c r="A293" s="45"/>
      <c r="B293" s="35" t="s">
        <v>86</v>
      </c>
      <c r="C293" s="35"/>
      <c r="D293" s="35"/>
      <c r="E293" s="35"/>
      <c r="F293" s="35"/>
      <c r="G293" s="5"/>
      <c r="I293" s="39"/>
    </row>
    <row r="294" spans="1:9" s="37" customFormat="1">
      <c r="A294" s="45"/>
      <c r="B294" s="46" t="s">
        <v>138</v>
      </c>
      <c r="C294" s="48">
        <v>14</v>
      </c>
      <c r="D294" s="48">
        <f>3+90</f>
        <v>93</v>
      </c>
      <c r="E294" s="48" t="s">
        <v>72</v>
      </c>
      <c r="F294" s="50">
        <v>3203600</v>
      </c>
      <c r="G294" s="6">
        <f>C294*D294*F294</f>
        <v>4171087200</v>
      </c>
      <c r="I294" s="39"/>
    </row>
    <row r="295" spans="1:9" s="37" customFormat="1">
      <c r="A295" s="42"/>
      <c r="B295" s="35" t="s">
        <v>139</v>
      </c>
      <c r="C295" s="35"/>
      <c r="D295" s="35"/>
      <c r="E295" s="35"/>
      <c r="F295" s="35"/>
      <c r="G295" s="5"/>
      <c r="I295" s="39"/>
    </row>
    <row r="296" spans="1:9" s="37" customFormat="1">
      <c r="A296" s="42"/>
      <c r="B296" s="35" t="s">
        <v>86</v>
      </c>
      <c r="C296" s="35"/>
      <c r="D296" s="35"/>
      <c r="E296" s="35"/>
      <c r="F296" s="35"/>
      <c r="G296" s="5"/>
      <c r="I296" s="39"/>
    </row>
    <row r="297" spans="1:9" s="37" customFormat="1">
      <c r="A297" s="45"/>
      <c r="B297" s="46" t="s">
        <v>138</v>
      </c>
      <c r="C297" s="48">
        <v>14</v>
      </c>
      <c r="D297" s="48">
        <f>105+1+5</f>
        <v>111</v>
      </c>
      <c r="E297" s="48" t="s">
        <v>72</v>
      </c>
      <c r="F297" s="50">
        <v>3339100</v>
      </c>
      <c r="G297" s="6">
        <f>C297*D297*F297</f>
        <v>5188961400</v>
      </c>
      <c r="I297" s="39"/>
    </row>
    <row r="298" spans="1:9" s="37" customFormat="1">
      <c r="A298" s="45"/>
      <c r="B298" s="35" t="s">
        <v>98</v>
      </c>
      <c r="C298" s="35"/>
      <c r="D298" s="35"/>
      <c r="E298" s="35"/>
      <c r="F298" s="35"/>
      <c r="G298" s="5"/>
      <c r="I298" s="39"/>
    </row>
    <row r="299" spans="1:9" s="37" customFormat="1">
      <c r="A299" s="45"/>
      <c r="B299" s="46" t="s">
        <v>138</v>
      </c>
      <c r="C299" s="48">
        <v>14</v>
      </c>
      <c r="D299" s="48">
        <v>45</v>
      </c>
      <c r="E299" s="48" t="s">
        <v>72</v>
      </c>
      <c r="F299" s="50">
        <v>3444200</v>
      </c>
      <c r="G299" s="6">
        <f>C299*D299*F299</f>
        <v>2169846000</v>
      </c>
      <c r="I299" s="39"/>
    </row>
    <row r="300" spans="1:9" s="37" customFormat="1">
      <c r="A300" s="45"/>
      <c r="B300" s="35" t="s">
        <v>136</v>
      </c>
      <c r="C300" s="35"/>
      <c r="D300" s="35"/>
      <c r="E300" s="35"/>
      <c r="F300" s="35"/>
      <c r="G300" s="5"/>
      <c r="I300" s="39"/>
    </row>
    <row r="301" spans="1:9" s="37" customFormat="1">
      <c r="A301" s="45"/>
      <c r="B301" s="46" t="s">
        <v>138</v>
      </c>
      <c r="C301" s="48">
        <v>14</v>
      </c>
      <c r="D301" s="48">
        <f>1+18</f>
        <v>19</v>
      </c>
      <c r="E301" s="48" t="s">
        <v>72</v>
      </c>
      <c r="F301" s="50">
        <v>3552700</v>
      </c>
      <c r="G301" s="6">
        <f>C301*D301*F301</f>
        <v>945018200</v>
      </c>
      <c r="I301" s="39"/>
    </row>
    <row r="302" spans="1:9" s="37" customFormat="1">
      <c r="A302" s="45"/>
      <c r="B302" s="35" t="s">
        <v>140</v>
      </c>
      <c r="C302" s="35"/>
      <c r="D302" s="35"/>
      <c r="E302" s="35"/>
      <c r="F302" s="35"/>
      <c r="G302" s="5"/>
      <c r="I302" s="39"/>
    </row>
    <row r="303" spans="1:9" s="37" customFormat="1">
      <c r="A303" s="45"/>
      <c r="B303" s="35" t="s">
        <v>86</v>
      </c>
      <c r="C303" s="35"/>
      <c r="D303" s="35"/>
      <c r="E303" s="35"/>
      <c r="F303" s="35"/>
      <c r="G303" s="5"/>
      <c r="I303" s="39"/>
    </row>
    <row r="304" spans="1:9" s="37" customFormat="1">
      <c r="A304" s="45"/>
      <c r="B304" s="46" t="s">
        <v>138</v>
      </c>
      <c r="C304" s="48">
        <v>14</v>
      </c>
      <c r="D304" s="48">
        <f>65+1</f>
        <v>66</v>
      </c>
      <c r="E304" s="48" t="s">
        <v>72</v>
      </c>
      <c r="F304" s="50">
        <v>2511500</v>
      </c>
      <c r="G304" s="6">
        <f>C304*D304*F304</f>
        <v>2320626000</v>
      </c>
      <c r="I304" s="39"/>
    </row>
    <row r="305" spans="1:11" s="37" customFormat="1">
      <c r="A305" s="45"/>
      <c r="B305" s="35" t="s">
        <v>141</v>
      </c>
      <c r="C305" s="35"/>
      <c r="D305" s="35"/>
      <c r="E305" s="35"/>
      <c r="F305" s="35"/>
      <c r="G305" s="5"/>
      <c r="I305" s="39"/>
    </row>
    <row r="306" spans="1:11" s="37" customFormat="1">
      <c r="A306" s="45"/>
      <c r="B306" s="35" t="s">
        <v>86</v>
      </c>
      <c r="C306" s="35"/>
      <c r="D306" s="35"/>
      <c r="E306" s="35"/>
      <c r="F306" s="35"/>
      <c r="G306" s="5"/>
      <c r="I306" s="39"/>
    </row>
    <row r="307" spans="1:11" s="37" customFormat="1">
      <c r="A307" s="45"/>
      <c r="B307" s="46" t="s">
        <v>138</v>
      </c>
      <c r="C307" s="48">
        <v>14</v>
      </c>
      <c r="D307" s="48">
        <f>1+100</f>
        <v>101</v>
      </c>
      <c r="E307" s="48" t="s">
        <v>72</v>
      </c>
      <c r="F307" s="50">
        <v>2206500</v>
      </c>
      <c r="G307" s="6">
        <f>C307*D307*F307</f>
        <v>3119991000</v>
      </c>
      <c r="I307" s="39"/>
    </row>
    <row r="308" spans="1:11" s="37" customFormat="1">
      <c r="A308" s="45"/>
      <c r="B308" s="35" t="s">
        <v>142</v>
      </c>
      <c r="C308" s="35"/>
      <c r="D308" s="35"/>
      <c r="E308" s="35"/>
      <c r="F308" s="35"/>
      <c r="G308" s="5"/>
      <c r="I308" s="39"/>
    </row>
    <row r="309" spans="1:11" s="37" customFormat="1">
      <c r="A309" s="45"/>
      <c r="B309" s="35" t="s">
        <v>86</v>
      </c>
      <c r="C309" s="35"/>
      <c r="D309" s="35"/>
      <c r="E309" s="35"/>
      <c r="F309" s="35"/>
      <c r="G309" s="5"/>
      <c r="I309" s="39"/>
    </row>
    <row r="310" spans="1:11" s="37" customFormat="1">
      <c r="A310" s="45"/>
      <c r="B310" s="46" t="s">
        <v>138</v>
      </c>
      <c r="C310" s="48">
        <v>14</v>
      </c>
      <c r="D310" s="48">
        <v>11</v>
      </c>
      <c r="E310" s="48" t="s">
        <v>72</v>
      </c>
      <c r="F310" s="50">
        <v>1938500</v>
      </c>
      <c r="G310" s="6">
        <f>C310*D310*F310</f>
        <v>298529000</v>
      </c>
      <c r="I310" s="39"/>
    </row>
    <row r="311" spans="1:11" s="37" customFormat="1">
      <c r="A311" s="45"/>
      <c r="B311" s="35" t="s">
        <v>143</v>
      </c>
      <c r="C311" s="35"/>
      <c r="D311" s="35"/>
      <c r="E311" s="35"/>
      <c r="F311" s="35"/>
      <c r="G311" s="5"/>
      <c r="I311" s="39"/>
    </row>
    <row r="312" spans="1:11" s="37" customFormat="1">
      <c r="A312" s="45"/>
      <c r="B312" s="35" t="s">
        <v>86</v>
      </c>
      <c r="C312" s="35"/>
      <c r="D312" s="35"/>
      <c r="E312" s="35"/>
      <c r="F312" s="35"/>
      <c r="G312" s="5"/>
      <c r="I312" s="39"/>
    </row>
    <row r="313" spans="1:11" s="37" customFormat="1">
      <c r="A313" s="45"/>
      <c r="B313" s="46" t="s">
        <v>138</v>
      </c>
      <c r="C313" s="48">
        <v>14</v>
      </c>
      <c r="D313" s="48">
        <v>11</v>
      </c>
      <c r="E313" s="48" t="s">
        <v>72</v>
      </c>
      <c r="F313" s="50">
        <v>3480300</v>
      </c>
      <c r="G313" s="6">
        <f>C313*D313*F313</f>
        <v>535966200</v>
      </c>
      <c r="I313" s="39"/>
    </row>
    <row r="314" spans="1:11" s="37" customFormat="1">
      <c r="A314" s="45"/>
      <c r="B314" s="35" t="s">
        <v>144</v>
      </c>
      <c r="C314" s="35"/>
      <c r="D314" s="35"/>
      <c r="E314" s="35"/>
      <c r="F314" s="35"/>
      <c r="G314" s="5"/>
      <c r="I314" s="39"/>
    </row>
    <row r="315" spans="1:11" s="37" customFormat="1">
      <c r="A315" s="45"/>
      <c r="B315" s="46" t="s">
        <v>131</v>
      </c>
      <c r="C315" s="47">
        <v>1</v>
      </c>
      <c r="D315" s="47"/>
      <c r="E315" s="48" t="s">
        <v>69</v>
      </c>
      <c r="F315" s="50">
        <f>87899518+104216756+157994406+20382520+1165959</f>
        <v>371659159</v>
      </c>
      <c r="G315" s="6">
        <f>C315*F315</f>
        <v>371659159</v>
      </c>
      <c r="I315" s="39"/>
    </row>
    <row r="316" spans="1:11" s="37" customFormat="1">
      <c r="A316" s="34" t="s">
        <v>145</v>
      </c>
      <c r="B316" s="35" t="s">
        <v>146</v>
      </c>
      <c r="C316" s="35"/>
      <c r="D316" s="35"/>
      <c r="E316" s="35"/>
      <c r="F316" s="35"/>
      <c r="G316" s="4">
        <f>G317+G345</f>
        <v>19021578433</v>
      </c>
      <c r="I316" s="36"/>
    </row>
    <row r="317" spans="1:11" s="37" customFormat="1">
      <c r="A317" s="34" t="s">
        <v>147</v>
      </c>
      <c r="B317" s="35" t="s">
        <v>148</v>
      </c>
      <c r="C317" s="35"/>
      <c r="D317" s="35"/>
      <c r="E317" s="35"/>
      <c r="F317" s="35"/>
      <c r="G317" s="4">
        <f>G318</f>
        <v>12903898602</v>
      </c>
      <c r="H317" s="40"/>
      <c r="I317" s="1"/>
      <c r="J317" s="90"/>
      <c r="K317" s="90"/>
    </row>
    <row r="318" spans="1:11" s="37" customFormat="1" ht="24">
      <c r="A318" s="42"/>
      <c r="B318" s="43" t="s">
        <v>149</v>
      </c>
      <c r="C318" s="43"/>
      <c r="D318" s="43"/>
      <c r="E318" s="43"/>
      <c r="F318" s="43"/>
      <c r="G318" s="4">
        <f>SUM(G319:G344)</f>
        <v>12903898602</v>
      </c>
      <c r="I318" s="1"/>
    </row>
    <row r="319" spans="1:11" s="37" customFormat="1">
      <c r="A319" s="42"/>
      <c r="B319" s="35" t="s">
        <v>150</v>
      </c>
      <c r="C319" s="35"/>
      <c r="D319" s="35"/>
      <c r="E319" s="35"/>
      <c r="F319" s="35"/>
      <c r="G319" s="5"/>
      <c r="H319" s="90"/>
      <c r="I319" s="39"/>
    </row>
    <row r="320" spans="1:11" s="37" customFormat="1">
      <c r="A320" s="45"/>
      <c r="B320" s="46" t="s">
        <v>151</v>
      </c>
      <c r="C320" s="47">
        <v>14</v>
      </c>
      <c r="D320" s="47">
        <f>3</f>
        <v>3</v>
      </c>
      <c r="E320" s="48" t="s">
        <v>152</v>
      </c>
      <c r="F320" s="50">
        <f>145605</f>
        <v>145605</v>
      </c>
      <c r="G320" s="6">
        <f>C320*D320*F320</f>
        <v>6115410</v>
      </c>
      <c r="I320" s="41"/>
    </row>
    <row r="321" spans="1:9" s="37" customFormat="1">
      <c r="A321" s="42"/>
      <c r="B321" s="35" t="s">
        <v>153</v>
      </c>
      <c r="C321" s="35"/>
      <c r="D321" s="35"/>
      <c r="E321" s="35"/>
      <c r="F321" s="35"/>
      <c r="G321" s="5"/>
      <c r="I321" s="39"/>
    </row>
    <row r="322" spans="1:9" s="37" customFormat="1">
      <c r="A322" s="45"/>
      <c r="B322" s="46" t="s">
        <v>151</v>
      </c>
      <c r="C322" s="47">
        <v>14</v>
      </c>
      <c r="D322" s="47">
        <f>6+1+100</f>
        <v>107</v>
      </c>
      <c r="E322" s="48" t="s">
        <v>154</v>
      </c>
      <c r="F322" s="50">
        <f>138283</f>
        <v>138283</v>
      </c>
      <c r="G322" s="6">
        <f>C322*D322*F322</f>
        <v>207147934</v>
      </c>
      <c r="I322" s="39"/>
    </row>
    <row r="323" spans="1:9" s="37" customFormat="1">
      <c r="A323" s="42"/>
      <c r="B323" s="35" t="s">
        <v>155</v>
      </c>
      <c r="C323" s="35"/>
      <c r="D323" s="35"/>
      <c r="E323" s="35"/>
      <c r="F323" s="35"/>
      <c r="G323" s="5"/>
      <c r="I323" s="39"/>
    </row>
    <row r="324" spans="1:9" s="37" customFormat="1">
      <c r="A324" s="45"/>
      <c r="B324" s="46" t="s">
        <v>151</v>
      </c>
      <c r="C324" s="47">
        <v>14</v>
      </c>
      <c r="D324" s="47">
        <f>212+34+57+300+100</f>
        <v>703</v>
      </c>
      <c r="E324" s="48" t="s">
        <v>154</v>
      </c>
      <c r="F324" s="50">
        <f>106432+110010</f>
        <v>216442</v>
      </c>
      <c r="G324" s="6">
        <f>C324*D324*F324</f>
        <v>2130222164</v>
      </c>
      <c r="I324" s="39"/>
    </row>
    <row r="325" spans="1:9" s="37" customFormat="1">
      <c r="A325" s="42"/>
      <c r="B325" s="35" t="s">
        <v>156</v>
      </c>
      <c r="C325" s="35"/>
      <c r="D325" s="35"/>
      <c r="E325" s="35"/>
      <c r="F325" s="35"/>
      <c r="G325" s="5"/>
      <c r="I325" s="39"/>
    </row>
    <row r="326" spans="1:9" s="37" customFormat="1">
      <c r="A326" s="45"/>
      <c r="B326" s="46" t="s">
        <v>151</v>
      </c>
      <c r="C326" s="47">
        <v>14</v>
      </c>
      <c r="D326" s="47">
        <f>386+33+300</f>
        <v>719</v>
      </c>
      <c r="E326" s="48" t="s">
        <v>154</v>
      </c>
      <c r="F326" s="50">
        <f>119149</f>
        <v>119149</v>
      </c>
      <c r="G326" s="6">
        <f>C326*D326*F326</f>
        <v>1199353834</v>
      </c>
      <c r="I326" s="39"/>
    </row>
    <row r="327" spans="1:9" s="37" customFormat="1">
      <c r="A327" s="42"/>
      <c r="B327" s="35" t="s">
        <v>157</v>
      </c>
      <c r="C327" s="35"/>
      <c r="D327" s="35"/>
      <c r="E327" s="35"/>
      <c r="F327" s="35"/>
      <c r="G327" s="5"/>
      <c r="I327" s="39"/>
    </row>
    <row r="328" spans="1:9" s="37" customFormat="1">
      <c r="A328" s="45"/>
      <c r="B328" s="46" t="s">
        <v>151</v>
      </c>
      <c r="C328" s="47">
        <v>14</v>
      </c>
      <c r="D328" s="47">
        <f>250+16+433</f>
        <v>699</v>
      </c>
      <c r="E328" s="48" t="s">
        <v>154</v>
      </c>
      <c r="F328" s="50">
        <f>160423+122869</f>
        <v>283292</v>
      </c>
      <c r="G328" s="6">
        <f>C328*D328*F328</f>
        <v>2772295512</v>
      </c>
      <c r="I328" s="39"/>
    </row>
    <row r="329" spans="1:9" s="37" customFormat="1">
      <c r="A329" s="42"/>
      <c r="B329" s="35" t="s">
        <v>158</v>
      </c>
      <c r="C329" s="35"/>
      <c r="D329" s="35"/>
      <c r="E329" s="35"/>
      <c r="F329" s="35"/>
      <c r="G329" s="5"/>
      <c r="I329" s="39"/>
    </row>
    <row r="330" spans="1:9" s="37" customFormat="1">
      <c r="A330" s="45"/>
      <c r="B330" s="46" t="s">
        <v>151</v>
      </c>
      <c r="C330" s="47">
        <v>14</v>
      </c>
      <c r="D330" s="47">
        <f>450+72+27+30</f>
        <v>579</v>
      </c>
      <c r="E330" s="48" t="s">
        <v>154</v>
      </c>
      <c r="F330" s="50">
        <v>142828</v>
      </c>
      <c r="G330" s="6">
        <f>C330*D330*F330</f>
        <v>1157763768</v>
      </c>
      <c r="I330" s="39"/>
    </row>
    <row r="331" spans="1:9" s="37" customFormat="1">
      <c r="A331" s="42"/>
      <c r="B331" s="35" t="s">
        <v>159</v>
      </c>
      <c r="C331" s="35"/>
      <c r="D331" s="35"/>
      <c r="E331" s="35"/>
      <c r="F331" s="35"/>
      <c r="G331" s="5"/>
      <c r="I331" s="39"/>
    </row>
    <row r="332" spans="1:9" s="37" customFormat="1">
      <c r="A332" s="45"/>
      <c r="B332" s="46" t="s">
        <v>151</v>
      </c>
      <c r="C332" s="47">
        <v>14</v>
      </c>
      <c r="D332" s="47">
        <f>472+30</f>
        <v>502</v>
      </c>
      <c r="E332" s="48" t="s">
        <v>154</v>
      </c>
      <c r="F332" s="50">
        <v>153139</v>
      </c>
      <c r="G332" s="6">
        <f>C332*D332*F332</f>
        <v>1076260892</v>
      </c>
      <c r="I332" s="39"/>
    </row>
    <row r="333" spans="1:9" s="37" customFormat="1">
      <c r="A333" s="42"/>
      <c r="B333" s="35" t="s">
        <v>160</v>
      </c>
      <c r="C333" s="35"/>
      <c r="D333" s="35"/>
      <c r="E333" s="35"/>
      <c r="F333" s="35"/>
      <c r="G333" s="5"/>
      <c r="I333" s="39"/>
    </row>
    <row r="334" spans="1:9" s="37" customFormat="1">
      <c r="A334" s="45"/>
      <c r="B334" s="46" t="s">
        <v>151</v>
      </c>
      <c r="C334" s="47">
        <v>14</v>
      </c>
      <c r="D334" s="47">
        <f>976+35</f>
        <v>1011</v>
      </c>
      <c r="E334" s="48" t="s">
        <v>154</v>
      </c>
      <c r="F334" s="50">
        <v>181277</v>
      </c>
      <c r="G334" s="6">
        <f>C334*D334*F334</f>
        <v>2565794658</v>
      </c>
      <c r="I334" s="39"/>
    </row>
    <row r="335" spans="1:9" s="37" customFormat="1">
      <c r="A335" s="42"/>
      <c r="B335" s="35" t="s">
        <v>161</v>
      </c>
      <c r="C335" s="35"/>
      <c r="D335" s="35"/>
      <c r="E335" s="35"/>
      <c r="F335" s="35"/>
      <c r="G335" s="5"/>
      <c r="I335" s="39"/>
    </row>
    <row r="336" spans="1:9" s="37" customFormat="1">
      <c r="A336" s="45"/>
      <c r="B336" s="46" t="s">
        <v>151</v>
      </c>
      <c r="C336" s="47">
        <v>14</v>
      </c>
      <c r="D336" s="47">
        <f>322+14</f>
        <v>336</v>
      </c>
      <c r="E336" s="48" t="s">
        <v>154</v>
      </c>
      <c r="F336" s="50">
        <v>154720</v>
      </c>
      <c r="G336" s="6">
        <f>C336*D336*F336</f>
        <v>727802880</v>
      </c>
      <c r="I336" s="39"/>
    </row>
    <row r="337" spans="1:11" s="37" customFormat="1">
      <c r="A337" s="42"/>
      <c r="B337" s="35" t="s">
        <v>162</v>
      </c>
      <c r="C337" s="35"/>
      <c r="D337" s="35"/>
      <c r="E337" s="35"/>
      <c r="F337" s="35"/>
      <c r="G337" s="5"/>
      <c r="I337" s="39"/>
    </row>
    <row r="338" spans="1:11" s="37" customFormat="1">
      <c r="A338" s="45"/>
      <c r="B338" s="46" t="s">
        <v>151</v>
      </c>
      <c r="C338" s="47">
        <v>14</v>
      </c>
      <c r="D338" s="47">
        <f>174+7</f>
        <v>181</v>
      </c>
      <c r="E338" s="48" t="s">
        <v>154</v>
      </c>
      <c r="F338" s="50">
        <v>239042</v>
      </c>
      <c r="G338" s="6">
        <f>C338*D338*F338</f>
        <v>605732428</v>
      </c>
      <c r="I338" s="39"/>
    </row>
    <row r="339" spans="1:11" s="37" customFormat="1">
      <c r="A339" s="42"/>
      <c r="B339" s="35" t="s">
        <v>163</v>
      </c>
      <c r="C339" s="35"/>
      <c r="D339" s="35"/>
      <c r="E339" s="35"/>
      <c r="F339" s="35"/>
      <c r="G339" s="5"/>
      <c r="I339" s="39"/>
    </row>
    <row r="340" spans="1:11" s="37" customFormat="1">
      <c r="A340" s="45"/>
      <c r="B340" s="46" t="s">
        <v>151</v>
      </c>
      <c r="C340" s="47">
        <v>14</v>
      </c>
      <c r="D340" s="47">
        <f>66+6</f>
        <v>72</v>
      </c>
      <c r="E340" s="48" t="s">
        <v>154</v>
      </c>
      <c r="F340" s="9">
        <v>224805</v>
      </c>
      <c r="G340" s="6">
        <f>C340*D340*F340</f>
        <v>226603440</v>
      </c>
      <c r="I340" s="39"/>
    </row>
    <row r="341" spans="1:11" s="37" customFormat="1">
      <c r="A341" s="45"/>
      <c r="B341" s="35" t="s">
        <v>164</v>
      </c>
      <c r="C341" s="35"/>
      <c r="D341" s="35"/>
      <c r="E341" s="35"/>
      <c r="F341" s="35"/>
      <c r="G341" s="5"/>
      <c r="I341" s="39"/>
    </row>
    <row r="342" spans="1:11" s="37" customFormat="1">
      <c r="A342" s="45"/>
      <c r="B342" s="46" t="s">
        <v>151</v>
      </c>
      <c r="C342" s="47">
        <v>14</v>
      </c>
      <c r="D342" s="47">
        <v>2</v>
      </c>
      <c r="E342" s="48" t="s">
        <v>154</v>
      </c>
      <c r="F342" s="50">
        <f>122869</f>
        <v>122869</v>
      </c>
      <c r="G342" s="6">
        <f>C342*D342*F342</f>
        <v>3440332</v>
      </c>
      <c r="I342" s="39"/>
    </row>
    <row r="343" spans="1:11" s="37" customFormat="1">
      <c r="A343" s="42"/>
      <c r="B343" s="35" t="s">
        <v>144</v>
      </c>
      <c r="C343" s="35"/>
      <c r="D343" s="35"/>
      <c r="E343" s="35"/>
      <c r="F343" s="35"/>
      <c r="G343" s="5"/>
      <c r="I343" s="39"/>
    </row>
    <row r="344" spans="1:11" s="37" customFormat="1">
      <c r="A344" s="45"/>
      <c r="B344" s="46" t="s">
        <v>151</v>
      </c>
      <c r="C344" s="47">
        <v>1</v>
      </c>
      <c r="D344" s="47"/>
      <c r="E344" s="48" t="s">
        <v>69</v>
      </c>
      <c r="F344" s="50">
        <f>87899518+5086492+131220006+1159334</f>
        <v>225365350</v>
      </c>
      <c r="G344" s="6">
        <f>C344*F344</f>
        <v>225365350</v>
      </c>
      <c r="I344" s="39"/>
    </row>
    <row r="345" spans="1:11" s="37" customFormat="1">
      <c r="A345" s="34" t="s">
        <v>165</v>
      </c>
      <c r="B345" s="35" t="s">
        <v>166</v>
      </c>
      <c r="C345" s="35"/>
      <c r="D345" s="35"/>
      <c r="E345" s="35"/>
      <c r="F345" s="35"/>
      <c r="G345" s="4">
        <f>G346</f>
        <v>6117679831</v>
      </c>
      <c r="H345" s="40"/>
      <c r="I345" s="1"/>
      <c r="J345" s="90"/>
      <c r="K345" s="90"/>
    </row>
    <row r="346" spans="1:11" s="37" customFormat="1">
      <c r="A346" s="51"/>
      <c r="B346" s="35" t="s">
        <v>167</v>
      </c>
      <c r="C346" s="51"/>
      <c r="D346" s="51"/>
      <c r="E346" s="51"/>
      <c r="F346" s="51"/>
      <c r="G346" s="10">
        <f>SUM(G347:G361)</f>
        <v>6117679831</v>
      </c>
      <c r="I346" s="1"/>
    </row>
    <row r="347" spans="1:11" s="37" customFormat="1">
      <c r="A347" s="42"/>
      <c r="B347" s="54" t="s">
        <v>168</v>
      </c>
      <c r="C347" s="47">
        <v>1</v>
      </c>
      <c r="D347" s="47"/>
      <c r="E347" s="48" t="s">
        <v>69</v>
      </c>
      <c r="F347" s="11">
        <f>48874672+64117+28480200+114036283-978986+1408915</f>
        <v>191885201</v>
      </c>
      <c r="G347" s="12">
        <f>C347*F347</f>
        <v>191885201</v>
      </c>
      <c r="I347" s="39"/>
    </row>
    <row r="348" spans="1:11" s="37" customFormat="1">
      <c r="A348" s="42"/>
      <c r="B348" s="35" t="s">
        <v>169</v>
      </c>
      <c r="C348" s="35"/>
      <c r="D348" s="35"/>
      <c r="E348" s="35"/>
      <c r="F348" s="35"/>
      <c r="G348" s="5"/>
      <c r="I348" s="39"/>
    </row>
    <row r="349" spans="1:11" s="37" customFormat="1">
      <c r="A349" s="42"/>
      <c r="B349" s="46" t="s">
        <v>170</v>
      </c>
      <c r="C349" s="47">
        <v>14</v>
      </c>
      <c r="D349" s="47">
        <f>11+400</f>
        <v>411</v>
      </c>
      <c r="E349" s="48" t="s">
        <v>154</v>
      </c>
      <c r="F349" s="50">
        <f>136870+72554</f>
        <v>209424</v>
      </c>
      <c r="G349" s="6">
        <f>C349*D349*F349</f>
        <v>1205025696</v>
      </c>
      <c r="I349" s="39"/>
    </row>
    <row r="350" spans="1:11" s="37" customFormat="1">
      <c r="A350" s="42"/>
      <c r="B350" s="35" t="s">
        <v>171</v>
      </c>
      <c r="C350" s="35"/>
      <c r="D350" s="35"/>
      <c r="E350" s="35"/>
      <c r="F350" s="35"/>
      <c r="G350" s="5"/>
      <c r="I350" s="39"/>
    </row>
    <row r="351" spans="1:11" s="37" customFormat="1">
      <c r="A351" s="45"/>
      <c r="B351" s="46" t="s">
        <v>170</v>
      </c>
      <c r="C351" s="47">
        <v>14</v>
      </c>
      <c r="D351" s="47">
        <f>302+2+49</f>
        <v>353</v>
      </c>
      <c r="E351" s="48" t="s">
        <v>154</v>
      </c>
      <c r="F351" s="50">
        <f>136870+72554</f>
        <v>209424</v>
      </c>
      <c r="G351" s="6">
        <f>C351*D351*F351</f>
        <v>1034973408</v>
      </c>
      <c r="I351" s="39"/>
    </row>
    <row r="352" spans="1:11" s="37" customFormat="1">
      <c r="A352" s="42"/>
      <c r="B352" s="35" t="s">
        <v>172</v>
      </c>
      <c r="C352" s="35"/>
      <c r="D352" s="35"/>
      <c r="E352" s="35"/>
      <c r="F352" s="35"/>
      <c r="G352" s="5"/>
      <c r="I352" s="39"/>
    </row>
    <row r="353" spans="1:11" s="37" customFormat="1">
      <c r="A353" s="45"/>
      <c r="B353" s="46" t="s">
        <v>170</v>
      </c>
      <c r="C353" s="47">
        <v>14</v>
      </c>
      <c r="D353" s="47">
        <f>284+24+6</f>
        <v>314</v>
      </c>
      <c r="E353" s="48" t="s">
        <v>154</v>
      </c>
      <c r="F353" s="50">
        <f>100931+7255</f>
        <v>108186</v>
      </c>
      <c r="G353" s="6">
        <f>C353*D353*F353</f>
        <v>475585656</v>
      </c>
      <c r="I353" s="39"/>
    </row>
    <row r="354" spans="1:11" s="37" customFormat="1">
      <c r="A354" s="42"/>
      <c r="B354" s="35" t="s">
        <v>173</v>
      </c>
      <c r="C354" s="35"/>
      <c r="D354" s="35"/>
      <c r="E354" s="35"/>
      <c r="F354" s="35"/>
      <c r="G354" s="5"/>
      <c r="I354" s="39"/>
    </row>
    <row r="355" spans="1:11" s="37" customFormat="1">
      <c r="A355" s="45"/>
      <c r="B355" s="46" t="s">
        <v>170</v>
      </c>
      <c r="C355" s="47">
        <v>14</v>
      </c>
      <c r="D355" s="47">
        <f>1055+30+120</f>
        <v>1205</v>
      </c>
      <c r="E355" s="48" t="s">
        <v>154</v>
      </c>
      <c r="F355" s="50">
        <f>114334+5115</f>
        <v>119449</v>
      </c>
      <c r="G355" s="6">
        <f>C355*D355*F355</f>
        <v>2015104630</v>
      </c>
      <c r="I355" s="39"/>
    </row>
    <row r="356" spans="1:11" s="37" customFormat="1">
      <c r="A356" s="45"/>
      <c r="B356" s="35" t="s">
        <v>174</v>
      </c>
      <c r="C356" s="35"/>
      <c r="D356" s="35"/>
      <c r="E356" s="35"/>
      <c r="F356" s="35"/>
      <c r="G356" s="5"/>
      <c r="I356" s="39"/>
    </row>
    <row r="357" spans="1:11" s="37" customFormat="1">
      <c r="A357" s="45"/>
      <c r="B357" s="46" t="s">
        <v>170</v>
      </c>
      <c r="C357" s="47">
        <v>14</v>
      </c>
      <c r="D357" s="47">
        <f>130+1+700</f>
        <v>831</v>
      </c>
      <c r="E357" s="48" t="s">
        <v>154</v>
      </c>
      <c r="F357" s="50">
        <f>100460</f>
        <v>100460</v>
      </c>
      <c r="G357" s="6">
        <f>C357*D357*F357</f>
        <v>1168751640</v>
      </c>
      <c r="I357" s="39"/>
    </row>
    <row r="358" spans="1:11" s="37" customFormat="1">
      <c r="A358" s="45"/>
      <c r="B358" s="35" t="s">
        <v>175</v>
      </c>
      <c r="C358" s="35"/>
      <c r="D358" s="35"/>
      <c r="E358" s="35"/>
      <c r="F358" s="35"/>
      <c r="G358" s="5"/>
      <c r="I358" s="39"/>
    </row>
    <row r="359" spans="1:11" s="37" customFormat="1">
      <c r="A359" s="45"/>
      <c r="B359" s="46" t="s">
        <v>170</v>
      </c>
      <c r="C359" s="47">
        <v>14</v>
      </c>
      <c r="D359" s="47">
        <v>2</v>
      </c>
      <c r="E359" s="48" t="s">
        <v>154</v>
      </c>
      <c r="F359" s="50">
        <v>88260</v>
      </c>
      <c r="G359" s="6">
        <f>C359*D359*F359</f>
        <v>2471280</v>
      </c>
      <c r="I359" s="39"/>
    </row>
    <row r="360" spans="1:11" s="37" customFormat="1">
      <c r="A360" s="45"/>
      <c r="B360" s="35" t="s">
        <v>176</v>
      </c>
      <c r="C360" s="35"/>
      <c r="D360" s="35"/>
      <c r="E360" s="35"/>
      <c r="F360" s="35"/>
      <c r="G360" s="5"/>
      <c r="I360" s="39"/>
    </row>
    <row r="361" spans="1:11" s="37" customFormat="1">
      <c r="A361" s="45"/>
      <c r="B361" s="46" t="s">
        <v>170</v>
      </c>
      <c r="C361" s="47">
        <v>14</v>
      </c>
      <c r="D361" s="47">
        <v>22</v>
      </c>
      <c r="E361" s="48" t="s">
        <v>154</v>
      </c>
      <c r="F361" s="50">
        <v>77540</v>
      </c>
      <c r="G361" s="6">
        <f>C361*D361*F361</f>
        <v>23882320</v>
      </c>
      <c r="I361" s="39"/>
    </row>
    <row r="362" spans="1:11" s="37" customFormat="1">
      <c r="A362" s="34" t="s">
        <v>177</v>
      </c>
      <c r="B362" s="35" t="s">
        <v>178</v>
      </c>
      <c r="C362" s="35"/>
      <c r="D362" s="35"/>
      <c r="E362" s="35"/>
      <c r="F362" s="35"/>
      <c r="G362" s="4">
        <f>G363</f>
        <v>816760000</v>
      </c>
      <c r="H362" s="40"/>
      <c r="I362" s="1"/>
      <c r="J362" s="90"/>
      <c r="K362" s="90"/>
    </row>
    <row r="363" spans="1:11" s="37" customFormat="1">
      <c r="A363" s="34" t="s">
        <v>179</v>
      </c>
      <c r="B363" s="35" t="s">
        <v>180</v>
      </c>
      <c r="C363" s="35"/>
      <c r="D363" s="35"/>
      <c r="E363" s="35"/>
      <c r="F363" s="35"/>
      <c r="G363" s="4">
        <f>G364</f>
        <v>816760000</v>
      </c>
      <c r="I363" s="1"/>
    </row>
    <row r="364" spans="1:11" s="37" customFormat="1" ht="24">
      <c r="A364" s="42"/>
      <c r="B364" s="43" t="s">
        <v>181</v>
      </c>
      <c r="C364" s="43"/>
      <c r="D364" s="43"/>
      <c r="E364" s="43"/>
      <c r="F364" s="43"/>
      <c r="G364" s="4">
        <f>SUM(G366:G374)</f>
        <v>816760000</v>
      </c>
      <c r="I364" s="1"/>
    </row>
    <row r="365" spans="1:11" s="37" customFormat="1">
      <c r="A365" s="42"/>
      <c r="B365" s="35" t="s">
        <v>182</v>
      </c>
      <c r="C365" s="35"/>
      <c r="D365" s="35"/>
      <c r="E365" s="35"/>
      <c r="F365" s="35"/>
      <c r="G365" s="5"/>
      <c r="I365" s="39"/>
    </row>
    <row r="366" spans="1:11" s="37" customFormat="1">
      <c r="A366" s="45"/>
      <c r="B366" s="46" t="s">
        <v>183</v>
      </c>
      <c r="C366" s="48">
        <v>14</v>
      </c>
      <c r="D366" s="48">
        <f>1+1</f>
        <v>2</v>
      </c>
      <c r="E366" s="48" t="s">
        <v>72</v>
      </c>
      <c r="F366" s="50">
        <v>2025000</v>
      </c>
      <c r="G366" s="6">
        <f>C366*D366*F366</f>
        <v>56700000</v>
      </c>
      <c r="I366" s="39"/>
    </row>
    <row r="367" spans="1:11" s="37" customFormat="1">
      <c r="A367" s="42"/>
      <c r="B367" s="35" t="s">
        <v>184</v>
      </c>
      <c r="C367" s="35"/>
      <c r="D367" s="35"/>
      <c r="E367" s="35"/>
      <c r="F367" s="35"/>
      <c r="G367" s="5"/>
      <c r="I367" s="39"/>
    </row>
    <row r="368" spans="1:11" s="37" customFormat="1">
      <c r="A368" s="45"/>
      <c r="B368" s="46" t="s">
        <v>183</v>
      </c>
      <c r="C368" s="48">
        <v>14</v>
      </c>
      <c r="D368" s="48">
        <f>1+2+4+6</f>
        <v>13</v>
      </c>
      <c r="E368" s="48" t="s">
        <v>72</v>
      </c>
      <c r="F368" s="50">
        <v>1260000</v>
      </c>
      <c r="G368" s="6">
        <f>C368*D368*F368</f>
        <v>229320000</v>
      </c>
      <c r="I368" s="39"/>
    </row>
    <row r="369" spans="1:11" s="37" customFormat="1">
      <c r="A369" s="42"/>
      <c r="B369" s="35" t="s">
        <v>185</v>
      </c>
      <c r="C369" s="35"/>
      <c r="D369" s="35"/>
      <c r="E369" s="35"/>
      <c r="F369" s="35"/>
      <c r="G369" s="5"/>
      <c r="I369" s="39"/>
    </row>
    <row r="370" spans="1:11" s="37" customFormat="1">
      <c r="A370" s="45"/>
      <c r="B370" s="46" t="s">
        <v>183</v>
      </c>
      <c r="C370" s="48">
        <v>14</v>
      </c>
      <c r="D370" s="48">
        <f>4+4+8</f>
        <v>16</v>
      </c>
      <c r="E370" s="48" t="s">
        <v>72</v>
      </c>
      <c r="F370" s="50">
        <v>980000</v>
      </c>
      <c r="G370" s="6">
        <f>C370*D370*F370</f>
        <v>219520000</v>
      </c>
      <c r="I370" s="39"/>
    </row>
    <row r="371" spans="1:11" s="37" customFormat="1">
      <c r="A371" s="42"/>
      <c r="B371" s="35" t="s">
        <v>186</v>
      </c>
      <c r="C371" s="35"/>
      <c r="D371" s="35"/>
      <c r="E371" s="35"/>
      <c r="F371" s="35"/>
      <c r="G371" s="5"/>
      <c r="I371" s="39"/>
    </row>
    <row r="372" spans="1:11" s="37" customFormat="1">
      <c r="A372" s="45"/>
      <c r="B372" s="46" t="s">
        <v>183</v>
      </c>
      <c r="C372" s="48">
        <v>14</v>
      </c>
      <c r="D372" s="48">
        <f>12+8+13</f>
        <v>33</v>
      </c>
      <c r="E372" s="48" t="s">
        <v>72</v>
      </c>
      <c r="F372" s="50">
        <v>540000</v>
      </c>
      <c r="G372" s="6">
        <f>C372*D372*F372</f>
        <v>249480000</v>
      </c>
      <c r="I372" s="39"/>
    </row>
    <row r="373" spans="1:11" s="37" customFormat="1">
      <c r="A373" s="42"/>
      <c r="B373" s="35" t="s">
        <v>187</v>
      </c>
      <c r="C373" s="35"/>
      <c r="D373" s="35"/>
      <c r="E373" s="35"/>
      <c r="F373" s="35"/>
      <c r="G373" s="5"/>
      <c r="I373" s="39"/>
    </row>
    <row r="374" spans="1:11" s="37" customFormat="1">
      <c r="A374" s="45"/>
      <c r="B374" s="46" t="s">
        <v>183</v>
      </c>
      <c r="C374" s="48">
        <v>14</v>
      </c>
      <c r="D374" s="48">
        <f>1+8</f>
        <v>9</v>
      </c>
      <c r="E374" s="48" t="s">
        <v>72</v>
      </c>
      <c r="F374" s="50">
        <v>490000</v>
      </c>
      <c r="G374" s="6">
        <f>C374*D374*F374</f>
        <v>61740000</v>
      </c>
      <c r="I374" s="39"/>
    </row>
    <row r="375" spans="1:11" s="37" customFormat="1">
      <c r="A375" s="34" t="s">
        <v>188</v>
      </c>
      <c r="B375" s="35" t="s">
        <v>189</v>
      </c>
      <c r="C375" s="35"/>
      <c r="D375" s="35"/>
      <c r="E375" s="35"/>
      <c r="F375" s="35"/>
      <c r="G375" s="7">
        <f>G376+G567</f>
        <v>26490679118</v>
      </c>
      <c r="I375" s="36"/>
    </row>
    <row r="376" spans="1:11" s="37" customFormat="1">
      <c r="A376" s="34" t="s">
        <v>190</v>
      </c>
      <c r="B376" s="35" t="s">
        <v>191</v>
      </c>
      <c r="C376" s="35"/>
      <c r="D376" s="35"/>
      <c r="E376" s="35"/>
      <c r="F376" s="35"/>
      <c r="G376" s="7">
        <f>G377+G380+G528+G415</f>
        <v>18934925559</v>
      </c>
      <c r="H376" s="40"/>
      <c r="I376" s="1"/>
      <c r="J376" s="90"/>
      <c r="K376" s="90"/>
    </row>
    <row r="377" spans="1:11" s="37" customFormat="1" ht="24">
      <c r="A377" s="42"/>
      <c r="B377" s="43" t="s">
        <v>192</v>
      </c>
      <c r="C377" s="43"/>
      <c r="D377" s="43"/>
      <c r="E377" s="43"/>
      <c r="F377" s="43"/>
      <c r="G377" s="4">
        <f>G379</f>
        <v>475687559</v>
      </c>
      <c r="I377" s="1"/>
    </row>
    <row r="378" spans="1:11" s="37" customFormat="1">
      <c r="A378" s="42"/>
      <c r="B378" s="35" t="s">
        <v>144</v>
      </c>
      <c r="C378" s="35"/>
      <c r="D378" s="35"/>
      <c r="E378" s="35"/>
      <c r="F378" s="35"/>
      <c r="G378" s="5"/>
      <c r="I378" s="39"/>
    </row>
    <row r="379" spans="1:11" s="37" customFormat="1">
      <c r="A379" s="45"/>
      <c r="B379" s="46" t="s">
        <v>191</v>
      </c>
      <c r="C379" s="47">
        <v>1</v>
      </c>
      <c r="D379" s="47"/>
      <c r="E379" s="48" t="s">
        <v>193</v>
      </c>
      <c r="F379" s="50">
        <f>113120000+1274840+95236160+244600000+22500000+1593000-2636441</f>
        <v>475687559</v>
      </c>
      <c r="G379" s="6">
        <f>C379*F379</f>
        <v>475687559</v>
      </c>
      <c r="I379" s="39"/>
    </row>
    <row r="380" spans="1:11" s="37" customFormat="1" ht="24">
      <c r="A380" s="42"/>
      <c r="B380" s="43" t="s">
        <v>194</v>
      </c>
      <c r="C380" s="43"/>
      <c r="D380" s="43"/>
      <c r="E380" s="43"/>
      <c r="F380" s="43"/>
      <c r="G380" s="4">
        <f>SUM(G381:G414)</f>
        <v>9525320000</v>
      </c>
      <c r="I380" s="39"/>
    </row>
    <row r="381" spans="1:11" s="37" customFormat="1">
      <c r="A381" s="45"/>
      <c r="B381" s="35" t="s">
        <v>195</v>
      </c>
      <c r="C381" s="35"/>
      <c r="D381" s="35"/>
      <c r="E381" s="35"/>
      <c r="F381" s="35"/>
      <c r="G381" s="5"/>
      <c r="I381" s="39"/>
    </row>
    <row r="382" spans="1:11" s="37" customFormat="1">
      <c r="A382" s="45"/>
      <c r="B382" s="46" t="s">
        <v>191</v>
      </c>
      <c r="C382" s="48">
        <v>14</v>
      </c>
      <c r="D382" s="48">
        <f>1+5</f>
        <v>6</v>
      </c>
      <c r="E382" s="48" t="s">
        <v>72</v>
      </c>
      <c r="F382" s="50">
        <v>1260000</v>
      </c>
      <c r="G382" s="6">
        <f>C382*D382*F382</f>
        <v>105840000</v>
      </c>
      <c r="I382" s="39"/>
    </row>
    <row r="383" spans="1:11" s="37" customFormat="1">
      <c r="A383" s="45"/>
      <c r="B383" s="35" t="s">
        <v>196</v>
      </c>
      <c r="C383" s="35"/>
      <c r="D383" s="35"/>
      <c r="E383" s="35"/>
      <c r="F383" s="35"/>
      <c r="G383" s="5"/>
      <c r="I383" s="39"/>
    </row>
    <row r="384" spans="1:11" s="37" customFormat="1">
      <c r="A384" s="45"/>
      <c r="B384" s="46" t="s">
        <v>197</v>
      </c>
      <c r="C384" s="48">
        <v>14</v>
      </c>
      <c r="D384" s="48">
        <f>1+5</f>
        <v>6</v>
      </c>
      <c r="E384" s="48" t="s">
        <v>72</v>
      </c>
      <c r="F384" s="50">
        <v>1260000</v>
      </c>
      <c r="G384" s="6">
        <f>C384*D384*F384</f>
        <v>105840000</v>
      </c>
      <c r="I384" s="39"/>
    </row>
    <row r="385" spans="1:9" s="37" customFormat="1">
      <c r="A385" s="45"/>
      <c r="B385" s="35" t="s">
        <v>198</v>
      </c>
      <c r="C385" s="35"/>
      <c r="D385" s="35"/>
      <c r="E385" s="35"/>
      <c r="F385" s="35"/>
      <c r="G385" s="5"/>
      <c r="I385" s="39"/>
    </row>
    <row r="386" spans="1:9" s="37" customFormat="1">
      <c r="A386" s="45"/>
      <c r="B386" s="46" t="s">
        <v>197</v>
      </c>
      <c r="C386" s="48">
        <v>14</v>
      </c>
      <c r="D386" s="48">
        <f>1+15</f>
        <v>16</v>
      </c>
      <c r="E386" s="48" t="s">
        <v>72</v>
      </c>
      <c r="F386" s="50">
        <v>1260000</v>
      </c>
      <c r="G386" s="6">
        <f>C386*D386*F386</f>
        <v>282240000</v>
      </c>
      <c r="I386" s="39"/>
    </row>
    <row r="387" spans="1:9" s="37" customFormat="1">
      <c r="A387" s="42"/>
      <c r="B387" s="35" t="s">
        <v>199</v>
      </c>
      <c r="C387" s="35"/>
      <c r="D387" s="35"/>
      <c r="E387" s="35"/>
      <c r="F387" s="35"/>
      <c r="G387" s="5"/>
      <c r="I387" s="39"/>
    </row>
    <row r="388" spans="1:9" s="37" customFormat="1">
      <c r="A388" s="45"/>
      <c r="B388" s="46" t="s">
        <v>197</v>
      </c>
      <c r="C388" s="48">
        <v>14</v>
      </c>
      <c r="D388" s="48">
        <f>2+15</f>
        <v>17</v>
      </c>
      <c r="E388" s="48" t="s">
        <v>72</v>
      </c>
      <c r="F388" s="50">
        <v>1400000</v>
      </c>
      <c r="G388" s="6">
        <f>C388*D388*F388</f>
        <v>333200000</v>
      </c>
      <c r="I388" s="39"/>
    </row>
    <row r="389" spans="1:9" s="37" customFormat="1">
      <c r="A389" s="45"/>
      <c r="B389" s="35" t="s">
        <v>200</v>
      </c>
      <c r="C389" s="35"/>
      <c r="D389" s="35"/>
      <c r="E389" s="35"/>
      <c r="F389" s="35"/>
      <c r="G389" s="5"/>
      <c r="I389" s="39"/>
    </row>
    <row r="390" spans="1:9" s="37" customFormat="1">
      <c r="A390" s="45"/>
      <c r="B390" s="46" t="s">
        <v>197</v>
      </c>
      <c r="C390" s="48">
        <v>14</v>
      </c>
      <c r="D390" s="48">
        <f>2+10+177</f>
        <v>189</v>
      </c>
      <c r="E390" s="48" t="s">
        <v>72</v>
      </c>
      <c r="F390" s="50">
        <v>1200000</v>
      </c>
      <c r="G390" s="6">
        <f>C390*D390*F390</f>
        <v>3175200000</v>
      </c>
      <c r="I390" s="39"/>
    </row>
    <row r="391" spans="1:9" s="37" customFormat="1">
      <c r="A391" s="42"/>
      <c r="B391" s="35" t="s">
        <v>201</v>
      </c>
      <c r="C391" s="35"/>
      <c r="D391" s="35"/>
      <c r="E391" s="35"/>
      <c r="F391" s="35"/>
      <c r="G391" s="5"/>
      <c r="I391" s="39"/>
    </row>
    <row r="392" spans="1:9" s="37" customFormat="1">
      <c r="A392" s="45"/>
      <c r="B392" s="46" t="s">
        <v>197</v>
      </c>
      <c r="C392" s="48">
        <v>14</v>
      </c>
      <c r="D392" s="48">
        <f>7+3</f>
        <v>10</v>
      </c>
      <c r="E392" s="48" t="s">
        <v>72</v>
      </c>
      <c r="F392" s="50">
        <v>1200000</v>
      </c>
      <c r="G392" s="6">
        <f>C392*D392*F392</f>
        <v>168000000</v>
      </c>
      <c r="I392" s="39"/>
    </row>
    <row r="393" spans="1:9" s="37" customFormat="1">
      <c r="A393" s="42"/>
      <c r="B393" s="35" t="s">
        <v>202</v>
      </c>
      <c r="C393" s="35"/>
      <c r="D393" s="35"/>
      <c r="E393" s="35"/>
      <c r="F393" s="35"/>
      <c r="G393" s="5"/>
      <c r="I393" s="39"/>
    </row>
    <row r="394" spans="1:9" s="37" customFormat="1">
      <c r="A394" s="45"/>
      <c r="B394" s="46" t="s">
        <v>191</v>
      </c>
      <c r="C394" s="48">
        <v>14</v>
      </c>
      <c r="D394" s="48">
        <f>125+100</f>
        <v>225</v>
      </c>
      <c r="E394" s="48" t="s">
        <v>72</v>
      </c>
      <c r="F394" s="50">
        <v>1200000</v>
      </c>
      <c r="G394" s="6">
        <f>C394*D394*F394</f>
        <v>3780000000</v>
      </c>
      <c r="I394" s="39"/>
    </row>
    <row r="395" spans="1:9" s="37" customFormat="1">
      <c r="A395" s="42"/>
      <c r="B395" s="35" t="s">
        <v>203</v>
      </c>
      <c r="C395" s="35"/>
      <c r="D395" s="35"/>
      <c r="E395" s="35"/>
      <c r="F395" s="35"/>
      <c r="G395" s="5"/>
      <c r="I395" s="39"/>
    </row>
    <row r="396" spans="1:9" s="37" customFormat="1">
      <c r="A396" s="45"/>
      <c r="B396" s="46" t="s">
        <v>197</v>
      </c>
      <c r="C396" s="48">
        <v>14</v>
      </c>
      <c r="D396" s="48">
        <f>5+1</f>
        <v>6</v>
      </c>
      <c r="E396" s="48" t="s">
        <v>72</v>
      </c>
      <c r="F396" s="50">
        <v>850000</v>
      </c>
      <c r="G396" s="6">
        <f>C396*D396*F396</f>
        <v>71400000</v>
      </c>
      <c r="I396" s="39"/>
    </row>
    <row r="397" spans="1:9" s="37" customFormat="1">
      <c r="A397" s="42"/>
      <c r="B397" s="35" t="s">
        <v>204</v>
      </c>
      <c r="C397" s="35"/>
      <c r="D397" s="35"/>
      <c r="E397" s="35"/>
      <c r="F397" s="35"/>
      <c r="G397" s="5"/>
      <c r="I397" s="39"/>
    </row>
    <row r="398" spans="1:9" s="37" customFormat="1">
      <c r="A398" s="45"/>
      <c r="B398" s="46" t="s">
        <v>197</v>
      </c>
      <c r="C398" s="48">
        <v>14</v>
      </c>
      <c r="D398" s="48">
        <f>11+1</f>
        <v>12</v>
      </c>
      <c r="E398" s="48" t="s">
        <v>72</v>
      </c>
      <c r="F398" s="50">
        <v>850000</v>
      </c>
      <c r="G398" s="6">
        <f>C398*D398*F398</f>
        <v>142800000</v>
      </c>
      <c r="I398" s="39"/>
    </row>
    <row r="399" spans="1:9" s="37" customFormat="1">
      <c r="A399" s="42"/>
      <c r="B399" s="35" t="s">
        <v>205</v>
      </c>
      <c r="C399" s="35"/>
      <c r="D399" s="35"/>
      <c r="E399" s="35"/>
      <c r="F399" s="35"/>
      <c r="G399" s="5"/>
      <c r="I399" s="39"/>
    </row>
    <row r="400" spans="1:9" s="37" customFormat="1">
      <c r="A400" s="45"/>
      <c r="B400" s="46" t="s">
        <v>197</v>
      </c>
      <c r="C400" s="48">
        <v>14</v>
      </c>
      <c r="D400" s="48">
        <v>1</v>
      </c>
      <c r="E400" s="48" t="s">
        <v>72</v>
      </c>
      <c r="F400" s="50">
        <v>850000</v>
      </c>
      <c r="G400" s="6">
        <f>C400*D400*F400</f>
        <v>11900000</v>
      </c>
      <c r="I400" s="39"/>
    </row>
    <row r="401" spans="1:9" s="37" customFormat="1">
      <c r="A401" s="42"/>
      <c r="B401" s="35" t="s">
        <v>206</v>
      </c>
      <c r="C401" s="35"/>
      <c r="D401" s="35"/>
      <c r="E401" s="35"/>
      <c r="F401" s="35"/>
      <c r="G401" s="5"/>
      <c r="I401" s="39"/>
    </row>
    <row r="402" spans="1:9" s="37" customFormat="1">
      <c r="A402" s="45"/>
      <c r="B402" s="46" t="s">
        <v>197</v>
      </c>
      <c r="C402" s="48">
        <v>14</v>
      </c>
      <c r="D402" s="48">
        <v>105</v>
      </c>
      <c r="E402" s="48" t="s">
        <v>72</v>
      </c>
      <c r="F402" s="50">
        <v>850000</v>
      </c>
      <c r="G402" s="6">
        <f>C402*D402*F402</f>
        <v>1249500000</v>
      </c>
      <c r="I402" s="39"/>
    </row>
    <row r="403" spans="1:9" s="37" customFormat="1">
      <c r="A403" s="45"/>
      <c r="B403" s="35" t="s">
        <v>207</v>
      </c>
      <c r="C403" s="35"/>
      <c r="D403" s="35"/>
      <c r="E403" s="35"/>
      <c r="F403" s="35"/>
      <c r="G403" s="5"/>
      <c r="I403" s="39"/>
    </row>
    <row r="404" spans="1:9" s="37" customFormat="1">
      <c r="A404" s="45"/>
      <c r="B404" s="46" t="s">
        <v>197</v>
      </c>
      <c r="C404" s="48">
        <v>14</v>
      </c>
      <c r="D404" s="48">
        <f>1+1</f>
        <v>2</v>
      </c>
      <c r="E404" s="48" t="s">
        <v>72</v>
      </c>
      <c r="F404" s="50">
        <v>850000</v>
      </c>
      <c r="G404" s="6">
        <f>C404*D404*F404</f>
        <v>23800000</v>
      </c>
      <c r="I404" s="39"/>
    </row>
    <row r="405" spans="1:9" s="37" customFormat="1">
      <c r="A405" s="45"/>
      <c r="B405" s="35" t="s">
        <v>208</v>
      </c>
      <c r="C405" s="35"/>
      <c r="D405" s="35"/>
      <c r="E405" s="35"/>
      <c r="F405" s="35"/>
      <c r="G405" s="5"/>
      <c r="I405" s="39"/>
    </row>
    <row r="406" spans="1:9" s="37" customFormat="1">
      <c r="A406" s="45"/>
      <c r="B406" s="46" t="s">
        <v>197</v>
      </c>
      <c r="C406" s="48">
        <v>14</v>
      </c>
      <c r="D406" s="48">
        <v>1</v>
      </c>
      <c r="E406" s="48" t="s">
        <v>72</v>
      </c>
      <c r="F406" s="50">
        <v>850000</v>
      </c>
      <c r="G406" s="6">
        <f>C406*D406*F406</f>
        <v>11900000</v>
      </c>
      <c r="I406" s="39"/>
    </row>
    <row r="407" spans="1:9" s="37" customFormat="1">
      <c r="A407" s="45"/>
      <c r="B407" s="35" t="s">
        <v>209</v>
      </c>
      <c r="C407" s="35"/>
      <c r="D407" s="35"/>
      <c r="E407" s="35"/>
      <c r="F407" s="35"/>
      <c r="G407" s="5"/>
      <c r="I407" s="39"/>
    </row>
    <row r="408" spans="1:9" s="37" customFormat="1">
      <c r="A408" s="45"/>
      <c r="B408" s="46" t="s">
        <v>197</v>
      </c>
      <c r="C408" s="48">
        <v>14</v>
      </c>
      <c r="D408" s="48">
        <v>1</v>
      </c>
      <c r="E408" s="48" t="s">
        <v>72</v>
      </c>
      <c r="F408" s="50">
        <v>850000</v>
      </c>
      <c r="G408" s="6">
        <f>C408*D408*F408</f>
        <v>11900000</v>
      </c>
      <c r="I408" s="39"/>
    </row>
    <row r="409" spans="1:9" s="37" customFormat="1">
      <c r="A409" s="45"/>
      <c r="B409" s="35" t="s">
        <v>210</v>
      </c>
      <c r="C409" s="35"/>
      <c r="D409" s="35"/>
      <c r="E409" s="35"/>
      <c r="F409" s="35"/>
      <c r="G409" s="5"/>
      <c r="I409" s="39"/>
    </row>
    <row r="410" spans="1:9" s="37" customFormat="1">
      <c r="A410" s="45"/>
      <c r="B410" s="46" t="s">
        <v>197</v>
      </c>
      <c r="C410" s="48">
        <v>14</v>
      </c>
      <c r="D410" s="48">
        <v>1</v>
      </c>
      <c r="E410" s="48" t="s">
        <v>72</v>
      </c>
      <c r="F410" s="50">
        <v>850000</v>
      </c>
      <c r="G410" s="6">
        <f>C410*D410*F410</f>
        <v>11900000</v>
      </c>
      <c r="I410" s="39"/>
    </row>
    <row r="411" spans="1:9" s="37" customFormat="1">
      <c r="A411" s="45"/>
      <c r="B411" s="35" t="s">
        <v>211</v>
      </c>
      <c r="C411" s="35"/>
      <c r="D411" s="35"/>
      <c r="E411" s="35"/>
      <c r="F411" s="35"/>
      <c r="G411" s="5"/>
      <c r="I411" s="39"/>
    </row>
    <row r="412" spans="1:9" s="37" customFormat="1">
      <c r="A412" s="45"/>
      <c r="B412" s="46" t="s">
        <v>197</v>
      </c>
      <c r="C412" s="48">
        <v>14</v>
      </c>
      <c r="D412" s="48">
        <v>3</v>
      </c>
      <c r="E412" s="48" t="s">
        <v>72</v>
      </c>
      <c r="F412" s="50">
        <v>750000</v>
      </c>
      <c r="G412" s="6">
        <f>C412*D412*F412</f>
        <v>31500000</v>
      </c>
      <c r="I412" s="39"/>
    </row>
    <row r="413" spans="1:9" s="37" customFormat="1">
      <c r="A413" s="42"/>
      <c r="B413" s="35" t="s">
        <v>212</v>
      </c>
      <c r="C413" s="35"/>
      <c r="D413" s="35"/>
      <c r="E413" s="35"/>
      <c r="F413" s="35"/>
      <c r="G413" s="5"/>
      <c r="I413" s="39"/>
    </row>
    <row r="414" spans="1:9" s="37" customFormat="1">
      <c r="A414" s="45"/>
      <c r="B414" s="46" t="s">
        <v>197</v>
      </c>
      <c r="C414" s="48">
        <v>14</v>
      </c>
      <c r="D414" s="48">
        <v>1</v>
      </c>
      <c r="E414" s="48" t="s">
        <v>72</v>
      </c>
      <c r="F414" s="50">
        <v>600000</v>
      </c>
      <c r="G414" s="6">
        <f>C414*D414*F414</f>
        <v>8400000</v>
      </c>
      <c r="I414" s="39"/>
    </row>
    <row r="415" spans="1:9" s="37" customFormat="1" ht="24">
      <c r="A415" s="42"/>
      <c r="B415" s="43" t="s">
        <v>213</v>
      </c>
      <c r="C415" s="43"/>
      <c r="D415" s="43"/>
      <c r="E415" s="43"/>
      <c r="F415" s="43"/>
      <c r="G415" s="4">
        <f>SUM(G417:G527)</f>
        <v>7694498000</v>
      </c>
      <c r="I415" s="39"/>
    </row>
    <row r="416" spans="1:9" s="37" customFormat="1">
      <c r="A416" s="42"/>
      <c r="B416" s="35" t="s">
        <v>201</v>
      </c>
      <c r="C416" s="35"/>
      <c r="D416" s="35"/>
      <c r="E416" s="35"/>
      <c r="F416" s="35"/>
      <c r="G416" s="6"/>
      <c r="I416" s="39"/>
    </row>
    <row r="417" spans="1:9" s="37" customFormat="1">
      <c r="A417" s="45"/>
      <c r="B417" s="46" t="s">
        <v>197</v>
      </c>
      <c r="C417" s="48">
        <v>14</v>
      </c>
      <c r="D417" s="48">
        <v>1</v>
      </c>
      <c r="E417" s="48" t="s">
        <v>72</v>
      </c>
      <c r="F417" s="50">
        <v>1200000</v>
      </c>
      <c r="G417" s="6">
        <f>C417*D417*F417</f>
        <v>16800000</v>
      </c>
      <c r="I417" s="39"/>
    </row>
    <row r="418" spans="1:9" s="37" customFormat="1">
      <c r="A418" s="45"/>
      <c r="B418" s="35" t="s">
        <v>214</v>
      </c>
      <c r="C418" s="35"/>
      <c r="D418" s="35"/>
      <c r="E418" s="35"/>
      <c r="F418" s="35"/>
      <c r="G418" s="6"/>
      <c r="I418" s="39"/>
    </row>
    <row r="419" spans="1:9" s="37" customFormat="1">
      <c r="A419" s="45"/>
      <c r="B419" s="46" t="s">
        <v>197</v>
      </c>
      <c r="C419" s="48">
        <v>14</v>
      </c>
      <c r="D419" s="48">
        <f>1+8</f>
        <v>9</v>
      </c>
      <c r="E419" s="48" t="s">
        <v>72</v>
      </c>
      <c r="F419" s="50">
        <v>1150000</v>
      </c>
      <c r="G419" s="6">
        <f>C419*D419*F419</f>
        <v>144900000</v>
      </c>
      <c r="I419" s="39"/>
    </row>
    <row r="420" spans="1:9" s="37" customFormat="1">
      <c r="A420" s="45"/>
      <c r="B420" s="35" t="s">
        <v>215</v>
      </c>
      <c r="C420" s="48"/>
      <c r="D420" s="48"/>
      <c r="E420" s="48"/>
      <c r="F420" s="50"/>
      <c r="G420" s="6"/>
      <c r="I420" s="39"/>
    </row>
    <row r="421" spans="1:9" s="37" customFormat="1">
      <c r="A421" s="45"/>
      <c r="B421" s="46" t="s">
        <v>197</v>
      </c>
      <c r="C421" s="48">
        <v>14</v>
      </c>
      <c r="D421" s="48">
        <v>4</v>
      </c>
      <c r="E421" s="48" t="s">
        <v>72</v>
      </c>
      <c r="F421" s="50">
        <v>960000</v>
      </c>
      <c r="G421" s="6">
        <f>C421*D421*F421</f>
        <v>53760000</v>
      </c>
      <c r="I421" s="39"/>
    </row>
    <row r="422" spans="1:9" s="37" customFormat="1">
      <c r="A422" s="42"/>
      <c r="B422" s="35" t="s">
        <v>216</v>
      </c>
      <c r="C422" s="35"/>
      <c r="D422" s="35"/>
      <c r="E422" s="35"/>
      <c r="F422" s="35"/>
      <c r="G422" s="6"/>
      <c r="I422" s="39"/>
    </row>
    <row r="423" spans="1:9" s="37" customFormat="1">
      <c r="A423" s="45"/>
      <c r="B423" s="46" t="s">
        <v>197</v>
      </c>
      <c r="C423" s="48">
        <v>14</v>
      </c>
      <c r="D423" s="48">
        <v>1</v>
      </c>
      <c r="E423" s="48" t="s">
        <v>72</v>
      </c>
      <c r="F423" s="50">
        <v>918000</v>
      </c>
      <c r="G423" s="6">
        <f>C423*D423*F423</f>
        <v>12852000</v>
      </c>
      <c r="I423" s="39"/>
    </row>
    <row r="424" spans="1:9" s="37" customFormat="1">
      <c r="A424" s="42"/>
      <c r="B424" s="35" t="s">
        <v>217</v>
      </c>
      <c r="C424" s="35"/>
      <c r="D424" s="35"/>
      <c r="E424" s="35"/>
      <c r="F424" s="35"/>
      <c r="G424" s="6"/>
      <c r="I424" s="39"/>
    </row>
    <row r="425" spans="1:9" s="37" customFormat="1">
      <c r="A425" s="45"/>
      <c r="B425" s="46" t="s">
        <v>197</v>
      </c>
      <c r="C425" s="48">
        <v>14</v>
      </c>
      <c r="D425" s="48">
        <v>2</v>
      </c>
      <c r="E425" s="48" t="s">
        <v>72</v>
      </c>
      <c r="F425" s="50">
        <v>918000</v>
      </c>
      <c r="G425" s="6">
        <f>C425*D425*F425</f>
        <v>25704000</v>
      </c>
      <c r="I425" s="39"/>
    </row>
    <row r="426" spans="1:9" s="37" customFormat="1">
      <c r="A426" s="42"/>
      <c r="B426" s="35" t="s">
        <v>206</v>
      </c>
      <c r="C426" s="35"/>
      <c r="D426" s="35"/>
      <c r="E426" s="35"/>
      <c r="F426" s="35"/>
      <c r="G426" s="6"/>
      <c r="I426" s="39"/>
    </row>
    <row r="427" spans="1:9" s="37" customFormat="1">
      <c r="A427" s="45"/>
      <c r="B427" s="46" t="s">
        <v>191</v>
      </c>
      <c r="C427" s="48">
        <v>14</v>
      </c>
      <c r="D427" s="48">
        <v>1</v>
      </c>
      <c r="E427" s="48" t="s">
        <v>72</v>
      </c>
      <c r="F427" s="50">
        <v>850000</v>
      </c>
      <c r="G427" s="6">
        <f>C427*D427*F427</f>
        <v>11900000</v>
      </c>
      <c r="I427" s="39"/>
    </row>
    <row r="428" spans="1:9" s="37" customFormat="1">
      <c r="A428" s="45"/>
      <c r="B428" s="35" t="s">
        <v>218</v>
      </c>
      <c r="C428" s="35"/>
      <c r="D428" s="35"/>
      <c r="E428" s="35"/>
      <c r="F428" s="35"/>
      <c r="G428" s="6"/>
      <c r="I428" s="39"/>
    </row>
    <row r="429" spans="1:9" s="37" customFormat="1">
      <c r="A429" s="45"/>
      <c r="B429" s="46" t="s">
        <v>191</v>
      </c>
      <c r="C429" s="48">
        <v>14</v>
      </c>
      <c r="D429" s="48">
        <v>1</v>
      </c>
      <c r="E429" s="48" t="s">
        <v>72</v>
      </c>
      <c r="F429" s="50">
        <v>780000</v>
      </c>
      <c r="G429" s="6">
        <f>C429*D429*F429</f>
        <v>10920000</v>
      </c>
      <c r="I429" s="39"/>
    </row>
    <row r="430" spans="1:9" s="37" customFormat="1">
      <c r="A430" s="42"/>
      <c r="B430" s="35" t="s">
        <v>219</v>
      </c>
      <c r="C430" s="35"/>
      <c r="D430" s="35"/>
      <c r="E430" s="35"/>
      <c r="F430" s="35"/>
      <c r="G430" s="6"/>
      <c r="I430" s="39"/>
    </row>
    <row r="431" spans="1:9" s="37" customFormat="1">
      <c r="A431" s="45"/>
      <c r="B431" s="46" t="s">
        <v>197</v>
      </c>
      <c r="C431" s="48">
        <v>14</v>
      </c>
      <c r="D431" s="48">
        <f>29+6</f>
        <v>35</v>
      </c>
      <c r="E431" s="48" t="s">
        <v>72</v>
      </c>
      <c r="F431" s="50">
        <v>750000</v>
      </c>
      <c r="G431" s="6">
        <f>C431*D431*F431</f>
        <v>367500000</v>
      </c>
      <c r="I431" s="39"/>
    </row>
    <row r="432" spans="1:9" s="37" customFormat="1">
      <c r="A432" s="45"/>
      <c r="B432" s="35" t="s">
        <v>220</v>
      </c>
      <c r="C432" s="35"/>
      <c r="D432" s="35"/>
      <c r="E432" s="35"/>
      <c r="F432" s="35"/>
      <c r="G432" s="6"/>
      <c r="I432" s="39"/>
    </row>
    <row r="433" spans="1:9" s="37" customFormat="1">
      <c r="A433" s="45"/>
      <c r="B433" s="46" t="s">
        <v>197</v>
      </c>
      <c r="C433" s="48">
        <v>14</v>
      </c>
      <c r="D433" s="48">
        <f>6+13</f>
        <v>19</v>
      </c>
      <c r="E433" s="48" t="s">
        <v>72</v>
      </c>
      <c r="F433" s="50">
        <v>750000</v>
      </c>
      <c r="G433" s="6">
        <f>C433*D433*F433</f>
        <v>199500000</v>
      </c>
      <c r="I433" s="39"/>
    </row>
    <row r="434" spans="1:9" s="37" customFormat="1">
      <c r="A434" s="42"/>
      <c r="B434" s="35" t="s">
        <v>221</v>
      </c>
      <c r="C434" s="35"/>
      <c r="D434" s="35"/>
      <c r="E434" s="35"/>
      <c r="F434" s="35"/>
      <c r="G434" s="6"/>
      <c r="I434" s="39"/>
    </row>
    <row r="435" spans="1:9" s="37" customFormat="1">
      <c r="A435" s="45"/>
      <c r="B435" s="46" t="s">
        <v>197</v>
      </c>
      <c r="C435" s="48">
        <v>14</v>
      </c>
      <c r="D435" s="48">
        <v>6</v>
      </c>
      <c r="E435" s="48" t="s">
        <v>72</v>
      </c>
      <c r="F435" s="50">
        <v>750000</v>
      </c>
      <c r="G435" s="6">
        <f>C435*D435*F435</f>
        <v>63000000</v>
      </c>
      <c r="I435" s="39"/>
    </row>
    <row r="436" spans="1:9" s="37" customFormat="1">
      <c r="A436" s="45"/>
      <c r="B436" s="35" t="s">
        <v>211</v>
      </c>
      <c r="C436" s="35"/>
      <c r="D436" s="35"/>
      <c r="E436" s="35"/>
      <c r="F436" s="35"/>
      <c r="G436" s="6"/>
      <c r="I436" s="39"/>
    </row>
    <row r="437" spans="1:9" s="37" customFormat="1">
      <c r="A437" s="45"/>
      <c r="B437" s="46" t="s">
        <v>197</v>
      </c>
      <c r="C437" s="48">
        <v>14</v>
      </c>
      <c r="D437" s="48">
        <v>48</v>
      </c>
      <c r="E437" s="48" t="s">
        <v>72</v>
      </c>
      <c r="F437" s="50">
        <v>750000</v>
      </c>
      <c r="G437" s="6">
        <f>C437*D437*F437</f>
        <v>504000000</v>
      </c>
      <c r="I437" s="39"/>
    </row>
    <row r="438" spans="1:9" s="37" customFormat="1">
      <c r="A438" s="42"/>
      <c r="B438" s="35" t="s">
        <v>222</v>
      </c>
      <c r="C438" s="35"/>
      <c r="D438" s="35"/>
      <c r="E438" s="35"/>
      <c r="F438" s="35"/>
      <c r="G438" s="5"/>
      <c r="I438" s="39"/>
    </row>
    <row r="439" spans="1:9" s="37" customFormat="1">
      <c r="A439" s="45"/>
      <c r="B439" s="46" t="s">
        <v>191</v>
      </c>
      <c r="C439" s="48">
        <v>14</v>
      </c>
      <c r="D439" s="48">
        <v>8</v>
      </c>
      <c r="E439" s="48" t="s">
        <v>72</v>
      </c>
      <c r="F439" s="50">
        <v>600000</v>
      </c>
      <c r="G439" s="6">
        <f>C439*D439*F439</f>
        <v>67200000</v>
      </c>
      <c r="I439" s="39"/>
    </row>
    <row r="440" spans="1:9" s="37" customFormat="1">
      <c r="A440" s="45"/>
      <c r="B440" s="35" t="s">
        <v>223</v>
      </c>
      <c r="C440" s="35"/>
      <c r="D440" s="35"/>
      <c r="E440" s="35"/>
      <c r="F440" s="35"/>
      <c r="G440" s="6"/>
      <c r="I440" s="39"/>
    </row>
    <row r="441" spans="1:9" s="37" customFormat="1">
      <c r="A441" s="45"/>
      <c r="B441" s="46" t="s">
        <v>197</v>
      </c>
      <c r="C441" s="48">
        <v>14</v>
      </c>
      <c r="D441" s="48">
        <v>1</v>
      </c>
      <c r="E441" s="48" t="s">
        <v>72</v>
      </c>
      <c r="F441" s="50">
        <v>600000</v>
      </c>
      <c r="G441" s="6">
        <f>C441*D441*F441</f>
        <v>8400000</v>
      </c>
      <c r="I441" s="39"/>
    </row>
    <row r="442" spans="1:9" s="37" customFormat="1">
      <c r="A442" s="45"/>
      <c r="B442" s="35" t="s">
        <v>224</v>
      </c>
      <c r="C442" s="35"/>
      <c r="D442" s="35"/>
      <c r="E442" s="35"/>
      <c r="F442" s="35"/>
      <c r="G442" s="6"/>
      <c r="I442" s="39"/>
    </row>
    <row r="443" spans="1:9" s="37" customFormat="1">
      <c r="A443" s="45"/>
      <c r="B443" s="46" t="s">
        <v>197</v>
      </c>
      <c r="C443" s="48">
        <v>14</v>
      </c>
      <c r="D443" s="48">
        <f>47+4</f>
        <v>51</v>
      </c>
      <c r="E443" s="48" t="s">
        <v>72</v>
      </c>
      <c r="F443" s="50">
        <v>600000</v>
      </c>
      <c r="G443" s="6">
        <f>C443*D443*F443</f>
        <v>428400000</v>
      </c>
      <c r="I443" s="39"/>
    </row>
    <row r="444" spans="1:9" s="37" customFormat="1">
      <c r="A444" s="42"/>
      <c r="B444" s="35" t="s">
        <v>225</v>
      </c>
      <c r="C444" s="35"/>
      <c r="D444" s="35"/>
      <c r="E444" s="35"/>
      <c r="F444" s="35"/>
      <c r="G444" s="6"/>
      <c r="I444" s="39"/>
    </row>
    <row r="445" spans="1:9" s="37" customFormat="1">
      <c r="A445" s="45"/>
      <c r="B445" s="46" t="s">
        <v>197</v>
      </c>
      <c r="C445" s="48">
        <v>14</v>
      </c>
      <c r="D445" s="48">
        <v>11</v>
      </c>
      <c r="E445" s="48" t="s">
        <v>72</v>
      </c>
      <c r="F445" s="50">
        <v>600000</v>
      </c>
      <c r="G445" s="6">
        <f>C445*D445*F445</f>
        <v>92400000</v>
      </c>
      <c r="I445" s="39"/>
    </row>
    <row r="446" spans="1:9" s="37" customFormat="1">
      <c r="A446" s="45"/>
      <c r="B446" s="35" t="s">
        <v>226</v>
      </c>
      <c r="C446" s="35"/>
      <c r="D446" s="35"/>
      <c r="E446" s="35"/>
      <c r="F446" s="35"/>
      <c r="G446" s="6"/>
      <c r="I446" s="39"/>
    </row>
    <row r="447" spans="1:9" s="37" customFormat="1">
      <c r="A447" s="45"/>
      <c r="B447" s="46" t="s">
        <v>197</v>
      </c>
      <c r="C447" s="48">
        <v>14</v>
      </c>
      <c r="D447" s="48">
        <v>4</v>
      </c>
      <c r="E447" s="48" t="s">
        <v>72</v>
      </c>
      <c r="F447" s="50">
        <v>600000</v>
      </c>
      <c r="G447" s="6">
        <f>C447*D447*F447</f>
        <v>33600000</v>
      </c>
      <c r="I447" s="39"/>
    </row>
    <row r="448" spans="1:9" s="37" customFormat="1">
      <c r="A448" s="45"/>
      <c r="B448" s="35" t="s">
        <v>212</v>
      </c>
      <c r="C448" s="35"/>
      <c r="D448" s="35"/>
      <c r="E448" s="35"/>
      <c r="F448" s="35"/>
      <c r="G448" s="6"/>
      <c r="I448" s="39"/>
    </row>
    <row r="449" spans="1:9" s="37" customFormat="1">
      <c r="A449" s="45"/>
      <c r="B449" s="46" t="s">
        <v>197</v>
      </c>
      <c r="C449" s="48">
        <v>14</v>
      </c>
      <c r="D449" s="48">
        <v>144</v>
      </c>
      <c r="E449" s="48" t="s">
        <v>72</v>
      </c>
      <c r="F449" s="50">
        <v>600000</v>
      </c>
      <c r="G449" s="6">
        <f>C449*D449*F449</f>
        <v>1209600000</v>
      </c>
      <c r="I449" s="39"/>
    </row>
    <row r="450" spans="1:9" s="37" customFormat="1">
      <c r="A450" s="45"/>
      <c r="B450" s="35" t="s">
        <v>227</v>
      </c>
      <c r="C450" s="35"/>
      <c r="D450" s="35"/>
      <c r="E450" s="35"/>
      <c r="F450" s="35"/>
      <c r="G450" s="6"/>
      <c r="I450" s="39"/>
    </row>
    <row r="451" spans="1:9" s="37" customFormat="1">
      <c r="A451" s="45"/>
      <c r="B451" s="46" t="s">
        <v>197</v>
      </c>
      <c r="C451" s="48">
        <v>14</v>
      </c>
      <c r="D451" s="48">
        <f>1+1</f>
        <v>2</v>
      </c>
      <c r="E451" s="48" t="s">
        <v>72</v>
      </c>
      <c r="F451" s="50">
        <v>600000</v>
      </c>
      <c r="G451" s="6">
        <f>C451*D451*F451</f>
        <v>16800000</v>
      </c>
      <c r="I451" s="39"/>
    </row>
    <row r="452" spans="1:9" s="37" customFormat="1">
      <c r="A452" s="42"/>
      <c r="B452" s="35" t="s">
        <v>228</v>
      </c>
      <c r="C452" s="35"/>
      <c r="D452" s="35"/>
      <c r="E452" s="35"/>
      <c r="F452" s="35"/>
      <c r="G452" s="6"/>
      <c r="I452" s="39"/>
    </row>
    <row r="453" spans="1:9" s="37" customFormat="1">
      <c r="A453" s="45"/>
      <c r="B453" s="46" t="s">
        <v>197</v>
      </c>
      <c r="C453" s="48">
        <v>14</v>
      </c>
      <c r="D453" s="48">
        <v>9</v>
      </c>
      <c r="E453" s="48" t="s">
        <v>72</v>
      </c>
      <c r="F453" s="50">
        <v>600000</v>
      </c>
      <c r="G453" s="6">
        <f>C453*D453*F453</f>
        <v>75600000</v>
      </c>
      <c r="I453" s="39"/>
    </row>
    <row r="454" spans="1:9" s="37" customFormat="1">
      <c r="A454" s="45"/>
      <c r="B454" s="35" t="s">
        <v>229</v>
      </c>
      <c r="C454" s="35"/>
      <c r="D454" s="35"/>
      <c r="E454" s="35"/>
      <c r="F454" s="35"/>
      <c r="G454" s="6"/>
      <c r="I454" s="39"/>
    </row>
    <row r="455" spans="1:9" s="37" customFormat="1">
      <c r="A455" s="45"/>
      <c r="B455" s="46" t="s">
        <v>197</v>
      </c>
      <c r="C455" s="48">
        <v>14</v>
      </c>
      <c r="D455" s="48">
        <f>40+7</f>
        <v>47</v>
      </c>
      <c r="E455" s="48" t="s">
        <v>72</v>
      </c>
      <c r="F455" s="50">
        <v>600000</v>
      </c>
      <c r="G455" s="6">
        <f>C455*D455*F455</f>
        <v>394800000</v>
      </c>
      <c r="I455" s="39"/>
    </row>
    <row r="456" spans="1:9" s="37" customFormat="1">
      <c r="A456" s="42"/>
      <c r="B456" s="35" t="s">
        <v>230</v>
      </c>
      <c r="C456" s="35"/>
      <c r="D456" s="35"/>
      <c r="E456" s="35"/>
      <c r="F456" s="35"/>
      <c r="G456" s="6"/>
      <c r="I456" s="39"/>
    </row>
    <row r="457" spans="1:9" s="37" customFormat="1">
      <c r="A457" s="45"/>
      <c r="B457" s="46" t="s">
        <v>197</v>
      </c>
      <c r="C457" s="48">
        <v>14</v>
      </c>
      <c r="D457" s="48">
        <v>5</v>
      </c>
      <c r="E457" s="48" t="s">
        <v>72</v>
      </c>
      <c r="F457" s="50">
        <v>600000</v>
      </c>
      <c r="G457" s="6">
        <f>C457*D457*F457</f>
        <v>42000000</v>
      </c>
      <c r="I457" s="39"/>
    </row>
    <row r="458" spans="1:9" s="37" customFormat="1">
      <c r="A458" s="45"/>
      <c r="B458" s="35" t="s">
        <v>231</v>
      </c>
      <c r="C458" s="35"/>
      <c r="D458" s="35"/>
      <c r="E458" s="35"/>
      <c r="F458" s="35"/>
      <c r="G458" s="6"/>
      <c r="I458" s="39"/>
    </row>
    <row r="459" spans="1:9" s="37" customFormat="1">
      <c r="A459" s="45"/>
      <c r="B459" s="46" t="s">
        <v>197</v>
      </c>
      <c r="C459" s="48">
        <v>14</v>
      </c>
      <c r="D459" s="48">
        <v>1</v>
      </c>
      <c r="E459" s="48" t="s">
        <v>72</v>
      </c>
      <c r="F459" s="50">
        <v>600000</v>
      </c>
      <c r="G459" s="6">
        <f>C459*D459*F459</f>
        <v>8400000</v>
      </c>
      <c r="I459" s="39"/>
    </row>
    <row r="460" spans="1:9" s="37" customFormat="1">
      <c r="A460" s="42"/>
      <c r="B460" s="35" t="s">
        <v>232</v>
      </c>
      <c r="C460" s="35"/>
      <c r="D460" s="35"/>
      <c r="E460" s="35"/>
      <c r="F460" s="35"/>
      <c r="G460" s="6"/>
      <c r="I460" s="39"/>
    </row>
    <row r="461" spans="1:9" s="37" customFormat="1">
      <c r="A461" s="45"/>
      <c r="B461" s="46" t="s">
        <v>197</v>
      </c>
      <c r="C461" s="48">
        <v>14</v>
      </c>
      <c r="D461" s="48">
        <f>2+1</f>
        <v>3</v>
      </c>
      <c r="E461" s="48" t="s">
        <v>72</v>
      </c>
      <c r="F461" s="50">
        <v>540000</v>
      </c>
      <c r="G461" s="6">
        <f>C461*D461*F461</f>
        <v>22680000</v>
      </c>
      <c r="I461" s="39"/>
    </row>
    <row r="462" spans="1:9" s="37" customFormat="1">
      <c r="A462" s="45"/>
      <c r="B462" s="35" t="s">
        <v>233</v>
      </c>
      <c r="C462" s="35"/>
      <c r="D462" s="35"/>
      <c r="E462" s="35"/>
      <c r="F462" s="35"/>
      <c r="G462" s="6"/>
      <c r="I462" s="39"/>
    </row>
    <row r="463" spans="1:9" s="37" customFormat="1">
      <c r="A463" s="45"/>
      <c r="B463" s="46" t="s">
        <v>197</v>
      </c>
      <c r="C463" s="48">
        <v>14</v>
      </c>
      <c r="D463" s="48">
        <v>2</v>
      </c>
      <c r="E463" s="48" t="s">
        <v>72</v>
      </c>
      <c r="F463" s="50">
        <v>540000</v>
      </c>
      <c r="G463" s="6">
        <f>C463*D463*F463</f>
        <v>15120000</v>
      </c>
      <c r="I463" s="39"/>
    </row>
    <row r="464" spans="1:9" s="37" customFormat="1">
      <c r="A464" s="45"/>
      <c r="B464" s="35" t="s">
        <v>234</v>
      </c>
      <c r="C464" s="35"/>
      <c r="D464" s="35"/>
      <c r="E464" s="35"/>
      <c r="F464" s="35"/>
      <c r="G464" s="6"/>
      <c r="I464" s="39"/>
    </row>
    <row r="465" spans="1:9" s="37" customFormat="1">
      <c r="A465" s="45"/>
      <c r="B465" s="46" t="s">
        <v>197</v>
      </c>
      <c r="C465" s="48">
        <v>14</v>
      </c>
      <c r="D465" s="48">
        <v>1</v>
      </c>
      <c r="E465" s="48" t="s">
        <v>72</v>
      </c>
      <c r="F465" s="50">
        <v>540000</v>
      </c>
      <c r="G465" s="6">
        <f>C465*D465*F465</f>
        <v>7560000</v>
      </c>
      <c r="I465" s="39"/>
    </row>
    <row r="466" spans="1:9" s="37" customFormat="1">
      <c r="A466" s="45"/>
      <c r="B466" s="35" t="s">
        <v>235</v>
      </c>
      <c r="C466" s="35"/>
      <c r="D466" s="35"/>
      <c r="E466" s="35"/>
      <c r="F466" s="35"/>
      <c r="G466" s="6"/>
      <c r="I466" s="39"/>
    </row>
    <row r="467" spans="1:9" s="37" customFormat="1">
      <c r="A467" s="45"/>
      <c r="B467" s="46" t="s">
        <v>197</v>
      </c>
      <c r="C467" s="48">
        <v>14</v>
      </c>
      <c r="D467" s="48">
        <v>2</v>
      </c>
      <c r="E467" s="48" t="s">
        <v>72</v>
      </c>
      <c r="F467" s="50">
        <v>540000</v>
      </c>
      <c r="G467" s="6">
        <f>C467*D467*F467</f>
        <v>15120000</v>
      </c>
      <c r="I467" s="39"/>
    </row>
    <row r="468" spans="1:9" s="37" customFormat="1">
      <c r="A468" s="42"/>
      <c r="B468" s="35" t="s">
        <v>236</v>
      </c>
      <c r="C468" s="35"/>
      <c r="D468" s="35"/>
      <c r="E468" s="35"/>
      <c r="F468" s="35"/>
      <c r="G468" s="6"/>
      <c r="I468" s="39"/>
    </row>
    <row r="469" spans="1:9" s="37" customFormat="1">
      <c r="A469" s="45"/>
      <c r="B469" s="46" t="s">
        <v>197</v>
      </c>
      <c r="C469" s="48">
        <v>14</v>
      </c>
      <c r="D469" s="48">
        <v>1</v>
      </c>
      <c r="E469" s="48" t="s">
        <v>72</v>
      </c>
      <c r="F469" s="50">
        <v>500000</v>
      </c>
      <c r="G469" s="6">
        <f>C469*D469*F469</f>
        <v>7000000</v>
      </c>
      <c r="I469" s="39"/>
    </row>
    <row r="470" spans="1:9" s="37" customFormat="1">
      <c r="A470" s="42"/>
      <c r="B470" s="35" t="s">
        <v>237</v>
      </c>
      <c r="C470" s="35"/>
      <c r="D470" s="35"/>
      <c r="E470" s="35"/>
      <c r="F470" s="35"/>
      <c r="G470" s="6"/>
      <c r="I470" s="39"/>
    </row>
    <row r="471" spans="1:9" s="37" customFormat="1">
      <c r="A471" s="45"/>
      <c r="B471" s="46" t="s">
        <v>197</v>
      </c>
      <c r="C471" s="48">
        <v>14</v>
      </c>
      <c r="D471" s="48">
        <f>32+6</f>
        <v>38</v>
      </c>
      <c r="E471" s="48" t="s">
        <v>72</v>
      </c>
      <c r="F471" s="50">
        <v>500000</v>
      </c>
      <c r="G471" s="6">
        <f>C471*D471*F471</f>
        <v>266000000</v>
      </c>
      <c r="I471" s="39"/>
    </row>
    <row r="472" spans="1:9" s="37" customFormat="1">
      <c r="A472" s="45"/>
      <c r="B472" s="35" t="s">
        <v>238</v>
      </c>
      <c r="C472" s="35"/>
      <c r="D472" s="35"/>
      <c r="E472" s="35"/>
      <c r="F472" s="35"/>
      <c r="G472" s="6"/>
      <c r="I472" s="39"/>
    </row>
    <row r="473" spans="1:9" s="37" customFormat="1">
      <c r="A473" s="45"/>
      <c r="B473" s="46" t="s">
        <v>197</v>
      </c>
      <c r="C473" s="48">
        <v>14</v>
      </c>
      <c r="D473" s="48">
        <v>233</v>
      </c>
      <c r="E473" s="48" t="s">
        <v>72</v>
      </c>
      <c r="F473" s="50">
        <v>500000</v>
      </c>
      <c r="G473" s="6">
        <f>C473*D473*F473</f>
        <v>1631000000</v>
      </c>
      <c r="I473" s="39"/>
    </row>
    <row r="474" spans="1:9" s="37" customFormat="1">
      <c r="A474" s="45"/>
      <c r="B474" s="35" t="s">
        <v>239</v>
      </c>
      <c r="C474" s="35"/>
      <c r="D474" s="35"/>
      <c r="E474" s="35"/>
      <c r="F474" s="35"/>
      <c r="G474" s="6"/>
      <c r="I474" s="39"/>
    </row>
    <row r="475" spans="1:9" s="37" customFormat="1">
      <c r="A475" s="45"/>
      <c r="B475" s="46" t="s">
        <v>197</v>
      </c>
      <c r="C475" s="48">
        <v>14</v>
      </c>
      <c r="D475" s="48">
        <v>2</v>
      </c>
      <c r="E475" s="48" t="s">
        <v>72</v>
      </c>
      <c r="F475" s="50">
        <v>500000</v>
      </c>
      <c r="G475" s="6">
        <f>C475*D475*F475</f>
        <v>14000000</v>
      </c>
      <c r="I475" s="39"/>
    </row>
    <row r="476" spans="1:9" s="37" customFormat="1">
      <c r="A476" s="45"/>
      <c r="B476" s="35" t="s">
        <v>240</v>
      </c>
      <c r="C476" s="35"/>
      <c r="D476" s="35"/>
      <c r="E476" s="35"/>
      <c r="F476" s="35"/>
      <c r="G476" s="6"/>
      <c r="I476" s="39"/>
    </row>
    <row r="477" spans="1:9" s="37" customFormat="1">
      <c r="A477" s="45"/>
      <c r="B477" s="46" t="s">
        <v>197</v>
      </c>
      <c r="C477" s="48">
        <v>14</v>
      </c>
      <c r="D477" s="48">
        <v>6</v>
      </c>
      <c r="E477" s="48" t="s">
        <v>72</v>
      </c>
      <c r="F477" s="50">
        <v>500000</v>
      </c>
      <c r="G477" s="6">
        <f>C477*D477*F477</f>
        <v>42000000</v>
      </c>
      <c r="I477" s="39"/>
    </row>
    <row r="478" spans="1:9" s="37" customFormat="1">
      <c r="A478" s="45"/>
      <c r="B478" s="35" t="s">
        <v>241</v>
      </c>
      <c r="C478" s="35"/>
      <c r="D478" s="35"/>
      <c r="E478" s="35"/>
      <c r="F478" s="35"/>
      <c r="G478" s="6"/>
      <c r="I478" s="39"/>
    </row>
    <row r="479" spans="1:9" s="37" customFormat="1">
      <c r="A479" s="45"/>
      <c r="B479" s="46" t="s">
        <v>197</v>
      </c>
      <c r="C479" s="48">
        <v>14</v>
      </c>
      <c r="D479" s="48">
        <f>33+14</f>
        <v>47</v>
      </c>
      <c r="E479" s="48" t="s">
        <v>72</v>
      </c>
      <c r="F479" s="50">
        <v>500000</v>
      </c>
      <c r="G479" s="6">
        <f>C479*D479*F479</f>
        <v>329000000</v>
      </c>
      <c r="I479" s="39"/>
    </row>
    <row r="480" spans="1:9" s="37" customFormat="1">
      <c r="A480" s="45"/>
      <c r="B480" s="35" t="s">
        <v>242</v>
      </c>
      <c r="C480" s="35"/>
      <c r="D480" s="35"/>
      <c r="E480" s="35"/>
      <c r="F480" s="35"/>
      <c r="G480" s="6"/>
      <c r="I480" s="39"/>
    </row>
    <row r="481" spans="1:9" s="37" customFormat="1">
      <c r="A481" s="45"/>
      <c r="B481" s="46" t="s">
        <v>197</v>
      </c>
      <c r="C481" s="48">
        <v>14</v>
      </c>
      <c r="D481" s="48">
        <v>1</v>
      </c>
      <c r="E481" s="48" t="s">
        <v>72</v>
      </c>
      <c r="F481" s="50">
        <v>500000</v>
      </c>
      <c r="G481" s="6">
        <f>C481*D481*F481</f>
        <v>7000000</v>
      </c>
      <c r="I481" s="39"/>
    </row>
    <row r="482" spans="1:9" s="37" customFormat="1">
      <c r="A482" s="45"/>
      <c r="B482" s="35" t="s">
        <v>243</v>
      </c>
      <c r="C482" s="35"/>
      <c r="D482" s="35"/>
      <c r="E482" s="35"/>
      <c r="F482" s="35"/>
      <c r="G482" s="6"/>
      <c r="I482" s="39"/>
    </row>
    <row r="483" spans="1:9" s="37" customFormat="1">
      <c r="A483" s="45"/>
      <c r="B483" s="46" t="s">
        <v>197</v>
      </c>
      <c r="C483" s="48">
        <v>14</v>
      </c>
      <c r="D483" s="48">
        <v>2</v>
      </c>
      <c r="E483" s="48" t="s">
        <v>72</v>
      </c>
      <c r="F483" s="50">
        <v>500000</v>
      </c>
      <c r="G483" s="6">
        <f>C483*D483*F483</f>
        <v>14000000</v>
      </c>
      <c r="I483" s="39"/>
    </row>
    <row r="484" spans="1:9" s="37" customFormat="1">
      <c r="A484" s="45"/>
      <c r="B484" s="35" t="s">
        <v>244</v>
      </c>
      <c r="C484" s="35"/>
      <c r="D484" s="35"/>
      <c r="E484" s="35"/>
      <c r="F484" s="35"/>
      <c r="G484" s="6"/>
      <c r="I484" s="39"/>
    </row>
    <row r="485" spans="1:9" s="37" customFormat="1">
      <c r="A485" s="45"/>
      <c r="B485" s="46" t="s">
        <v>197</v>
      </c>
      <c r="C485" s="48">
        <v>14</v>
      </c>
      <c r="D485" s="48">
        <v>1</v>
      </c>
      <c r="E485" s="48" t="s">
        <v>72</v>
      </c>
      <c r="F485" s="50">
        <v>493000</v>
      </c>
      <c r="G485" s="6">
        <f>C485*D485*F485</f>
        <v>6902000</v>
      </c>
      <c r="I485" s="39"/>
    </row>
    <row r="486" spans="1:9" s="37" customFormat="1">
      <c r="A486" s="45"/>
      <c r="B486" s="35" t="s">
        <v>245</v>
      </c>
      <c r="C486" s="35"/>
      <c r="D486" s="35"/>
      <c r="E486" s="35"/>
      <c r="F486" s="35"/>
      <c r="G486" s="6"/>
      <c r="I486" s="39"/>
    </row>
    <row r="487" spans="1:9" s="37" customFormat="1">
      <c r="A487" s="45"/>
      <c r="B487" s="46" t="s">
        <v>197</v>
      </c>
      <c r="C487" s="48">
        <v>14</v>
      </c>
      <c r="D487" s="48">
        <v>1</v>
      </c>
      <c r="E487" s="48" t="s">
        <v>72</v>
      </c>
      <c r="F487" s="50">
        <v>360000</v>
      </c>
      <c r="G487" s="6">
        <f>C487*D487*F487</f>
        <v>5040000</v>
      </c>
      <c r="I487" s="39"/>
    </row>
    <row r="488" spans="1:9" s="37" customFormat="1">
      <c r="A488" s="42"/>
      <c r="B488" s="35" t="s">
        <v>246</v>
      </c>
      <c r="C488" s="35"/>
      <c r="D488" s="35"/>
      <c r="E488" s="35"/>
      <c r="F488" s="35"/>
      <c r="G488" s="6"/>
      <c r="I488" s="39"/>
    </row>
    <row r="489" spans="1:9" s="37" customFormat="1">
      <c r="A489" s="45"/>
      <c r="B489" s="46" t="s">
        <v>197</v>
      </c>
      <c r="C489" s="48">
        <v>14</v>
      </c>
      <c r="D489" s="48">
        <f>13+1</f>
        <v>14</v>
      </c>
      <c r="E489" s="48" t="s">
        <v>72</v>
      </c>
      <c r="F489" s="50">
        <v>325000</v>
      </c>
      <c r="G489" s="6">
        <f>C489*D489*F489</f>
        <v>63700000</v>
      </c>
      <c r="I489" s="39"/>
    </row>
    <row r="490" spans="1:9" s="37" customFormat="1">
      <c r="A490" s="42"/>
      <c r="B490" s="35" t="s">
        <v>247</v>
      </c>
      <c r="C490" s="35"/>
      <c r="D490" s="35"/>
      <c r="E490" s="35"/>
      <c r="F490" s="35"/>
      <c r="G490" s="6"/>
      <c r="I490" s="39"/>
    </row>
    <row r="491" spans="1:9" s="37" customFormat="1">
      <c r="A491" s="45"/>
      <c r="B491" s="46" t="s">
        <v>197</v>
      </c>
      <c r="C491" s="48">
        <v>14</v>
      </c>
      <c r="D491" s="48">
        <f>15+36+7</f>
        <v>58</v>
      </c>
      <c r="E491" s="48" t="s">
        <v>72</v>
      </c>
      <c r="F491" s="50">
        <v>325000</v>
      </c>
      <c r="G491" s="6">
        <f>C491*D491*F491</f>
        <v>263900000</v>
      </c>
      <c r="I491" s="39"/>
    </row>
    <row r="492" spans="1:9" s="37" customFormat="1">
      <c r="A492" s="42"/>
      <c r="B492" s="35" t="s">
        <v>248</v>
      </c>
      <c r="C492" s="35"/>
      <c r="D492" s="35"/>
      <c r="E492" s="35"/>
      <c r="F492" s="35"/>
      <c r="G492" s="6"/>
      <c r="I492" s="39"/>
    </row>
    <row r="493" spans="1:9" s="37" customFormat="1">
      <c r="A493" s="45"/>
      <c r="B493" s="46" t="s">
        <v>197</v>
      </c>
      <c r="C493" s="48">
        <v>14</v>
      </c>
      <c r="D493" s="48">
        <f>12+1</f>
        <v>13</v>
      </c>
      <c r="E493" s="48" t="s">
        <v>72</v>
      </c>
      <c r="F493" s="50">
        <v>325000</v>
      </c>
      <c r="G493" s="6">
        <f>C493*D493*F493</f>
        <v>59150000</v>
      </c>
      <c r="I493" s="39"/>
    </row>
    <row r="494" spans="1:9" s="37" customFormat="1">
      <c r="A494" s="42"/>
      <c r="B494" s="35" t="s">
        <v>249</v>
      </c>
      <c r="C494" s="35"/>
      <c r="D494" s="35"/>
      <c r="E494" s="35"/>
      <c r="F494" s="35"/>
      <c r="G494" s="6"/>
      <c r="I494" s="39"/>
    </row>
    <row r="495" spans="1:9" s="37" customFormat="1">
      <c r="A495" s="45"/>
      <c r="B495" s="46" t="s">
        <v>197</v>
      </c>
      <c r="C495" s="48">
        <v>14</v>
      </c>
      <c r="D495" s="48">
        <v>13</v>
      </c>
      <c r="E495" s="48" t="s">
        <v>72</v>
      </c>
      <c r="F495" s="50">
        <v>325000</v>
      </c>
      <c r="G495" s="6">
        <f>C495*D495*F495</f>
        <v>59150000</v>
      </c>
      <c r="I495" s="39"/>
    </row>
    <row r="496" spans="1:9" s="37" customFormat="1">
      <c r="A496" s="42"/>
      <c r="B496" s="35" t="s">
        <v>250</v>
      </c>
      <c r="C496" s="35"/>
      <c r="D496" s="35"/>
      <c r="E496" s="35"/>
      <c r="F496" s="35"/>
      <c r="G496" s="6"/>
      <c r="I496" s="39"/>
    </row>
    <row r="497" spans="1:9" s="37" customFormat="1">
      <c r="A497" s="45"/>
      <c r="B497" s="46" t="s">
        <v>197</v>
      </c>
      <c r="C497" s="48">
        <v>14</v>
      </c>
      <c r="D497" s="48">
        <v>7</v>
      </c>
      <c r="E497" s="48" t="s">
        <v>72</v>
      </c>
      <c r="F497" s="50">
        <v>300000</v>
      </c>
      <c r="G497" s="6">
        <f>C497*D497*F497</f>
        <v>29400000</v>
      </c>
      <c r="I497" s="39"/>
    </row>
    <row r="498" spans="1:9" s="37" customFormat="1">
      <c r="A498" s="42"/>
      <c r="B498" s="35" t="s">
        <v>251</v>
      </c>
      <c r="C498" s="35"/>
      <c r="D498" s="35"/>
      <c r="E498" s="35"/>
      <c r="F498" s="35"/>
      <c r="G498" s="6"/>
      <c r="I498" s="39"/>
    </row>
    <row r="499" spans="1:9" s="37" customFormat="1">
      <c r="A499" s="45"/>
      <c r="B499" s="46" t="s">
        <v>197</v>
      </c>
      <c r="C499" s="48">
        <v>14</v>
      </c>
      <c r="D499" s="48">
        <v>5</v>
      </c>
      <c r="E499" s="48" t="s">
        <v>72</v>
      </c>
      <c r="F499" s="50">
        <v>300000</v>
      </c>
      <c r="G499" s="6">
        <f>C499*D499*F499</f>
        <v>21000000</v>
      </c>
      <c r="I499" s="39"/>
    </row>
    <row r="500" spans="1:9" s="37" customFormat="1">
      <c r="A500" s="42"/>
      <c r="B500" s="35" t="s">
        <v>252</v>
      </c>
      <c r="C500" s="35"/>
      <c r="D500" s="35"/>
      <c r="E500" s="35"/>
      <c r="F500" s="35"/>
      <c r="G500" s="6"/>
      <c r="I500" s="39"/>
    </row>
    <row r="501" spans="1:9" s="37" customFormat="1">
      <c r="A501" s="45"/>
      <c r="B501" s="46" t="s">
        <v>197</v>
      </c>
      <c r="C501" s="48">
        <v>14</v>
      </c>
      <c r="D501" s="48">
        <v>2</v>
      </c>
      <c r="E501" s="48" t="s">
        <v>72</v>
      </c>
      <c r="F501" s="50">
        <v>300000</v>
      </c>
      <c r="G501" s="6">
        <f>C501*D501*F501</f>
        <v>8400000</v>
      </c>
      <c r="I501" s="39"/>
    </row>
    <row r="502" spans="1:9" s="37" customFormat="1">
      <c r="A502" s="42"/>
      <c r="B502" s="35" t="s">
        <v>253</v>
      </c>
      <c r="C502" s="35"/>
      <c r="D502" s="35"/>
      <c r="E502" s="35"/>
      <c r="F502" s="35"/>
      <c r="G502" s="6"/>
      <c r="I502" s="39"/>
    </row>
    <row r="503" spans="1:9" s="37" customFormat="1">
      <c r="A503" s="45"/>
      <c r="B503" s="46" t="s">
        <v>197</v>
      </c>
      <c r="C503" s="48">
        <v>14</v>
      </c>
      <c r="D503" s="48">
        <v>1</v>
      </c>
      <c r="E503" s="48" t="s">
        <v>72</v>
      </c>
      <c r="F503" s="50">
        <v>300000</v>
      </c>
      <c r="G503" s="6">
        <f>C503*D503*F503</f>
        <v>4200000</v>
      </c>
      <c r="I503" s="39"/>
    </row>
    <row r="504" spans="1:9" s="37" customFormat="1">
      <c r="A504" s="42"/>
      <c r="B504" s="35" t="s">
        <v>254</v>
      </c>
      <c r="C504" s="35"/>
      <c r="D504" s="35"/>
      <c r="E504" s="35"/>
      <c r="F504" s="35"/>
      <c r="G504" s="6"/>
      <c r="I504" s="39"/>
    </row>
    <row r="505" spans="1:9" s="37" customFormat="1">
      <c r="A505" s="45"/>
      <c r="B505" s="46" t="s">
        <v>197</v>
      </c>
      <c r="C505" s="48">
        <v>14</v>
      </c>
      <c r="D505" s="48">
        <v>4</v>
      </c>
      <c r="E505" s="48" t="s">
        <v>72</v>
      </c>
      <c r="F505" s="50">
        <v>300000</v>
      </c>
      <c r="G505" s="6">
        <f>C505*D505*F505</f>
        <v>16800000</v>
      </c>
      <c r="I505" s="39"/>
    </row>
    <row r="506" spans="1:9" s="37" customFormat="1">
      <c r="A506" s="42"/>
      <c r="B506" s="35" t="s">
        <v>255</v>
      </c>
      <c r="C506" s="35"/>
      <c r="D506" s="35"/>
      <c r="E506" s="35"/>
      <c r="F506" s="35"/>
      <c r="G506" s="6"/>
      <c r="I506" s="39"/>
    </row>
    <row r="507" spans="1:9" s="37" customFormat="1">
      <c r="A507" s="45"/>
      <c r="B507" s="46" t="s">
        <v>197</v>
      </c>
      <c r="C507" s="48">
        <v>14</v>
      </c>
      <c r="D507" s="48">
        <f>32+3</f>
        <v>35</v>
      </c>
      <c r="E507" s="48" t="s">
        <v>72</v>
      </c>
      <c r="F507" s="50">
        <v>300000</v>
      </c>
      <c r="G507" s="6">
        <f>C507*D507*F507</f>
        <v>147000000</v>
      </c>
      <c r="I507" s="39"/>
    </row>
    <row r="508" spans="1:9" s="37" customFormat="1">
      <c r="A508" s="45"/>
      <c r="B508" s="35" t="s">
        <v>256</v>
      </c>
      <c r="C508" s="35"/>
      <c r="D508" s="35"/>
      <c r="E508" s="35"/>
      <c r="F508" s="35"/>
      <c r="G508" s="6"/>
      <c r="I508" s="39"/>
    </row>
    <row r="509" spans="1:9" s="37" customFormat="1">
      <c r="A509" s="45"/>
      <c r="B509" s="46" t="s">
        <v>197</v>
      </c>
      <c r="C509" s="48">
        <v>14</v>
      </c>
      <c r="D509" s="48">
        <v>6</v>
      </c>
      <c r="E509" s="48" t="s">
        <v>72</v>
      </c>
      <c r="F509" s="50">
        <v>300000</v>
      </c>
      <c r="G509" s="6">
        <f>C509*D509*F509</f>
        <v>25200000</v>
      </c>
      <c r="I509" s="39"/>
    </row>
    <row r="510" spans="1:9" s="37" customFormat="1">
      <c r="A510" s="42"/>
      <c r="B510" s="35" t="s">
        <v>257</v>
      </c>
      <c r="C510" s="35"/>
      <c r="D510" s="35"/>
      <c r="E510" s="35"/>
      <c r="F510" s="35"/>
      <c r="G510" s="6"/>
      <c r="I510" s="39"/>
    </row>
    <row r="511" spans="1:9" s="37" customFormat="1">
      <c r="A511" s="45"/>
      <c r="B511" s="46" t="s">
        <v>197</v>
      </c>
      <c r="C511" s="48">
        <v>14</v>
      </c>
      <c r="D511" s="48">
        <v>15</v>
      </c>
      <c r="E511" s="48" t="s">
        <v>72</v>
      </c>
      <c r="F511" s="50">
        <v>300000</v>
      </c>
      <c r="G511" s="6">
        <f>C511*D511*F511</f>
        <v>63000000</v>
      </c>
      <c r="I511" s="39"/>
    </row>
    <row r="512" spans="1:9" s="37" customFormat="1">
      <c r="A512" s="45"/>
      <c r="B512" s="35" t="s">
        <v>258</v>
      </c>
      <c r="C512" s="35"/>
      <c r="D512" s="35"/>
      <c r="E512" s="35"/>
      <c r="F512" s="35"/>
      <c r="G512" s="6"/>
      <c r="I512" s="39"/>
    </row>
    <row r="513" spans="1:9" s="37" customFormat="1">
      <c r="A513" s="45"/>
      <c r="B513" s="46" t="s">
        <v>197</v>
      </c>
      <c r="C513" s="48">
        <v>14</v>
      </c>
      <c r="D513" s="48">
        <v>2</v>
      </c>
      <c r="E513" s="48" t="s">
        <v>72</v>
      </c>
      <c r="F513" s="50">
        <v>300000</v>
      </c>
      <c r="G513" s="6">
        <f>C513*D513*F513</f>
        <v>8400000</v>
      </c>
      <c r="I513" s="39"/>
    </row>
    <row r="514" spans="1:9" s="37" customFormat="1">
      <c r="A514" s="45"/>
      <c r="B514" s="35" t="s">
        <v>259</v>
      </c>
      <c r="C514" s="35"/>
      <c r="D514" s="35"/>
      <c r="E514" s="35"/>
      <c r="F514" s="35"/>
      <c r="G514" s="6"/>
      <c r="I514" s="39"/>
    </row>
    <row r="515" spans="1:9" s="37" customFormat="1">
      <c r="A515" s="45"/>
      <c r="B515" s="46" t="s">
        <v>197</v>
      </c>
      <c r="C515" s="48">
        <v>14</v>
      </c>
      <c r="D515" s="48">
        <v>84</v>
      </c>
      <c r="E515" s="48" t="s">
        <v>72</v>
      </c>
      <c r="F515" s="50">
        <v>265000</v>
      </c>
      <c r="G515" s="6">
        <f>C515*D515*F515</f>
        <v>311640000</v>
      </c>
      <c r="I515" s="39"/>
    </row>
    <row r="516" spans="1:9" s="37" customFormat="1">
      <c r="A516" s="42"/>
      <c r="B516" s="35" t="s">
        <v>260</v>
      </c>
      <c r="C516" s="35"/>
      <c r="D516" s="35"/>
      <c r="E516" s="35"/>
      <c r="F516" s="35"/>
      <c r="G516" s="6"/>
      <c r="I516" s="39"/>
    </row>
    <row r="517" spans="1:9" s="37" customFormat="1">
      <c r="A517" s="45"/>
      <c r="B517" s="46" t="s">
        <v>197</v>
      </c>
      <c r="C517" s="48">
        <v>14</v>
      </c>
      <c r="D517" s="48">
        <v>82</v>
      </c>
      <c r="E517" s="48" t="s">
        <v>72</v>
      </c>
      <c r="F517" s="50">
        <v>265000</v>
      </c>
      <c r="G517" s="6">
        <f>C517*D517*F517</f>
        <v>304220000</v>
      </c>
      <c r="I517" s="39"/>
    </row>
    <row r="518" spans="1:9" s="37" customFormat="1">
      <c r="A518" s="45"/>
      <c r="B518" s="35" t="s">
        <v>261</v>
      </c>
      <c r="C518" s="35"/>
      <c r="D518" s="35"/>
      <c r="E518" s="35"/>
      <c r="F518" s="35"/>
      <c r="G518" s="6"/>
      <c r="I518" s="39"/>
    </row>
    <row r="519" spans="1:9" s="37" customFormat="1">
      <c r="A519" s="45"/>
      <c r="B519" s="46" t="s">
        <v>197</v>
      </c>
      <c r="C519" s="48">
        <v>14</v>
      </c>
      <c r="D519" s="48">
        <f>6+8+10</f>
        <v>24</v>
      </c>
      <c r="E519" s="48" t="s">
        <v>72</v>
      </c>
      <c r="F519" s="50">
        <v>265000</v>
      </c>
      <c r="G519" s="6">
        <f>C519*D519*F519</f>
        <v>89040000</v>
      </c>
      <c r="I519" s="39"/>
    </row>
    <row r="520" spans="1:9" s="37" customFormat="1" ht="24">
      <c r="A520" s="45"/>
      <c r="B520" s="35" t="s">
        <v>262</v>
      </c>
      <c r="C520" s="35"/>
      <c r="D520" s="35"/>
      <c r="E520" s="35"/>
      <c r="F520" s="35"/>
      <c r="G520" s="6"/>
      <c r="I520" s="39"/>
    </row>
    <row r="521" spans="1:9" s="37" customFormat="1">
      <c r="A521" s="45"/>
      <c r="B521" s="46" t="s">
        <v>197</v>
      </c>
      <c r="C521" s="48">
        <v>14</v>
      </c>
      <c r="D521" s="48">
        <v>1</v>
      </c>
      <c r="E521" s="48" t="s">
        <v>72</v>
      </c>
      <c r="F521" s="50">
        <v>265000</v>
      </c>
      <c r="G521" s="6">
        <f>C521*D521*F521</f>
        <v>3710000</v>
      </c>
      <c r="I521" s="39"/>
    </row>
    <row r="522" spans="1:9" s="37" customFormat="1">
      <c r="A522" s="45"/>
      <c r="B522" s="35" t="s">
        <v>263</v>
      </c>
      <c r="C522" s="35"/>
      <c r="D522" s="35"/>
      <c r="E522" s="35"/>
      <c r="F522" s="35"/>
      <c r="G522" s="6"/>
      <c r="I522" s="39"/>
    </row>
    <row r="523" spans="1:9" s="37" customFormat="1">
      <c r="A523" s="45"/>
      <c r="B523" s="46" t="s">
        <v>197</v>
      </c>
      <c r="C523" s="48">
        <v>14</v>
      </c>
      <c r="D523" s="48">
        <f>1+1</f>
        <v>2</v>
      </c>
      <c r="E523" s="48" t="s">
        <v>72</v>
      </c>
      <c r="F523" s="50">
        <v>265000</v>
      </c>
      <c r="G523" s="6">
        <f>C523*D523*F523</f>
        <v>7420000</v>
      </c>
      <c r="I523" s="39"/>
    </row>
    <row r="524" spans="1:9" s="37" customFormat="1">
      <c r="A524" s="45"/>
      <c r="B524" s="35" t="s">
        <v>264</v>
      </c>
      <c r="C524" s="35"/>
      <c r="D524" s="35"/>
      <c r="E524" s="35"/>
      <c r="F524" s="35"/>
      <c r="G524" s="6"/>
      <c r="I524" s="39"/>
    </row>
    <row r="525" spans="1:9" s="37" customFormat="1">
      <c r="A525" s="45"/>
      <c r="B525" s="46" t="s">
        <v>197</v>
      </c>
      <c r="C525" s="48">
        <v>14</v>
      </c>
      <c r="D525" s="48">
        <f>2+3</f>
        <v>5</v>
      </c>
      <c r="E525" s="48" t="s">
        <v>72</v>
      </c>
      <c r="F525" s="50">
        <v>265000</v>
      </c>
      <c r="G525" s="6">
        <f>C525*D525*F525</f>
        <v>18550000</v>
      </c>
      <c r="I525" s="39"/>
    </row>
    <row r="526" spans="1:9" s="37" customFormat="1">
      <c r="A526" s="45"/>
      <c r="B526" s="35" t="s">
        <v>265</v>
      </c>
      <c r="C526" s="48"/>
      <c r="D526" s="48"/>
      <c r="E526" s="48"/>
      <c r="F526" s="50"/>
      <c r="G526" s="6"/>
      <c r="I526" s="39"/>
    </row>
    <row r="527" spans="1:9" s="37" customFormat="1">
      <c r="A527" s="45"/>
      <c r="B527" s="46" t="s">
        <v>197</v>
      </c>
      <c r="C527" s="48">
        <v>14</v>
      </c>
      <c r="D527" s="48">
        <f>3+3</f>
        <v>6</v>
      </c>
      <c r="E527" s="48" t="s">
        <v>72</v>
      </c>
      <c r="F527" s="50">
        <v>240000</v>
      </c>
      <c r="G527" s="6">
        <f>C527*D527*F527</f>
        <v>20160000</v>
      </c>
      <c r="I527" s="39"/>
    </row>
    <row r="528" spans="1:9" s="37" customFormat="1" ht="24">
      <c r="A528" s="42"/>
      <c r="B528" s="43" t="s">
        <v>266</v>
      </c>
      <c r="C528" s="43"/>
      <c r="D528" s="43"/>
      <c r="E528" s="43"/>
      <c r="F528" s="43"/>
      <c r="G528" s="4">
        <f>SUM(G530:G566)</f>
        <v>1239420000</v>
      </c>
      <c r="I528" s="39"/>
    </row>
    <row r="529" spans="1:9" s="37" customFormat="1">
      <c r="A529" s="42"/>
      <c r="B529" s="35" t="s">
        <v>214</v>
      </c>
      <c r="C529" s="35"/>
      <c r="D529" s="35"/>
      <c r="E529" s="35"/>
      <c r="F529" s="35"/>
      <c r="G529" s="5"/>
      <c r="I529" s="39"/>
    </row>
    <row r="530" spans="1:9" s="37" customFormat="1">
      <c r="A530" s="45"/>
      <c r="B530" s="46" t="s">
        <v>191</v>
      </c>
      <c r="C530" s="48">
        <v>14</v>
      </c>
      <c r="D530" s="48">
        <v>1</v>
      </c>
      <c r="E530" s="48" t="s">
        <v>72</v>
      </c>
      <c r="F530" s="50">
        <v>1150000</v>
      </c>
      <c r="G530" s="6">
        <f>C530*D530*F530</f>
        <v>16100000</v>
      </c>
      <c r="I530" s="39"/>
    </row>
    <row r="531" spans="1:9" s="37" customFormat="1">
      <c r="A531" s="45"/>
      <c r="B531" s="35" t="s">
        <v>267</v>
      </c>
      <c r="C531" s="35"/>
      <c r="D531" s="35"/>
      <c r="E531" s="35"/>
      <c r="F531" s="35"/>
      <c r="G531" s="6"/>
      <c r="I531" s="39"/>
    </row>
    <row r="532" spans="1:9" s="37" customFormat="1">
      <c r="A532" s="45"/>
      <c r="B532" s="46" t="s">
        <v>197</v>
      </c>
      <c r="C532" s="48">
        <v>14</v>
      </c>
      <c r="D532" s="48">
        <f>2+2</f>
        <v>4</v>
      </c>
      <c r="E532" s="48" t="s">
        <v>72</v>
      </c>
      <c r="F532" s="50">
        <v>360000</v>
      </c>
      <c r="G532" s="6">
        <f>C532*D532*F532</f>
        <v>20160000</v>
      </c>
      <c r="I532" s="39"/>
    </row>
    <row r="533" spans="1:9" s="37" customFormat="1">
      <c r="A533" s="45"/>
      <c r="B533" s="35" t="s">
        <v>245</v>
      </c>
      <c r="C533" s="35"/>
      <c r="D533" s="35"/>
      <c r="E533" s="35"/>
      <c r="F533" s="35"/>
      <c r="G533" s="6"/>
      <c r="I533" s="39"/>
    </row>
    <row r="534" spans="1:9" s="37" customFormat="1">
      <c r="A534" s="45"/>
      <c r="B534" s="46" t="s">
        <v>197</v>
      </c>
      <c r="C534" s="48">
        <v>14</v>
      </c>
      <c r="D534" s="48">
        <f>1+4</f>
        <v>5</v>
      </c>
      <c r="E534" s="48" t="s">
        <v>72</v>
      </c>
      <c r="F534" s="50">
        <v>360000</v>
      </c>
      <c r="G534" s="6">
        <f>C534*D534*F534</f>
        <v>25200000</v>
      </c>
      <c r="I534" s="39"/>
    </row>
    <row r="535" spans="1:9" s="37" customFormat="1">
      <c r="A535" s="45"/>
      <c r="B535" s="35" t="s">
        <v>268</v>
      </c>
      <c r="C535" s="35"/>
      <c r="D535" s="35"/>
      <c r="E535" s="35"/>
      <c r="F535" s="35"/>
      <c r="G535" s="6"/>
      <c r="I535" s="39"/>
    </row>
    <row r="536" spans="1:9" s="37" customFormat="1">
      <c r="A536" s="45"/>
      <c r="B536" s="46" t="s">
        <v>197</v>
      </c>
      <c r="C536" s="48">
        <v>14</v>
      </c>
      <c r="D536" s="48">
        <v>1</v>
      </c>
      <c r="E536" s="48" t="s">
        <v>72</v>
      </c>
      <c r="F536" s="50">
        <v>360000</v>
      </c>
      <c r="G536" s="6">
        <f>C536*D536*F536</f>
        <v>5040000</v>
      </c>
      <c r="I536" s="39"/>
    </row>
    <row r="537" spans="1:9" s="37" customFormat="1">
      <c r="A537" s="45"/>
      <c r="B537" s="35" t="s">
        <v>269</v>
      </c>
      <c r="C537" s="35"/>
      <c r="D537" s="35"/>
      <c r="E537" s="35"/>
      <c r="F537" s="35"/>
      <c r="G537" s="6"/>
      <c r="I537" s="39"/>
    </row>
    <row r="538" spans="1:9" s="37" customFormat="1">
      <c r="A538" s="45"/>
      <c r="B538" s="46" t="s">
        <v>197</v>
      </c>
      <c r="C538" s="48">
        <v>14</v>
      </c>
      <c r="D538" s="48">
        <v>1</v>
      </c>
      <c r="E538" s="48" t="s">
        <v>72</v>
      </c>
      <c r="F538" s="50">
        <v>360000</v>
      </c>
      <c r="G538" s="6">
        <f>C538*D538*F538</f>
        <v>5040000</v>
      </c>
      <c r="I538" s="39"/>
    </row>
    <row r="539" spans="1:9" s="37" customFormat="1">
      <c r="A539" s="45"/>
      <c r="B539" s="35" t="s">
        <v>270</v>
      </c>
      <c r="C539" s="35"/>
      <c r="D539" s="35"/>
      <c r="E539" s="35"/>
      <c r="F539" s="35"/>
      <c r="G539" s="5"/>
      <c r="I539" s="39"/>
    </row>
    <row r="540" spans="1:9" s="37" customFormat="1">
      <c r="A540" s="45"/>
      <c r="B540" s="46" t="s">
        <v>197</v>
      </c>
      <c r="C540" s="48">
        <v>14</v>
      </c>
      <c r="D540" s="48">
        <f>1+2</f>
        <v>3</v>
      </c>
      <c r="E540" s="48" t="s">
        <v>72</v>
      </c>
      <c r="F540" s="50">
        <v>350000</v>
      </c>
      <c r="G540" s="6">
        <f>C540*D540*F540</f>
        <v>14700000</v>
      </c>
      <c r="I540" s="39"/>
    </row>
    <row r="541" spans="1:9" s="37" customFormat="1">
      <c r="A541" s="42"/>
      <c r="B541" s="35" t="s">
        <v>261</v>
      </c>
      <c r="C541" s="35"/>
      <c r="D541" s="35"/>
      <c r="E541" s="35"/>
      <c r="F541" s="35"/>
      <c r="G541" s="5"/>
      <c r="I541" s="39"/>
    </row>
    <row r="542" spans="1:9" s="37" customFormat="1">
      <c r="A542" s="45"/>
      <c r="B542" s="46" t="s">
        <v>197</v>
      </c>
      <c r="C542" s="48">
        <v>14</v>
      </c>
      <c r="D542" s="48">
        <v>1</v>
      </c>
      <c r="E542" s="48" t="s">
        <v>72</v>
      </c>
      <c r="F542" s="50">
        <v>265000</v>
      </c>
      <c r="G542" s="6">
        <f>C542*D542*F542</f>
        <v>3710000</v>
      </c>
      <c r="I542" s="39"/>
    </row>
    <row r="543" spans="1:9" s="37" customFormat="1">
      <c r="A543" s="42"/>
      <c r="B543" s="35" t="s">
        <v>260</v>
      </c>
      <c r="C543" s="35"/>
      <c r="D543" s="35"/>
      <c r="E543" s="35"/>
      <c r="F543" s="35"/>
      <c r="G543" s="5"/>
      <c r="I543" s="39"/>
    </row>
    <row r="544" spans="1:9" s="37" customFormat="1">
      <c r="A544" s="45"/>
      <c r="B544" s="46" t="s">
        <v>197</v>
      </c>
      <c r="C544" s="48">
        <v>14</v>
      </c>
      <c r="D544" s="48">
        <v>1</v>
      </c>
      <c r="E544" s="48" t="s">
        <v>72</v>
      </c>
      <c r="F544" s="50">
        <v>265000</v>
      </c>
      <c r="G544" s="6">
        <f>C544*D544*F544</f>
        <v>3710000</v>
      </c>
      <c r="I544" s="39"/>
    </row>
    <row r="545" spans="1:9" s="37" customFormat="1">
      <c r="A545" s="45"/>
      <c r="B545" s="35" t="s">
        <v>271</v>
      </c>
      <c r="C545" s="35"/>
      <c r="D545" s="35"/>
      <c r="E545" s="35"/>
      <c r="F545" s="35"/>
      <c r="G545" s="5"/>
      <c r="I545" s="39"/>
    </row>
    <row r="546" spans="1:9" s="37" customFormat="1">
      <c r="A546" s="45"/>
      <c r="B546" s="46" t="s">
        <v>191</v>
      </c>
      <c r="C546" s="48">
        <v>14</v>
      </c>
      <c r="D546" s="48">
        <f>16+5</f>
        <v>21</v>
      </c>
      <c r="E546" s="48" t="s">
        <v>72</v>
      </c>
      <c r="F546" s="50">
        <v>240000</v>
      </c>
      <c r="G546" s="6">
        <f>C546*D546*F546</f>
        <v>70560000</v>
      </c>
      <c r="I546" s="39"/>
    </row>
    <row r="547" spans="1:9" s="37" customFormat="1">
      <c r="A547" s="45"/>
      <c r="B547" s="35" t="s">
        <v>272</v>
      </c>
      <c r="C547" s="48"/>
      <c r="D547" s="48"/>
      <c r="E547" s="48"/>
      <c r="F547" s="50"/>
      <c r="G547" s="6"/>
      <c r="I547" s="39"/>
    </row>
    <row r="548" spans="1:9" s="37" customFormat="1">
      <c r="A548" s="45"/>
      <c r="B548" s="46" t="s">
        <v>197</v>
      </c>
      <c r="C548" s="48">
        <v>14</v>
      </c>
      <c r="D548" s="48">
        <v>56</v>
      </c>
      <c r="E548" s="48" t="s">
        <v>72</v>
      </c>
      <c r="F548" s="50">
        <v>240000</v>
      </c>
      <c r="G548" s="6">
        <f>C548*D548*F548</f>
        <v>188160000</v>
      </c>
      <c r="I548" s="39"/>
    </row>
    <row r="549" spans="1:9" s="37" customFormat="1">
      <c r="A549" s="42"/>
      <c r="B549" s="35" t="s">
        <v>265</v>
      </c>
      <c r="C549" s="35"/>
      <c r="D549" s="35"/>
      <c r="E549" s="35"/>
      <c r="F549" s="35"/>
      <c r="G549" s="5"/>
      <c r="I549" s="39"/>
    </row>
    <row r="550" spans="1:9" s="37" customFormat="1">
      <c r="A550" s="45"/>
      <c r="B550" s="46" t="s">
        <v>191</v>
      </c>
      <c r="C550" s="48">
        <v>14</v>
      </c>
      <c r="D550" s="48">
        <f>50+2</f>
        <v>52</v>
      </c>
      <c r="E550" s="48" t="s">
        <v>72</v>
      </c>
      <c r="F550" s="50">
        <v>240000</v>
      </c>
      <c r="G550" s="6">
        <f>C550*D550*F550</f>
        <v>174720000</v>
      </c>
      <c r="I550" s="39"/>
    </row>
    <row r="551" spans="1:9" s="37" customFormat="1">
      <c r="A551" s="42"/>
      <c r="B551" s="35" t="s">
        <v>273</v>
      </c>
      <c r="C551" s="35"/>
      <c r="D551" s="35"/>
      <c r="E551" s="35"/>
      <c r="F551" s="35"/>
      <c r="G551" s="5"/>
      <c r="I551" s="39"/>
    </row>
    <row r="552" spans="1:9" s="37" customFormat="1">
      <c r="A552" s="45"/>
      <c r="B552" s="46" t="s">
        <v>197</v>
      </c>
      <c r="C552" s="48">
        <v>14</v>
      </c>
      <c r="D552" s="48">
        <v>22</v>
      </c>
      <c r="E552" s="48" t="s">
        <v>72</v>
      </c>
      <c r="F552" s="50">
        <v>240000</v>
      </c>
      <c r="G552" s="6">
        <f>C552*D552*F552</f>
        <v>73920000</v>
      </c>
      <c r="I552" s="39"/>
    </row>
    <row r="553" spans="1:9" s="37" customFormat="1">
      <c r="A553" s="45"/>
      <c r="B553" s="35" t="s">
        <v>274</v>
      </c>
      <c r="C553" s="35"/>
      <c r="D553" s="35"/>
      <c r="E553" s="35"/>
      <c r="F553" s="35"/>
      <c r="G553" s="5"/>
      <c r="I553" s="39"/>
    </row>
    <row r="554" spans="1:9" s="37" customFormat="1">
      <c r="A554" s="45"/>
      <c r="B554" s="46" t="s">
        <v>197</v>
      </c>
      <c r="C554" s="48">
        <v>14</v>
      </c>
      <c r="D554" s="48">
        <f>7+1</f>
        <v>8</v>
      </c>
      <c r="E554" s="48" t="s">
        <v>72</v>
      </c>
      <c r="F554" s="50">
        <v>240000</v>
      </c>
      <c r="G554" s="6">
        <f>C554*D554*F554</f>
        <v>26880000</v>
      </c>
      <c r="I554" s="39"/>
    </row>
    <row r="555" spans="1:9" s="37" customFormat="1">
      <c r="A555" s="42"/>
      <c r="B555" s="35" t="s">
        <v>275</v>
      </c>
      <c r="C555" s="35"/>
      <c r="D555" s="35"/>
      <c r="E555" s="35"/>
      <c r="F555" s="35"/>
      <c r="G555" s="5"/>
      <c r="I555" s="39"/>
    </row>
    <row r="556" spans="1:9" s="37" customFormat="1">
      <c r="A556" s="45"/>
      <c r="B556" s="46" t="s">
        <v>197</v>
      </c>
      <c r="C556" s="48">
        <v>14</v>
      </c>
      <c r="D556" s="48">
        <f>46+59</f>
        <v>105</v>
      </c>
      <c r="E556" s="48" t="s">
        <v>72</v>
      </c>
      <c r="F556" s="50">
        <v>240000</v>
      </c>
      <c r="G556" s="6">
        <f>C556*D556*F556</f>
        <v>352800000</v>
      </c>
      <c r="I556" s="39"/>
    </row>
    <row r="557" spans="1:9" s="37" customFormat="1">
      <c r="A557" s="45"/>
      <c r="B557" s="35" t="s">
        <v>276</v>
      </c>
      <c r="C557" s="35"/>
      <c r="D557" s="35"/>
      <c r="E557" s="35"/>
      <c r="F557" s="35"/>
      <c r="G557" s="6"/>
      <c r="I557" s="39"/>
    </row>
    <row r="558" spans="1:9" s="37" customFormat="1">
      <c r="A558" s="45"/>
      <c r="B558" s="46" t="s">
        <v>197</v>
      </c>
      <c r="C558" s="48">
        <v>14</v>
      </c>
      <c r="D558" s="48">
        <f>3+17</f>
        <v>20</v>
      </c>
      <c r="E558" s="48" t="s">
        <v>72</v>
      </c>
      <c r="F558" s="50">
        <v>240000</v>
      </c>
      <c r="G558" s="6">
        <f>C558*D558*F558</f>
        <v>67200000</v>
      </c>
      <c r="I558" s="39"/>
    </row>
    <row r="559" spans="1:9" s="37" customFormat="1">
      <c r="A559" s="45"/>
      <c r="B559" s="35" t="s">
        <v>277</v>
      </c>
      <c r="C559" s="35"/>
      <c r="D559" s="35"/>
      <c r="E559" s="35"/>
      <c r="F559" s="35"/>
      <c r="G559" s="6"/>
      <c r="I559" s="39"/>
    </row>
    <row r="560" spans="1:9" s="37" customFormat="1">
      <c r="A560" s="45"/>
      <c r="B560" s="46" t="s">
        <v>197</v>
      </c>
      <c r="C560" s="48">
        <v>14</v>
      </c>
      <c r="D560" s="48">
        <f>30+1</f>
        <v>31</v>
      </c>
      <c r="E560" s="48" t="s">
        <v>72</v>
      </c>
      <c r="F560" s="50">
        <v>240000</v>
      </c>
      <c r="G560" s="6">
        <f>C560*D560*F560</f>
        <v>104160000</v>
      </c>
      <c r="I560" s="39"/>
    </row>
    <row r="561" spans="1:11" s="37" customFormat="1">
      <c r="A561" s="45"/>
      <c r="B561" s="35" t="s">
        <v>278</v>
      </c>
      <c r="C561" s="35"/>
      <c r="D561" s="35"/>
      <c r="E561" s="35"/>
      <c r="F561" s="35"/>
      <c r="G561" s="6"/>
      <c r="I561" s="39"/>
    </row>
    <row r="562" spans="1:11" s="37" customFormat="1">
      <c r="A562" s="45"/>
      <c r="B562" s="46" t="s">
        <v>197</v>
      </c>
      <c r="C562" s="48">
        <v>14</v>
      </c>
      <c r="D562" s="48">
        <f>21+2</f>
        <v>23</v>
      </c>
      <c r="E562" s="48" t="s">
        <v>72</v>
      </c>
      <c r="F562" s="50">
        <v>240000</v>
      </c>
      <c r="G562" s="6">
        <f>C562*D562*F562</f>
        <v>77280000</v>
      </c>
      <c r="I562" s="39"/>
    </row>
    <row r="563" spans="1:11" s="37" customFormat="1">
      <c r="A563" s="45"/>
      <c r="B563" s="35" t="s">
        <v>279</v>
      </c>
      <c r="C563" s="35"/>
      <c r="D563" s="35"/>
      <c r="E563" s="35"/>
      <c r="F563" s="35"/>
      <c r="G563" s="6"/>
      <c r="I563" s="39"/>
    </row>
    <row r="564" spans="1:11" s="37" customFormat="1">
      <c r="A564" s="45"/>
      <c r="B564" s="46" t="s">
        <v>197</v>
      </c>
      <c r="C564" s="48">
        <v>14</v>
      </c>
      <c r="D564" s="48">
        <v>1</v>
      </c>
      <c r="E564" s="48" t="s">
        <v>72</v>
      </c>
      <c r="F564" s="50">
        <v>240000</v>
      </c>
      <c r="G564" s="6">
        <f>C564*D564*F564</f>
        <v>3360000</v>
      </c>
      <c r="I564" s="39"/>
    </row>
    <row r="565" spans="1:11" s="37" customFormat="1">
      <c r="A565" s="45"/>
      <c r="B565" s="35" t="s">
        <v>280</v>
      </c>
      <c r="C565" s="35"/>
      <c r="D565" s="35"/>
      <c r="E565" s="35"/>
      <c r="F565" s="35"/>
      <c r="G565" s="6"/>
      <c r="I565" s="39"/>
    </row>
    <row r="566" spans="1:11" s="37" customFormat="1">
      <c r="A566" s="45"/>
      <c r="B566" s="46" t="s">
        <v>197</v>
      </c>
      <c r="C566" s="48">
        <v>14</v>
      </c>
      <c r="D566" s="48">
        <v>2</v>
      </c>
      <c r="E566" s="48" t="s">
        <v>72</v>
      </c>
      <c r="F566" s="50">
        <v>240000</v>
      </c>
      <c r="G566" s="6">
        <f>C566*D566*F566</f>
        <v>6720000</v>
      </c>
      <c r="I566" s="39"/>
    </row>
    <row r="567" spans="1:11" s="37" customFormat="1">
      <c r="A567" s="34" t="s">
        <v>281</v>
      </c>
      <c r="B567" s="35" t="s">
        <v>282</v>
      </c>
      <c r="C567" s="48"/>
      <c r="D567" s="48"/>
      <c r="E567" s="48"/>
      <c r="F567" s="50"/>
      <c r="G567" s="13">
        <f>SUM(G568:G576)</f>
        <v>7555753559</v>
      </c>
      <c r="H567" s="40"/>
      <c r="I567" s="1"/>
      <c r="J567" s="90"/>
      <c r="K567" s="90"/>
    </row>
    <row r="568" spans="1:11" s="37" customFormat="1">
      <c r="A568" s="34"/>
      <c r="B568" s="55" t="s">
        <v>168</v>
      </c>
      <c r="C568" s="55">
        <v>1</v>
      </c>
      <c r="D568" s="55"/>
      <c r="E568" s="55" t="s">
        <v>283</v>
      </c>
      <c r="F568" s="14">
        <f>22470000+3125000+300000000-72475000+863559</f>
        <v>253983559</v>
      </c>
      <c r="G568" s="12">
        <f>C568*F568</f>
        <v>253983559</v>
      </c>
      <c r="I568" s="1"/>
    </row>
    <row r="569" spans="1:11" s="37" customFormat="1">
      <c r="A569" s="34"/>
      <c r="B569" s="35" t="s">
        <v>284</v>
      </c>
      <c r="C569" s="48"/>
      <c r="D569" s="48"/>
      <c r="E569" s="48"/>
      <c r="F569" s="50"/>
      <c r="G569" s="6"/>
      <c r="I569" s="39"/>
    </row>
    <row r="570" spans="1:11" s="37" customFormat="1">
      <c r="A570" s="34"/>
      <c r="B570" s="46" t="s">
        <v>282</v>
      </c>
      <c r="C570" s="48">
        <v>14</v>
      </c>
      <c r="D570" s="48">
        <f>100+6</f>
        <v>106</v>
      </c>
      <c r="E570" s="48" t="s">
        <v>135</v>
      </c>
      <c r="F570" s="50">
        <v>750000</v>
      </c>
      <c r="G570" s="6">
        <f>C570*D570*F570</f>
        <v>1113000000</v>
      </c>
      <c r="I570" s="39"/>
    </row>
    <row r="571" spans="1:11" s="37" customFormat="1">
      <c r="A571" s="45"/>
      <c r="B571" s="35" t="s">
        <v>285</v>
      </c>
      <c r="C571" s="48"/>
      <c r="D571" s="48"/>
      <c r="E571" s="48"/>
      <c r="F571" s="50"/>
      <c r="G571" s="6"/>
      <c r="I571" s="39"/>
    </row>
    <row r="572" spans="1:11" s="37" customFormat="1">
      <c r="A572" s="45"/>
      <c r="B572" s="46" t="s">
        <v>282</v>
      </c>
      <c r="C572" s="48">
        <v>14</v>
      </c>
      <c r="D572" s="48">
        <f>151+1+5+70+24</f>
        <v>251</v>
      </c>
      <c r="E572" s="48" t="s">
        <v>135</v>
      </c>
      <c r="F572" s="50">
        <v>325000</v>
      </c>
      <c r="G572" s="6">
        <f>C572*D572*F572</f>
        <v>1142050000</v>
      </c>
      <c r="I572" s="39"/>
    </row>
    <row r="573" spans="1:11" s="37" customFormat="1">
      <c r="A573" s="45"/>
      <c r="B573" s="35" t="s">
        <v>286</v>
      </c>
      <c r="C573" s="48"/>
      <c r="D573" s="48"/>
      <c r="E573" s="48"/>
      <c r="F573" s="50"/>
      <c r="G573" s="6"/>
      <c r="I573" s="39"/>
    </row>
    <row r="574" spans="1:11" s="37" customFormat="1">
      <c r="A574" s="45"/>
      <c r="B574" s="46" t="s">
        <v>282</v>
      </c>
      <c r="C574" s="48">
        <v>14</v>
      </c>
      <c r="D574" s="48">
        <f>142+250</f>
        <v>392</v>
      </c>
      <c r="E574" s="48" t="s">
        <v>135</v>
      </c>
      <c r="F574" s="50">
        <v>300000</v>
      </c>
      <c r="G574" s="6">
        <f>C574*D574*F574</f>
        <v>1646400000</v>
      </c>
      <c r="I574" s="39"/>
    </row>
    <row r="575" spans="1:11" s="37" customFormat="1">
      <c r="A575" s="51"/>
      <c r="B575" s="56" t="s">
        <v>287</v>
      </c>
      <c r="C575" s="52"/>
      <c r="D575" s="52"/>
      <c r="E575" s="52"/>
      <c r="F575" s="50"/>
      <c r="G575" s="8"/>
      <c r="I575" s="39"/>
    </row>
    <row r="576" spans="1:11" s="37" customFormat="1">
      <c r="A576" s="45"/>
      <c r="B576" s="46" t="s">
        <v>282</v>
      </c>
      <c r="C576" s="48">
        <v>14</v>
      </c>
      <c r="D576" s="48">
        <f>927+85</f>
        <v>1012</v>
      </c>
      <c r="E576" s="48" t="s">
        <v>135</v>
      </c>
      <c r="F576" s="50">
        <v>240000</v>
      </c>
      <c r="G576" s="6">
        <f>C576*D576*F576</f>
        <v>3400320000</v>
      </c>
      <c r="I576" s="39"/>
    </row>
    <row r="577" spans="1:11" s="37" customFormat="1">
      <c r="A577" s="34" t="s">
        <v>288</v>
      </c>
      <c r="B577" s="35" t="s">
        <v>289</v>
      </c>
      <c r="C577" s="35"/>
      <c r="D577" s="35"/>
      <c r="E577" s="35"/>
      <c r="F577" s="35"/>
      <c r="G577" s="4">
        <f>G578+G587</f>
        <v>1653451780</v>
      </c>
      <c r="I577" s="1"/>
    </row>
    <row r="578" spans="1:11" s="37" customFormat="1">
      <c r="A578" s="34" t="s">
        <v>290</v>
      </c>
      <c r="B578" s="35" t="s">
        <v>291</v>
      </c>
      <c r="C578" s="35"/>
      <c r="D578" s="35"/>
      <c r="E578" s="35"/>
      <c r="F578" s="35"/>
      <c r="G578" s="4">
        <f>G579</f>
        <v>1309011780</v>
      </c>
      <c r="H578" s="40"/>
      <c r="I578" s="1"/>
      <c r="J578" s="90"/>
      <c r="K578" s="90"/>
    </row>
    <row r="579" spans="1:11" s="37" customFormat="1" ht="24">
      <c r="A579" s="42"/>
      <c r="B579" s="43" t="s">
        <v>292</v>
      </c>
      <c r="C579" s="43"/>
      <c r="D579" s="43"/>
      <c r="E579" s="43"/>
      <c r="F579" s="43"/>
      <c r="G579" s="4">
        <f>SUM(G580:G586)</f>
        <v>1309011780</v>
      </c>
      <c r="I579" s="39"/>
    </row>
    <row r="580" spans="1:11" s="37" customFormat="1">
      <c r="A580" s="42"/>
      <c r="B580" s="55" t="s">
        <v>168</v>
      </c>
      <c r="C580" s="55">
        <v>1</v>
      </c>
      <c r="D580" s="55"/>
      <c r="E580" s="55" t="s">
        <v>283</v>
      </c>
      <c r="F580" s="57">
        <f>7420000+770000+250000000-50000000+6780000+1411780</f>
        <v>216381780</v>
      </c>
      <c r="G580" s="12">
        <f>C580*F580</f>
        <v>216381780</v>
      </c>
      <c r="H580" s="90"/>
      <c r="I580" s="39"/>
    </row>
    <row r="581" spans="1:11" s="37" customFormat="1">
      <c r="A581" s="42"/>
      <c r="B581" s="35" t="s">
        <v>293</v>
      </c>
      <c r="C581" s="35"/>
      <c r="D581" s="35"/>
      <c r="E581" s="35"/>
      <c r="F581" s="35"/>
      <c r="G581" s="5"/>
      <c r="I581" s="39"/>
    </row>
    <row r="582" spans="1:11" s="37" customFormat="1">
      <c r="A582" s="45"/>
      <c r="B582" s="58" t="s">
        <v>294</v>
      </c>
      <c r="C582" s="48">
        <v>14</v>
      </c>
      <c r="D582" s="48">
        <f>2+10+15</f>
        <v>27</v>
      </c>
      <c r="E582" s="48" t="s">
        <v>72</v>
      </c>
      <c r="F582" s="50">
        <v>190000</v>
      </c>
      <c r="G582" s="6">
        <f>C582*D582*F582</f>
        <v>71820000</v>
      </c>
      <c r="I582" s="39"/>
    </row>
    <row r="583" spans="1:11" s="37" customFormat="1">
      <c r="A583" s="42"/>
      <c r="B583" s="35" t="s">
        <v>295</v>
      </c>
      <c r="C583" s="35"/>
      <c r="D583" s="35"/>
      <c r="E583" s="35"/>
      <c r="F583" s="35"/>
      <c r="G583" s="5"/>
      <c r="I583" s="39"/>
    </row>
    <row r="584" spans="1:11" s="37" customFormat="1">
      <c r="A584" s="51"/>
      <c r="B584" s="52" t="s">
        <v>294</v>
      </c>
      <c r="C584" s="52">
        <v>14</v>
      </c>
      <c r="D584" s="52">
        <f>78+10+95</f>
        <v>183</v>
      </c>
      <c r="E584" s="52" t="s">
        <v>72</v>
      </c>
      <c r="F584" s="50">
        <v>185000</v>
      </c>
      <c r="G584" s="8">
        <f>C584*D584*F584</f>
        <v>473970000</v>
      </c>
      <c r="I584" s="39"/>
    </row>
    <row r="585" spans="1:11" s="37" customFormat="1">
      <c r="A585" s="42"/>
      <c r="B585" s="35" t="s">
        <v>296</v>
      </c>
      <c r="C585" s="35"/>
      <c r="D585" s="35"/>
      <c r="E585" s="35"/>
      <c r="F585" s="35"/>
      <c r="G585" s="5"/>
      <c r="I585" s="39"/>
    </row>
    <row r="586" spans="1:11" s="37" customFormat="1">
      <c r="A586" s="51"/>
      <c r="B586" s="52" t="s">
        <v>294</v>
      </c>
      <c r="C586" s="52">
        <v>14</v>
      </c>
      <c r="D586" s="52">
        <f>45+51+121</f>
        <v>217</v>
      </c>
      <c r="E586" s="52" t="s">
        <v>72</v>
      </c>
      <c r="F586" s="50">
        <v>180000</v>
      </c>
      <c r="G586" s="8">
        <f>C586*D586*F586</f>
        <v>546840000</v>
      </c>
      <c r="I586" s="39"/>
    </row>
    <row r="587" spans="1:11" s="37" customFormat="1">
      <c r="A587" s="34" t="s">
        <v>297</v>
      </c>
      <c r="B587" s="35" t="s">
        <v>298</v>
      </c>
      <c r="C587" s="35"/>
      <c r="D587" s="35"/>
      <c r="E587" s="35"/>
      <c r="F587" s="35"/>
      <c r="G587" s="4">
        <f>G588</f>
        <v>344440000</v>
      </c>
      <c r="I587" s="1"/>
    </row>
    <row r="588" spans="1:11" s="37" customFormat="1" ht="24">
      <c r="A588" s="45"/>
      <c r="B588" s="35" t="s">
        <v>299</v>
      </c>
      <c r="C588" s="43"/>
      <c r="D588" s="43"/>
      <c r="E588" s="43"/>
      <c r="F588" s="43"/>
      <c r="G588" s="4">
        <f>SUM(G589:G595)</f>
        <v>344440000</v>
      </c>
      <c r="I588" s="39"/>
    </row>
    <row r="589" spans="1:11" s="37" customFormat="1">
      <c r="A589" s="45"/>
      <c r="B589" s="55" t="s">
        <v>168</v>
      </c>
      <c r="C589" s="55">
        <v>1</v>
      </c>
      <c r="D589" s="55"/>
      <c r="E589" s="55" t="s">
        <v>283</v>
      </c>
      <c r="F589" s="57">
        <f>1800000+245679797-54779797-41460000</f>
        <v>151240000</v>
      </c>
      <c r="G589" s="12">
        <f>C589*F589</f>
        <v>151240000</v>
      </c>
      <c r="I589" s="39"/>
    </row>
    <row r="590" spans="1:11" s="37" customFormat="1">
      <c r="A590" s="45"/>
      <c r="B590" s="35" t="s">
        <v>300</v>
      </c>
      <c r="C590" s="35"/>
      <c r="D590" s="35"/>
      <c r="E590" s="35"/>
      <c r="F590" s="35"/>
      <c r="G590" s="5"/>
      <c r="I590" s="39"/>
    </row>
    <row r="591" spans="1:11" s="37" customFormat="1">
      <c r="A591" s="45"/>
      <c r="B591" s="52" t="s">
        <v>294</v>
      </c>
      <c r="C591" s="52">
        <v>14</v>
      </c>
      <c r="D591" s="52">
        <f>65</f>
        <v>65</v>
      </c>
      <c r="E591" s="52" t="s">
        <v>72</v>
      </c>
      <c r="F591" s="50">
        <v>180000</v>
      </c>
      <c r="G591" s="8">
        <f>C591*D591*F591</f>
        <v>163800000</v>
      </c>
      <c r="I591" s="39"/>
    </row>
    <row r="592" spans="1:11" s="37" customFormat="1">
      <c r="A592" s="45"/>
      <c r="B592" s="35" t="s">
        <v>301</v>
      </c>
      <c r="C592" s="35"/>
      <c r="D592" s="35"/>
      <c r="E592" s="35"/>
      <c r="F592" s="35"/>
      <c r="G592" s="5"/>
      <c r="I592" s="39"/>
    </row>
    <row r="593" spans="1:11" s="37" customFormat="1">
      <c r="A593" s="45"/>
      <c r="B593" s="52" t="s">
        <v>294</v>
      </c>
      <c r="C593" s="52">
        <v>14</v>
      </c>
      <c r="D593" s="52">
        <f>1</f>
        <v>1</v>
      </c>
      <c r="E593" s="52" t="s">
        <v>72</v>
      </c>
      <c r="F593" s="50">
        <v>175000</v>
      </c>
      <c r="G593" s="8">
        <f>C593*D593*F593</f>
        <v>2450000</v>
      </c>
      <c r="I593" s="39"/>
    </row>
    <row r="594" spans="1:11" s="37" customFormat="1">
      <c r="A594" s="45"/>
      <c r="B594" s="35" t="s">
        <v>302</v>
      </c>
      <c r="C594" s="35"/>
      <c r="D594" s="35"/>
      <c r="E594" s="35"/>
      <c r="F594" s="35"/>
      <c r="G594" s="5"/>
      <c r="I594" s="39"/>
    </row>
    <row r="595" spans="1:11" s="37" customFormat="1">
      <c r="A595" s="45"/>
      <c r="B595" s="58" t="s">
        <v>294</v>
      </c>
      <c r="C595" s="48">
        <v>14</v>
      </c>
      <c r="D595" s="48">
        <f>11</f>
        <v>11</v>
      </c>
      <c r="E595" s="48" t="s">
        <v>72</v>
      </c>
      <c r="F595" s="50">
        <v>175000</v>
      </c>
      <c r="G595" s="6">
        <f>C595*D595*F595</f>
        <v>26950000</v>
      </c>
      <c r="I595" s="39"/>
    </row>
    <row r="596" spans="1:11" s="37" customFormat="1">
      <c r="A596" s="34" t="s">
        <v>303</v>
      </c>
      <c r="B596" s="35" t="s">
        <v>304</v>
      </c>
      <c r="C596" s="35"/>
      <c r="D596" s="35"/>
      <c r="E596" s="35"/>
      <c r="F596" s="35"/>
      <c r="G596" s="4">
        <f>G597+G625</f>
        <v>13520241078</v>
      </c>
      <c r="I596" s="36"/>
    </row>
    <row r="597" spans="1:11" s="37" customFormat="1">
      <c r="A597" s="34" t="s">
        <v>305</v>
      </c>
      <c r="B597" s="35" t="s">
        <v>306</v>
      </c>
      <c r="C597" s="35"/>
      <c r="D597" s="35"/>
      <c r="E597" s="35"/>
      <c r="F597" s="35"/>
      <c r="G597" s="4">
        <f>G598</f>
        <v>8153698599</v>
      </c>
      <c r="H597" s="40"/>
      <c r="I597" s="1"/>
      <c r="J597" s="90"/>
      <c r="K597" s="90"/>
    </row>
    <row r="598" spans="1:11" s="37" customFormat="1" ht="24">
      <c r="A598" s="42"/>
      <c r="B598" s="43" t="s">
        <v>307</v>
      </c>
      <c r="C598" s="43"/>
      <c r="D598" s="43"/>
      <c r="E598" s="43"/>
      <c r="F598" s="43"/>
      <c r="G598" s="4">
        <f>SUM(G599:G624)</f>
        <v>8153698599</v>
      </c>
      <c r="I598" s="1"/>
    </row>
    <row r="599" spans="1:11" s="37" customFormat="1">
      <c r="A599" s="42"/>
      <c r="B599" s="35" t="s">
        <v>144</v>
      </c>
      <c r="C599" s="35"/>
      <c r="D599" s="35"/>
      <c r="E599" s="35"/>
      <c r="F599" s="35"/>
      <c r="G599" s="5"/>
      <c r="I599" s="39"/>
    </row>
    <row r="600" spans="1:11" s="37" customFormat="1">
      <c r="A600" s="45"/>
      <c r="B600" s="46" t="s">
        <v>308</v>
      </c>
      <c r="C600" s="47">
        <v>1</v>
      </c>
      <c r="D600" s="47"/>
      <c r="E600" s="48" t="s">
        <v>69</v>
      </c>
      <c r="F600" s="50">
        <f>135859920+1500542-50000000+3888738+288017559</f>
        <v>379266759</v>
      </c>
      <c r="G600" s="6">
        <f>C600*F600</f>
        <v>379266759</v>
      </c>
      <c r="I600" s="39"/>
    </row>
    <row r="601" spans="1:11" s="37" customFormat="1">
      <c r="A601" s="45"/>
      <c r="B601" s="35" t="s">
        <v>309</v>
      </c>
      <c r="C601" s="35"/>
      <c r="D601" s="35"/>
      <c r="E601" s="35"/>
      <c r="F601" s="35"/>
      <c r="G601" s="5"/>
      <c r="I601" s="39"/>
    </row>
    <row r="602" spans="1:11" s="37" customFormat="1">
      <c r="A602" s="45"/>
      <c r="B602" s="46" t="s">
        <v>308</v>
      </c>
      <c r="C602" s="48">
        <v>14</v>
      </c>
      <c r="D602" s="48">
        <f>2+150</f>
        <v>152</v>
      </c>
      <c r="E602" s="48" t="s">
        <v>72</v>
      </c>
      <c r="F602" s="50">
        <v>72420</v>
      </c>
      <c r="G602" s="6">
        <f>C602*D602*F602</f>
        <v>154109760</v>
      </c>
      <c r="I602" s="39"/>
    </row>
    <row r="603" spans="1:11" s="37" customFormat="1">
      <c r="A603" s="42"/>
      <c r="B603" s="35" t="s">
        <v>310</v>
      </c>
      <c r="C603" s="35"/>
      <c r="D603" s="35"/>
      <c r="E603" s="35"/>
      <c r="F603" s="35"/>
      <c r="G603" s="5"/>
      <c r="I603" s="39"/>
    </row>
    <row r="604" spans="1:11" s="37" customFormat="1">
      <c r="A604" s="45"/>
      <c r="B604" s="46" t="s">
        <v>308</v>
      </c>
      <c r="C604" s="48">
        <v>14</v>
      </c>
      <c r="D604" s="48">
        <f>88+6+250</f>
        <v>344</v>
      </c>
      <c r="E604" s="48" t="s">
        <v>72</v>
      </c>
      <c r="F604" s="50">
        <v>72420</v>
      </c>
      <c r="G604" s="6">
        <f>C604*D604*F604</f>
        <v>348774720</v>
      </c>
      <c r="I604" s="39"/>
    </row>
    <row r="605" spans="1:11" s="37" customFormat="1">
      <c r="A605" s="42"/>
      <c r="B605" s="35" t="s">
        <v>311</v>
      </c>
      <c r="C605" s="35"/>
      <c r="D605" s="35"/>
      <c r="E605" s="35"/>
      <c r="F605" s="35"/>
      <c r="G605" s="5"/>
      <c r="I605" s="39"/>
    </row>
    <row r="606" spans="1:11" s="37" customFormat="1">
      <c r="A606" s="45"/>
      <c r="B606" s="46" t="s">
        <v>306</v>
      </c>
      <c r="C606" s="48">
        <v>14</v>
      </c>
      <c r="D606" s="48">
        <f>265+7</f>
        <v>272</v>
      </c>
      <c r="E606" s="48" t="s">
        <v>72</v>
      </c>
      <c r="F606" s="50">
        <v>72420</v>
      </c>
      <c r="G606" s="6">
        <f>C606*D606*F606</f>
        <v>275775360</v>
      </c>
      <c r="I606" s="39"/>
    </row>
    <row r="607" spans="1:11" s="37" customFormat="1">
      <c r="A607" s="42"/>
      <c r="B607" s="35" t="s">
        <v>312</v>
      </c>
      <c r="C607" s="35"/>
      <c r="D607" s="35"/>
      <c r="E607" s="35"/>
      <c r="F607" s="35"/>
      <c r="G607" s="5"/>
      <c r="I607" s="39"/>
    </row>
    <row r="608" spans="1:11" s="37" customFormat="1">
      <c r="A608" s="45"/>
      <c r="B608" s="46" t="s">
        <v>308</v>
      </c>
      <c r="C608" s="48">
        <v>14</v>
      </c>
      <c r="D608" s="48">
        <f>334+14+456</f>
        <v>804</v>
      </c>
      <c r="E608" s="48" t="s">
        <v>72</v>
      </c>
      <c r="F608" s="50">
        <v>72420</v>
      </c>
      <c r="G608" s="6">
        <f>C608*D608*F608</f>
        <v>815159520</v>
      </c>
      <c r="I608" s="39"/>
    </row>
    <row r="609" spans="1:9" s="37" customFormat="1">
      <c r="A609" s="42"/>
      <c r="B609" s="35" t="s">
        <v>313</v>
      </c>
      <c r="C609" s="35"/>
      <c r="D609" s="35"/>
      <c r="E609" s="35"/>
      <c r="F609" s="35"/>
      <c r="G609" s="5"/>
      <c r="I609" s="39"/>
    </row>
    <row r="610" spans="1:9" s="37" customFormat="1">
      <c r="A610" s="45"/>
      <c r="B610" s="46" t="s">
        <v>308</v>
      </c>
      <c r="C610" s="48">
        <v>14</v>
      </c>
      <c r="D610" s="48">
        <f>1223+35</f>
        <v>1258</v>
      </c>
      <c r="E610" s="48" t="s">
        <v>72</v>
      </c>
      <c r="F610" s="50">
        <v>72420</v>
      </c>
      <c r="G610" s="6">
        <f>C610*D610*F610</f>
        <v>1275461040</v>
      </c>
      <c r="I610" s="39"/>
    </row>
    <row r="611" spans="1:9" s="37" customFormat="1">
      <c r="A611" s="42"/>
      <c r="B611" s="35" t="s">
        <v>314</v>
      </c>
      <c r="C611" s="35"/>
      <c r="D611" s="35"/>
      <c r="E611" s="35"/>
      <c r="F611" s="35"/>
      <c r="G611" s="5"/>
      <c r="I611" s="39"/>
    </row>
    <row r="612" spans="1:9" s="37" customFormat="1">
      <c r="A612" s="45"/>
      <c r="B612" s="46" t="s">
        <v>308</v>
      </c>
      <c r="C612" s="48">
        <v>14</v>
      </c>
      <c r="D612" s="48">
        <f>613+30+100</f>
        <v>743</v>
      </c>
      <c r="E612" s="48" t="s">
        <v>72</v>
      </c>
      <c r="F612" s="50">
        <v>72420</v>
      </c>
      <c r="G612" s="6">
        <f>C612*D612*F612</f>
        <v>753312840</v>
      </c>
      <c r="I612" s="39"/>
    </row>
    <row r="613" spans="1:9" s="37" customFormat="1">
      <c r="A613" s="42"/>
      <c r="B613" s="35" t="s">
        <v>315</v>
      </c>
      <c r="C613" s="35"/>
      <c r="D613" s="35"/>
      <c r="E613" s="35"/>
      <c r="F613" s="35"/>
      <c r="G613" s="5"/>
      <c r="I613" s="39"/>
    </row>
    <row r="614" spans="1:9" s="37" customFormat="1">
      <c r="A614" s="45"/>
      <c r="B614" s="46" t="s">
        <v>308</v>
      </c>
      <c r="C614" s="48">
        <v>14</v>
      </c>
      <c r="D614" s="48">
        <f>582+72+27+289</f>
        <v>970</v>
      </c>
      <c r="E614" s="48" t="s">
        <v>72</v>
      </c>
      <c r="F614" s="50">
        <v>72420</v>
      </c>
      <c r="G614" s="6">
        <f>C614*D614*F614</f>
        <v>983463600</v>
      </c>
      <c r="I614" s="39"/>
    </row>
    <row r="615" spans="1:9" s="37" customFormat="1">
      <c r="A615" s="42"/>
      <c r="B615" s="35" t="s">
        <v>316</v>
      </c>
      <c r="C615" s="35"/>
      <c r="D615" s="35"/>
      <c r="E615" s="35"/>
      <c r="F615" s="35"/>
      <c r="G615" s="5"/>
      <c r="I615" s="39"/>
    </row>
    <row r="616" spans="1:9" s="37" customFormat="1">
      <c r="A616" s="45"/>
      <c r="B616" s="46" t="s">
        <v>308</v>
      </c>
      <c r="C616" s="48">
        <v>14</v>
      </c>
      <c r="D616" s="48">
        <f>361+16+10+8</f>
        <v>395</v>
      </c>
      <c r="E616" s="48" t="s">
        <v>72</v>
      </c>
      <c r="F616" s="50">
        <v>72420</v>
      </c>
      <c r="G616" s="6">
        <f>C616*D616*F616</f>
        <v>400482600</v>
      </c>
      <c r="I616" s="39"/>
    </row>
    <row r="617" spans="1:9" s="37" customFormat="1">
      <c r="A617" s="42"/>
      <c r="B617" s="35" t="s">
        <v>317</v>
      </c>
      <c r="C617" s="35"/>
      <c r="D617" s="35"/>
      <c r="E617" s="35"/>
      <c r="F617" s="35"/>
      <c r="G617" s="5"/>
      <c r="I617" s="39"/>
    </row>
    <row r="618" spans="1:9" s="37" customFormat="1">
      <c r="A618" s="45"/>
      <c r="B618" s="46" t="s">
        <v>308</v>
      </c>
      <c r="C618" s="48">
        <v>14</v>
      </c>
      <c r="D618" s="48">
        <f>493+33+100</f>
        <v>626</v>
      </c>
      <c r="E618" s="48" t="s">
        <v>72</v>
      </c>
      <c r="F618" s="50">
        <v>72420</v>
      </c>
      <c r="G618" s="6">
        <f>C618*D618*F618</f>
        <v>634688880</v>
      </c>
      <c r="I618" s="39"/>
    </row>
    <row r="619" spans="1:9" s="37" customFormat="1">
      <c r="A619" s="42"/>
      <c r="B619" s="35" t="s">
        <v>318</v>
      </c>
      <c r="C619" s="35"/>
      <c r="D619" s="35"/>
      <c r="E619" s="35"/>
      <c r="F619" s="35"/>
      <c r="G619" s="5"/>
      <c r="I619" s="39"/>
    </row>
    <row r="620" spans="1:9" s="37" customFormat="1">
      <c r="A620" s="45"/>
      <c r="B620" s="46" t="s">
        <v>308</v>
      </c>
      <c r="C620" s="48">
        <v>14</v>
      </c>
      <c r="D620" s="48">
        <f>250+34+57+200+250</f>
        <v>791</v>
      </c>
      <c r="E620" s="48" t="s">
        <v>72</v>
      </c>
      <c r="F620" s="50">
        <v>72420</v>
      </c>
      <c r="G620" s="6">
        <f>C620*D620*F620</f>
        <v>801979080</v>
      </c>
      <c r="I620" s="39"/>
    </row>
    <row r="621" spans="1:9" s="37" customFormat="1">
      <c r="A621" s="42"/>
      <c r="B621" s="35" t="s">
        <v>319</v>
      </c>
      <c r="C621" s="35"/>
      <c r="D621" s="35"/>
      <c r="E621" s="35"/>
      <c r="F621" s="35"/>
      <c r="G621" s="5"/>
      <c r="I621" s="39"/>
    </row>
    <row r="622" spans="1:9" s="37" customFormat="1">
      <c r="A622" s="45"/>
      <c r="B622" s="46" t="s">
        <v>308</v>
      </c>
      <c r="C622" s="48">
        <v>14</v>
      </c>
      <c r="D622" s="48">
        <f>8+1+600</f>
        <v>609</v>
      </c>
      <c r="E622" s="48" t="s">
        <v>72</v>
      </c>
      <c r="F622" s="50">
        <v>72420</v>
      </c>
      <c r="G622" s="6">
        <f>C622*D622*F622</f>
        <v>617452920</v>
      </c>
      <c r="I622" s="39"/>
    </row>
    <row r="623" spans="1:9" s="37" customFormat="1">
      <c r="A623" s="42"/>
      <c r="B623" s="35" t="s">
        <v>320</v>
      </c>
      <c r="C623" s="35"/>
      <c r="D623" s="35"/>
      <c r="E623" s="35"/>
      <c r="F623" s="35"/>
      <c r="G623" s="5"/>
      <c r="I623" s="39"/>
    </row>
    <row r="624" spans="1:9" s="37" customFormat="1">
      <c r="A624" s="45"/>
      <c r="B624" s="46" t="s">
        <v>308</v>
      </c>
      <c r="C624" s="48">
        <v>14</v>
      </c>
      <c r="D624" s="48">
        <f>4+700</f>
        <v>704</v>
      </c>
      <c r="E624" s="48" t="s">
        <v>72</v>
      </c>
      <c r="F624" s="50">
        <v>72420</v>
      </c>
      <c r="G624" s="6">
        <f>C624*D624*F624</f>
        <v>713771520</v>
      </c>
      <c r="I624" s="39"/>
    </row>
    <row r="625" spans="1:11" s="37" customFormat="1">
      <c r="A625" s="34" t="s">
        <v>321</v>
      </c>
      <c r="B625" s="35" t="s">
        <v>322</v>
      </c>
      <c r="C625" s="35"/>
      <c r="D625" s="35"/>
      <c r="E625" s="35"/>
      <c r="F625" s="35"/>
      <c r="G625" s="4">
        <f>G626</f>
        <v>5366542479</v>
      </c>
      <c r="I625" s="1"/>
    </row>
    <row r="626" spans="1:11" s="37" customFormat="1" ht="24">
      <c r="A626" s="42"/>
      <c r="B626" s="43" t="s">
        <v>323</v>
      </c>
      <c r="C626" s="43"/>
      <c r="D626" s="43"/>
      <c r="E626" s="43"/>
      <c r="F626" s="43"/>
      <c r="G626" s="4">
        <f>SUM(G627:G641)</f>
        <v>5366542479</v>
      </c>
      <c r="H626" s="40"/>
      <c r="I626" s="1"/>
      <c r="J626" s="90"/>
      <c r="K626" s="90"/>
    </row>
    <row r="627" spans="1:11" s="37" customFormat="1">
      <c r="A627" s="42"/>
      <c r="B627" s="35" t="s">
        <v>144</v>
      </c>
      <c r="C627" s="43">
        <v>1</v>
      </c>
      <c r="D627" s="43"/>
      <c r="E627" s="43" t="s">
        <v>283</v>
      </c>
      <c r="F627" s="15">
        <f>90666240+2088593+73480265-50000000+2388862+43672479</f>
        <v>162296439</v>
      </c>
      <c r="G627" s="12">
        <f>C627*F627</f>
        <v>162296439</v>
      </c>
      <c r="I627" s="39"/>
    </row>
    <row r="628" spans="1:11" s="37" customFormat="1">
      <c r="A628" s="42"/>
      <c r="B628" s="35" t="s">
        <v>324</v>
      </c>
      <c r="C628" s="35"/>
      <c r="D628" s="35"/>
      <c r="E628" s="35"/>
      <c r="F628" s="35"/>
      <c r="G628" s="5"/>
      <c r="I628" s="39"/>
    </row>
    <row r="629" spans="1:11" s="37" customFormat="1">
      <c r="A629" s="42"/>
      <c r="B629" s="46" t="s">
        <v>322</v>
      </c>
      <c r="C629" s="48">
        <v>14</v>
      </c>
      <c r="D629" s="48">
        <f>7+100+150</f>
        <v>257</v>
      </c>
      <c r="E629" s="48" t="s">
        <v>135</v>
      </c>
      <c r="F629" s="50">
        <v>72420</v>
      </c>
      <c r="G629" s="6">
        <f>C629*D629*F629</f>
        <v>260567160</v>
      </c>
      <c r="I629" s="39"/>
    </row>
    <row r="630" spans="1:11" s="37" customFormat="1">
      <c r="A630" s="42"/>
      <c r="B630" s="35" t="s">
        <v>325</v>
      </c>
      <c r="C630" s="35"/>
      <c r="D630" s="35"/>
      <c r="E630" s="35"/>
      <c r="F630" s="35"/>
      <c r="G630" s="5"/>
      <c r="I630" s="39"/>
    </row>
    <row r="631" spans="1:11" s="37" customFormat="1">
      <c r="A631" s="45"/>
      <c r="B631" s="46" t="s">
        <v>322</v>
      </c>
      <c r="C631" s="48">
        <v>14</v>
      </c>
      <c r="D631" s="48">
        <f>384+4+50</f>
        <v>438</v>
      </c>
      <c r="E631" s="48" t="s">
        <v>135</v>
      </c>
      <c r="F631" s="50">
        <v>72420</v>
      </c>
      <c r="G631" s="6">
        <f>C631*D631*F631</f>
        <v>444079440</v>
      </c>
      <c r="I631" s="39"/>
    </row>
    <row r="632" spans="1:11" s="37" customFormat="1">
      <c r="A632" s="42"/>
      <c r="B632" s="35" t="s">
        <v>326</v>
      </c>
      <c r="C632" s="35"/>
      <c r="D632" s="35"/>
      <c r="E632" s="35"/>
      <c r="F632" s="35"/>
      <c r="G632" s="5"/>
      <c r="I632" s="39"/>
    </row>
    <row r="633" spans="1:11" s="37" customFormat="1">
      <c r="A633" s="45"/>
      <c r="B633" s="46" t="s">
        <v>327</v>
      </c>
      <c r="C633" s="48">
        <v>14</v>
      </c>
      <c r="D633" s="48">
        <f>293+48+400</f>
        <v>741</v>
      </c>
      <c r="E633" s="48" t="s">
        <v>72</v>
      </c>
      <c r="F633" s="50">
        <v>72420</v>
      </c>
      <c r="G633" s="6">
        <f>C633*D633*F633</f>
        <v>751285080</v>
      </c>
      <c r="I633" s="39"/>
    </row>
    <row r="634" spans="1:11" s="37" customFormat="1">
      <c r="A634" s="42"/>
      <c r="B634" s="35" t="s">
        <v>328</v>
      </c>
      <c r="C634" s="35"/>
      <c r="D634" s="35"/>
      <c r="E634" s="35"/>
      <c r="F634" s="35"/>
      <c r="G634" s="5"/>
      <c r="I634" s="39"/>
    </row>
    <row r="635" spans="1:11" s="37" customFormat="1">
      <c r="A635" s="45"/>
      <c r="B635" s="46" t="s">
        <v>322</v>
      </c>
      <c r="C635" s="48">
        <v>14</v>
      </c>
      <c r="D635" s="48">
        <f>2358+44+32</f>
        <v>2434</v>
      </c>
      <c r="E635" s="48" t="s">
        <v>135</v>
      </c>
      <c r="F635" s="50">
        <v>72420</v>
      </c>
      <c r="G635" s="6">
        <f>C635*D635*F635</f>
        <v>2467783920</v>
      </c>
      <c r="I635" s="39"/>
    </row>
    <row r="636" spans="1:11" s="37" customFormat="1">
      <c r="A636" s="45"/>
      <c r="B636" s="35" t="s">
        <v>329</v>
      </c>
      <c r="C636" s="35"/>
      <c r="D636" s="35"/>
      <c r="E636" s="35"/>
      <c r="F636" s="35"/>
      <c r="G636" s="5"/>
      <c r="I636" s="39"/>
    </row>
    <row r="637" spans="1:11" s="37" customFormat="1">
      <c r="A637" s="45"/>
      <c r="B637" s="46" t="s">
        <v>322</v>
      </c>
      <c r="C637" s="48">
        <v>14</v>
      </c>
      <c r="D637" s="48">
        <f>130+1+206+100</f>
        <v>437</v>
      </c>
      <c r="E637" s="48" t="s">
        <v>135</v>
      </c>
      <c r="F637" s="50">
        <v>72420</v>
      </c>
      <c r="G637" s="6">
        <f>C637*D637*F637</f>
        <v>443065560</v>
      </c>
      <c r="I637" s="39"/>
    </row>
    <row r="638" spans="1:11" s="37" customFormat="1">
      <c r="A638" s="45"/>
      <c r="B638" s="35" t="s">
        <v>330</v>
      </c>
      <c r="C638" s="35"/>
      <c r="D638" s="35"/>
      <c r="E638" s="35"/>
      <c r="F638" s="35"/>
      <c r="G638" s="5"/>
      <c r="I638" s="39"/>
    </row>
    <row r="639" spans="1:11" s="37" customFormat="1">
      <c r="A639" s="45"/>
      <c r="B639" s="46" t="s">
        <v>322</v>
      </c>
      <c r="C639" s="48">
        <v>14</v>
      </c>
      <c r="D639" s="48">
        <f>4+500</f>
        <v>504</v>
      </c>
      <c r="E639" s="48" t="s">
        <v>135</v>
      </c>
      <c r="F639" s="50">
        <v>72420</v>
      </c>
      <c r="G639" s="6">
        <f>C639*D639*F639</f>
        <v>510995520</v>
      </c>
      <c r="I639" s="39"/>
    </row>
    <row r="640" spans="1:11" s="37" customFormat="1">
      <c r="A640" s="45"/>
      <c r="B640" s="35" t="s">
        <v>331</v>
      </c>
      <c r="C640" s="35"/>
      <c r="D640" s="35"/>
      <c r="E640" s="35"/>
      <c r="F640" s="35"/>
      <c r="G640" s="5"/>
      <c r="I640" s="39"/>
    </row>
    <row r="641" spans="1:11" s="37" customFormat="1">
      <c r="A641" s="45"/>
      <c r="B641" s="46" t="s">
        <v>322</v>
      </c>
      <c r="C641" s="48">
        <v>14</v>
      </c>
      <c r="D641" s="48">
        <f>22+300</f>
        <v>322</v>
      </c>
      <c r="E641" s="48" t="s">
        <v>135</v>
      </c>
      <c r="F641" s="50">
        <v>72420</v>
      </c>
      <c r="G641" s="6">
        <f>C641*D641*F641</f>
        <v>326469360</v>
      </c>
      <c r="I641" s="39"/>
    </row>
    <row r="642" spans="1:11" s="37" customFormat="1">
      <c r="A642" s="34" t="s">
        <v>332</v>
      </c>
      <c r="B642" s="35" t="s">
        <v>333</v>
      </c>
      <c r="C642" s="35"/>
      <c r="D642" s="35"/>
      <c r="E642" s="35"/>
      <c r="F642" s="35"/>
      <c r="G642" s="4">
        <f>G643+G665</f>
        <v>4570382187</v>
      </c>
      <c r="I642" s="1"/>
    </row>
    <row r="643" spans="1:11" s="37" customFormat="1">
      <c r="A643" s="34" t="s">
        <v>334</v>
      </c>
      <c r="B643" s="35" t="s">
        <v>335</v>
      </c>
      <c r="C643" s="35"/>
      <c r="D643" s="35"/>
      <c r="E643" s="35"/>
      <c r="F643" s="35"/>
      <c r="G643" s="4">
        <f>G644</f>
        <v>2809644641</v>
      </c>
      <c r="I643" s="1"/>
    </row>
    <row r="644" spans="1:11" s="37" customFormat="1" ht="24">
      <c r="A644" s="42"/>
      <c r="B644" s="43" t="s">
        <v>336</v>
      </c>
      <c r="C644" s="43"/>
      <c r="D644" s="43"/>
      <c r="E644" s="43"/>
      <c r="F644" s="43"/>
      <c r="G644" s="4">
        <f>SUM(G646:G664)</f>
        <v>2809644641</v>
      </c>
      <c r="H644" s="40"/>
      <c r="I644" s="1"/>
      <c r="J644" s="90"/>
      <c r="K644" s="90"/>
    </row>
    <row r="645" spans="1:11" s="37" customFormat="1" ht="25.5">
      <c r="A645" s="42"/>
      <c r="B645" s="43" t="s">
        <v>337</v>
      </c>
      <c r="C645" s="43"/>
      <c r="D645" s="43"/>
      <c r="E645" s="43"/>
      <c r="F645" s="43"/>
      <c r="G645" s="4"/>
      <c r="I645" s="39"/>
    </row>
    <row r="646" spans="1:11" s="37" customFormat="1">
      <c r="A646" s="42"/>
      <c r="B646" s="43" t="s">
        <v>335</v>
      </c>
      <c r="C646" s="43">
        <v>12</v>
      </c>
      <c r="D646" s="43">
        <v>338</v>
      </c>
      <c r="E646" s="43" t="s">
        <v>135</v>
      </c>
      <c r="F646" s="15">
        <v>91460</v>
      </c>
      <c r="G646" s="16">
        <f>C646*D646*F646</f>
        <v>370961760</v>
      </c>
      <c r="I646" s="39"/>
    </row>
    <row r="647" spans="1:11" s="37" customFormat="1" ht="24">
      <c r="A647" s="42"/>
      <c r="B647" s="35" t="s">
        <v>338</v>
      </c>
      <c r="C647" s="35"/>
      <c r="D647" s="35"/>
      <c r="E647" s="35"/>
      <c r="F647" s="35"/>
      <c r="G647" s="5"/>
      <c r="I647" s="39"/>
    </row>
    <row r="648" spans="1:11" s="37" customFormat="1">
      <c r="A648" s="51"/>
      <c r="B648" s="52" t="s">
        <v>339</v>
      </c>
      <c r="C648" s="59">
        <v>12</v>
      </c>
      <c r="D648" s="59">
        <f>33+1</f>
        <v>34</v>
      </c>
      <c r="E648" s="59" t="s">
        <v>72</v>
      </c>
      <c r="F648" s="60">
        <v>71460</v>
      </c>
      <c r="G648" s="16">
        <f>C648*D648*F648</f>
        <v>29155680</v>
      </c>
      <c r="I648" s="39"/>
    </row>
    <row r="649" spans="1:11" s="37" customFormat="1" ht="24">
      <c r="A649" s="42"/>
      <c r="B649" s="35" t="s">
        <v>340</v>
      </c>
      <c r="C649" s="35"/>
      <c r="D649" s="35"/>
      <c r="E649" s="35"/>
      <c r="F649" s="35"/>
      <c r="G649" s="5"/>
      <c r="I649" s="39"/>
    </row>
    <row r="650" spans="1:11" s="37" customFormat="1">
      <c r="A650" s="51"/>
      <c r="B650" s="46" t="s">
        <v>339</v>
      </c>
      <c r="C650" s="61">
        <v>12</v>
      </c>
      <c r="D650" s="61">
        <f>87+1+27</f>
        <v>115</v>
      </c>
      <c r="E650" s="61" t="s">
        <v>72</v>
      </c>
      <c r="F650" s="60">
        <v>52289</v>
      </c>
      <c r="G650" s="17">
        <f>C650*D650*F650</f>
        <v>72158820</v>
      </c>
      <c r="I650" s="39"/>
    </row>
    <row r="651" spans="1:11" s="37" customFormat="1" ht="24">
      <c r="A651" s="42"/>
      <c r="B651" s="35" t="s">
        <v>341</v>
      </c>
      <c r="C651" s="35"/>
      <c r="D651" s="35"/>
      <c r="E651" s="35"/>
      <c r="F651" s="35"/>
      <c r="G651" s="5"/>
      <c r="I651" s="39"/>
    </row>
    <row r="652" spans="1:11" s="37" customFormat="1">
      <c r="A652" s="45"/>
      <c r="B652" s="46" t="s">
        <v>339</v>
      </c>
      <c r="C652" s="61">
        <v>12</v>
      </c>
      <c r="D652" s="61">
        <f>160+1</f>
        <v>161</v>
      </c>
      <c r="E652" s="61" t="s">
        <v>72</v>
      </c>
      <c r="F652" s="60">
        <v>52674</v>
      </c>
      <c r="G652" s="17">
        <f>C652*D652*F652</f>
        <v>101766168</v>
      </c>
      <c r="I652" s="39"/>
    </row>
    <row r="653" spans="1:11" s="37" customFormat="1" ht="24">
      <c r="A653" s="42"/>
      <c r="B653" s="35" t="s">
        <v>342</v>
      </c>
      <c r="C653" s="35"/>
      <c r="D653" s="35"/>
      <c r="E653" s="35"/>
      <c r="F653" s="35"/>
      <c r="G653" s="5"/>
      <c r="I653" s="39"/>
    </row>
    <row r="654" spans="1:11" s="37" customFormat="1">
      <c r="A654" s="45"/>
      <c r="B654" s="46" t="s">
        <v>339</v>
      </c>
      <c r="C654" s="61">
        <v>12</v>
      </c>
      <c r="D654" s="61">
        <f>277+1</f>
        <v>278</v>
      </c>
      <c r="E654" s="61" t="s">
        <v>72</v>
      </c>
      <c r="F654" s="60">
        <v>31635</v>
      </c>
      <c r="G654" s="17">
        <f>C654*D654*F654</f>
        <v>105534360</v>
      </c>
      <c r="I654" s="39"/>
    </row>
    <row r="655" spans="1:11" s="37" customFormat="1" ht="24">
      <c r="A655" s="42"/>
      <c r="B655" s="35" t="s">
        <v>343</v>
      </c>
      <c r="C655" s="43"/>
      <c r="D655" s="43"/>
      <c r="E655" s="43"/>
      <c r="F655" s="15"/>
      <c r="G655" s="12"/>
      <c r="I655" s="39"/>
    </row>
    <row r="656" spans="1:11" s="37" customFormat="1">
      <c r="A656" s="45"/>
      <c r="B656" s="46" t="s">
        <v>339</v>
      </c>
      <c r="C656" s="61">
        <v>12</v>
      </c>
      <c r="D656" s="61">
        <f>12+1+152</f>
        <v>165</v>
      </c>
      <c r="E656" s="61" t="s">
        <v>72</v>
      </c>
      <c r="F656" s="60">
        <v>19405</v>
      </c>
      <c r="G656" s="17">
        <f>C656*D656*F656</f>
        <v>38421900</v>
      </c>
      <c r="I656" s="39"/>
    </row>
    <row r="657" spans="1:9" s="37" customFormat="1" ht="24">
      <c r="A657" s="45"/>
      <c r="B657" s="35" t="s">
        <v>344</v>
      </c>
      <c r="C657" s="43"/>
      <c r="D657" s="43"/>
      <c r="E657" s="43"/>
      <c r="F657" s="15"/>
      <c r="G657" s="12"/>
      <c r="I657" s="39"/>
    </row>
    <row r="658" spans="1:9" s="37" customFormat="1">
      <c r="A658" s="45"/>
      <c r="B658" s="46" t="s">
        <v>339</v>
      </c>
      <c r="C658" s="61">
        <v>12</v>
      </c>
      <c r="D658" s="61">
        <f>1+1</f>
        <v>2</v>
      </c>
      <c r="E658" s="61" t="s">
        <v>72</v>
      </c>
      <c r="F658" s="60">
        <v>13582</v>
      </c>
      <c r="G658" s="17">
        <f>C658*D658*F658</f>
        <v>325968</v>
      </c>
      <c r="I658" s="39"/>
    </row>
    <row r="659" spans="1:9" s="37" customFormat="1" ht="48">
      <c r="A659" s="45"/>
      <c r="B659" s="35" t="s">
        <v>345</v>
      </c>
      <c r="C659" s="35"/>
      <c r="D659" s="35"/>
      <c r="E659" s="35"/>
      <c r="F659" s="35"/>
      <c r="G659" s="5"/>
      <c r="I659" s="39"/>
    </row>
    <row r="660" spans="1:9" s="37" customFormat="1">
      <c r="A660" s="45"/>
      <c r="B660" s="58" t="s">
        <v>339</v>
      </c>
      <c r="C660" s="62">
        <v>2</v>
      </c>
      <c r="D660" s="62"/>
      <c r="E660" s="61" t="s">
        <v>346</v>
      </c>
      <c r="F660" s="60">
        <v>441409282</v>
      </c>
      <c r="G660" s="17">
        <f>C660*F660</f>
        <v>882818564</v>
      </c>
      <c r="I660" s="39"/>
    </row>
    <row r="661" spans="1:9" s="37" customFormat="1" ht="36">
      <c r="A661" s="42"/>
      <c r="B661" s="35" t="s">
        <v>347</v>
      </c>
      <c r="C661" s="35"/>
      <c r="D661" s="35"/>
      <c r="E661" s="35"/>
      <c r="F661" s="35"/>
      <c r="G661" s="5"/>
      <c r="I661" s="36"/>
    </row>
    <row r="662" spans="1:9" s="37" customFormat="1">
      <c r="A662" s="45"/>
      <c r="B662" s="58" t="s">
        <v>339</v>
      </c>
      <c r="C662" s="62">
        <v>2</v>
      </c>
      <c r="D662" s="62"/>
      <c r="E662" s="61" t="s">
        <v>346</v>
      </c>
      <c r="F662" s="60">
        <v>500000000</v>
      </c>
      <c r="G662" s="17">
        <f>C662*F662</f>
        <v>1000000000</v>
      </c>
      <c r="I662" s="39"/>
    </row>
    <row r="663" spans="1:9" s="37" customFormat="1">
      <c r="A663" s="51"/>
      <c r="B663" s="56" t="s">
        <v>348</v>
      </c>
      <c r="C663" s="62"/>
      <c r="D663" s="62"/>
      <c r="E663" s="59"/>
      <c r="F663" s="60"/>
      <c r="G663" s="16"/>
      <c r="I663" s="39"/>
    </row>
    <row r="664" spans="1:9" s="37" customFormat="1">
      <c r="A664" s="42"/>
      <c r="B664" s="35" t="s">
        <v>144</v>
      </c>
      <c r="C664" s="43">
        <v>1</v>
      </c>
      <c r="D664" s="43"/>
      <c r="E664" s="43" t="s">
        <v>283</v>
      </c>
      <c r="F664" s="15">
        <f>68410834+771104+450000000-200000000-100000000-13534794+2854277</f>
        <v>208501421</v>
      </c>
      <c r="G664" s="12">
        <f>C664*F664</f>
        <v>208501421</v>
      </c>
      <c r="I664" s="39"/>
    </row>
    <row r="665" spans="1:9" s="37" customFormat="1">
      <c r="A665" s="34" t="s">
        <v>349</v>
      </c>
      <c r="B665" s="35" t="s">
        <v>350</v>
      </c>
      <c r="C665" s="35"/>
      <c r="D665" s="35"/>
      <c r="E665" s="35"/>
      <c r="F665" s="35"/>
      <c r="G665" s="4">
        <f>G666</f>
        <v>1760737546</v>
      </c>
      <c r="I665" s="1"/>
    </row>
    <row r="666" spans="1:9" s="37" customFormat="1" ht="24">
      <c r="A666" s="45"/>
      <c r="B666" s="35" t="s">
        <v>351</v>
      </c>
      <c r="C666" s="43"/>
      <c r="D666" s="43"/>
      <c r="E666" s="43"/>
      <c r="F666" s="43"/>
      <c r="G666" s="4">
        <f>SUM(G667:G673)</f>
        <v>1760737546</v>
      </c>
      <c r="I666" s="39"/>
    </row>
    <row r="667" spans="1:9" s="37" customFormat="1">
      <c r="A667" s="45"/>
      <c r="B667" s="35" t="s">
        <v>144</v>
      </c>
      <c r="C667" s="43">
        <v>1</v>
      </c>
      <c r="D667" s="43"/>
      <c r="E667" s="43" t="s">
        <v>283</v>
      </c>
      <c r="F667" s="15">
        <f>5000000+65852+309413970+200000000-50000000</f>
        <v>464479822</v>
      </c>
      <c r="G667" s="12">
        <f>C667*F667</f>
        <v>464479822</v>
      </c>
      <c r="I667" s="39"/>
    </row>
    <row r="668" spans="1:9" s="37" customFormat="1" ht="24">
      <c r="A668" s="45"/>
      <c r="B668" s="35" t="s">
        <v>352</v>
      </c>
      <c r="C668" s="43"/>
      <c r="D668" s="43"/>
      <c r="E668" s="43"/>
      <c r="F668" s="15"/>
      <c r="G668" s="12"/>
      <c r="I668" s="39"/>
    </row>
    <row r="669" spans="1:9" s="37" customFormat="1">
      <c r="A669" s="45"/>
      <c r="B669" s="46" t="s">
        <v>339</v>
      </c>
      <c r="C669" s="61">
        <v>12</v>
      </c>
      <c r="D669" s="61">
        <f>152+55</f>
        <v>207</v>
      </c>
      <c r="E669" s="61" t="s">
        <v>72</v>
      </c>
      <c r="F669" s="60">
        <v>21968</v>
      </c>
      <c r="G669" s="17">
        <f>C669*D669*F669</f>
        <v>54568512</v>
      </c>
      <c r="I669" s="39"/>
    </row>
    <row r="670" spans="1:9" s="37" customFormat="1" ht="24">
      <c r="A670" s="45"/>
      <c r="B670" s="35" t="s">
        <v>353</v>
      </c>
      <c r="C670" s="43"/>
      <c r="D670" s="43"/>
      <c r="E670" s="43"/>
      <c r="F670" s="15"/>
      <c r="G670" s="12"/>
      <c r="I670" s="39"/>
    </row>
    <row r="671" spans="1:9" s="37" customFormat="1">
      <c r="A671" s="45"/>
      <c r="B671" s="46" t="s">
        <v>339</v>
      </c>
      <c r="C671" s="61">
        <v>12</v>
      </c>
      <c r="D671" s="61">
        <f>154+13</f>
        <v>167</v>
      </c>
      <c r="E671" s="61" t="s">
        <v>72</v>
      </c>
      <c r="F671" s="60">
        <v>20803</v>
      </c>
      <c r="G671" s="17">
        <f>C671*D671*F671</f>
        <v>41689212</v>
      </c>
      <c r="I671" s="39"/>
    </row>
    <row r="672" spans="1:9" s="37" customFormat="1" ht="24">
      <c r="A672" s="45"/>
      <c r="B672" s="35" t="s">
        <v>354</v>
      </c>
      <c r="C672" s="35"/>
      <c r="D672" s="35"/>
      <c r="E672" s="35"/>
      <c r="F672" s="35"/>
      <c r="G672" s="5"/>
      <c r="I672" s="39"/>
    </row>
    <row r="673" spans="1:9" s="37" customFormat="1">
      <c r="A673" s="45"/>
      <c r="B673" s="58" t="s">
        <v>339</v>
      </c>
      <c r="C673" s="62">
        <v>2</v>
      </c>
      <c r="D673" s="62"/>
      <c r="E673" s="61" t="s">
        <v>346</v>
      </c>
      <c r="F673" s="60">
        <v>600000000</v>
      </c>
      <c r="G673" s="17">
        <f>C673*F673</f>
        <v>1200000000</v>
      </c>
      <c r="I673" s="39"/>
    </row>
    <row r="674" spans="1:9" s="37" customFormat="1">
      <c r="A674" s="34" t="s">
        <v>355</v>
      </c>
      <c r="B674" s="35" t="s">
        <v>356</v>
      </c>
      <c r="C674" s="35"/>
      <c r="D674" s="35"/>
      <c r="E674" s="35"/>
      <c r="F674" s="18"/>
      <c r="G674" s="4">
        <f>G675+G685</f>
        <v>3472630</v>
      </c>
      <c r="I674" s="36"/>
    </row>
    <row r="675" spans="1:9" s="37" customFormat="1">
      <c r="A675" s="34" t="s">
        <v>357</v>
      </c>
      <c r="B675" s="56" t="s">
        <v>358</v>
      </c>
      <c r="C675" s="35"/>
      <c r="D675" s="35"/>
      <c r="E675" s="35"/>
      <c r="F675" s="35"/>
      <c r="G675" s="4">
        <f>G676</f>
        <v>1917398</v>
      </c>
      <c r="I675" s="1"/>
    </row>
    <row r="676" spans="1:9" s="37" customFormat="1" ht="24">
      <c r="A676" s="42"/>
      <c r="B676" s="43" t="s">
        <v>359</v>
      </c>
      <c r="C676" s="43"/>
      <c r="D676" s="43"/>
      <c r="E676" s="43"/>
      <c r="F676" s="43"/>
      <c r="G676" s="4">
        <f>SUM(G677:G684)</f>
        <v>1917398</v>
      </c>
      <c r="I676" s="1"/>
    </row>
    <row r="677" spans="1:9" s="63" customFormat="1">
      <c r="A677" s="42"/>
      <c r="B677" s="35" t="s">
        <v>360</v>
      </c>
      <c r="C677" s="35"/>
      <c r="D677" s="35"/>
      <c r="E677" s="35"/>
      <c r="F677" s="35"/>
      <c r="G677" s="5"/>
      <c r="I677" s="64"/>
    </row>
    <row r="678" spans="1:9" s="37" customFormat="1">
      <c r="A678" s="45"/>
      <c r="B678" s="46" t="s">
        <v>361</v>
      </c>
      <c r="C678" s="48">
        <v>14</v>
      </c>
      <c r="D678" s="48">
        <f>281+315</f>
        <v>596</v>
      </c>
      <c r="E678" s="48" t="s">
        <v>72</v>
      </c>
      <c r="F678" s="47">
        <v>98</v>
      </c>
      <c r="G678" s="6">
        <f>C678*D678*F678</f>
        <v>817712</v>
      </c>
      <c r="I678" s="39"/>
    </row>
    <row r="679" spans="1:9" s="37" customFormat="1">
      <c r="A679" s="65"/>
      <c r="B679" s="56" t="s">
        <v>362</v>
      </c>
      <c r="C679" s="56"/>
      <c r="D679" s="56"/>
      <c r="E679" s="56"/>
      <c r="F679" s="56"/>
      <c r="G679" s="19"/>
      <c r="I679" s="39"/>
    </row>
    <row r="680" spans="1:9" s="37" customFormat="1">
      <c r="A680" s="45"/>
      <c r="B680" s="46" t="s">
        <v>361</v>
      </c>
      <c r="C680" s="48">
        <v>14</v>
      </c>
      <c r="D680" s="48">
        <f>1074+44</f>
        <v>1118</v>
      </c>
      <c r="E680" s="48" t="s">
        <v>72</v>
      </c>
      <c r="F680" s="47">
        <v>50</v>
      </c>
      <c r="G680" s="6">
        <f>C680*D680*F680</f>
        <v>782600</v>
      </c>
      <c r="I680" s="39"/>
    </row>
    <row r="681" spans="1:9" s="37" customFormat="1">
      <c r="A681" s="65"/>
      <c r="B681" s="56" t="s">
        <v>363</v>
      </c>
      <c r="C681" s="56"/>
      <c r="D681" s="56"/>
      <c r="E681" s="56"/>
      <c r="F681" s="56"/>
      <c r="G681" s="19"/>
      <c r="I681" s="39"/>
    </row>
    <row r="682" spans="1:9" s="37" customFormat="1">
      <c r="A682" s="45"/>
      <c r="B682" s="46" t="s">
        <v>358</v>
      </c>
      <c r="C682" s="48">
        <v>14</v>
      </c>
      <c r="D682" s="48">
        <f>303+136</f>
        <v>439</v>
      </c>
      <c r="E682" s="48" t="s">
        <v>72</v>
      </c>
      <c r="F682" s="47">
        <v>42</v>
      </c>
      <c r="G682" s="6">
        <f>C682*D682*F682</f>
        <v>258132</v>
      </c>
      <c r="I682" s="39"/>
    </row>
    <row r="683" spans="1:9" s="63" customFormat="1">
      <c r="A683" s="42"/>
      <c r="B683" s="35" t="s">
        <v>144</v>
      </c>
      <c r="C683" s="35"/>
      <c r="D683" s="35"/>
      <c r="E683" s="35"/>
      <c r="F683" s="35"/>
      <c r="G683" s="5"/>
      <c r="I683" s="64"/>
    </row>
    <row r="684" spans="1:9" s="37" customFormat="1">
      <c r="A684" s="45"/>
      <c r="B684" s="46" t="s">
        <v>361</v>
      </c>
      <c r="C684" s="47">
        <v>1</v>
      </c>
      <c r="D684" s="47"/>
      <c r="E684" s="48" t="s">
        <v>69</v>
      </c>
      <c r="F684" s="50">
        <f>5628+52210+1116</f>
        <v>58954</v>
      </c>
      <c r="G684" s="6">
        <f>C684*F684</f>
        <v>58954</v>
      </c>
      <c r="I684" s="39"/>
    </row>
    <row r="685" spans="1:9" s="37" customFormat="1">
      <c r="A685" s="66" t="s">
        <v>364</v>
      </c>
      <c r="B685" s="56" t="s">
        <v>365</v>
      </c>
      <c r="C685" s="56"/>
      <c r="D685" s="56"/>
      <c r="E685" s="56"/>
      <c r="F685" s="56"/>
      <c r="G685" s="20">
        <f>G686</f>
        <v>1555232</v>
      </c>
      <c r="I685" s="1"/>
    </row>
    <row r="686" spans="1:9" s="37" customFormat="1" ht="24">
      <c r="A686" s="42"/>
      <c r="B686" s="43" t="s">
        <v>366</v>
      </c>
      <c r="C686" s="43"/>
      <c r="D686" s="43"/>
      <c r="E686" s="43"/>
      <c r="F686" s="43"/>
      <c r="G686" s="4">
        <f>SUM(G687:G699)</f>
        <v>1555232</v>
      </c>
      <c r="I686" s="1"/>
    </row>
    <row r="687" spans="1:9" s="37" customFormat="1">
      <c r="A687" s="42"/>
      <c r="B687" s="35" t="s">
        <v>144</v>
      </c>
      <c r="C687" s="47">
        <v>1</v>
      </c>
      <c r="D687" s="47"/>
      <c r="E687" s="48" t="s">
        <v>69</v>
      </c>
      <c r="F687" s="50">
        <f>219702+37926-72310-65594+81596</f>
        <v>201320</v>
      </c>
      <c r="G687" s="12">
        <f>C687*F687</f>
        <v>201320</v>
      </c>
      <c r="I687" s="39"/>
    </row>
    <row r="688" spans="1:9" s="37" customFormat="1">
      <c r="A688" s="42"/>
      <c r="B688" s="35" t="s">
        <v>367</v>
      </c>
      <c r="C688" s="35"/>
      <c r="D688" s="35"/>
      <c r="E688" s="35"/>
      <c r="F688" s="35"/>
      <c r="G688" s="5"/>
      <c r="I688" s="39"/>
    </row>
    <row r="689" spans="1:9" s="37" customFormat="1">
      <c r="A689" s="51"/>
      <c r="B689" s="52" t="s">
        <v>368</v>
      </c>
      <c r="C689" s="52">
        <v>14</v>
      </c>
      <c r="D689" s="52">
        <f>151+1+115</f>
        <v>267</v>
      </c>
      <c r="E689" s="52" t="s">
        <v>72</v>
      </c>
      <c r="F689" s="47">
        <f>46</f>
        <v>46</v>
      </c>
      <c r="G689" s="8">
        <f>C689*D689*F689</f>
        <v>171948</v>
      </c>
      <c r="I689" s="39"/>
    </row>
    <row r="690" spans="1:9" s="37" customFormat="1">
      <c r="A690" s="42"/>
      <c r="B690" s="35" t="s">
        <v>369</v>
      </c>
      <c r="C690" s="35"/>
      <c r="D690" s="35"/>
      <c r="E690" s="35"/>
      <c r="F690" s="35"/>
      <c r="G690" s="5"/>
      <c r="I690" s="39"/>
    </row>
    <row r="691" spans="1:9" s="37" customFormat="1">
      <c r="A691" s="51"/>
      <c r="B691" s="52" t="s">
        <v>368</v>
      </c>
      <c r="C691" s="52">
        <v>14</v>
      </c>
      <c r="D691" s="52">
        <f>142+12+116</f>
        <v>270</v>
      </c>
      <c r="E691" s="52" t="s">
        <v>72</v>
      </c>
      <c r="F691" s="47">
        <v>51</v>
      </c>
      <c r="G691" s="8">
        <f>C691*D691*F691</f>
        <v>192780</v>
      </c>
      <c r="I691" s="39"/>
    </row>
    <row r="692" spans="1:9" s="37" customFormat="1">
      <c r="A692" s="42"/>
      <c r="B692" s="35" t="s">
        <v>370</v>
      </c>
      <c r="C692" s="35"/>
      <c r="D692" s="35"/>
      <c r="E692" s="35"/>
      <c r="F692" s="35"/>
      <c r="G692" s="5"/>
      <c r="I692" s="39"/>
    </row>
    <row r="693" spans="1:9" s="37" customFormat="1">
      <c r="A693" s="45"/>
      <c r="B693" s="58" t="s">
        <v>368</v>
      </c>
      <c r="C693" s="48">
        <v>14</v>
      </c>
      <c r="D693" s="48">
        <f>927+11</f>
        <v>938</v>
      </c>
      <c r="E693" s="48" t="s">
        <v>72</v>
      </c>
      <c r="F693" s="47">
        <v>56</v>
      </c>
      <c r="G693" s="6">
        <f>C693*D693*F693</f>
        <v>735392</v>
      </c>
      <c r="I693" s="39"/>
    </row>
    <row r="694" spans="1:9" s="37" customFormat="1">
      <c r="A694" s="45"/>
      <c r="B694" s="35" t="s">
        <v>371</v>
      </c>
      <c r="C694" s="35"/>
      <c r="D694" s="35"/>
      <c r="E694" s="35"/>
      <c r="F694" s="35"/>
      <c r="G694" s="5"/>
      <c r="I694" s="39"/>
    </row>
    <row r="695" spans="1:9" s="37" customFormat="1">
      <c r="A695" s="45"/>
      <c r="B695" s="58" t="s">
        <v>368</v>
      </c>
      <c r="C695" s="48">
        <v>14</v>
      </c>
      <c r="D695" s="48">
        <f>65+325</f>
        <v>390</v>
      </c>
      <c r="E695" s="48" t="s">
        <v>72</v>
      </c>
      <c r="F695" s="47">
        <v>45</v>
      </c>
      <c r="G695" s="6">
        <f>C695*D695*F695</f>
        <v>245700</v>
      </c>
      <c r="I695" s="39"/>
    </row>
    <row r="696" spans="1:9" s="37" customFormat="1">
      <c r="A696" s="45"/>
      <c r="B696" s="35" t="s">
        <v>372</v>
      </c>
      <c r="C696" s="35"/>
      <c r="D696" s="35"/>
      <c r="E696" s="35"/>
      <c r="F696" s="35"/>
      <c r="G696" s="5"/>
      <c r="I696" s="39"/>
    </row>
    <row r="697" spans="1:9" s="37" customFormat="1">
      <c r="A697" s="45"/>
      <c r="B697" s="58" t="s">
        <v>368</v>
      </c>
      <c r="C697" s="48">
        <v>14</v>
      </c>
      <c r="D697" s="48">
        <v>1</v>
      </c>
      <c r="E697" s="48" t="s">
        <v>72</v>
      </c>
      <c r="F697" s="47">
        <v>50</v>
      </c>
      <c r="G697" s="6">
        <f>C697*D697*F697</f>
        <v>700</v>
      </c>
      <c r="I697" s="39"/>
    </row>
    <row r="698" spans="1:9" s="37" customFormat="1">
      <c r="A698" s="45"/>
      <c r="B698" s="35" t="s">
        <v>373</v>
      </c>
      <c r="C698" s="35"/>
      <c r="D698" s="35"/>
      <c r="E698" s="35"/>
      <c r="F698" s="35"/>
      <c r="G698" s="5"/>
      <c r="I698" s="39"/>
    </row>
    <row r="699" spans="1:9" s="37" customFormat="1">
      <c r="A699" s="45"/>
      <c r="B699" s="58" t="s">
        <v>368</v>
      </c>
      <c r="C699" s="48">
        <v>14</v>
      </c>
      <c r="D699" s="48">
        <v>11</v>
      </c>
      <c r="E699" s="48" t="s">
        <v>72</v>
      </c>
      <c r="F699" s="47">
        <v>48</v>
      </c>
      <c r="G699" s="6">
        <f>C699*D699*F699</f>
        <v>7392</v>
      </c>
      <c r="I699" s="39"/>
    </row>
    <row r="700" spans="1:9" s="37" customFormat="1">
      <c r="A700" s="34" t="s">
        <v>374</v>
      </c>
      <c r="B700" s="56" t="s">
        <v>375</v>
      </c>
      <c r="C700" s="35"/>
      <c r="D700" s="35"/>
      <c r="E700" s="35"/>
      <c r="F700" s="35"/>
      <c r="G700" s="7">
        <f>G701+G711</f>
        <v>12931865758</v>
      </c>
      <c r="I700" s="36"/>
    </row>
    <row r="701" spans="1:9" s="37" customFormat="1">
      <c r="A701" s="34" t="s">
        <v>376</v>
      </c>
      <c r="B701" s="35" t="s">
        <v>377</v>
      </c>
      <c r="C701" s="35"/>
      <c r="D701" s="35"/>
      <c r="E701" s="35"/>
      <c r="F701" s="35"/>
      <c r="G701" s="4">
        <f>G702</f>
        <v>8848977951</v>
      </c>
      <c r="I701" s="1"/>
    </row>
    <row r="702" spans="1:9" s="37" customFormat="1" ht="24">
      <c r="A702" s="42"/>
      <c r="B702" s="43" t="s">
        <v>378</v>
      </c>
      <c r="C702" s="43"/>
      <c r="D702" s="43"/>
      <c r="E702" s="43"/>
      <c r="F702" s="43"/>
      <c r="G702" s="4">
        <f>SUM(G704:G710)</f>
        <v>8848977951</v>
      </c>
      <c r="I702" s="1"/>
    </row>
    <row r="703" spans="1:9" s="37" customFormat="1">
      <c r="A703" s="42"/>
      <c r="B703" s="35" t="s">
        <v>379</v>
      </c>
      <c r="C703" s="35"/>
      <c r="D703" s="35"/>
      <c r="E703" s="35"/>
      <c r="F703" s="35"/>
      <c r="G703" s="5"/>
      <c r="I703" s="39"/>
    </row>
    <row r="704" spans="1:9" s="63" customFormat="1">
      <c r="A704" s="45"/>
      <c r="B704" s="48" t="s">
        <v>380</v>
      </c>
      <c r="C704" s="48">
        <v>12</v>
      </c>
      <c r="D704" s="48">
        <f>281+118</f>
        <v>399</v>
      </c>
      <c r="E704" s="48" t="s">
        <v>72</v>
      </c>
      <c r="F704" s="67">
        <v>250261</v>
      </c>
      <c r="G704" s="6">
        <f>C704*D704*F704</f>
        <v>1198249668</v>
      </c>
      <c r="I704" s="64"/>
    </row>
    <row r="705" spans="1:9" s="37" customFormat="1">
      <c r="A705" s="42"/>
      <c r="B705" s="35" t="s">
        <v>381</v>
      </c>
      <c r="C705" s="35"/>
      <c r="D705" s="35"/>
      <c r="E705" s="35"/>
      <c r="F705" s="35"/>
      <c r="G705" s="5"/>
      <c r="I705" s="39"/>
    </row>
    <row r="706" spans="1:9" s="37" customFormat="1">
      <c r="A706" s="45"/>
      <c r="B706" s="46" t="s">
        <v>380</v>
      </c>
      <c r="C706" s="48">
        <v>12</v>
      </c>
      <c r="D706" s="48">
        <f>1074+44</f>
        <v>1118</v>
      </c>
      <c r="E706" s="48" t="s">
        <v>72</v>
      </c>
      <c r="F706" s="50">
        <v>193392</v>
      </c>
      <c r="G706" s="6">
        <f>C706*D706*F706</f>
        <v>2594547072</v>
      </c>
      <c r="I706" s="39"/>
    </row>
    <row r="707" spans="1:9" s="37" customFormat="1">
      <c r="A707" s="42"/>
      <c r="B707" s="35" t="s">
        <v>382</v>
      </c>
      <c r="C707" s="35"/>
      <c r="D707" s="35"/>
      <c r="E707" s="35"/>
      <c r="F707" s="35"/>
      <c r="G707" s="5"/>
      <c r="I707" s="39"/>
    </row>
    <row r="708" spans="1:9" s="37" customFormat="1">
      <c r="A708" s="51"/>
      <c r="B708" s="52" t="s">
        <v>380</v>
      </c>
      <c r="C708" s="52">
        <v>12</v>
      </c>
      <c r="D708" s="48">
        <f>303+17+72</f>
        <v>392</v>
      </c>
      <c r="E708" s="52" t="s">
        <v>72</v>
      </c>
      <c r="F708" s="50">
        <v>131474</v>
      </c>
      <c r="G708" s="8">
        <f>C708*D708*F708</f>
        <v>618453696</v>
      </c>
      <c r="I708" s="39"/>
    </row>
    <row r="709" spans="1:9" s="37" customFormat="1" ht="24">
      <c r="A709" s="42"/>
      <c r="B709" s="35" t="s">
        <v>383</v>
      </c>
      <c r="C709" s="35"/>
      <c r="D709" s="35"/>
      <c r="E709" s="35"/>
      <c r="F709" s="35"/>
      <c r="G709" s="5"/>
      <c r="I709" s="39"/>
    </row>
    <row r="710" spans="1:9" s="37" customFormat="1">
      <c r="A710" s="51"/>
      <c r="B710" s="46" t="s">
        <v>380</v>
      </c>
      <c r="C710" s="47">
        <v>1</v>
      </c>
      <c r="D710" s="47"/>
      <c r="E710" s="48" t="s">
        <v>69</v>
      </c>
      <c r="F710" s="50">
        <f>1440694656+2881022+2200000000-500000000-112059797+1318383794+87827840</f>
        <v>4437727515</v>
      </c>
      <c r="G710" s="6">
        <f>C710*F710</f>
        <v>4437727515</v>
      </c>
      <c r="I710" s="1"/>
    </row>
    <row r="711" spans="1:9" s="37" customFormat="1">
      <c r="A711" s="34" t="s">
        <v>384</v>
      </c>
      <c r="B711" s="35" t="s">
        <v>385</v>
      </c>
      <c r="C711" s="35"/>
      <c r="D711" s="35"/>
      <c r="E711" s="35"/>
      <c r="F711" s="35"/>
      <c r="G711" s="4">
        <f>G712</f>
        <v>4082887807</v>
      </c>
      <c r="I711" s="1"/>
    </row>
    <row r="712" spans="1:9" s="37" customFormat="1" ht="24">
      <c r="A712" s="42"/>
      <c r="B712" s="43" t="s">
        <v>386</v>
      </c>
      <c r="C712" s="43"/>
      <c r="D712" s="43"/>
      <c r="E712" s="43"/>
      <c r="F712" s="43"/>
      <c r="G712" s="4">
        <f>SUM(G714:G726)</f>
        <v>4082887807</v>
      </c>
      <c r="I712" s="39"/>
    </row>
    <row r="713" spans="1:9" s="37" customFormat="1" ht="24">
      <c r="A713" s="42"/>
      <c r="B713" s="43" t="s">
        <v>386</v>
      </c>
      <c r="C713" s="43"/>
      <c r="D713" s="43"/>
      <c r="E713" s="43"/>
      <c r="F713" s="43"/>
      <c r="G713" s="4"/>
      <c r="I713" s="39"/>
    </row>
    <row r="714" spans="1:9" s="37" customFormat="1" ht="24">
      <c r="A714" s="42"/>
      <c r="B714" s="35" t="s">
        <v>387</v>
      </c>
      <c r="C714" s="47">
        <v>1</v>
      </c>
      <c r="D714" s="47"/>
      <c r="E714" s="48" t="s">
        <v>69</v>
      </c>
      <c r="F714" s="50">
        <f>335783688+963394+2324392897-1000000000</f>
        <v>1661139979</v>
      </c>
      <c r="G714" s="12">
        <f>C714*F714</f>
        <v>1661139979</v>
      </c>
      <c r="I714" s="1"/>
    </row>
    <row r="715" spans="1:9" s="37" customFormat="1">
      <c r="A715" s="42"/>
      <c r="B715" s="35" t="s">
        <v>388</v>
      </c>
      <c r="C715" s="35"/>
      <c r="D715" s="35"/>
      <c r="E715" s="35"/>
      <c r="F715" s="35"/>
      <c r="G715" s="5"/>
      <c r="I715" s="39"/>
    </row>
    <row r="716" spans="1:9" s="37" customFormat="1">
      <c r="A716" s="51" t="s">
        <v>57</v>
      </c>
      <c r="B716" s="46" t="s">
        <v>389</v>
      </c>
      <c r="C716" s="48">
        <v>12</v>
      </c>
      <c r="D716" s="48">
        <f>151+1</f>
        <v>152</v>
      </c>
      <c r="E716" s="48" t="s">
        <v>72</v>
      </c>
      <c r="F716" s="50">
        <v>158710</v>
      </c>
      <c r="G716" s="6">
        <f>C716*D716*F716</f>
        <v>289487040</v>
      </c>
      <c r="I716" s="39"/>
    </row>
    <row r="717" spans="1:9" s="37" customFormat="1">
      <c r="A717" s="42"/>
      <c r="B717" s="35" t="s">
        <v>390</v>
      </c>
      <c r="C717" s="35"/>
      <c r="D717" s="35"/>
      <c r="E717" s="35"/>
      <c r="F717" s="35"/>
      <c r="G717" s="5"/>
      <c r="I717" s="39"/>
    </row>
    <row r="718" spans="1:9" s="37" customFormat="1">
      <c r="A718" s="45"/>
      <c r="B718" s="46" t="s">
        <v>389</v>
      </c>
      <c r="C718" s="48">
        <v>12</v>
      </c>
      <c r="D718" s="48">
        <f>142+12</f>
        <v>154</v>
      </c>
      <c r="E718" s="48" t="s">
        <v>72</v>
      </c>
      <c r="F718" s="50">
        <v>148360</v>
      </c>
      <c r="G718" s="6">
        <f>C718*D718*F718</f>
        <v>274169280</v>
      </c>
      <c r="I718" s="39"/>
    </row>
    <row r="719" spans="1:9" s="37" customFormat="1">
      <c r="A719" s="42"/>
      <c r="B719" s="35" t="s">
        <v>391</v>
      </c>
      <c r="C719" s="35"/>
      <c r="D719" s="35"/>
      <c r="E719" s="35"/>
      <c r="F719" s="35"/>
      <c r="G719" s="5"/>
      <c r="I719" s="39"/>
    </row>
    <row r="720" spans="1:9" s="37" customFormat="1">
      <c r="A720" s="45"/>
      <c r="B720" s="46" t="s">
        <v>389</v>
      </c>
      <c r="C720" s="52">
        <v>12</v>
      </c>
      <c r="D720" s="48">
        <f>927+11</f>
        <v>938</v>
      </c>
      <c r="E720" s="48" t="s">
        <v>72</v>
      </c>
      <c r="F720" s="50">
        <v>134868</v>
      </c>
      <c r="G720" s="6">
        <f>C720*D720*F720</f>
        <v>1518074208</v>
      </c>
      <c r="I720" s="39"/>
    </row>
    <row r="721" spans="1:9" s="37" customFormat="1">
      <c r="A721" s="45"/>
      <c r="B721" s="35" t="s">
        <v>392</v>
      </c>
      <c r="C721" s="35"/>
      <c r="D721" s="35"/>
      <c r="E721" s="35"/>
      <c r="F721" s="35"/>
      <c r="G721" s="5"/>
      <c r="I721" s="39"/>
    </row>
    <row r="722" spans="1:9" s="37" customFormat="1">
      <c r="A722" s="45"/>
      <c r="B722" s="46" t="s">
        <v>389</v>
      </c>
      <c r="C722" s="52">
        <v>12</v>
      </c>
      <c r="D722" s="48">
        <f>65+146</f>
        <v>211</v>
      </c>
      <c r="E722" s="48" t="s">
        <v>72</v>
      </c>
      <c r="F722" s="50">
        <v>125575</v>
      </c>
      <c r="G722" s="6">
        <f>C722*D722*F722</f>
        <v>317955900</v>
      </c>
      <c r="I722" s="39"/>
    </row>
    <row r="723" spans="1:9" s="37" customFormat="1">
      <c r="A723" s="45"/>
      <c r="B723" s="35" t="s">
        <v>393</v>
      </c>
      <c r="C723" s="35"/>
      <c r="D723" s="35"/>
      <c r="E723" s="35"/>
      <c r="F723" s="35"/>
      <c r="G723" s="5"/>
      <c r="I723" s="39"/>
    </row>
    <row r="724" spans="1:9" s="37" customFormat="1">
      <c r="A724" s="45"/>
      <c r="B724" s="46" t="s">
        <v>389</v>
      </c>
      <c r="C724" s="52">
        <v>12</v>
      </c>
      <c r="D724" s="48">
        <f>1+6</f>
        <v>7</v>
      </c>
      <c r="E724" s="48" t="s">
        <v>72</v>
      </c>
      <c r="F724" s="50">
        <v>110325</v>
      </c>
      <c r="G724" s="6">
        <f>C724*D724*F724</f>
        <v>9267300</v>
      </c>
      <c r="I724" s="39"/>
    </row>
    <row r="725" spans="1:9" s="37" customFormat="1">
      <c r="A725" s="45"/>
      <c r="B725" s="35" t="s">
        <v>394</v>
      </c>
      <c r="C725" s="35"/>
      <c r="D725" s="35"/>
      <c r="E725" s="35"/>
      <c r="F725" s="35"/>
      <c r="G725" s="5"/>
      <c r="I725" s="39"/>
    </row>
    <row r="726" spans="1:9" s="37" customFormat="1">
      <c r="A726" s="45"/>
      <c r="B726" s="46" t="s">
        <v>389</v>
      </c>
      <c r="C726" s="52">
        <v>12</v>
      </c>
      <c r="D726" s="48">
        <v>11</v>
      </c>
      <c r="E726" s="48" t="s">
        <v>72</v>
      </c>
      <c r="F726" s="50">
        <v>96925</v>
      </c>
      <c r="G726" s="6">
        <f>C726*D726*F726</f>
        <v>12794100</v>
      </c>
      <c r="I726" s="39"/>
    </row>
    <row r="727" spans="1:9" s="37" customFormat="1">
      <c r="A727" s="34" t="s">
        <v>395</v>
      </c>
      <c r="B727" s="35" t="s">
        <v>396</v>
      </c>
      <c r="C727" s="35"/>
      <c r="D727" s="35"/>
      <c r="E727" s="35"/>
      <c r="F727" s="35"/>
      <c r="G727" s="4">
        <f>G728+G738</f>
        <v>468585300</v>
      </c>
      <c r="I727" s="36"/>
    </row>
    <row r="728" spans="1:9" s="37" customFormat="1">
      <c r="A728" s="66" t="s">
        <v>397</v>
      </c>
      <c r="B728" s="56" t="s">
        <v>398</v>
      </c>
      <c r="C728" s="56"/>
      <c r="D728" s="56"/>
      <c r="E728" s="56"/>
      <c r="F728" s="56"/>
      <c r="G728" s="20">
        <f>G729</f>
        <v>307707684</v>
      </c>
      <c r="I728" s="1"/>
    </row>
    <row r="729" spans="1:9" s="37" customFormat="1" ht="24">
      <c r="A729" s="42"/>
      <c r="B729" s="43" t="s">
        <v>399</v>
      </c>
      <c r="C729" s="43"/>
      <c r="D729" s="43"/>
      <c r="E729" s="43"/>
      <c r="F729" s="43"/>
      <c r="G729" s="4">
        <f>SUM(G731:G737)</f>
        <v>307707684</v>
      </c>
      <c r="I729" s="39"/>
    </row>
    <row r="730" spans="1:9" s="37" customFormat="1" ht="24">
      <c r="A730" s="42"/>
      <c r="B730" s="35" t="s">
        <v>400</v>
      </c>
      <c r="C730" s="35"/>
      <c r="D730" s="35"/>
      <c r="E730" s="35"/>
      <c r="F730" s="35"/>
      <c r="G730" s="5"/>
      <c r="I730" s="39"/>
    </row>
    <row r="731" spans="1:9" s="37" customFormat="1">
      <c r="A731" s="45"/>
      <c r="B731" s="46" t="s">
        <v>401</v>
      </c>
      <c r="C731" s="48">
        <v>12</v>
      </c>
      <c r="D731" s="48">
        <f>281+135+50</f>
        <v>466</v>
      </c>
      <c r="E731" s="48" t="s">
        <v>72</v>
      </c>
      <c r="F731" s="50">
        <v>11693</v>
      </c>
      <c r="G731" s="6">
        <f>C731*D731*F731</f>
        <v>65387256</v>
      </c>
      <c r="I731" s="39"/>
    </row>
    <row r="732" spans="1:9" s="37" customFormat="1" ht="24">
      <c r="A732" s="42"/>
      <c r="B732" s="35" t="s">
        <v>402</v>
      </c>
      <c r="C732" s="35"/>
      <c r="D732" s="35"/>
      <c r="E732" s="35"/>
      <c r="F732" s="35"/>
      <c r="G732" s="5"/>
      <c r="I732" s="39"/>
    </row>
    <row r="733" spans="1:9" s="37" customFormat="1">
      <c r="A733" s="45"/>
      <c r="B733" s="46" t="s">
        <v>401</v>
      </c>
      <c r="C733" s="48">
        <v>12</v>
      </c>
      <c r="D733" s="48">
        <f>1074+44+50</f>
        <v>1168</v>
      </c>
      <c r="E733" s="48" t="s">
        <v>72</v>
      </c>
      <c r="F733" s="50">
        <v>9699</v>
      </c>
      <c r="G733" s="6">
        <f>C733*D733*F733</f>
        <v>135941184</v>
      </c>
      <c r="I733" s="39"/>
    </row>
    <row r="734" spans="1:9" s="37" customFormat="1">
      <c r="A734" s="42"/>
      <c r="B734" s="35" t="s">
        <v>403</v>
      </c>
      <c r="C734" s="35"/>
      <c r="D734" s="35"/>
      <c r="E734" s="35"/>
      <c r="F734" s="35"/>
      <c r="G734" s="5"/>
      <c r="I734" s="39"/>
    </row>
    <row r="735" spans="1:9" s="37" customFormat="1">
      <c r="A735" s="45"/>
      <c r="B735" s="46" t="s">
        <v>401</v>
      </c>
      <c r="C735" s="48">
        <v>12</v>
      </c>
      <c r="D735" s="48">
        <f>303+17+601</f>
        <v>921</v>
      </c>
      <c r="E735" s="48" t="s">
        <v>72</v>
      </c>
      <c r="F735" s="50">
        <v>6767</v>
      </c>
      <c r="G735" s="6">
        <f>C735*D735*F735</f>
        <v>74788884</v>
      </c>
      <c r="I735" s="39"/>
    </row>
    <row r="736" spans="1:9" s="37" customFormat="1">
      <c r="A736" s="42"/>
      <c r="B736" s="35" t="s">
        <v>404</v>
      </c>
      <c r="C736" s="35"/>
      <c r="D736" s="35"/>
      <c r="E736" s="35"/>
      <c r="F736" s="35"/>
      <c r="G736" s="4"/>
      <c r="I736" s="39"/>
    </row>
    <row r="737" spans="1:9" s="37" customFormat="1">
      <c r="A737" s="42"/>
      <c r="B737" s="35" t="s">
        <v>144</v>
      </c>
      <c r="C737" s="47">
        <v>1</v>
      </c>
      <c r="D737" s="47"/>
      <c r="E737" s="48" t="s">
        <v>69</v>
      </c>
      <c r="F737" s="50">
        <f>4385184+717195+25000000+923760+564221</f>
        <v>31590360</v>
      </c>
      <c r="G737" s="12">
        <f>C737*F737</f>
        <v>31590360</v>
      </c>
      <c r="I737" s="39"/>
    </row>
    <row r="738" spans="1:9" s="37" customFormat="1">
      <c r="A738" s="34" t="s">
        <v>405</v>
      </c>
      <c r="B738" s="35" t="s">
        <v>406</v>
      </c>
      <c r="C738" s="35"/>
      <c r="D738" s="35"/>
      <c r="E738" s="35"/>
      <c r="F738" s="35"/>
      <c r="G738" s="4">
        <f>G739</f>
        <v>160877616</v>
      </c>
      <c r="I738" s="1"/>
    </row>
    <row r="739" spans="1:9" s="37" customFormat="1" ht="24">
      <c r="A739" s="42"/>
      <c r="B739" s="43" t="s">
        <v>407</v>
      </c>
      <c r="C739" s="43"/>
      <c r="D739" s="43"/>
      <c r="E739" s="43"/>
      <c r="F739" s="43"/>
      <c r="G739" s="4">
        <f>SUM(G741:G753)</f>
        <v>160877616</v>
      </c>
      <c r="I739" s="39"/>
    </row>
    <row r="740" spans="1:9" s="37" customFormat="1">
      <c r="A740" s="42"/>
      <c r="B740" s="35" t="s">
        <v>408</v>
      </c>
      <c r="C740" s="35"/>
      <c r="D740" s="35"/>
      <c r="E740" s="35"/>
      <c r="F740" s="35"/>
      <c r="G740" s="4"/>
      <c r="I740" s="39"/>
    </row>
    <row r="741" spans="1:9" s="37" customFormat="1">
      <c r="A741" s="42"/>
      <c r="B741" s="35" t="s">
        <v>144</v>
      </c>
      <c r="C741" s="47">
        <v>1</v>
      </c>
      <c r="D741" s="47"/>
      <c r="E741" s="48" t="s">
        <v>69</v>
      </c>
      <c r="F741" s="50">
        <f>7587480+734966+31664487-5001077</f>
        <v>34985856</v>
      </c>
      <c r="G741" s="12">
        <f>C741*F741</f>
        <v>34985856</v>
      </c>
      <c r="I741" s="39"/>
    </row>
    <row r="742" spans="1:9" s="37" customFormat="1" ht="24">
      <c r="A742" s="42"/>
      <c r="B742" s="35" t="s">
        <v>409</v>
      </c>
      <c r="C742" s="35"/>
      <c r="D742" s="35"/>
      <c r="E742" s="35"/>
      <c r="F742" s="35"/>
      <c r="G742" s="5"/>
      <c r="I742" s="39"/>
    </row>
    <row r="743" spans="1:9" s="37" customFormat="1">
      <c r="A743" s="45"/>
      <c r="B743" s="46" t="s">
        <v>410</v>
      </c>
      <c r="C743" s="48">
        <v>12</v>
      </c>
      <c r="D743" s="48">
        <f>151+1+75</f>
        <v>227</v>
      </c>
      <c r="E743" s="48" t="s">
        <v>72</v>
      </c>
      <c r="F743" s="50">
        <v>8092</v>
      </c>
      <c r="G743" s="6">
        <f>C743*D743*F743</f>
        <v>22042608</v>
      </c>
      <c r="I743" s="39"/>
    </row>
    <row r="744" spans="1:9" s="37" customFormat="1" ht="24">
      <c r="A744" s="42"/>
      <c r="B744" s="35" t="s">
        <v>411</v>
      </c>
      <c r="C744" s="35"/>
      <c r="D744" s="35"/>
      <c r="E744" s="35"/>
      <c r="F744" s="35"/>
      <c r="G744" s="5"/>
      <c r="I744" s="39"/>
    </row>
    <row r="745" spans="1:9" s="37" customFormat="1">
      <c r="A745" s="45"/>
      <c r="B745" s="46" t="s">
        <v>410</v>
      </c>
      <c r="C745" s="48">
        <v>12</v>
      </c>
      <c r="D745" s="48">
        <f>142+12+107</f>
        <v>261</v>
      </c>
      <c r="E745" s="48" t="s">
        <v>72</v>
      </c>
      <c r="F745" s="50">
        <v>7698</v>
      </c>
      <c r="G745" s="6">
        <f>C745*D745*F745</f>
        <v>24110136</v>
      </c>
      <c r="I745" s="39"/>
    </row>
    <row r="746" spans="1:9" s="37" customFormat="1" ht="24">
      <c r="A746" s="42"/>
      <c r="B746" s="35" t="s">
        <v>412</v>
      </c>
      <c r="C746" s="35"/>
      <c r="D746" s="35"/>
      <c r="E746" s="35"/>
      <c r="F746" s="35"/>
      <c r="G746" s="5"/>
      <c r="I746" s="39"/>
    </row>
    <row r="747" spans="1:9" s="37" customFormat="1">
      <c r="A747" s="45"/>
      <c r="B747" s="46" t="s">
        <v>410</v>
      </c>
      <c r="C747" s="48">
        <v>12</v>
      </c>
      <c r="D747" s="48">
        <f>927-301</f>
        <v>626</v>
      </c>
      <c r="E747" s="48" t="s">
        <v>72</v>
      </c>
      <c r="F747" s="50">
        <v>6967</v>
      </c>
      <c r="G747" s="6">
        <f>C747*D747*F747</f>
        <v>52336104</v>
      </c>
      <c r="I747" s="39"/>
    </row>
    <row r="748" spans="1:9" s="37" customFormat="1" ht="24">
      <c r="A748" s="45"/>
      <c r="B748" s="35" t="s">
        <v>413</v>
      </c>
      <c r="C748" s="35"/>
      <c r="D748" s="35"/>
      <c r="E748" s="35"/>
      <c r="F748" s="35"/>
      <c r="G748" s="5"/>
      <c r="I748" s="39"/>
    </row>
    <row r="749" spans="1:9" s="37" customFormat="1">
      <c r="A749" s="45"/>
      <c r="B749" s="46" t="s">
        <v>410</v>
      </c>
      <c r="C749" s="48">
        <v>12</v>
      </c>
      <c r="D749" s="48">
        <f>65+115+100</f>
        <v>280</v>
      </c>
      <c r="E749" s="48" t="s">
        <v>72</v>
      </c>
      <c r="F749" s="50">
        <v>6028</v>
      </c>
      <c r="G749" s="6">
        <f>C749*D749*F749</f>
        <v>20254080</v>
      </c>
      <c r="I749" s="39"/>
    </row>
    <row r="750" spans="1:9" s="37" customFormat="1" ht="24">
      <c r="A750" s="45"/>
      <c r="B750" s="35" t="s">
        <v>414</v>
      </c>
      <c r="C750" s="35"/>
      <c r="D750" s="35"/>
      <c r="E750" s="35"/>
      <c r="F750" s="35"/>
      <c r="G750" s="5"/>
      <c r="I750" s="39"/>
    </row>
    <row r="751" spans="1:9" s="37" customFormat="1">
      <c r="A751" s="45"/>
      <c r="B751" s="46" t="s">
        <v>410</v>
      </c>
      <c r="C751" s="48">
        <v>12</v>
      </c>
      <c r="D751" s="48">
        <f>1+50</f>
        <v>51</v>
      </c>
      <c r="E751" s="48" t="s">
        <v>72</v>
      </c>
      <c r="F751" s="50">
        <v>5296</v>
      </c>
      <c r="G751" s="6">
        <f>C751*D751*F751</f>
        <v>3241152</v>
      </c>
      <c r="I751" s="39"/>
    </row>
    <row r="752" spans="1:9" s="37" customFormat="1" ht="24">
      <c r="A752" s="45"/>
      <c r="B752" s="35" t="s">
        <v>415</v>
      </c>
      <c r="C752" s="35"/>
      <c r="D752" s="35"/>
      <c r="E752" s="35"/>
      <c r="F752" s="35"/>
      <c r="G752" s="5"/>
      <c r="I752" s="39"/>
    </row>
    <row r="753" spans="1:9" s="37" customFormat="1">
      <c r="A753" s="45"/>
      <c r="B753" s="46" t="s">
        <v>410</v>
      </c>
      <c r="C753" s="48">
        <v>12</v>
      </c>
      <c r="D753" s="48">
        <f>11+59</f>
        <v>70</v>
      </c>
      <c r="E753" s="48" t="s">
        <v>72</v>
      </c>
      <c r="F753" s="50">
        <v>4652</v>
      </c>
      <c r="G753" s="6">
        <f>C753*D753*F753</f>
        <v>3907680</v>
      </c>
      <c r="I753" s="39"/>
    </row>
    <row r="754" spans="1:9" s="37" customFormat="1">
      <c r="A754" s="34" t="s">
        <v>416</v>
      </c>
      <c r="B754" s="35" t="s">
        <v>417</v>
      </c>
      <c r="C754" s="35"/>
      <c r="D754" s="35"/>
      <c r="E754" s="35"/>
      <c r="F754" s="35"/>
      <c r="G754" s="4">
        <f>G755+G765</f>
        <v>1405759584</v>
      </c>
      <c r="I754" s="36"/>
    </row>
    <row r="755" spans="1:9" s="37" customFormat="1">
      <c r="A755" s="34" t="s">
        <v>418</v>
      </c>
      <c r="B755" s="35" t="s">
        <v>419</v>
      </c>
      <c r="C755" s="35"/>
      <c r="D755" s="35"/>
      <c r="E755" s="35"/>
      <c r="F755" s="35"/>
      <c r="G755" s="4">
        <f>G756</f>
        <v>923130132</v>
      </c>
      <c r="I755" s="1"/>
    </row>
    <row r="756" spans="1:9" s="37" customFormat="1" ht="24">
      <c r="A756" s="42"/>
      <c r="B756" s="43" t="s">
        <v>420</v>
      </c>
      <c r="C756" s="43"/>
      <c r="D756" s="43"/>
      <c r="E756" s="43"/>
      <c r="F756" s="43"/>
      <c r="G756" s="4">
        <f>SUM(G757:G764)</f>
        <v>923130132</v>
      </c>
      <c r="I756" s="1"/>
    </row>
    <row r="757" spans="1:9" s="37" customFormat="1">
      <c r="A757" s="42"/>
      <c r="B757" s="35" t="s">
        <v>421</v>
      </c>
      <c r="C757" s="35"/>
      <c r="D757" s="35"/>
      <c r="E757" s="35"/>
      <c r="F757" s="35"/>
      <c r="G757" s="5"/>
      <c r="I757" s="39"/>
    </row>
    <row r="758" spans="1:9" s="37" customFormat="1">
      <c r="A758" s="45"/>
      <c r="B758" s="46" t="s">
        <v>422</v>
      </c>
      <c r="C758" s="48">
        <v>12</v>
      </c>
      <c r="D758" s="48">
        <f>281+145+150</f>
        <v>576</v>
      </c>
      <c r="E758" s="48" t="s">
        <v>72</v>
      </c>
      <c r="F758" s="50">
        <v>35078</v>
      </c>
      <c r="G758" s="6">
        <f>C758*D758*F758</f>
        <v>242459136</v>
      </c>
      <c r="I758" s="39"/>
    </row>
    <row r="759" spans="1:9" s="37" customFormat="1">
      <c r="A759" s="42"/>
      <c r="B759" s="35" t="s">
        <v>423</v>
      </c>
      <c r="C759" s="35"/>
      <c r="D759" s="35"/>
      <c r="E759" s="35"/>
      <c r="F759" s="35"/>
      <c r="G759" s="5"/>
      <c r="I759" s="39"/>
    </row>
    <row r="760" spans="1:9" s="37" customFormat="1">
      <c r="A760" s="45"/>
      <c r="B760" s="46" t="s">
        <v>422</v>
      </c>
      <c r="C760" s="48">
        <v>12</v>
      </c>
      <c r="D760" s="48">
        <f>1074+44</f>
        <v>1118</v>
      </c>
      <c r="E760" s="48" t="s">
        <v>72</v>
      </c>
      <c r="F760" s="50">
        <v>29097</v>
      </c>
      <c r="G760" s="6">
        <f>C760*D760*F760</f>
        <v>390365352</v>
      </c>
      <c r="I760" s="39"/>
    </row>
    <row r="761" spans="1:9" s="37" customFormat="1">
      <c r="A761" s="42"/>
      <c r="B761" s="35" t="s">
        <v>424</v>
      </c>
      <c r="C761" s="35"/>
      <c r="D761" s="35"/>
      <c r="E761" s="35"/>
      <c r="F761" s="35"/>
      <c r="G761" s="5"/>
      <c r="I761" s="39"/>
    </row>
    <row r="762" spans="1:9" s="37" customFormat="1">
      <c r="A762" s="45"/>
      <c r="B762" s="46" t="s">
        <v>422</v>
      </c>
      <c r="C762" s="48">
        <v>12</v>
      </c>
      <c r="D762" s="48">
        <f>303+17+395</f>
        <v>715</v>
      </c>
      <c r="E762" s="48" t="s">
        <v>72</v>
      </c>
      <c r="F762" s="50">
        <v>20300</v>
      </c>
      <c r="G762" s="6">
        <f>C762*D762*F762</f>
        <v>174174000</v>
      </c>
      <c r="I762" s="39"/>
    </row>
    <row r="763" spans="1:9" s="37" customFormat="1">
      <c r="A763" s="42"/>
      <c r="B763" s="35" t="s">
        <v>144</v>
      </c>
      <c r="C763" s="51"/>
      <c r="D763" s="51"/>
      <c r="E763" s="51"/>
      <c r="F763" s="51"/>
      <c r="G763" s="51"/>
      <c r="I763" s="39"/>
    </row>
    <row r="764" spans="1:9" s="37" customFormat="1">
      <c r="A764" s="45"/>
      <c r="B764" s="46" t="s">
        <v>422</v>
      </c>
      <c r="C764" s="47">
        <v>1</v>
      </c>
      <c r="D764" s="47"/>
      <c r="E764" s="48" t="s">
        <v>69</v>
      </c>
      <c r="F764" s="50">
        <f>14985720+633126+100000000-1000000+1512798</f>
        <v>116131644</v>
      </c>
      <c r="G764" s="12">
        <f>C764*F764</f>
        <v>116131644</v>
      </c>
      <c r="I764" s="39"/>
    </row>
    <row r="765" spans="1:9" s="37" customFormat="1">
      <c r="A765" s="34" t="s">
        <v>425</v>
      </c>
      <c r="B765" s="35" t="s">
        <v>426</v>
      </c>
      <c r="C765" s="35"/>
      <c r="D765" s="35"/>
      <c r="E765" s="35"/>
      <c r="F765" s="35"/>
      <c r="G765" s="4">
        <f>G766</f>
        <v>482629452</v>
      </c>
      <c r="I765" s="1"/>
    </row>
    <row r="766" spans="1:9" s="37" customFormat="1" ht="24">
      <c r="A766" s="42"/>
      <c r="B766" s="43" t="s">
        <v>427</v>
      </c>
      <c r="C766" s="43"/>
      <c r="D766" s="43"/>
      <c r="E766" s="43"/>
      <c r="F766" s="43"/>
      <c r="G766" s="4">
        <f>SUM(G767:G780)</f>
        <v>482629452</v>
      </c>
      <c r="I766" s="39"/>
    </row>
    <row r="767" spans="1:9" s="37" customFormat="1">
      <c r="A767" s="42"/>
      <c r="B767" s="35" t="s">
        <v>428</v>
      </c>
      <c r="C767" s="35"/>
      <c r="D767" s="35"/>
      <c r="E767" s="35"/>
      <c r="F767" s="35"/>
      <c r="G767" s="5"/>
      <c r="I767" s="39"/>
    </row>
    <row r="768" spans="1:9" s="37" customFormat="1">
      <c r="A768" s="51"/>
      <c r="B768" s="52" t="s">
        <v>429</v>
      </c>
      <c r="C768" s="52">
        <v>12</v>
      </c>
      <c r="D768" s="52">
        <f>151+1</f>
        <v>152</v>
      </c>
      <c r="E768" s="52" t="s">
        <v>72</v>
      </c>
      <c r="F768" s="50">
        <v>24277</v>
      </c>
      <c r="G768" s="8">
        <f>C768*D768*F768</f>
        <v>44281248</v>
      </c>
      <c r="I768" s="39"/>
    </row>
    <row r="769" spans="1:9" s="37" customFormat="1">
      <c r="A769" s="42"/>
      <c r="B769" s="35" t="s">
        <v>430</v>
      </c>
      <c r="C769" s="35"/>
      <c r="D769" s="35"/>
      <c r="E769" s="35"/>
      <c r="F769" s="35"/>
      <c r="G769" s="5"/>
      <c r="I769" s="39"/>
    </row>
    <row r="770" spans="1:9" s="37" customFormat="1">
      <c r="A770" s="45"/>
      <c r="B770" s="46" t="s">
        <v>429</v>
      </c>
      <c r="C770" s="48">
        <v>12</v>
      </c>
      <c r="D770" s="48">
        <f>142+12</f>
        <v>154</v>
      </c>
      <c r="E770" s="48" t="s">
        <v>72</v>
      </c>
      <c r="F770" s="50">
        <v>23092</v>
      </c>
      <c r="G770" s="6">
        <f>C770*D770*F770</f>
        <v>42674016</v>
      </c>
      <c r="I770" s="39"/>
    </row>
    <row r="771" spans="1:9" s="37" customFormat="1">
      <c r="A771" s="42"/>
      <c r="B771" s="35" t="s">
        <v>431</v>
      </c>
      <c r="C771" s="35"/>
      <c r="D771" s="35"/>
      <c r="E771" s="35"/>
      <c r="F771" s="35"/>
      <c r="G771" s="5"/>
      <c r="I771" s="39"/>
    </row>
    <row r="772" spans="1:9" s="37" customFormat="1">
      <c r="A772" s="45"/>
      <c r="B772" s="46" t="s">
        <v>429</v>
      </c>
      <c r="C772" s="48">
        <v>12</v>
      </c>
      <c r="D772" s="48">
        <f>927+11</f>
        <v>938</v>
      </c>
      <c r="E772" s="48" t="s">
        <v>72</v>
      </c>
      <c r="F772" s="50">
        <v>20901</v>
      </c>
      <c r="G772" s="6">
        <f>C772*D772*F772</f>
        <v>235261656</v>
      </c>
      <c r="I772" s="39"/>
    </row>
    <row r="773" spans="1:9" s="37" customFormat="1">
      <c r="A773" s="45"/>
      <c r="B773" s="35" t="s">
        <v>432</v>
      </c>
      <c r="C773" s="35"/>
      <c r="D773" s="35"/>
      <c r="E773" s="35"/>
      <c r="F773" s="35"/>
      <c r="G773" s="5"/>
      <c r="I773" s="39"/>
    </row>
    <row r="774" spans="1:9" s="37" customFormat="1">
      <c r="A774" s="45"/>
      <c r="B774" s="46" t="s">
        <v>429</v>
      </c>
      <c r="C774" s="48">
        <v>12</v>
      </c>
      <c r="D774" s="48">
        <f>65+145</f>
        <v>210</v>
      </c>
      <c r="E774" s="48" t="s">
        <v>72</v>
      </c>
      <c r="F774" s="50">
        <v>18083</v>
      </c>
      <c r="G774" s="6">
        <f>C774*D774*F774</f>
        <v>45569160</v>
      </c>
      <c r="I774" s="39"/>
    </row>
    <row r="775" spans="1:9" s="37" customFormat="1">
      <c r="A775" s="45"/>
      <c r="B775" s="35" t="s">
        <v>433</v>
      </c>
      <c r="C775" s="35"/>
      <c r="D775" s="35"/>
      <c r="E775" s="35"/>
      <c r="F775" s="35"/>
      <c r="G775" s="5"/>
      <c r="I775" s="39"/>
    </row>
    <row r="776" spans="1:9" s="37" customFormat="1">
      <c r="A776" s="45"/>
      <c r="B776" s="46" t="s">
        <v>429</v>
      </c>
      <c r="C776" s="48">
        <v>12</v>
      </c>
      <c r="D776" s="48">
        <f>1+400</f>
        <v>401</v>
      </c>
      <c r="E776" s="48" t="s">
        <v>72</v>
      </c>
      <c r="F776" s="50">
        <v>15887</v>
      </c>
      <c r="G776" s="6">
        <f>C776*D776*F776</f>
        <v>76448244</v>
      </c>
      <c r="I776" s="39"/>
    </row>
    <row r="777" spans="1:9" s="37" customFormat="1">
      <c r="A777" s="45"/>
      <c r="B777" s="35" t="s">
        <v>434</v>
      </c>
      <c r="C777" s="35"/>
      <c r="D777" s="35"/>
      <c r="E777" s="35"/>
      <c r="F777" s="35"/>
      <c r="G777" s="5"/>
      <c r="I777" s="39"/>
    </row>
    <row r="778" spans="1:9" s="37" customFormat="1">
      <c r="A778" s="45"/>
      <c r="B778" s="46" t="s">
        <v>429</v>
      </c>
      <c r="C778" s="48">
        <v>12</v>
      </c>
      <c r="D778" s="48">
        <v>11</v>
      </c>
      <c r="E778" s="48" t="s">
        <v>72</v>
      </c>
      <c r="F778" s="50">
        <v>13957</v>
      </c>
      <c r="G778" s="6">
        <f>C778*D778*F778</f>
        <v>1842324</v>
      </c>
      <c r="I778" s="39"/>
    </row>
    <row r="779" spans="1:9" s="37" customFormat="1">
      <c r="A779" s="42"/>
      <c r="B779" s="35" t="s">
        <v>144</v>
      </c>
      <c r="C779" s="51"/>
      <c r="D779" s="51"/>
      <c r="E779" s="51"/>
      <c r="F779" s="51"/>
      <c r="G779" s="51"/>
      <c r="I779" s="39"/>
    </row>
    <row r="780" spans="1:9" s="37" customFormat="1">
      <c r="A780" s="42"/>
      <c r="B780" s="46" t="s">
        <v>429</v>
      </c>
      <c r="C780" s="47">
        <v>1</v>
      </c>
      <c r="D780" s="47"/>
      <c r="E780" s="48" t="s">
        <v>69</v>
      </c>
      <c r="F780" s="50">
        <f>25572636+6289913+86609442-10379741-71539446</f>
        <v>36552804</v>
      </c>
      <c r="G780" s="12">
        <f>C780*F780</f>
        <v>36552804</v>
      </c>
      <c r="I780" s="39"/>
    </row>
    <row r="781" spans="1:9" s="37" customFormat="1">
      <c r="A781" s="68" t="s">
        <v>435</v>
      </c>
      <c r="B781" s="69" t="s">
        <v>436</v>
      </c>
      <c r="C781" s="69"/>
      <c r="D781" s="69"/>
      <c r="E781" s="69"/>
      <c r="F781" s="69"/>
      <c r="G781" s="7">
        <f>G782+G825+G860+G874</f>
        <v>87320099289</v>
      </c>
      <c r="I781" s="39"/>
    </row>
    <row r="782" spans="1:9" s="37" customFormat="1">
      <c r="A782" s="34" t="s">
        <v>437</v>
      </c>
      <c r="B782" s="35" t="s">
        <v>438</v>
      </c>
      <c r="C782" s="35"/>
      <c r="D782" s="35"/>
      <c r="E782" s="35"/>
      <c r="F782" s="35"/>
      <c r="G782" s="7">
        <f>G783+G817</f>
        <v>36520356448</v>
      </c>
      <c r="I782" s="36"/>
    </row>
    <row r="783" spans="1:9" s="37" customFormat="1">
      <c r="A783" s="34" t="s">
        <v>439</v>
      </c>
      <c r="B783" s="35" t="s">
        <v>440</v>
      </c>
      <c r="C783" s="35"/>
      <c r="D783" s="35"/>
      <c r="E783" s="35"/>
      <c r="F783" s="35"/>
      <c r="G783" s="7">
        <f>G784</f>
        <v>18139318666</v>
      </c>
      <c r="I783" s="1"/>
    </row>
    <row r="784" spans="1:9" s="37" customFormat="1" ht="24">
      <c r="A784" s="42"/>
      <c r="B784" s="35" t="s">
        <v>441</v>
      </c>
      <c r="C784" s="35"/>
      <c r="D784" s="35"/>
      <c r="E784" s="35"/>
      <c r="F784" s="35"/>
      <c r="G784" s="7">
        <f>SUM(G786:G816)</f>
        <v>18139318666</v>
      </c>
      <c r="I784" s="1"/>
    </row>
    <row r="785" spans="1:9" s="37" customFormat="1" ht="24">
      <c r="A785" s="42"/>
      <c r="B785" s="35" t="s">
        <v>442</v>
      </c>
      <c r="C785" s="35"/>
      <c r="D785" s="35"/>
      <c r="E785" s="35"/>
      <c r="F785" s="35"/>
      <c r="G785" s="5"/>
      <c r="I785" s="39"/>
    </row>
    <row r="786" spans="1:9" s="37" customFormat="1">
      <c r="A786" s="45"/>
      <c r="B786" s="46" t="s">
        <v>443</v>
      </c>
      <c r="C786" s="61">
        <v>14</v>
      </c>
      <c r="D786" s="61">
        <v>1</v>
      </c>
      <c r="E786" s="61" t="s">
        <v>72</v>
      </c>
      <c r="F786" s="60">
        <v>16343292</v>
      </c>
      <c r="G786" s="17">
        <f>C786*D786*F786</f>
        <v>228806088</v>
      </c>
      <c r="I786" s="39"/>
    </row>
    <row r="787" spans="1:9" s="37" customFormat="1" ht="24">
      <c r="A787" s="42"/>
      <c r="B787" s="35" t="s">
        <v>444</v>
      </c>
      <c r="C787" s="35"/>
      <c r="D787" s="35"/>
      <c r="E787" s="35"/>
      <c r="F787" s="35"/>
      <c r="G787" s="17"/>
      <c r="I787" s="39"/>
    </row>
    <row r="788" spans="1:9" s="37" customFormat="1">
      <c r="A788" s="45"/>
      <c r="B788" s="46" t="s">
        <v>443</v>
      </c>
      <c r="C788" s="61">
        <v>14</v>
      </c>
      <c r="D788" s="61">
        <v>1</v>
      </c>
      <c r="E788" s="61" t="s">
        <v>72</v>
      </c>
      <c r="F788" s="60">
        <v>11971423</v>
      </c>
      <c r="G788" s="17">
        <f>C788*D788*F788</f>
        <v>167599922</v>
      </c>
      <c r="I788" s="39"/>
    </row>
    <row r="789" spans="1:9" s="37" customFormat="1" ht="24">
      <c r="A789" s="42"/>
      <c r="B789" s="35" t="s">
        <v>445</v>
      </c>
      <c r="C789" s="35"/>
      <c r="D789" s="35"/>
      <c r="E789" s="35"/>
      <c r="F789" s="35"/>
      <c r="G789" s="17"/>
      <c r="I789" s="39"/>
    </row>
    <row r="790" spans="1:9" s="37" customFormat="1">
      <c r="A790" s="45"/>
      <c r="B790" s="46" t="s">
        <v>440</v>
      </c>
      <c r="C790" s="61">
        <v>14</v>
      </c>
      <c r="D790" s="61">
        <v>4</v>
      </c>
      <c r="E790" s="61" t="s">
        <v>72</v>
      </c>
      <c r="F790" s="60">
        <v>9305435</v>
      </c>
      <c r="G790" s="17">
        <f>C790*D790*F790</f>
        <v>521104360</v>
      </c>
      <c r="I790" s="39"/>
    </row>
    <row r="791" spans="1:9" s="37" customFormat="1" ht="24">
      <c r="A791" s="42"/>
      <c r="B791" s="35" t="s">
        <v>446</v>
      </c>
      <c r="C791" s="35"/>
      <c r="D791" s="35"/>
      <c r="E791" s="35"/>
      <c r="F791" s="35"/>
      <c r="G791" s="17"/>
      <c r="I791" s="39"/>
    </row>
    <row r="792" spans="1:9" s="37" customFormat="1">
      <c r="A792" s="45"/>
      <c r="B792" s="46" t="s">
        <v>443</v>
      </c>
      <c r="C792" s="61">
        <v>14</v>
      </c>
      <c r="D792" s="61">
        <v>8</v>
      </c>
      <c r="E792" s="61" t="s">
        <v>72</v>
      </c>
      <c r="F792" s="60">
        <v>7741466</v>
      </c>
      <c r="G792" s="17">
        <f t="shared" ref="G792:G798" si="0">C792*D792*F792</f>
        <v>867044192</v>
      </c>
      <c r="I792" s="39"/>
    </row>
    <row r="793" spans="1:9" s="37" customFormat="1">
      <c r="A793" s="45"/>
      <c r="B793" s="46" t="s">
        <v>443</v>
      </c>
      <c r="C793" s="61">
        <v>14</v>
      </c>
      <c r="D793" s="61">
        <v>2</v>
      </c>
      <c r="E793" s="61" t="s">
        <v>72</v>
      </c>
      <c r="F793" s="60">
        <v>6084780</v>
      </c>
      <c r="G793" s="17">
        <f t="shared" si="0"/>
        <v>170373840</v>
      </c>
      <c r="I793" s="39"/>
    </row>
    <row r="794" spans="1:9" s="37" customFormat="1">
      <c r="A794" s="45"/>
      <c r="B794" s="46" t="s">
        <v>443</v>
      </c>
      <c r="C794" s="61">
        <v>14</v>
      </c>
      <c r="D794" s="61">
        <v>3</v>
      </c>
      <c r="E794" s="61" t="s">
        <v>72</v>
      </c>
      <c r="F794" s="60">
        <v>5417548</v>
      </c>
      <c r="G794" s="17">
        <f t="shared" si="0"/>
        <v>227537016</v>
      </c>
      <c r="I794" s="39"/>
    </row>
    <row r="795" spans="1:9" s="37" customFormat="1">
      <c r="A795" s="45"/>
      <c r="B795" s="46" t="s">
        <v>443</v>
      </c>
      <c r="C795" s="61">
        <v>14</v>
      </c>
      <c r="D795" s="61">
        <v>1</v>
      </c>
      <c r="E795" s="61" t="s">
        <v>72</v>
      </c>
      <c r="F795" s="60">
        <v>5310633</v>
      </c>
      <c r="G795" s="17">
        <f t="shared" si="0"/>
        <v>74348862</v>
      </c>
      <c r="I795" s="39"/>
    </row>
    <row r="796" spans="1:9" s="37" customFormat="1">
      <c r="A796" s="45"/>
      <c r="B796" s="46" t="s">
        <v>443</v>
      </c>
      <c r="C796" s="61">
        <v>14</v>
      </c>
      <c r="D796" s="61">
        <v>1</v>
      </c>
      <c r="E796" s="61" t="s">
        <v>72</v>
      </c>
      <c r="F796" s="60">
        <v>4796849</v>
      </c>
      <c r="G796" s="17">
        <f t="shared" si="0"/>
        <v>67155886</v>
      </c>
      <c r="I796" s="39"/>
    </row>
    <row r="797" spans="1:9" s="37" customFormat="1">
      <c r="A797" s="45"/>
      <c r="B797" s="46" t="s">
        <v>443</v>
      </c>
      <c r="C797" s="61">
        <v>14</v>
      </c>
      <c r="D797" s="61">
        <v>1</v>
      </c>
      <c r="E797" s="61" t="s">
        <v>72</v>
      </c>
      <c r="F797" s="60">
        <v>1548293</v>
      </c>
      <c r="G797" s="17">
        <f t="shared" si="0"/>
        <v>21676102</v>
      </c>
      <c r="I797" s="39"/>
    </row>
    <row r="798" spans="1:9" s="37" customFormat="1">
      <c r="A798" s="45"/>
      <c r="B798" s="46" t="s">
        <v>443</v>
      </c>
      <c r="C798" s="61">
        <v>14</v>
      </c>
      <c r="D798" s="61">
        <v>347</v>
      </c>
      <c r="E798" s="61" t="s">
        <v>72</v>
      </c>
      <c r="F798" s="60">
        <v>450000</v>
      </c>
      <c r="G798" s="17">
        <f t="shared" si="0"/>
        <v>2186100000</v>
      </c>
      <c r="I798" s="39"/>
    </row>
    <row r="799" spans="1:9" s="37" customFormat="1" ht="24">
      <c r="A799" s="42"/>
      <c r="B799" s="35" t="s">
        <v>447</v>
      </c>
      <c r="C799" s="35"/>
      <c r="D799" s="35"/>
      <c r="E799" s="35"/>
      <c r="F799" s="35"/>
      <c r="G799" s="17"/>
      <c r="I799" s="39"/>
    </row>
    <row r="800" spans="1:9" s="37" customFormat="1">
      <c r="A800" s="45"/>
      <c r="B800" s="46" t="s">
        <v>443</v>
      </c>
      <c r="C800" s="61">
        <v>14</v>
      </c>
      <c r="D800" s="61">
        <v>1</v>
      </c>
      <c r="E800" s="61" t="s">
        <v>72</v>
      </c>
      <c r="F800" s="60">
        <v>5670229</v>
      </c>
      <c r="G800" s="17">
        <f>C800*D800*F800</f>
        <v>79383206</v>
      </c>
      <c r="I800" s="39"/>
    </row>
    <row r="801" spans="1:9" s="37" customFormat="1" ht="24">
      <c r="A801" s="42"/>
      <c r="B801" s="35" t="s">
        <v>448</v>
      </c>
      <c r="C801" s="35"/>
      <c r="D801" s="35"/>
      <c r="E801" s="35"/>
      <c r="F801" s="35"/>
      <c r="G801" s="17"/>
      <c r="I801" s="39"/>
    </row>
    <row r="802" spans="1:9" s="37" customFormat="1">
      <c r="A802" s="45"/>
      <c r="B802" s="46" t="s">
        <v>443</v>
      </c>
      <c r="C802" s="61">
        <v>14</v>
      </c>
      <c r="D802" s="61">
        <v>20</v>
      </c>
      <c r="E802" s="61" t="s">
        <v>72</v>
      </c>
      <c r="F802" s="60">
        <v>3762340</v>
      </c>
      <c r="G802" s="17">
        <f>C802*D802*F802</f>
        <v>1053455200</v>
      </c>
      <c r="I802" s="39"/>
    </row>
    <row r="803" spans="1:9" s="37" customFormat="1">
      <c r="A803" s="45"/>
      <c r="B803" s="46" t="s">
        <v>443</v>
      </c>
      <c r="C803" s="61">
        <v>14</v>
      </c>
      <c r="D803" s="61">
        <v>57</v>
      </c>
      <c r="E803" s="61" t="s">
        <v>72</v>
      </c>
      <c r="F803" s="60">
        <v>3095108</v>
      </c>
      <c r="G803" s="17">
        <f>C803*D803*F803</f>
        <v>2469896184</v>
      </c>
      <c r="I803" s="39"/>
    </row>
    <row r="804" spans="1:9" s="37" customFormat="1">
      <c r="A804" s="45"/>
      <c r="B804" s="46" t="s">
        <v>443</v>
      </c>
      <c r="C804" s="61">
        <v>14</v>
      </c>
      <c r="D804" s="61">
        <f>27</f>
        <v>27</v>
      </c>
      <c r="E804" s="61" t="s">
        <v>72</v>
      </c>
      <c r="F804" s="60">
        <v>2474409</v>
      </c>
      <c r="G804" s="17">
        <f>C804*D804*F804</f>
        <v>935326602</v>
      </c>
      <c r="I804" s="39"/>
    </row>
    <row r="805" spans="1:9" s="37" customFormat="1">
      <c r="A805" s="45"/>
      <c r="B805" s="46" t="s">
        <v>443</v>
      </c>
      <c r="C805" s="61">
        <v>14</v>
      </c>
      <c r="D805" s="61">
        <f>974-185</f>
        <v>789</v>
      </c>
      <c r="E805" s="61" t="s">
        <v>72</v>
      </c>
      <c r="F805" s="60">
        <v>475000</v>
      </c>
      <c r="G805" s="17">
        <f>C805*D805*F805</f>
        <v>5246850000</v>
      </c>
      <c r="I805" s="39"/>
    </row>
    <row r="806" spans="1:9" s="37" customFormat="1" ht="24">
      <c r="A806" s="42"/>
      <c r="B806" s="35" t="s">
        <v>449</v>
      </c>
      <c r="C806" s="35"/>
      <c r="D806" s="35"/>
      <c r="E806" s="35"/>
      <c r="F806" s="35"/>
      <c r="G806" s="17"/>
      <c r="I806" s="39"/>
    </row>
    <row r="807" spans="1:9" s="37" customFormat="1">
      <c r="A807" s="45"/>
      <c r="B807" s="46" t="s">
        <v>443</v>
      </c>
      <c r="C807" s="61">
        <v>14</v>
      </c>
      <c r="D807" s="61">
        <v>31</v>
      </c>
      <c r="E807" s="61" t="s">
        <v>72</v>
      </c>
      <c r="F807" s="60">
        <v>2161306</v>
      </c>
      <c r="G807" s="17">
        <f>C807*D807*F807</f>
        <v>938006804</v>
      </c>
      <c r="I807" s="39"/>
    </row>
    <row r="808" spans="1:9" s="37" customFormat="1">
      <c r="A808" s="45"/>
      <c r="B808" s="46" t="s">
        <v>443</v>
      </c>
      <c r="C808" s="61">
        <v>14</v>
      </c>
      <c r="D808" s="61">
        <f>287</f>
        <v>287</v>
      </c>
      <c r="E808" s="61" t="s">
        <v>72</v>
      </c>
      <c r="F808" s="60">
        <v>475000</v>
      </c>
      <c r="G808" s="17">
        <f>C808*D808*F808</f>
        <v>1908550000</v>
      </c>
      <c r="I808" s="39"/>
    </row>
    <row r="809" spans="1:9" s="37" customFormat="1" ht="24">
      <c r="A809" s="42"/>
      <c r="B809" s="35" t="s">
        <v>450</v>
      </c>
      <c r="C809" s="35"/>
      <c r="D809" s="35"/>
      <c r="E809" s="35"/>
      <c r="F809" s="35"/>
      <c r="G809" s="17"/>
      <c r="I809" s="39"/>
    </row>
    <row r="810" spans="1:9" s="37" customFormat="1">
      <c r="A810" s="45"/>
      <c r="B810" s="46" t="s">
        <v>443</v>
      </c>
      <c r="C810" s="61">
        <v>14</v>
      </c>
      <c r="D810" s="61">
        <v>1</v>
      </c>
      <c r="E810" s="61" t="s">
        <v>72</v>
      </c>
      <c r="F810" s="60">
        <v>1899428</v>
      </c>
      <c r="G810" s="17">
        <f>C810*D810*F810</f>
        <v>26591992</v>
      </c>
      <c r="I810" s="39"/>
    </row>
    <row r="811" spans="1:9" s="37" customFormat="1" ht="24">
      <c r="A811" s="42"/>
      <c r="B811" s="35" t="s">
        <v>451</v>
      </c>
      <c r="C811" s="35"/>
      <c r="D811" s="35"/>
      <c r="E811" s="35"/>
      <c r="F811" s="35"/>
      <c r="G811" s="17"/>
      <c r="I811" s="39"/>
    </row>
    <row r="812" spans="1:9" s="37" customFormat="1">
      <c r="A812" s="45"/>
      <c r="B812" s="46" t="s">
        <v>443</v>
      </c>
      <c r="C812" s="61">
        <v>14</v>
      </c>
      <c r="D812" s="61">
        <v>2</v>
      </c>
      <c r="E812" s="61" t="s">
        <v>72</v>
      </c>
      <c r="F812" s="60">
        <v>1238043</v>
      </c>
      <c r="G812" s="17">
        <f>C812*D812*F812</f>
        <v>34665204</v>
      </c>
      <c r="I812" s="39"/>
    </row>
    <row r="813" spans="1:9" s="37" customFormat="1" ht="24">
      <c r="A813" s="42"/>
      <c r="B813" s="35" t="s">
        <v>452</v>
      </c>
      <c r="C813" s="35"/>
      <c r="D813" s="35"/>
      <c r="E813" s="35"/>
      <c r="F813" s="35"/>
      <c r="G813" s="17"/>
      <c r="I813" s="39"/>
    </row>
    <row r="814" spans="1:9" s="37" customFormat="1">
      <c r="A814" s="45"/>
      <c r="B814" s="46" t="s">
        <v>443</v>
      </c>
      <c r="C814" s="61">
        <v>14</v>
      </c>
      <c r="D814" s="61">
        <v>6</v>
      </c>
      <c r="E814" s="61" t="s">
        <v>72</v>
      </c>
      <c r="F814" s="60">
        <v>989764</v>
      </c>
      <c r="G814" s="17">
        <f>C814*D814*F814</f>
        <v>83140176</v>
      </c>
      <c r="I814" s="39"/>
    </row>
    <row r="815" spans="1:9" s="37" customFormat="1">
      <c r="A815" s="45"/>
      <c r="B815" s="35" t="s">
        <v>168</v>
      </c>
      <c r="C815" s="35"/>
      <c r="D815" s="35"/>
      <c r="E815" s="35"/>
      <c r="F815" s="35"/>
      <c r="G815" s="17"/>
      <c r="I815" s="39"/>
    </row>
    <row r="816" spans="1:9" s="37" customFormat="1">
      <c r="A816" s="45"/>
      <c r="B816" s="46" t="s">
        <v>443</v>
      </c>
      <c r="C816" s="61">
        <v>1</v>
      </c>
      <c r="D816" s="61">
        <v>1</v>
      </c>
      <c r="E816" s="61" t="s">
        <v>453</v>
      </c>
      <c r="F816" s="60">
        <f>409000000+3487110+419219920</f>
        <v>831707030</v>
      </c>
      <c r="G816" s="17">
        <f>C816*D816*F816</f>
        <v>831707030</v>
      </c>
      <c r="I816" s="1"/>
    </row>
    <row r="817" spans="1:9" s="37" customFormat="1">
      <c r="A817" s="34" t="s">
        <v>454</v>
      </c>
      <c r="B817" s="35" t="s">
        <v>455</v>
      </c>
      <c r="C817" s="35"/>
      <c r="D817" s="35"/>
      <c r="E817" s="35"/>
      <c r="F817" s="35"/>
      <c r="G817" s="4">
        <f>G818</f>
        <v>18381037782</v>
      </c>
      <c r="I817" s="1"/>
    </row>
    <row r="818" spans="1:9" s="37" customFormat="1" ht="24">
      <c r="A818" s="42"/>
      <c r="B818" s="35" t="s">
        <v>456</v>
      </c>
      <c r="C818" s="35"/>
      <c r="D818" s="35"/>
      <c r="E818" s="35"/>
      <c r="F818" s="35"/>
      <c r="G818" s="4">
        <f>SUM(G820:G824)</f>
        <v>18381037782</v>
      </c>
      <c r="I818" s="39"/>
    </row>
    <row r="819" spans="1:9" s="37" customFormat="1" ht="24">
      <c r="A819" s="42"/>
      <c r="B819" s="35" t="s">
        <v>457</v>
      </c>
      <c r="C819" s="35"/>
      <c r="D819" s="35"/>
      <c r="E819" s="35"/>
      <c r="F819" s="35"/>
      <c r="G819" s="5"/>
      <c r="I819" s="39"/>
    </row>
    <row r="820" spans="1:9" s="37" customFormat="1">
      <c r="A820" s="45"/>
      <c r="B820" s="46" t="s">
        <v>458</v>
      </c>
      <c r="C820" s="61">
        <v>10</v>
      </c>
      <c r="D820" s="61">
        <v>101</v>
      </c>
      <c r="E820" s="61" t="s">
        <v>72</v>
      </c>
      <c r="F820" s="60">
        <v>1000000</v>
      </c>
      <c r="G820" s="17">
        <f>C820*D820*F820</f>
        <v>1010000000</v>
      </c>
      <c r="I820" s="39"/>
    </row>
    <row r="821" spans="1:9" s="37" customFormat="1" ht="24">
      <c r="A821" s="42"/>
      <c r="B821" s="35" t="s">
        <v>459</v>
      </c>
      <c r="C821" s="35"/>
      <c r="D821" s="35"/>
      <c r="E821" s="35"/>
      <c r="F821" s="35"/>
      <c r="G821" s="5"/>
      <c r="I821" s="39"/>
    </row>
    <row r="822" spans="1:9" s="37" customFormat="1">
      <c r="A822" s="45"/>
      <c r="B822" s="46" t="s">
        <v>458</v>
      </c>
      <c r="C822" s="61">
        <v>14</v>
      </c>
      <c r="D822" s="61">
        <v>1220</v>
      </c>
      <c r="E822" s="61" t="s">
        <v>72</v>
      </c>
      <c r="F822" s="60">
        <v>1000000</v>
      </c>
      <c r="G822" s="17">
        <f>C822*D822*F822</f>
        <v>17080000000</v>
      </c>
      <c r="I822" s="39"/>
    </row>
    <row r="823" spans="1:9" s="37" customFormat="1">
      <c r="A823" s="45"/>
      <c r="B823" s="35" t="s">
        <v>144</v>
      </c>
      <c r="C823" s="61"/>
      <c r="D823" s="61"/>
      <c r="E823" s="61"/>
      <c r="F823" s="60"/>
      <c r="G823" s="17"/>
      <c r="I823" s="39"/>
    </row>
    <row r="824" spans="1:9" s="37" customFormat="1">
      <c r="A824" s="45"/>
      <c r="B824" s="46" t="s">
        <v>458</v>
      </c>
      <c r="C824" s="61">
        <v>1</v>
      </c>
      <c r="D824" s="61"/>
      <c r="E824" s="61" t="s">
        <v>69</v>
      </c>
      <c r="F824" s="60">
        <f>166000000+5040000+400708718-192883096-87827840</f>
        <v>291037782</v>
      </c>
      <c r="G824" s="17">
        <f>C824*F824</f>
        <v>291037782</v>
      </c>
      <c r="I824" s="1"/>
    </row>
    <row r="825" spans="1:9" s="37" customFormat="1">
      <c r="A825" s="34" t="s">
        <v>460</v>
      </c>
      <c r="B825" s="35" t="s">
        <v>461</v>
      </c>
      <c r="C825" s="35"/>
      <c r="D825" s="35"/>
      <c r="E825" s="35"/>
      <c r="F825" s="18"/>
      <c r="G825" s="7">
        <f>G826</f>
        <v>11452554316</v>
      </c>
      <c r="I825" s="36"/>
    </row>
    <row r="826" spans="1:9" s="37" customFormat="1">
      <c r="A826" s="34" t="s">
        <v>462</v>
      </c>
      <c r="B826" s="35" t="s">
        <v>463</v>
      </c>
      <c r="C826" s="35"/>
      <c r="D826" s="35"/>
      <c r="E826" s="35"/>
      <c r="F826" s="35"/>
      <c r="G826" s="21">
        <f>G827</f>
        <v>11452554316</v>
      </c>
      <c r="I826" s="1"/>
    </row>
    <row r="827" spans="1:9" s="37" customFormat="1" ht="24">
      <c r="A827" s="42"/>
      <c r="B827" s="35" t="s">
        <v>464</v>
      </c>
      <c r="C827" s="35"/>
      <c r="D827" s="35"/>
      <c r="E827" s="35"/>
      <c r="F827" s="35"/>
      <c r="G827" s="7">
        <f>SUM(G829:G859)</f>
        <v>11452554316</v>
      </c>
      <c r="I827" s="39"/>
    </row>
    <row r="828" spans="1:9" s="37" customFormat="1" ht="24">
      <c r="A828" s="42"/>
      <c r="B828" s="35" t="s">
        <v>465</v>
      </c>
      <c r="C828" s="35"/>
      <c r="D828" s="35"/>
      <c r="E828" s="35"/>
      <c r="F828" s="35"/>
      <c r="G828" s="5"/>
      <c r="I828" s="39"/>
    </row>
    <row r="829" spans="1:9" s="37" customFormat="1">
      <c r="A829" s="45"/>
      <c r="B829" s="46" t="s">
        <v>466</v>
      </c>
      <c r="C829" s="61">
        <v>14</v>
      </c>
      <c r="D829" s="61">
        <v>1</v>
      </c>
      <c r="E829" s="61" t="s">
        <v>72</v>
      </c>
      <c r="F829" s="60">
        <v>4974045</v>
      </c>
      <c r="G829" s="17">
        <f>C829*D829*F829</f>
        <v>69636630</v>
      </c>
      <c r="I829" s="39"/>
    </row>
    <row r="830" spans="1:9" s="37" customFormat="1" ht="24">
      <c r="A830" s="42"/>
      <c r="B830" s="35" t="s">
        <v>467</v>
      </c>
      <c r="C830" s="35"/>
      <c r="D830" s="35"/>
      <c r="E830" s="35"/>
      <c r="F830" s="35"/>
      <c r="G830" s="17"/>
      <c r="I830" s="39"/>
    </row>
    <row r="831" spans="1:9" s="37" customFormat="1">
      <c r="A831" s="45"/>
      <c r="B831" s="46" t="s">
        <v>466</v>
      </c>
      <c r="C831" s="61">
        <v>14</v>
      </c>
      <c r="D831" s="61">
        <v>1</v>
      </c>
      <c r="E831" s="61" t="s">
        <v>72</v>
      </c>
      <c r="F831" s="60">
        <v>3643476</v>
      </c>
      <c r="G831" s="17">
        <f>C831*D831*F831</f>
        <v>51008664</v>
      </c>
      <c r="I831" s="39"/>
    </row>
    <row r="832" spans="1:9" s="37" customFormat="1" ht="24">
      <c r="A832" s="42"/>
      <c r="B832" s="35" t="s">
        <v>468</v>
      </c>
      <c r="C832" s="35"/>
      <c r="D832" s="35"/>
      <c r="E832" s="35"/>
      <c r="F832" s="35"/>
      <c r="G832" s="5"/>
      <c r="I832" s="39"/>
    </row>
    <row r="833" spans="1:9" s="37" customFormat="1">
      <c r="A833" s="45"/>
      <c r="B833" s="46" t="s">
        <v>466</v>
      </c>
      <c r="C833" s="61">
        <v>14</v>
      </c>
      <c r="D833" s="61">
        <v>4</v>
      </c>
      <c r="E833" s="61" t="s">
        <v>72</v>
      </c>
      <c r="F833" s="60">
        <v>2832089</v>
      </c>
      <c r="G833" s="17">
        <f>C833*D833*F833</f>
        <v>158596984</v>
      </c>
      <c r="I833" s="39"/>
    </row>
    <row r="834" spans="1:9" s="37" customFormat="1" ht="24">
      <c r="A834" s="42"/>
      <c r="B834" s="35" t="s">
        <v>469</v>
      </c>
      <c r="C834" s="35"/>
      <c r="D834" s="35"/>
      <c r="E834" s="35"/>
      <c r="F834" s="35"/>
      <c r="G834" s="17"/>
      <c r="I834" s="39"/>
    </row>
    <row r="835" spans="1:9" s="37" customFormat="1">
      <c r="A835" s="45"/>
      <c r="B835" s="46" t="s">
        <v>466</v>
      </c>
      <c r="C835" s="61">
        <v>14</v>
      </c>
      <c r="D835" s="61">
        <v>8</v>
      </c>
      <c r="E835" s="61" t="s">
        <v>72</v>
      </c>
      <c r="F835" s="60">
        <v>2356098</v>
      </c>
      <c r="G835" s="17">
        <f t="shared" ref="G835:G841" si="1">C835*D835*F835</f>
        <v>263882976</v>
      </c>
      <c r="I835" s="39"/>
    </row>
    <row r="836" spans="1:9" s="37" customFormat="1">
      <c r="A836" s="45"/>
      <c r="B836" s="46" t="s">
        <v>466</v>
      </c>
      <c r="C836" s="61">
        <v>14</v>
      </c>
      <c r="D836" s="61">
        <v>2</v>
      </c>
      <c r="E836" s="61" t="s">
        <v>72</v>
      </c>
      <c r="F836" s="60">
        <v>1851889</v>
      </c>
      <c r="G836" s="17">
        <f t="shared" si="1"/>
        <v>51852892</v>
      </c>
      <c r="I836" s="39"/>
    </row>
    <row r="837" spans="1:9" s="37" customFormat="1">
      <c r="A837" s="45"/>
      <c r="B837" s="46" t="s">
        <v>466</v>
      </c>
      <c r="C837" s="61">
        <v>14</v>
      </c>
      <c r="D837" s="61">
        <v>3</v>
      </c>
      <c r="E837" s="61" t="s">
        <v>72</v>
      </c>
      <c r="F837" s="60">
        <v>1648818</v>
      </c>
      <c r="G837" s="17">
        <f t="shared" si="1"/>
        <v>69250356</v>
      </c>
      <c r="I837" s="39"/>
    </row>
    <row r="838" spans="1:9" s="37" customFormat="1">
      <c r="A838" s="45"/>
      <c r="B838" s="46" t="s">
        <v>466</v>
      </c>
      <c r="C838" s="61">
        <v>14</v>
      </c>
      <c r="D838" s="61">
        <v>1</v>
      </c>
      <c r="E838" s="61" t="s">
        <v>72</v>
      </c>
      <c r="F838" s="60">
        <v>1616279</v>
      </c>
      <c r="G838" s="17">
        <f t="shared" si="1"/>
        <v>22627906</v>
      </c>
      <c r="I838" s="39"/>
    </row>
    <row r="839" spans="1:9" s="37" customFormat="1">
      <c r="A839" s="45"/>
      <c r="B839" s="46" t="s">
        <v>466</v>
      </c>
      <c r="C839" s="61">
        <v>14</v>
      </c>
      <c r="D839" s="61">
        <v>1</v>
      </c>
      <c r="E839" s="61" t="s">
        <v>72</v>
      </c>
      <c r="F839" s="60">
        <v>1459910</v>
      </c>
      <c r="G839" s="17">
        <f t="shared" si="1"/>
        <v>20438740</v>
      </c>
      <c r="I839" s="39"/>
    </row>
    <row r="840" spans="1:9" s="37" customFormat="1">
      <c r="A840" s="45"/>
      <c r="B840" s="46" t="s">
        <v>466</v>
      </c>
      <c r="C840" s="61">
        <v>14</v>
      </c>
      <c r="D840" s="61">
        <v>1</v>
      </c>
      <c r="E840" s="61" t="s">
        <v>72</v>
      </c>
      <c r="F840" s="60">
        <v>442440</v>
      </c>
      <c r="G840" s="17">
        <f t="shared" si="1"/>
        <v>6194160</v>
      </c>
      <c r="I840" s="39"/>
    </row>
    <row r="841" spans="1:9" s="37" customFormat="1">
      <c r="A841" s="45"/>
      <c r="B841" s="46" t="s">
        <v>466</v>
      </c>
      <c r="C841" s="61">
        <v>14</v>
      </c>
      <c r="D841" s="61">
        <v>267</v>
      </c>
      <c r="E841" s="61" t="s">
        <v>72</v>
      </c>
      <c r="F841" s="60">
        <v>500000</v>
      </c>
      <c r="G841" s="17">
        <f t="shared" si="1"/>
        <v>1869000000</v>
      </c>
      <c r="I841" s="39"/>
    </row>
    <row r="842" spans="1:9" s="37" customFormat="1" ht="24">
      <c r="A842" s="42"/>
      <c r="B842" s="35" t="s">
        <v>470</v>
      </c>
      <c r="C842" s="35"/>
      <c r="D842" s="35"/>
      <c r="E842" s="35"/>
      <c r="F842" s="35"/>
      <c r="G842" s="17"/>
      <c r="I842" s="39"/>
    </row>
    <row r="843" spans="1:9" s="37" customFormat="1">
      <c r="A843" s="45"/>
      <c r="B843" s="46" t="s">
        <v>466</v>
      </c>
      <c r="C843" s="61">
        <v>14</v>
      </c>
      <c r="D843" s="61">
        <v>1</v>
      </c>
      <c r="E843" s="61" t="s">
        <v>72</v>
      </c>
      <c r="F843" s="60">
        <v>1725722</v>
      </c>
      <c r="G843" s="17">
        <f>C843*D843*F843</f>
        <v>24160108</v>
      </c>
      <c r="I843" s="39"/>
    </row>
    <row r="844" spans="1:9" s="37" customFormat="1" ht="24">
      <c r="A844" s="42"/>
      <c r="B844" s="35" t="s">
        <v>471</v>
      </c>
      <c r="C844" s="35"/>
      <c r="D844" s="35"/>
      <c r="E844" s="35"/>
      <c r="F844" s="35"/>
      <c r="G844" s="17"/>
      <c r="I844" s="39"/>
    </row>
    <row r="845" spans="1:9" s="37" customFormat="1">
      <c r="A845" s="45"/>
      <c r="B845" s="46" t="s">
        <v>466</v>
      </c>
      <c r="C845" s="61">
        <v>14</v>
      </c>
      <c r="D845" s="61">
        <v>20</v>
      </c>
      <c r="E845" s="61" t="s">
        <v>72</v>
      </c>
      <c r="F845" s="60">
        <v>1145060</v>
      </c>
      <c r="G845" s="17">
        <f>C845*D845*F845</f>
        <v>320616800</v>
      </c>
      <c r="I845" s="39"/>
    </row>
    <row r="846" spans="1:9" s="37" customFormat="1">
      <c r="A846" s="45"/>
      <c r="B846" s="46" t="s">
        <v>466</v>
      </c>
      <c r="C846" s="61">
        <v>14</v>
      </c>
      <c r="D846" s="61">
        <v>57</v>
      </c>
      <c r="E846" s="61" t="s">
        <v>72</v>
      </c>
      <c r="F846" s="60">
        <v>941989</v>
      </c>
      <c r="G846" s="17">
        <f>C846*D846*F846</f>
        <v>751707222</v>
      </c>
      <c r="I846" s="39"/>
    </row>
    <row r="847" spans="1:9" s="37" customFormat="1">
      <c r="A847" s="45"/>
      <c r="B847" s="46" t="s">
        <v>466</v>
      </c>
      <c r="C847" s="61">
        <v>14</v>
      </c>
      <c r="D847" s="61">
        <f>27</f>
        <v>27</v>
      </c>
      <c r="E847" s="61" t="s">
        <v>72</v>
      </c>
      <c r="F847" s="60">
        <v>753081</v>
      </c>
      <c r="G847" s="17">
        <f>C847*D847*F847</f>
        <v>284664618</v>
      </c>
      <c r="I847" s="39"/>
    </row>
    <row r="848" spans="1:9" s="37" customFormat="1">
      <c r="A848" s="45"/>
      <c r="B848" s="46" t="s">
        <v>466</v>
      </c>
      <c r="C848" s="61">
        <v>14</v>
      </c>
      <c r="D848" s="61">
        <f>974-108</f>
        <v>866</v>
      </c>
      <c r="E848" s="61" t="s">
        <v>72</v>
      </c>
      <c r="F848" s="60">
        <v>375000</v>
      </c>
      <c r="G848" s="17">
        <f>C848*D848*F848</f>
        <v>4546500000</v>
      </c>
      <c r="I848" s="39"/>
    </row>
    <row r="849" spans="1:9" s="37" customFormat="1" ht="24">
      <c r="A849" s="42"/>
      <c r="B849" s="35" t="s">
        <v>472</v>
      </c>
      <c r="C849" s="35"/>
      <c r="D849" s="35"/>
      <c r="E849" s="35"/>
      <c r="F849" s="35"/>
      <c r="G849" s="17"/>
      <c r="I849" s="39"/>
    </row>
    <row r="850" spans="1:9" s="37" customFormat="1">
      <c r="A850" s="45"/>
      <c r="B850" s="46" t="s">
        <v>466</v>
      </c>
      <c r="C850" s="61">
        <v>14</v>
      </c>
      <c r="D850" s="61">
        <v>31</v>
      </c>
      <c r="E850" s="61" t="s">
        <v>72</v>
      </c>
      <c r="F850" s="60">
        <v>657789</v>
      </c>
      <c r="G850" s="17">
        <f>C850*D850*F850</f>
        <v>285480426</v>
      </c>
      <c r="I850" s="39"/>
    </row>
    <row r="851" spans="1:9" s="37" customFormat="1">
      <c r="A851" s="45"/>
      <c r="B851" s="46" t="s">
        <v>466</v>
      </c>
      <c r="C851" s="61">
        <v>14</v>
      </c>
      <c r="D851" s="61">
        <f>277+100+100</f>
        <v>477</v>
      </c>
      <c r="E851" s="61" t="s">
        <v>72</v>
      </c>
      <c r="F851" s="60">
        <v>350000</v>
      </c>
      <c r="G851" s="17">
        <f>C851*D851*F851</f>
        <v>2337300000</v>
      </c>
      <c r="I851" s="39"/>
    </row>
    <row r="852" spans="1:9" s="37" customFormat="1" ht="24">
      <c r="A852" s="42"/>
      <c r="B852" s="35" t="s">
        <v>473</v>
      </c>
      <c r="C852" s="35"/>
      <c r="D852" s="35"/>
      <c r="E852" s="35"/>
      <c r="F852" s="35"/>
      <c r="G852" s="17"/>
      <c r="I852" s="39"/>
    </row>
    <row r="853" spans="1:9" s="37" customFormat="1">
      <c r="A853" s="45"/>
      <c r="B853" s="46" t="s">
        <v>466</v>
      </c>
      <c r="C853" s="61">
        <v>14</v>
      </c>
      <c r="D853" s="61">
        <v>1</v>
      </c>
      <c r="E853" s="61" t="s">
        <v>72</v>
      </c>
      <c r="F853" s="60">
        <v>578087</v>
      </c>
      <c r="G853" s="17">
        <f>C853*D853*F853</f>
        <v>8093218</v>
      </c>
      <c r="I853" s="39"/>
    </row>
    <row r="854" spans="1:9" s="37" customFormat="1" ht="24">
      <c r="A854" s="42"/>
      <c r="B854" s="35" t="s">
        <v>474</v>
      </c>
      <c r="C854" s="35"/>
      <c r="D854" s="35"/>
      <c r="E854" s="35"/>
      <c r="F854" s="35"/>
      <c r="G854" s="17"/>
      <c r="I854" s="39"/>
    </row>
    <row r="855" spans="1:9" s="37" customFormat="1">
      <c r="A855" s="45"/>
      <c r="B855" s="46" t="s">
        <v>466</v>
      </c>
      <c r="C855" s="61">
        <v>14</v>
      </c>
      <c r="D855" s="61">
        <v>2</v>
      </c>
      <c r="E855" s="61" t="s">
        <v>154</v>
      </c>
      <c r="F855" s="60">
        <v>376796</v>
      </c>
      <c r="G855" s="17">
        <f>C855*D855*F855</f>
        <v>10550288</v>
      </c>
      <c r="I855" s="39"/>
    </row>
    <row r="856" spans="1:9" s="37" customFormat="1" ht="24">
      <c r="A856" s="42"/>
      <c r="B856" s="35" t="s">
        <v>475</v>
      </c>
      <c r="C856" s="35"/>
      <c r="D856" s="35"/>
      <c r="E856" s="35"/>
      <c r="F856" s="35"/>
      <c r="G856" s="17"/>
      <c r="I856" s="39"/>
    </row>
    <row r="857" spans="1:9" s="37" customFormat="1">
      <c r="A857" s="45"/>
      <c r="B857" s="46" t="s">
        <v>466</v>
      </c>
      <c r="C857" s="61">
        <v>14</v>
      </c>
      <c r="D857" s="61">
        <v>6</v>
      </c>
      <c r="E857" s="61" t="s">
        <v>72</v>
      </c>
      <c r="F857" s="60">
        <v>301232</v>
      </c>
      <c r="G857" s="17">
        <f>C857*D857*F857</f>
        <v>25303488</v>
      </c>
      <c r="I857" s="39"/>
    </row>
    <row r="858" spans="1:9" s="37" customFormat="1">
      <c r="A858" s="42"/>
      <c r="B858" s="35" t="s">
        <v>144</v>
      </c>
      <c r="C858" s="35"/>
      <c r="D858" s="35"/>
      <c r="E858" s="35"/>
      <c r="F858" s="35"/>
      <c r="G858" s="17"/>
      <c r="I858" s="39"/>
    </row>
    <row r="859" spans="1:9" s="37" customFormat="1">
      <c r="A859" s="45"/>
      <c r="B859" s="46" t="s">
        <v>466</v>
      </c>
      <c r="C859" s="62">
        <v>1</v>
      </c>
      <c r="D859" s="62"/>
      <c r="E859" s="61" t="s">
        <v>69</v>
      </c>
      <c r="F859" s="60">
        <f>271540500+2727699+3773551-2352910</f>
        <v>275688840</v>
      </c>
      <c r="G859" s="17">
        <f>C859*F859</f>
        <v>275688840</v>
      </c>
      <c r="I859" s="39"/>
    </row>
    <row r="860" spans="1:9" s="37" customFormat="1" ht="24">
      <c r="A860" s="34" t="s">
        <v>476</v>
      </c>
      <c r="B860" s="35" t="s">
        <v>477</v>
      </c>
      <c r="C860" s="35"/>
      <c r="D860" s="35"/>
      <c r="E860" s="35"/>
      <c r="F860" s="35"/>
      <c r="G860" s="4">
        <f>G861+G868</f>
        <v>23196203815</v>
      </c>
      <c r="I860" s="1"/>
    </row>
    <row r="861" spans="1:9" s="37" customFormat="1" ht="24">
      <c r="A861" s="34" t="s">
        <v>478</v>
      </c>
      <c r="B861" s="35" t="s">
        <v>479</v>
      </c>
      <c r="C861" s="35"/>
      <c r="D861" s="35"/>
      <c r="E861" s="35"/>
      <c r="F861" s="35"/>
      <c r="G861" s="4">
        <f>G862</f>
        <v>14864228640</v>
      </c>
      <c r="I861" s="1"/>
    </row>
    <row r="862" spans="1:9" s="37" customFormat="1" ht="36">
      <c r="A862" s="42"/>
      <c r="B862" s="35" t="s">
        <v>480</v>
      </c>
      <c r="C862" s="35"/>
      <c r="D862" s="35"/>
      <c r="E862" s="35"/>
      <c r="F862" s="35"/>
      <c r="G862" s="4">
        <f>SUM(G864:G867)</f>
        <v>14864228640</v>
      </c>
      <c r="I862" s="39"/>
    </row>
    <row r="863" spans="1:9" s="37" customFormat="1" ht="24">
      <c r="A863" s="42"/>
      <c r="B863" s="35" t="s">
        <v>481</v>
      </c>
      <c r="C863" s="35"/>
      <c r="D863" s="35"/>
      <c r="E863" s="35"/>
      <c r="F863" s="35"/>
      <c r="G863" s="5"/>
      <c r="I863" s="39"/>
    </row>
    <row r="864" spans="1:9" s="37" customFormat="1" ht="22.5">
      <c r="A864" s="45"/>
      <c r="B864" s="46" t="s">
        <v>482</v>
      </c>
      <c r="C864" s="61">
        <v>12</v>
      </c>
      <c r="D864" s="61">
        <f>2+20</f>
        <v>22</v>
      </c>
      <c r="E864" s="61" t="s">
        <v>72</v>
      </c>
      <c r="F864" s="60">
        <v>15000000</v>
      </c>
      <c r="G864" s="17">
        <f>C864*D864*F864</f>
        <v>3960000000</v>
      </c>
      <c r="I864" s="39"/>
    </row>
    <row r="865" spans="1:9" s="37" customFormat="1" ht="22.5">
      <c r="A865" s="45"/>
      <c r="B865" s="46" t="s">
        <v>482</v>
      </c>
      <c r="C865" s="61">
        <v>12</v>
      </c>
      <c r="D865" s="61">
        <f>19+22</f>
        <v>41</v>
      </c>
      <c r="E865" s="61" t="s">
        <v>72</v>
      </c>
      <c r="F865" s="60">
        <v>14999447</v>
      </c>
      <c r="G865" s="17">
        <f>C865*D865*F865</f>
        <v>7379727924</v>
      </c>
      <c r="I865" s="39"/>
    </row>
    <row r="866" spans="1:9" s="37" customFormat="1" ht="22.5">
      <c r="A866" s="45"/>
      <c r="B866" s="46" t="s">
        <v>482</v>
      </c>
      <c r="C866" s="61">
        <v>12</v>
      </c>
      <c r="D866" s="61">
        <f>2+25</f>
        <v>27</v>
      </c>
      <c r="E866" s="61" t="s">
        <v>72</v>
      </c>
      <c r="F866" s="60">
        <v>9998459</v>
      </c>
      <c r="G866" s="17">
        <f>C866*D866*F866</f>
        <v>3239500716</v>
      </c>
      <c r="I866" s="39"/>
    </row>
    <row r="867" spans="1:9" s="37" customFormat="1">
      <c r="A867" s="45"/>
      <c r="B867" s="46" t="s">
        <v>168</v>
      </c>
      <c r="C867" s="61">
        <v>1</v>
      </c>
      <c r="D867" s="61">
        <v>1</v>
      </c>
      <c r="E867" s="61" t="s">
        <v>453</v>
      </c>
      <c r="F867" s="60">
        <f>85000000+50000000+150000000</f>
        <v>285000000</v>
      </c>
      <c r="G867" s="17">
        <f>C867*D867*F867</f>
        <v>285000000</v>
      </c>
      <c r="I867" s="39"/>
    </row>
    <row r="868" spans="1:9" s="37" customFormat="1" ht="24">
      <c r="A868" s="70" t="s">
        <v>483</v>
      </c>
      <c r="B868" s="35" t="s">
        <v>484</v>
      </c>
      <c r="C868" s="35"/>
      <c r="D868" s="35"/>
      <c r="E868" s="35"/>
      <c r="F868" s="35"/>
      <c r="G868" s="4">
        <f>G869</f>
        <v>8331975175</v>
      </c>
      <c r="I868" s="39"/>
    </row>
    <row r="869" spans="1:9" s="37" customFormat="1" ht="24">
      <c r="A869" s="45"/>
      <c r="B869" s="35" t="s">
        <v>484</v>
      </c>
      <c r="C869" s="35"/>
      <c r="D869" s="35"/>
      <c r="E869" s="35"/>
      <c r="F869" s="35"/>
      <c r="G869" s="4">
        <f>G870</f>
        <v>8331975175</v>
      </c>
      <c r="I869" s="39"/>
    </row>
    <row r="870" spans="1:9" s="37" customFormat="1" ht="36">
      <c r="A870" s="45"/>
      <c r="B870" s="35" t="s">
        <v>480</v>
      </c>
      <c r="C870" s="35"/>
      <c r="D870" s="35"/>
      <c r="E870" s="35"/>
      <c r="F870" s="35"/>
      <c r="G870" s="4">
        <f>SUM(G872:G873)</f>
        <v>8331975175</v>
      </c>
      <c r="I870" s="39"/>
    </row>
    <row r="871" spans="1:9" s="37" customFormat="1" ht="24">
      <c r="A871" s="45"/>
      <c r="B871" s="35" t="s">
        <v>485</v>
      </c>
      <c r="C871" s="35"/>
      <c r="D871" s="35"/>
      <c r="E871" s="35"/>
      <c r="F871" s="35"/>
      <c r="G871" s="5"/>
      <c r="I871" s="39"/>
    </row>
    <row r="872" spans="1:9" s="37" customFormat="1" ht="22.5">
      <c r="A872" s="45"/>
      <c r="B872" s="46" t="s">
        <v>484</v>
      </c>
      <c r="C872" s="61">
        <v>12</v>
      </c>
      <c r="D872" s="61">
        <f>14+31</f>
        <v>45</v>
      </c>
      <c r="E872" s="61" t="s">
        <v>72</v>
      </c>
      <c r="F872" s="60">
        <v>14999447</v>
      </c>
      <c r="G872" s="17">
        <f>C872*D872*F872</f>
        <v>8099701380</v>
      </c>
      <c r="I872" s="39"/>
    </row>
    <row r="873" spans="1:9" s="37" customFormat="1">
      <c r="A873" s="45"/>
      <c r="B873" s="46" t="s">
        <v>168</v>
      </c>
      <c r="C873" s="61">
        <v>1</v>
      </c>
      <c r="D873" s="61">
        <v>1</v>
      </c>
      <c r="E873" s="61" t="s">
        <v>453</v>
      </c>
      <c r="F873" s="60">
        <f>63734421+57880479+110658895</f>
        <v>232273795</v>
      </c>
      <c r="G873" s="17">
        <f>C873*D873*F873</f>
        <v>232273795</v>
      </c>
      <c r="I873" s="39"/>
    </row>
    <row r="874" spans="1:9" s="37" customFormat="1">
      <c r="A874" s="34" t="s">
        <v>486</v>
      </c>
      <c r="B874" s="35" t="s">
        <v>487</v>
      </c>
      <c r="C874" s="35"/>
      <c r="D874" s="35"/>
      <c r="E874" s="35"/>
      <c r="F874" s="35"/>
      <c r="G874" s="7">
        <f>G875</f>
        <v>16150984710</v>
      </c>
      <c r="I874" s="36"/>
    </row>
    <row r="875" spans="1:9" s="37" customFormat="1">
      <c r="A875" s="34" t="s">
        <v>488</v>
      </c>
      <c r="B875" s="35" t="s">
        <v>489</v>
      </c>
      <c r="C875" s="35"/>
      <c r="D875" s="35"/>
      <c r="E875" s="35"/>
      <c r="F875" s="35"/>
      <c r="G875" s="7">
        <f>G876</f>
        <v>16150984710</v>
      </c>
      <c r="I875" s="1"/>
    </row>
    <row r="876" spans="1:9" s="37" customFormat="1" ht="24">
      <c r="A876" s="42"/>
      <c r="B876" s="35" t="s">
        <v>490</v>
      </c>
      <c r="C876" s="35"/>
      <c r="D876" s="35"/>
      <c r="E876" s="35"/>
      <c r="F876" s="35"/>
      <c r="G876" s="7">
        <f>SUM(G877:G908)</f>
        <v>16150984710</v>
      </c>
      <c r="I876" s="39"/>
    </row>
    <row r="877" spans="1:9" s="37" customFormat="1" ht="24">
      <c r="A877" s="42"/>
      <c r="B877" s="35" t="s">
        <v>491</v>
      </c>
      <c r="C877" s="35"/>
      <c r="D877" s="35"/>
      <c r="E877" s="35"/>
      <c r="F877" s="35"/>
      <c r="G877" s="5"/>
      <c r="I877" s="39"/>
    </row>
    <row r="878" spans="1:9" s="37" customFormat="1">
      <c r="A878" s="45"/>
      <c r="B878" s="46" t="s">
        <v>492</v>
      </c>
      <c r="C878" s="61">
        <v>14</v>
      </c>
      <c r="D878" s="61">
        <v>1</v>
      </c>
      <c r="E878" s="61" t="s">
        <v>72</v>
      </c>
      <c r="F878" s="60">
        <v>14211558</v>
      </c>
      <c r="G878" s="17">
        <f>C878*D878*F878</f>
        <v>198961812</v>
      </c>
      <c r="I878" s="39"/>
    </row>
    <row r="879" spans="1:9" s="37" customFormat="1" ht="24">
      <c r="A879" s="42"/>
      <c r="B879" s="35" t="s">
        <v>493</v>
      </c>
      <c r="C879" s="35"/>
      <c r="D879" s="35"/>
      <c r="E879" s="35"/>
      <c r="F879" s="35"/>
      <c r="G879" s="17"/>
      <c r="I879" s="39"/>
    </row>
    <row r="880" spans="1:9" s="37" customFormat="1">
      <c r="A880" s="45"/>
      <c r="B880" s="46" t="s">
        <v>492</v>
      </c>
      <c r="C880" s="61">
        <v>14</v>
      </c>
      <c r="D880" s="61">
        <v>1</v>
      </c>
      <c r="E880" s="61" t="s">
        <v>72</v>
      </c>
      <c r="F880" s="60">
        <v>10409933</v>
      </c>
      <c r="G880" s="17">
        <f>C880*D880*F880</f>
        <v>145739062</v>
      </c>
      <c r="I880" s="39"/>
    </row>
    <row r="881" spans="1:9" s="37" customFormat="1" ht="24">
      <c r="A881" s="42"/>
      <c r="B881" s="35" t="s">
        <v>494</v>
      </c>
      <c r="C881" s="35"/>
      <c r="D881" s="35"/>
      <c r="E881" s="35"/>
      <c r="F881" s="35"/>
      <c r="G881" s="17"/>
      <c r="I881" s="39"/>
    </row>
    <row r="882" spans="1:9" s="37" customFormat="1">
      <c r="A882" s="45"/>
      <c r="B882" s="46" t="s">
        <v>492</v>
      </c>
      <c r="C882" s="61">
        <v>14</v>
      </c>
      <c r="D882" s="61">
        <v>4</v>
      </c>
      <c r="E882" s="61" t="s">
        <v>72</v>
      </c>
      <c r="F882" s="60">
        <v>8091683</v>
      </c>
      <c r="G882" s="17">
        <f>C882*D882*F882</f>
        <v>453134248</v>
      </c>
      <c r="I882" s="39"/>
    </row>
    <row r="883" spans="1:9" s="37" customFormat="1" ht="24">
      <c r="A883" s="42"/>
      <c r="B883" s="35" t="s">
        <v>495</v>
      </c>
      <c r="C883" s="35"/>
      <c r="D883" s="35"/>
      <c r="E883" s="35"/>
      <c r="F883" s="35"/>
      <c r="G883" s="17"/>
      <c r="I883" s="39"/>
    </row>
    <row r="884" spans="1:9" s="37" customFormat="1">
      <c r="A884" s="45"/>
      <c r="B884" s="46" t="s">
        <v>492</v>
      </c>
      <c r="C884" s="61">
        <v>14</v>
      </c>
      <c r="D884" s="61">
        <v>8</v>
      </c>
      <c r="E884" s="61" t="s">
        <v>72</v>
      </c>
      <c r="F884" s="60">
        <v>6731709</v>
      </c>
      <c r="G884" s="17">
        <f t="shared" ref="G884:G890" si="2">C884*D884*F884</f>
        <v>753951408</v>
      </c>
      <c r="I884" s="39"/>
    </row>
    <row r="885" spans="1:9" s="37" customFormat="1">
      <c r="A885" s="45"/>
      <c r="B885" s="46" t="s">
        <v>492</v>
      </c>
      <c r="C885" s="61">
        <v>14</v>
      </c>
      <c r="D885" s="61">
        <v>2</v>
      </c>
      <c r="E885" s="61" t="s">
        <v>72</v>
      </c>
      <c r="F885" s="60">
        <v>5291112</v>
      </c>
      <c r="G885" s="17">
        <f t="shared" si="2"/>
        <v>148151136</v>
      </c>
      <c r="I885" s="39"/>
    </row>
    <row r="886" spans="1:9" s="37" customFormat="1">
      <c r="A886" s="45"/>
      <c r="B886" s="46" t="s">
        <v>492</v>
      </c>
      <c r="C886" s="61">
        <v>14</v>
      </c>
      <c r="D886" s="61">
        <v>3</v>
      </c>
      <c r="E886" s="61" t="s">
        <v>72</v>
      </c>
      <c r="F886" s="60">
        <v>4710910</v>
      </c>
      <c r="G886" s="17">
        <f t="shared" si="2"/>
        <v>197858220</v>
      </c>
      <c r="I886" s="39"/>
    </row>
    <row r="887" spans="1:9" s="37" customFormat="1">
      <c r="A887" s="45"/>
      <c r="B887" s="46" t="s">
        <v>492</v>
      </c>
      <c r="C887" s="61">
        <v>14</v>
      </c>
      <c r="D887" s="61">
        <v>1</v>
      </c>
      <c r="E887" s="61" t="s">
        <v>72</v>
      </c>
      <c r="F887" s="60">
        <v>4617942</v>
      </c>
      <c r="G887" s="17">
        <f t="shared" si="2"/>
        <v>64651188</v>
      </c>
      <c r="I887" s="39"/>
    </row>
    <row r="888" spans="1:9" s="37" customFormat="1">
      <c r="A888" s="45"/>
      <c r="B888" s="46" t="s">
        <v>492</v>
      </c>
      <c r="C888" s="61">
        <v>14</v>
      </c>
      <c r="D888" s="61">
        <v>1</v>
      </c>
      <c r="E888" s="61" t="s">
        <v>72</v>
      </c>
      <c r="F888" s="60">
        <v>4171172</v>
      </c>
      <c r="G888" s="17">
        <f t="shared" si="2"/>
        <v>58396408</v>
      </c>
      <c r="I888" s="39"/>
    </row>
    <row r="889" spans="1:9" s="37" customFormat="1">
      <c r="A889" s="45"/>
      <c r="B889" s="46" t="s">
        <v>492</v>
      </c>
      <c r="C889" s="61">
        <v>14</v>
      </c>
      <c r="D889" s="61">
        <v>1</v>
      </c>
      <c r="E889" s="61" t="s">
        <v>72</v>
      </c>
      <c r="F889" s="60">
        <v>1346342</v>
      </c>
      <c r="G889" s="17">
        <f t="shared" si="2"/>
        <v>18848788</v>
      </c>
      <c r="I889" s="39"/>
    </row>
    <row r="890" spans="1:9" s="37" customFormat="1">
      <c r="A890" s="45"/>
      <c r="B890" s="46" t="s">
        <v>492</v>
      </c>
      <c r="C890" s="61">
        <v>14</v>
      </c>
      <c r="D890" s="61">
        <f>299</f>
        <v>299</v>
      </c>
      <c r="E890" s="61" t="s">
        <v>72</v>
      </c>
      <c r="F890" s="60">
        <v>550000</v>
      </c>
      <c r="G890" s="17">
        <f t="shared" si="2"/>
        <v>2302300000</v>
      </c>
      <c r="I890" s="39"/>
    </row>
    <row r="891" spans="1:9" s="37" customFormat="1" ht="24">
      <c r="A891" s="42"/>
      <c r="B891" s="35" t="s">
        <v>496</v>
      </c>
      <c r="C891" s="35"/>
      <c r="D891" s="35"/>
      <c r="E891" s="35"/>
      <c r="F891" s="35"/>
      <c r="G891" s="17"/>
      <c r="I891" s="39"/>
    </row>
    <row r="892" spans="1:9" s="37" customFormat="1">
      <c r="A892" s="45"/>
      <c r="B892" s="46" t="s">
        <v>492</v>
      </c>
      <c r="C892" s="61">
        <v>14</v>
      </c>
      <c r="D892" s="61">
        <v>1</v>
      </c>
      <c r="E892" s="61" t="s">
        <v>72</v>
      </c>
      <c r="F892" s="60">
        <v>4930634</v>
      </c>
      <c r="G892" s="17">
        <f>C892*D892*F892</f>
        <v>69028876</v>
      </c>
      <c r="I892" s="39"/>
    </row>
    <row r="893" spans="1:9" s="37" customFormat="1" ht="24">
      <c r="A893" s="42"/>
      <c r="B893" s="35" t="s">
        <v>497</v>
      </c>
      <c r="C893" s="35"/>
      <c r="D893" s="35"/>
      <c r="E893" s="35"/>
      <c r="F893" s="35"/>
      <c r="G893" s="17"/>
      <c r="I893" s="39"/>
    </row>
    <row r="894" spans="1:9" s="37" customFormat="1">
      <c r="A894" s="45"/>
      <c r="B894" s="46" t="s">
        <v>492</v>
      </c>
      <c r="C894" s="61">
        <v>14</v>
      </c>
      <c r="D894" s="61">
        <v>20</v>
      </c>
      <c r="E894" s="61" t="s">
        <v>72</v>
      </c>
      <c r="F894" s="60">
        <v>3271600</v>
      </c>
      <c r="G894" s="17">
        <f>C894*D894*F894</f>
        <v>916048000</v>
      </c>
      <c r="I894" s="39"/>
    </row>
    <row r="895" spans="1:9" s="37" customFormat="1">
      <c r="A895" s="45"/>
      <c r="B895" s="46" t="s">
        <v>492</v>
      </c>
      <c r="C895" s="61">
        <v>14</v>
      </c>
      <c r="D895" s="61">
        <v>57</v>
      </c>
      <c r="E895" s="61" t="s">
        <v>72</v>
      </c>
      <c r="F895" s="60">
        <v>2691398</v>
      </c>
      <c r="G895" s="17">
        <f>C895*D895*F895</f>
        <v>2147735604</v>
      </c>
      <c r="I895" s="39"/>
    </row>
    <row r="896" spans="1:9" s="37" customFormat="1">
      <c r="A896" s="45"/>
      <c r="B896" s="46" t="s">
        <v>492</v>
      </c>
      <c r="C896" s="61">
        <v>14</v>
      </c>
      <c r="D896" s="61">
        <f>27</f>
        <v>27</v>
      </c>
      <c r="E896" s="61" t="s">
        <v>72</v>
      </c>
      <c r="F896" s="60">
        <v>2151660</v>
      </c>
      <c r="G896" s="17">
        <f>C896*D896*F896</f>
        <v>813327480</v>
      </c>
      <c r="I896" s="39"/>
    </row>
    <row r="897" spans="1:10" s="37" customFormat="1">
      <c r="A897" s="45"/>
      <c r="B897" s="46" t="s">
        <v>492</v>
      </c>
      <c r="C897" s="61">
        <v>14</v>
      </c>
      <c r="D897" s="61">
        <f>974-193</f>
        <v>781</v>
      </c>
      <c r="E897" s="61" t="s">
        <v>72</v>
      </c>
      <c r="F897" s="60">
        <v>400000</v>
      </c>
      <c r="G897" s="17">
        <f>C897*D897*F897</f>
        <v>4373600000</v>
      </c>
      <c r="I897" s="39"/>
    </row>
    <row r="898" spans="1:10" s="37" customFormat="1" ht="24">
      <c r="A898" s="42"/>
      <c r="B898" s="35" t="s">
        <v>498</v>
      </c>
      <c r="C898" s="35"/>
      <c r="D898" s="35"/>
      <c r="E898" s="35"/>
      <c r="F898" s="35"/>
      <c r="G898" s="17"/>
      <c r="I898" s="39"/>
    </row>
    <row r="899" spans="1:10" s="37" customFormat="1">
      <c r="A899" s="45"/>
      <c r="B899" s="46" t="s">
        <v>492</v>
      </c>
      <c r="C899" s="61">
        <v>14</v>
      </c>
      <c r="D899" s="61">
        <v>31</v>
      </c>
      <c r="E899" s="61" t="s">
        <v>72</v>
      </c>
      <c r="F899" s="60">
        <v>1879397</v>
      </c>
      <c r="G899" s="17">
        <f>C899*D899*F899</f>
        <v>815658298</v>
      </c>
      <c r="I899" s="39"/>
    </row>
    <row r="900" spans="1:10" s="37" customFormat="1">
      <c r="A900" s="45"/>
      <c r="B900" s="46" t="s">
        <v>492</v>
      </c>
      <c r="C900" s="61">
        <v>14</v>
      </c>
      <c r="D900" s="61">
        <f>397+100</f>
        <v>497</v>
      </c>
      <c r="E900" s="61" t="s">
        <v>72</v>
      </c>
      <c r="F900" s="60">
        <v>300000</v>
      </c>
      <c r="G900" s="17">
        <f>C900*D900*F900</f>
        <v>2087400000</v>
      </c>
      <c r="I900" s="39"/>
    </row>
    <row r="901" spans="1:10" s="37" customFormat="1" ht="24">
      <c r="A901" s="42"/>
      <c r="B901" s="35" t="s">
        <v>499</v>
      </c>
      <c r="C901" s="35"/>
      <c r="D901" s="35"/>
      <c r="E901" s="35"/>
      <c r="F901" s="35"/>
      <c r="G901" s="17"/>
      <c r="I901" s="39"/>
    </row>
    <row r="902" spans="1:10" s="37" customFormat="1">
      <c r="A902" s="45"/>
      <c r="B902" s="46" t="s">
        <v>492</v>
      </c>
      <c r="C902" s="61">
        <v>14</v>
      </c>
      <c r="D902" s="61">
        <v>1</v>
      </c>
      <c r="E902" s="61" t="s">
        <v>72</v>
      </c>
      <c r="F902" s="60">
        <v>1651676</v>
      </c>
      <c r="G902" s="17">
        <f>C902*D902*F902</f>
        <v>23123464</v>
      </c>
      <c r="I902" s="39"/>
    </row>
    <row r="903" spans="1:10" s="37" customFormat="1" ht="24">
      <c r="A903" s="42"/>
      <c r="B903" s="35" t="s">
        <v>500</v>
      </c>
      <c r="C903" s="35"/>
      <c r="D903" s="35"/>
      <c r="E903" s="35"/>
      <c r="F903" s="35"/>
      <c r="G903" s="17"/>
      <c r="I903" s="39"/>
    </row>
    <row r="904" spans="1:10" s="37" customFormat="1">
      <c r="A904" s="45"/>
      <c r="B904" s="46" t="s">
        <v>492</v>
      </c>
      <c r="C904" s="61">
        <v>14</v>
      </c>
      <c r="D904" s="61">
        <v>2</v>
      </c>
      <c r="E904" s="61" t="s">
        <v>72</v>
      </c>
      <c r="F904" s="60">
        <v>1076559</v>
      </c>
      <c r="G904" s="17">
        <f>C904*D904*F904</f>
        <v>30143652</v>
      </c>
      <c r="I904" s="39"/>
    </row>
    <row r="905" spans="1:10" s="37" customFormat="1" ht="24">
      <c r="A905" s="42"/>
      <c r="B905" s="35" t="s">
        <v>501</v>
      </c>
      <c r="C905" s="35"/>
      <c r="D905" s="35"/>
      <c r="E905" s="35"/>
      <c r="F905" s="35"/>
      <c r="G905" s="17"/>
      <c r="I905" s="39"/>
    </row>
    <row r="906" spans="1:10" s="37" customFormat="1">
      <c r="A906" s="45"/>
      <c r="B906" s="46" t="s">
        <v>492</v>
      </c>
      <c r="C906" s="61">
        <v>14</v>
      </c>
      <c r="D906" s="61">
        <v>6</v>
      </c>
      <c r="E906" s="61" t="s">
        <v>72</v>
      </c>
      <c r="F906" s="60">
        <v>860664</v>
      </c>
      <c r="G906" s="17">
        <f>C906*D906*F906</f>
        <v>72295776</v>
      </c>
      <c r="I906" s="39"/>
    </row>
    <row r="907" spans="1:10" s="37" customFormat="1">
      <c r="A907" s="42"/>
      <c r="B907" s="35" t="s">
        <v>144</v>
      </c>
      <c r="C907" s="35"/>
      <c r="D907" s="35"/>
      <c r="E907" s="35"/>
      <c r="F907" s="35"/>
      <c r="G907" s="5"/>
      <c r="I907" s="39"/>
    </row>
    <row r="908" spans="1:10" s="37" customFormat="1">
      <c r="A908" s="45"/>
      <c r="B908" s="46" t="s">
        <v>492</v>
      </c>
      <c r="C908" s="62">
        <v>1</v>
      </c>
      <c r="D908" s="62"/>
      <c r="E908" s="61" t="s">
        <v>69</v>
      </c>
      <c r="F908" s="60">
        <f>327120500+63151345+69433163+926282</f>
        <v>460631290</v>
      </c>
      <c r="G908" s="17">
        <f>C908*F908</f>
        <v>460631290</v>
      </c>
      <c r="I908" s="39"/>
    </row>
    <row r="909" spans="1:10" s="37" customFormat="1">
      <c r="A909" s="45"/>
      <c r="B909" s="46"/>
      <c r="C909" s="61"/>
      <c r="D909" s="61"/>
      <c r="E909" s="61"/>
      <c r="F909" s="60"/>
      <c r="G909" s="17"/>
      <c r="I909" s="39"/>
    </row>
    <row r="910" spans="1:10" s="37" customFormat="1">
      <c r="A910" s="92" t="s">
        <v>502</v>
      </c>
      <c r="B910" s="92"/>
      <c r="C910" s="92"/>
      <c r="D910" s="92"/>
      <c r="E910" s="92"/>
      <c r="F910" s="92"/>
      <c r="G910" s="71">
        <f>G28</f>
        <v>397083459195</v>
      </c>
      <c r="I910" s="39"/>
    </row>
    <row r="911" spans="1:10">
      <c r="A911" s="31"/>
      <c r="B911" s="72"/>
      <c r="C911" s="73"/>
      <c r="D911" s="73"/>
      <c r="E911" s="73"/>
      <c r="F911" s="73"/>
      <c r="G911" s="29"/>
    </row>
    <row r="912" spans="1:10" ht="15.75" customHeight="1" thickBot="1">
      <c r="A912" s="124" t="s">
        <v>32</v>
      </c>
      <c r="B912" s="125"/>
      <c r="C912" s="125"/>
      <c r="D912" s="125"/>
      <c r="E912" s="125"/>
      <c r="F912" s="126"/>
      <c r="G912" s="74" t="e">
        <f>#REF!</f>
        <v>#REF!</v>
      </c>
      <c r="H912" s="75"/>
      <c r="I912" s="75"/>
      <c r="J912" s="75"/>
    </row>
    <row r="913" spans="1:7" ht="15.75" customHeight="1">
      <c r="A913" s="76"/>
      <c r="B913" s="127"/>
      <c r="C913" s="128"/>
      <c r="D913" s="77"/>
      <c r="E913" s="78"/>
      <c r="F913" s="78"/>
      <c r="G913" s="79">
        <f>D913*F913</f>
        <v>0</v>
      </c>
    </row>
    <row r="914" spans="1:7" ht="15.75" customHeight="1">
      <c r="A914" s="80" t="s">
        <v>33</v>
      </c>
      <c r="B914" s="81"/>
      <c r="C914" s="119" t="s">
        <v>49</v>
      </c>
      <c r="D914" s="120"/>
      <c r="E914" s="120"/>
      <c r="F914" s="120"/>
      <c r="G914" s="121"/>
    </row>
    <row r="915" spans="1:7" ht="15.75" customHeight="1">
      <c r="A915" s="80" t="s">
        <v>34</v>
      </c>
      <c r="B915" s="81"/>
      <c r="C915" s="119" t="s">
        <v>50</v>
      </c>
      <c r="D915" s="120"/>
      <c r="E915" s="120"/>
      <c r="F915" s="120"/>
      <c r="G915" s="121"/>
    </row>
    <row r="916" spans="1:7" ht="15.75" customHeight="1">
      <c r="A916" s="80" t="s">
        <v>35</v>
      </c>
      <c r="B916" s="81"/>
      <c r="C916" s="82"/>
      <c r="G916" s="83"/>
    </row>
    <row r="917" spans="1:7" ht="15.75" customHeight="1">
      <c r="A917" s="80" t="s">
        <v>36</v>
      </c>
      <c r="B917" s="81"/>
      <c r="C917" s="82"/>
      <c r="G917" s="83"/>
    </row>
    <row r="918" spans="1:7" ht="15.75" customHeight="1">
      <c r="A918" s="80" t="s">
        <v>37</v>
      </c>
      <c r="B918" s="81"/>
      <c r="C918" s="82"/>
      <c r="G918" s="83"/>
    </row>
    <row r="919" spans="1:7" ht="15.75" customHeight="1">
      <c r="A919" s="80" t="s">
        <v>38</v>
      </c>
      <c r="B919" s="81"/>
      <c r="C919" s="82"/>
      <c r="G919" s="83"/>
    </row>
    <row r="920" spans="1:7" ht="15.75" customHeight="1">
      <c r="A920" s="80" t="s">
        <v>39</v>
      </c>
      <c r="B920" s="81"/>
      <c r="C920" s="122"/>
      <c r="D920" s="120"/>
      <c r="E920" s="120"/>
      <c r="F920" s="120"/>
      <c r="G920" s="121"/>
    </row>
    <row r="921" spans="1:7" ht="15.75" customHeight="1">
      <c r="A921" s="80" t="s">
        <v>40</v>
      </c>
      <c r="B921" s="81"/>
      <c r="C921" s="119"/>
      <c r="D921" s="120"/>
      <c r="E921" s="120"/>
      <c r="F921" s="120"/>
      <c r="G921" s="121"/>
    </row>
    <row r="922" spans="1:7" ht="15.75" customHeight="1">
      <c r="A922" s="80" t="s">
        <v>41</v>
      </c>
      <c r="B922" s="81"/>
      <c r="C922" s="82"/>
      <c r="G922" s="83"/>
    </row>
    <row r="923" spans="1:7" ht="15.75" customHeight="1">
      <c r="A923" s="80" t="s">
        <v>42</v>
      </c>
      <c r="B923" s="81"/>
      <c r="C923" s="82"/>
      <c r="G923" s="83"/>
    </row>
    <row r="924" spans="1:7" ht="15.75" customHeight="1">
      <c r="A924" s="80" t="s">
        <v>43</v>
      </c>
      <c r="B924" s="81"/>
      <c r="C924" s="82"/>
      <c r="G924" s="83"/>
    </row>
    <row r="925" spans="1:7" ht="15.75" customHeight="1">
      <c r="A925" s="80" t="s">
        <v>44</v>
      </c>
      <c r="B925" s="81"/>
      <c r="C925" s="82"/>
      <c r="G925" s="83"/>
    </row>
    <row r="926" spans="1:7" ht="15.75" customHeight="1" thickBot="1">
      <c r="A926" s="84" t="s">
        <v>27</v>
      </c>
      <c r="B926" s="85">
        <f>SUM(B914:B925)</f>
        <v>0</v>
      </c>
      <c r="C926" s="86"/>
      <c r="D926" s="87"/>
      <c r="E926" s="87"/>
      <c r="F926" s="87"/>
      <c r="G926" s="88"/>
    </row>
    <row r="927" spans="1:7" ht="15.75" customHeight="1">
      <c r="G927" s="89"/>
    </row>
    <row r="928" spans="1:7" ht="15.75" customHeight="1">
      <c r="G928" s="89"/>
    </row>
    <row r="929" spans="7:7" ht="15.75" customHeight="1">
      <c r="G929" s="89"/>
    </row>
    <row r="930" spans="7:7" ht="15.75" customHeight="1">
      <c r="G930" s="89"/>
    </row>
    <row r="931" spans="7:7" ht="15.75" customHeight="1">
      <c r="G931" s="89"/>
    </row>
    <row r="932" spans="7:7" ht="15.75" customHeight="1">
      <c r="G932" s="89"/>
    </row>
    <row r="933" spans="7:7" ht="15.75" customHeight="1">
      <c r="G933" s="89"/>
    </row>
    <row r="934" spans="7:7" ht="15.75" customHeight="1">
      <c r="G934" s="89"/>
    </row>
    <row r="935" spans="7:7" ht="15.75" customHeight="1">
      <c r="G935" s="89"/>
    </row>
    <row r="936" spans="7:7" ht="15.75" customHeight="1">
      <c r="G936" s="89"/>
    </row>
    <row r="937" spans="7:7" ht="15.75" customHeight="1">
      <c r="G937" s="89"/>
    </row>
    <row r="938" spans="7:7" ht="15.75" customHeight="1">
      <c r="G938" s="89"/>
    </row>
    <row r="939" spans="7:7" ht="15.75" customHeight="1">
      <c r="G939" s="89"/>
    </row>
    <row r="940" spans="7:7" ht="15.75" customHeight="1">
      <c r="G940" s="89"/>
    </row>
    <row r="941" spans="7:7" ht="15.75" customHeight="1">
      <c r="G941" s="89"/>
    </row>
    <row r="942" spans="7:7" ht="15.75" customHeight="1">
      <c r="G942" s="89"/>
    </row>
    <row r="943" spans="7:7" ht="15.75" customHeight="1">
      <c r="G943" s="89"/>
    </row>
    <row r="944" spans="7:7" ht="15.75" customHeight="1">
      <c r="G944" s="89"/>
    </row>
    <row r="945" spans="7:7" ht="15.75" customHeight="1">
      <c r="G945" s="89"/>
    </row>
    <row r="946" spans="7:7" ht="15.75" customHeight="1">
      <c r="G946" s="89"/>
    </row>
    <row r="947" spans="7:7" ht="15.75" customHeight="1">
      <c r="G947" s="89"/>
    </row>
    <row r="948" spans="7:7" ht="15.75" customHeight="1">
      <c r="G948" s="89"/>
    </row>
    <row r="949" spans="7:7" ht="15.75" customHeight="1">
      <c r="G949" s="89"/>
    </row>
    <row r="950" spans="7:7" ht="15.75" customHeight="1">
      <c r="G950" s="89"/>
    </row>
    <row r="951" spans="7:7" ht="15.75" customHeight="1">
      <c r="G951" s="89"/>
    </row>
    <row r="952" spans="7:7" ht="15.75" customHeight="1">
      <c r="G952" s="89"/>
    </row>
    <row r="953" spans="7:7" ht="15.75" customHeight="1">
      <c r="G953" s="89"/>
    </row>
    <row r="954" spans="7:7" ht="15.75" customHeight="1">
      <c r="G954" s="89"/>
    </row>
    <row r="955" spans="7:7" ht="15.75" customHeight="1">
      <c r="G955" s="89"/>
    </row>
    <row r="956" spans="7:7" ht="15.75" customHeight="1">
      <c r="G956" s="89"/>
    </row>
    <row r="957" spans="7:7" ht="15.75" customHeight="1">
      <c r="G957" s="89"/>
    </row>
    <row r="958" spans="7:7" ht="15.75" customHeight="1">
      <c r="G958" s="89"/>
    </row>
    <row r="959" spans="7:7" ht="15.75" customHeight="1">
      <c r="G959" s="89"/>
    </row>
    <row r="960" spans="7:7" ht="15.75" customHeight="1">
      <c r="G960" s="89"/>
    </row>
    <row r="961" spans="7:7" ht="15.75" customHeight="1">
      <c r="G961" s="89"/>
    </row>
    <row r="962" spans="7:7" ht="15.75" customHeight="1">
      <c r="G962" s="89"/>
    </row>
    <row r="963" spans="7:7" ht="15.75" customHeight="1">
      <c r="G963" s="89"/>
    </row>
    <row r="964" spans="7:7" ht="15.75" customHeight="1">
      <c r="G964" s="89"/>
    </row>
    <row r="965" spans="7:7" ht="15.75" customHeight="1">
      <c r="G965" s="89"/>
    </row>
    <row r="966" spans="7:7" ht="15.75" customHeight="1">
      <c r="G966" s="89"/>
    </row>
    <row r="967" spans="7:7" ht="15.75" customHeight="1">
      <c r="G967" s="89"/>
    </row>
    <row r="968" spans="7:7" ht="15.75" customHeight="1">
      <c r="G968" s="89"/>
    </row>
    <row r="969" spans="7:7" ht="15.75" customHeight="1">
      <c r="G969" s="89"/>
    </row>
    <row r="970" spans="7:7" ht="15.75" customHeight="1">
      <c r="G970" s="89"/>
    </row>
    <row r="971" spans="7:7" ht="15.75" customHeight="1">
      <c r="G971" s="89"/>
    </row>
    <row r="972" spans="7:7" ht="15.75" customHeight="1">
      <c r="G972" s="89"/>
    </row>
    <row r="973" spans="7:7" ht="15.75" customHeight="1">
      <c r="G973" s="89"/>
    </row>
    <row r="974" spans="7:7" ht="15.75" customHeight="1">
      <c r="G974" s="89"/>
    </row>
    <row r="975" spans="7:7" ht="15.75" customHeight="1">
      <c r="G975" s="89"/>
    </row>
    <row r="976" spans="7:7" ht="15.75" customHeight="1">
      <c r="G976" s="89"/>
    </row>
    <row r="977" spans="7:7" ht="15.75" customHeight="1">
      <c r="G977" s="89"/>
    </row>
    <row r="978" spans="7:7" ht="15.75" customHeight="1">
      <c r="G978" s="89"/>
    </row>
    <row r="979" spans="7:7" ht="15.75" customHeight="1">
      <c r="G979" s="89"/>
    </row>
    <row r="980" spans="7:7" ht="15.75" customHeight="1">
      <c r="G980" s="89"/>
    </row>
    <row r="981" spans="7:7" ht="15.75" customHeight="1">
      <c r="G981" s="89"/>
    </row>
    <row r="982" spans="7:7" ht="15.75" customHeight="1">
      <c r="G982" s="89"/>
    </row>
    <row r="983" spans="7:7" ht="15.75" customHeight="1">
      <c r="G983" s="89"/>
    </row>
    <row r="984" spans="7:7" ht="15.75" customHeight="1">
      <c r="G984" s="89"/>
    </row>
    <row r="985" spans="7:7" ht="15.75" customHeight="1">
      <c r="G985" s="89"/>
    </row>
    <row r="986" spans="7:7" ht="15.75" customHeight="1">
      <c r="G986" s="89"/>
    </row>
    <row r="987" spans="7:7" ht="15.75" customHeight="1">
      <c r="G987" s="89"/>
    </row>
    <row r="988" spans="7:7" ht="15.75" customHeight="1">
      <c r="G988" s="89"/>
    </row>
    <row r="989" spans="7:7" ht="15.75" customHeight="1">
      <c r="G989" s="89"/>
    </row>
    <row r="990" spans="7:7" ht="15.75" customHeight="1">
      <c r="G990" s="89"/>
    </row>
    <row r="991" spans="7:7" ht="15.75" customHeight="1">
      <c r="G991" s="89"/>
    </row>
    <row r="992" spans="7:7" ht="15.75" customHeight="1">
      <c r="G992" s="89"/>
    </row>
    <row r="993" spans="7:7" ht="15.75" customHeight="1">
      <c r="G993" s="89"/>
    </row>
    <row r="994" spans="7:7" ht="15.75" customHeight="1">
      <c r="G994" s="89"/>
    </row>
    <row r="995" spans="7:7" ht="15.75" customHeight="1">
      <c r="G995" s="89"/>
    </row>
    <row r="996" spans="7:7" ht="15.75" customHeight="1">
      <c r="G996" s="89"/>
    </row>
    <row r="997" spans="7:7" ht="15.75" customHeight="1">
      <c r="G997" s="89"/>
    </row>
    <row r="998" spans="7:7" ht="15.75" customHeight="1">
      <c r="G998" s="89"/>
    </row>
    <row r="999" spans="7:7" ht="15.75" customHeight="1">
      <c r="G999" s="89"/>
    </row>
    <row r="1000" spans="7:7" ht="15.75" customHeight="1">
      <c r="G1000" s="89"/>
    </row>
    <row r="1001" spans="7:7" ht="15.75" customHeight="1">
      <c r="G1001" s="89"/>
    </row>
    <row r="1002" spans="7:7" ht="15.75" customHeight="1">
      <c r="G1002" s="89"/>
    </row>
    <row r="1003" spans="7:7" ht="15.75" customHeight="1">
      <c r="G1003" s="89"/>
    </row>
    <row r="1004" spans="7:7" ht="15.75" customHeight="1">
      <c r="G1004" s="89"/>
    </row>
    <row r="1005" spans="7:7" ht="15.75" customHeight="1">
      <c r="G1005" s="89"/>
    </row>
    <row r="1006" spans="7:7" ht="15.75" customHeight="1">
      <c r="G1006" s="89"/>
    </row>
    <row r="1007" spans="7:7" ht="15.75" customHeight="1">
      <c r="G1007" s="89"/>
    </row>
    <row r="1008" spans="7:7" ht="15.75" customHeight="1">
      <c r="G1008" s="89"/>
    </row>
    <row r="1009" spans="7:7" ht="15.75" customHeight="1">
      <c r="G1009" s="89"/>
    </row>
    <row r="1010" spans="7:7" ht="15.75" customHeight="1">
      <c r="G1010" s="89"/>
    </row>
    <row r="1011" spans="7:7" ht="15.75" customHeight="1">
      <c r="G1011" s="89"/>
    </row>
    <row r="1012" spans="7:7" ht="15.75" customHeight="1">
      <c r="G1012" s="89"/>
    </row>
    <row r="1013" spans="7:7" ht="15.75" customHeight="1">
      <c r="G1013" s="89"/>
    </row>
    <row r="1014" spans="7:7" ht="15.75" customHeight="1">
      <c r="G1014" s="89"/>
    </row>
    <row r="1015" spans="7:7" ht="15.75" customHeight="1">
      <c r="G1015" s="89"/>
    </row>
    <row r="1016" spans="7:7" ht="15.75" customHeight="1">
      <c r="G1016" s="89"/>
    </row>
    <row r="1017" spans="7:7" ht="15.75" customHeight="1">
      <c r="G1017" s="89"/>
    </row>
    <row r="1018" spans="7:7" ht="15.75" customHeight="1">
      <c r="G1018" s="89"/>
    </row>
    <row r="1019" spans="7:7" ht="15.75" customHeight="1">
      <c r="G1019" s="89"/>
    </row>
    <row r="1020" spans="7:7" ht="15.75" customHeight="1">
      <c r="G1020" s="89"/>
    </row>
    <row r="1021" spans="7:7" ht="15.75" customHeight="1">
      <c r="G1021" s="89"/>
    </row>
    <row r="1022" spans="7:7" ht="15.75" customHeight="1">
      <c r="G1022" s="89"/>
    </row>
    <row r="1023" spans="7:7" ht="15.75" customHeight="1">
      <c r="G1023" s="89"/>
    </row>
    <row r="1024" spans="7:7" ht="15.75" customHeight="1">
      <c r="G1024" s="89"/>
    </row>
    <row r="1025" spans="7:7" ht="15.75" customHeight="1">
      <c r="G1025" s="89"/>
    </row>
    <row r="1026" spans="7:7" ht="15.75" customHeight="1">
      <c r="G1026" s="89"/>
    </row>
    <row r="1027" spans="7:7" ht="15.75" customHeight="1">
      <c r="G1027" s="89"/>
    </row>
    <row r="1028" spans="7:7" ht="15.75" customHeight="1">
      <c r="G1028" s="89"/>
    </row>
    <row r="1029" spans="7:7" ht="15.75" customHeight="1">
      <c r="G1029" s="89"/>
    </row>
    <row r="1030" spans="7:7" ht="15.75" customHeight="1">
      <c r="G1030" s="89"/>
    </row>
    <row r="1031" spans="7:7" ht="15.75" customHeight="1">
      <c r="G1031" s="89"/>
    </row>
    <row r="1032" spans="7:7" ht="15.75" customHeight="1">
      <c r="G1032" s="89"/>
    </row>
    <row r="1033" spans="7:7" ht="15.75" customHeight="1">
      <c r="G1033" s="89"/>
    </row>
    <row r="1034" spans="7:7" ht="15.75" customHeight="1">
      <c r="G1034" s="89"/>
    </row>
    <row r="1035" spans="7:7" ht="15.75" customHeight="1">
      <c r="G1035" s="89"/>
    </row>
    <row r="1036" spans="7:7" ht="15.75" customHeight="1">
      <c r="G1036" s="89"/>
    </row>
    <row r="1037" spans="7:7" ht="15.75" customHeight="1">
      <c r="G1037" s="89"/>
    </row>
    <row r="1038" spans="7:7" ht="15.75" customHeight="1">
      <c r="G1038" s="89"/>
    </row>
    <row r="1039" spans="7:7" ht="15.75" customHeight="1">
      <c r="G1039" s="89"/>
    </row>
    <row r="1040" spans="7:7" ht="15.75" customHeight="1">
      <c r="G1040" s="89"/>
    </row>
    <row r="1041" spans="7:7" ht="15.75" customHeight="1">
      <c r="G1041" s="89"/>
    </row>
    <row r="1042" spans="7:7" ht="15.75" customHeight="1">
      <c r="G1042" s="89"/>
    </row>
    <row r="1043" spans="7:7" ht="15.75" customHeight="1">
      <c r="G1043" s="89"/>
    </row>
    <row r="1044" spans="7:7" ht="15.75" customHeight="1">
      <c r="G1044" s="89"/>
    </row>
    <row r="1045" spans="7:7" ht="15.75" customHeight="1">
      <c r="G1045" s="89"/>
    </row>
    <row r="1046" spans="7:7" ht="15.75" customHeight="1">
      <c r="G1046" s="89"/>
    </row>
    <row r="1047" spans="7:7" ht="15.75" customHeight="1">
      <c r="G1047" s="89"/>
    </row>
    <row r="1048" spans="7:7" ht="15.75" customHeight="1">
      <c r="G1048" s="89"/>
    </row>
    <row r="1049" spans="7:7" ht="15.75" customHeight="1">
      <c r="G1049" s="89"/>
    </row>
    <row r="1050" spans="7:7" ht="15.75" customHeight="1">
      <c r="G1050" s="89"/>
    </row>
    <row r="1051" spans="7:7" ht="15.75" customHeight="1">
      <c r="G1051" s="89"/>
    </row>
    <row r="1052" spans="7:7" ht="15.75" customHeight="1">
      <c r="G1052" s="89"/>
    </row>
    <row r="1053" spans="7:7" ht="15.75" customHeight="1">
      <c r="G1053" s="89"/>
    </row>
    <row r="1054" spans="7:7" ht="15.75" customHeight="1">
      <c r="G1054" s="89"/>
    </row>
    <row r="1055" spans="7:7" ht="15.75" customHeight="1">
      <c r="G1055" s="89"/>
    </row>
    <row r="1056" spans="7:7" ht="15.75" customHeight="1">
      <c r="G1056" s="89"/>
    </row>
    <row r="1057" spans="7:7" ht="15.75" customHeight="1">
      <c r="G1057" s="89"/>
    </row>
    <row r="1058" spans="7:7" ht="15.75" customHeight="1">
      <c r="G1058" s="89"/>
    </row>
    <row r="1059" spans="7:7" ht="15.75" customHeight="1">
      <c r="G1059" s="89"/>
    </row>
    <row r="1060" spans="7:7" ht="15.75" customHeight="1">
      <c r="G1060" s="89"/>
    </row>
    <row r="1061" spans="7:7" ht="15.75" customHeight="1">
      <c r="G1061" s="89"/>
    </row>
    <row r="1062" spans="7:7" ht="15.75" customHeight="1">
      <c r="G1062" s="89"/>
    </row>
    <row r="1063" spans="7:7" ht="15.75" customHeight="1">
      <c r="G1063" s="89"/>
    </row>
    <row r="1064" spans="7:7" ht="15.75" customHeight="1">
      <c r="G1064" s="89"/>
    </row>
    <row r="1065" spans="7:7" ht="15.75" customHeight="1">
      <c r="G1065" s="89"/>
    </row>
    <row r="1066" spans="7:7" ht="15.75" customHeight="1">
      <c r="G1066" s="89"/>
    </row>
    <row r="1067" spans="7:7" ht="15.75" customHeight="1">
      <c r="G1067" s="89"/>
    </row>
    <row r="1068" spans="7:7" ht="15.75" customHeight="1">
      <c r="G1068" s="89"/>
    </row>
    <row r="1069" spans="7:7" ht="15.75" customHeight="1">
      <c r="G1069" s="89"/>
    </row>
    <row r="1070" spans="7:7" ht="15.75" customHeight="1">
      <c r="G1070" s="89"/>
    </row>
    <row r="1071" spans="7:7" ht="15.75" customHeight="1">
      <c r="G1071" s="89"/>
    </row>
    <row r="1072" spans="7:7" ht="15.75" customHeight="1">
      <c r="G1072" s="89"/>
    </row>
    <row r="1073" spans="7:7" ht="15.75" customHeight="1">
      <c r="G1073" s="89"/>
    </row>
    <row r="1074" spans="7:7" ht="15.75" customHeight="1">
      <c r="G1074" s="89"/>
    </row>
    <row r="1075" spans="7:7" ht="15.75" customHeight="1">
      <c r="G1075" s="89"/>
    </row>
    <row r="1076" spans="7:7" ht="15.75" customHeight="1">
      <c r="G1076" s="89"/>
    </row>
    <row r="1077" spans="7:7" ht="15.75" customHeight="1">
      <c r="G1077" s="89"/>
    </row>
    <row r="1078" spans="7:7" ht="15.75" customHeight="1">
      <c r="G1078" s="89"/>
    </row>
    <row r="1079" spans="7:7" ht="15.75" customHeight="1">
      <c r="G1079" s="89"/>
    </row>
    <row r="1080" spans="7:7" ht="15.75" customHeight="1">
      <c r="G1080" s="89"/>
    </row>
    <row r="1081" spans="7:7" ht="15.75" customHeight="1">
      <c r="G1081" s="89"/>
    </row>
    <row r="1082" spans="7:7" ht="15.75" customHeight="1">
      <c r="G1082" s="89"/>
    </row>
    <row r="1083" spans="7:7" ht="15.75" customHeight="1">
      <c r="G1083" s="89"/>
    </row>
    <row r="1084" spans="7:7" ht="15.75" customHeight="1">
      <c r="G1084" s="89"/>
    </row>
    <row r="1085" spans="7:7" ht="15.75" customHeight="1">
      <c r="G1085" s="89"/>
    </row>
    <row r="1086" spans="7:7" ht="15.75" customHeight="1">
      <c r="G1086" s="89"/>
    </row>
    <row r="1087" spans="7:7" ht="15.75" customHeight="1">
      <c r="G1087" s="89"/>
    </row>
    <row r="1088" spans="7:7" ht="15.75" customHeight="1">
      <c r="G1088" s="89"/>
    </row>
    <row r="1089" spans="7:7" ht="15.75" customHeight="1">
      <c r="G1089" s="89"/>
    </row>
    <row r="1090" spans="7:7" ht="15.75" customHeight="1">
      <c r="G1090" s="89"/>
    </row>
    <row r="1091" spans="7:7" ht="15.75" customHeight="1">
      <c r="G1091" s="89"/>
    </row>
    <row r="1092" spans="7:7" ht="15.75" customHeight="1">
      <c r="G1092" s="89"/>
    </row>
    <row r="1093" spans="7:7" ht="15.75" customHeight="1">
      <c r="G1093" s="89"/>
    </row>
    <row r="1094" spans="7:7" ht="15.75" customHeight="1">
      <c r="G1094" s="89"/>
    </row>
    <row r="1095" spans="7:7" ht="15.75" customHeight="1">
      <c r="G1095" s="89"/>
    </row>
    <row r="1096" spans="7:7" ht="15.75" customHeight="1">
      <c r="G1096" s="89"/>
    </row>
    <row r="1097" spans="7:7" ht="15.75" customHeight="1">
      <c r="G1097" s="89"/>
    </row>
    <row r="1098" spans="7:7" ht="15.75" customHeight="1">
      <c r="G1098" s="89"/>
    </row>
    <row r="1099" spans="7:7" ht="15.75" customHeight="1">
      <c r="G1099" s="89"/>
    </row>
    <row r="1100" spans="7:7" ht="15.75" customHeight="1">
      <c r="G1100" s="89"/>
    </row>
    <row r="1101" spans="7:7" ht="15.75" customHeight="1">
      <c r="G1101" s="89"/>
    </row>
    <row r="1102" spans="7:7" ht="15.75" customHeight="1">
      <c r="G1102" s="89"/>
    </row>
    <row r="1103" spans="7:7" ht="15.75" customHeight="1">
      <c r="G1103" s="89"/>
    </row>
    <row r="1104" spans="7:7" ht="15.75" customHeight="1">
      <c r="G1104" s="89"/>
    </row>
    <row r="1105" spans="7:7" ht="15.75" customHeight="1">
      <c r="G1105" s="89"/>
    </row>
    <row r="1106" spans="7:7" ht="15.75" customHeight="1">
      <c r="G1106" s="89"/>
    </row>
    <row r="1107" spans="7:7" ht="15.75" customHeight="1">
      <c r="G1107" s="89"/>
    </row>
    <row r="1108" spans="7:7" ht="15.75" customHeight="1">
      <c r="G1108" s="89"/>
    </row>
    <row r="1109" spans="7:7" ht="15.75" customHeight="1">
      <c r="G1109" s="89"/>
    </row>
    <row r="1110" spans="7:7" ht="15.75" customHeight="1">
      <c r="G1110" s="89"/>
    </row>
    <row r="1111" spans="7:7" ht="15.75" customHeight="1">
      <c r="G1111" s="89"/>
    </row>
    <row r="1112" spans="7:7" ht="15.75" customHeight="1">
      <c r="G1112" s="89"/>
    </row>
    <row r="1113" spans="7:7" ht="15.75" customHeight="1">
      <c r="G1113" s="89"/>
    </row>
    <row r="1114" spans="7:7" ht="15.75" customHeight="1">
      <c r="G1114" s="89"/>
    </row>
    <row r="1115" spans="7:7" ht="15.75" customHeight="1">
      <c r="G1115" s="89"/>
    </row>
    <row r="1116" spans="7:7" ht="15.75" customHeight="1">
      <c r="G1116" s="89"/>
    </row>
    <row r="1117" spans="7:7" ht="15.75" customHeight="1">
      <c r="G1117" s="89"/>
    </row>
    <row r="1118" spans="7:7" ht="15.75" customHeight="1">
      <c r="G1118" s="89"/>
    </row>
    <row r="1119" spans="7:7" ht="15.75" customHeight="1">
      <c r="G1119" s="89"/>
    </row>
    <row r="1120" spans="7:7" ht="15.75" customHeight="1">
      <c r="G1120" s="89"/>
    </row>
    <row r="1121" spans="7:7" ht="15.75" customHeight="1">
      <c r="G1121" s="89"/>
    </row>
    <row r="1122" spans="7:7" ht="15.75" customHeight="1">
      <c r="G1122" s="89"/>
    </row>
    <row r="1123" spans="7:7" ht="15.75" customHeight="1">
      <c r="G1123" s="89"/>
    </row>
    <row r="1124" spans="7:7" ht="15.75" customHeight="1">
      <c r="G1124" s="89"/>
    </row>
    <row r="1125" spans="7:7" ht="15.75" customHeight="1">
      <c r="G1125" s="89"/>
    </row>
    <row r="1126" spans="7:7" ht="15.75" customHeight="1">
      <c r="G1126" s="89"/>
    </row>
    <row r="1127" spans="7:7" ht="15.75" customHeight="1">
      <c r="G1127" s="89"/>
    </row>
    <row r="1128" spans="7:7" ht="15.75" customHeight="1">
      <c r="G1128" s="89"/>
    </row>
    <row r="1129" spans="7:7" ht="15.75" customHeight="1">
      <c r="G1129" s="89"/>
    </row>
    <row r="1130" spans="7:7" ht="15.75" customHeight="1">
      <c r="G1130" s="89"/>
    </row>
    <row r="1131" spans="7:7" ht="15.75" customHeight="1">
      <c r="G1131" s="89"/>
    </row>
    <row r="1132" spans="7:7" ht="15.75" customHeight="1">
      <c r="G1132" s="89"/>
    </row>
    <row r="1133" spans="7:7" ht="15.75" customHeight="1">
      <c r="G1133" s="89"/>
    </row>
    <row r="1134" spans="7:7" ht="15.75" customHeight="1">
      <c r="G1134" s="89"/>
    </row>
    <row r="1135" spans="7:7" ht="15.75" customHeight="1">
      <c r="G1135" s="89"/>
    </row>
    <row r="1136" spans="7:7" ht="15.75" customHeight="1">
      <c r="G1136" s="89"/>
    </row>
    <row r="1137" spans="7:7" ht="15.75" customHeight="1">
      <c r="G1137" s="89"/>
    </row>
    <row r="1138" spans="7:7" ht="15.75" customHeight="1">
      <c r="G1138" s="89"/>
    </row>
    <row r="1139" spans="7:7" ht="15.75" customHeight="1">
      <c r="G1139" s="89"/>
    </row>
    <row r="1140" spans="7:7" ht="15.75" customHeight="1">
      <c r="G1140" s="89"/>
    </row>
    <row r="1141" spans="7:7" ht="15.75" customHeight="1">
      <c r="G1141" s="89"/>
    </row>
    <row r="1142" spans="7:7" ht="15.75" customHeight="1">
      <c r="G1142" s="89"/>
    </row>
    <row r="1143" spans="7:7" ht="15.75" customHeight="1">
      <c r="G1143" s="89"/>
    </row>
    <row r="1144" spans="7:7" ht="15.75" customHeight="1">
      <c r="G1144" s="89"/>
    </row>
    <row r="1145" spans="7:7" ht="15.75" customHeight="1">
      <c r="G1145" s="89"/>
    </row>
    <row r="1146" spans="7:7" ht="15.75" customHeight="1">
      <c r="G1146" s="89"/>
    </row>
    <row r="1147" spans="7:7" ht="15.75" customHeight="1">
      <c r="G1147" s="89"/>
    </row>
    <row r="1148" spans="7:7" ht="15.75" customHeight="1">
      <c r="G1148" s="89"/>
    </row>
    <row r="1149" spans="7:7" ht="15.75" customHeight="1">
      <c r="G1149" s="89"/>
    </row>
    <row r="1150" spans="7:7" ht="15.75" customHeight="1">
      <c r="G1150" s="89"/>
    </row>
    <row r="1151" spans="7:7" ht="15.75" customHeight="1">
      <c r="G1151" s="89"/>
    </row>
    <row r="1152" spans="7:7" ht="15.75" customHeight="1">
      <c r="G1152" s="89"/>
    </row>
    <row r="1153" spans="7:7" ht="15.75" customHeight="1">
      <c r="G1153" s="89"/>
    </row>
    <row r="1154" spans="7:7" ht="15.75" customHeight="1">
      <c r="G1154" s="89"/>
    </row>
    <row r="1155" spans="7:7" ht="15.75" customHeight="1">
      <c r="G1155" s="89"/>
    </row>
    <row r="1156" spans="7:7" ht="15.75" customHeight="1">
      <c r="G1156" s="89"/>
    </row>
    <row r="1157" spans="7:7" ht="15.75" customHeight="1">
      <c r="G1157" s="89"/>
    </row>
    <row r="1158" spans="7:7" ht="15.75" customHeight="1">
      <c r="G1158" s="89"/>
    </row>
    <row r="1159" spans="7:7" ht="15.75" customHeight="1">
      <c r="G1159" s="89"/>
    </row>
    <row r="1160" spans="7:7" ht="15.75" customHeight="1">
      <c r="G1160" s="89"/>
    </row>
    <row r="1161" spans="7:7" ht="15.75" customHeight="1">
      <c r="G1161" s="89"/>
    </row>
    <row r="1162" spans="7:7" ht="15.75" customHeight="1">
      <c r="G1162" s="89"/>
    </row>
    <row r="1163" spans="7:7" ht="15.75" customHeight="1">
      <c r="G1163" s="89"/>
    </row>
    <row r="1164" spans="7:7" ht="15.75" customHeight="1">
      <c r="G1164" s="89"/>
    </row>
    <row r="1165" spans="7:7" ht="15.75" customHeight="1">
      <c r="G1165" s="89"/>
    </row>
    <row r="1166" spans="7:7" ht="15.75" customHeight="1">
      <c r="G1166" s="89"/>
    </row>
    <row r="1167" spans="7:7" ht="15.75" customHeight="1">
      <c r="G1167" s="89"/>
    </row>
    <row r="1168" spans="7:7" ht="15.75" customHeight="1">
      <c r="G1168" s="89"/>
    </row>
    <row r="1169" spans="7:7" ht="15.75" customHeight="1">
      <c r="G1169" s="89"/>
    </row>
    <row r="1170" spans="7:7" ht="15.75" customHeight="1">
      <c r="G1170" s="89"/>
    </row>
    <row r="1171" spans="7:7" ht="15.75" customHeight="1">
      <c r="G1171" s="89"/>
    </row>
    <row r="1172" spans="7:7" ht="15.75" customHeight="1">
      <c r="G1172" s="89"/>
    </row>
    <row r="1173" spans="7:7" ht="15.75" customHeight="1">
      <c r="G1173" s="89"/>
    </row>
    <row r="1174" spans="7:7" ht="15.75" customHeight="1">
      <c r="G1174" s="89"/>
    </row>
    <row r="1175" spans="7:7" ht="15.75" customHeight="1">
      <c r="G1175" s="89"/>
    </row>
    <row r="1176" spans="7:7" ht="15.75" customHeight="1">
      <c r="G1176" s="89"/>
    </row>
    <row r="1177" spans="7:7" ht="15.75" customHeight="1">
      <c r="G1177" s="89"/>
    </row>
    <row r="1178" spans="7:7" ht="15.75" customHeight="1">
      <c r="G1178" s="89"/>
    </row>
    <row r="1179" spans="7:7" ht="15.75" customHeight="1">
      <c r="G1179" s="89"/>
    </row>
    <row r="1180" spans="7:7" ht="15.75" customHeight="1">
      <c r="G1180" s="89"/>
    </row>
    <row r="1181" spans="7:7" ht="15.75" customHeight="1">
      <c r="G1181" s="89"/>
    </row>
    <row r="1182" spans="7:7" ht="15.75" customHeight="1">
      <c r="G1182" s="89"/>
    </row>
    <row r="1183" spans="7:7" ht="15.75" customHeight="1">
      <c r="G1183" s="89"/>
    </row>
    <row r="1184" spans="7:7" ht="15.75" customHeight="1">
      <c r="G1184" s="89"/>
    </row>
    <row r="1185" spans="7:7" ht="15.75" customHeight="1">
      <c r="G1185" s="89"/>
    </row>
    <row r="1186" spans="7:7" ht="15.75" customHeight="1">
      <c r="G1186" s="89"/>
    </row>
    <row r="1187" spans="7:7" ht="15.75" customHeight="1">
      <c r="G1187" s="89"/>
    </row>
    <row r="1188" spans="7:7" ht="15.75" customHeight="1">
      <c r="G1188" s="89"/>
    </row>
    <row r="1189" spans="7:7" ht="15.75" customHeight="1">
      <c r="G1189" s="89"/>
    </row>
    <row r="1190" spans="7:7" ht="15.75" customHeight="1">
      <c r="G1190" s="89"/>
    </row>
    <row r="1191" spans="7:7" ht="15.75" customHeight="1">
      <c r="G1191" s="89"/>
    </row>
    <row r="1192" spans="7:7" ht="15.75" customHeight="1">
      <c r="G1192" s="89"/>
    </row>
    <row r="1193" spans="7:7" ht="15.75" customHeight="1">
      <c r="G1193" s="89"/>
    </row>
    <row r="1194" spans="7:7" ht="15.75" customHeight="1">
      <c r="G1194" s="89"/>
    </row>
    <row r="1195" spans="7:7" ht="15.75" customHeight="1">
      <c r="G1195" s="89"/>
    </row>
    <row r="1196" spans="7:7" ht="15.75" customHeight="1">
      <c r="G1196" s="89"/>
    </row>
    <row r="1197" spans="7:7" ht="15.75" customHeight="1">
      <c r="G1197" s="89"/>
    </row>
    <row r="1198" spans="7:7" ht="15.75" customHeight="1">
      <c r="G1198" s="89"/>
    </row>
    <row r="1199" spans="7:7" ht="15.75" customHeight="1">
      <c r="G1199" s="89"/>
    </row>
    <row r="1200" spans="7:7" ht="15.75" customHeight="1">
      <c r="G1200" s="89"/>
    </row>
    <row r="1201" spans="7:7" ht="15.75" customHeight="1">
      <c r="G1201" s="89"/>
    </row>
    <row r="1202" spans="7:7" ht="15.75" customHeight="1">
      <c r="G1202" s="89"/>
    </row>
    <row r="1203" spans="7:7" ht="15.75" customHeight="1">
      <c r="G1203" s="89"/>
    </row>
    <row r="1204" spans="7:7" ht="15.75" customHeight="1">
      <c r="G1204" s="89"/>
    </row>
    <row r="1205" spans="7:7" ht="15.75" customHeight="1">
      <c r="G1205" s="89"/>
    </row>
    <row r="1206" spans="7:7" ht="15.75" customHeight="1">
      <c r="G1206" s="89"/>
    </row>
    <row r="1207" spans="7:7" ht="15.75" customHeight="1">
      <c r="G1207" s="89"/>
    </row>
    <row r="1208" spans="7:7" ht="15.75" customHeight="1">
      <c r="G1208" s="89"/>
    </row>
    <row r="1209" spans="7:7" ht="15.75" customHeight="1">
      <c r="G1209" s="89"/>
    </row>
    <row r="1210" spans="7:7" ht="15.75" customHeight="1">
      <c r="G1210" s="89"/>
    </row>
    <row r="1211" spans="7:7" ht="15.75" customHeight="1">
      <c r="G1211" s="89"/>
    </row>
    <row r="1212" spans="7:7" ht="15.75" customHeight="1">
      <c r="G1212" s="89"/>
    </row>
    <row r="1213" spans="7:7" ht="15.75" customHeight="1">
      <c r="G1213" s="89"/>
    </row>
    <row r="1214" spans="7:7" ht="15.75" customHeight="1">
      <c r="G1214" s="89"/>
    </row>
    <row r="1215" spans="7:7" ht="15.75" customHeight="1">
      <c r="G1215" s="89"/>
    </row>
    <row r="1216" spans="7:7" ht="15.75" customHeight="1">
      <c r="G1216" s="89"/>
    </row>
    <row r="1217" spans="7:7" ht="15.75" customHeight="1">
      <c r="G1217" s="89"/>
    </row>
    <row r="1218" spans="7:7" ht="15.75" customHeight="1">
      <c r="G1218" s="89"/>
    </row>
    <row r="1219" spans="7:7" ht="15.75" customHeight="1">
      <c r="G1219" s="89"/>
    </row>
    <row r="1220" spans="7:7" ht="15.75" customHeight="1">
      <c r="G1220" s="89"/>
    </row>
    <row r="1221" spans="7:7" ht="15.75" customHeight="1">
      <c r="G1221" s="89"/>
    </row>
    <row r="1222" spans="7:7" ht="15.75" customHeight="1">
      <c r="G1222" s="89"/>
    </row>
    <row r="1223" spans="7:7" ht="15.75" customHeight="1">
      <c r="G1223" s="89"/>
    </row>
    <row r="1224" spans="7:7" ht="15.75" customHeight="1">
      <c r="G1224" s="89"/>
    </row>
    <row r="1225" spans="7:7" ht="15.75" customHeight="1">
      <c r="G1225" s="89"/>
    </row>
    <row r="1226" spans="7:7" ht="15.75" customHeight="1">
      <c r="G1226" s="89"/>
    </row>
    <row r="1227" spans="7:7" ht="15.75" customHeight="1">
      <c r="G1227" s="89"/>
    </row>
    <row r="1228" spans="7:7" ht="15.75" customHeight="1">
      <c r="G1228" s="89"/>
    </row>
    <row r="1229" spans="7:7" ht="15.75" customHeight="1">
      <c r="G1229" s="89"/>
    </row>
    <row r="1230" spans="7:7" ht="15.75" customHeight="1">
      <c r="G1230" s="89"/>
    </row>
    <row r="1231" spans="7:7" ht="15.75" customHeight="1">
      <c r="G1231" s="89"/>
    </row>
    <row r="1232" spans="7:7" ht="15.75" customHeight="1">
      <c r="G1232" s="89"/>
    </row>
    <row r="1233" spans="7:7" ht="15.75" customHeight="1">
      <c r="G1233" s="89"/>
    </row>
    <row r="1234" spans="7:7" ht="15.75" customHeight="1">
      <c r="G1234" s="89"/>
    </row>
    <row r="1235" spans="7:7" ht="15.75" customHeight="1">
      <c r="G1235" s="89"/>
    </row>
    <row r="1236" spans="7:7" ht="15.75" customHeight="1">
      <c r="G1236" s="89"/>
    </row>
    <row r="1237" spans="7:7" ht="15.75" customHeight="1">
      <c r="G1237" s="89"/>
    </row>
    <row r="1238" spans="7:7" ht="15.75" customHeight="1">
      <c r="G1238" s="89"/>
    </row>
    <row r="1239" spans="7:7" ht="15.75" customHeight="1">
      <c r="G1239" s="89"/>
    </row>
    <row r="1240" spans="7:7" ht="15.75" customHeight="1">
      <c r="G1240" s="89"/>
    </row>
    <row r="1241" spans="7:7" ht="15.75" customHeight="1">
      <c r="G1241" s="89"/>
    </row>
    <row r="1242" spans="7:7" ht="15.75" customHeight="1">
      <c r="G1242" s="89"/>
    </row>
    <row r="1243" spans="7:7" ht="15.75" customHeight="1">
      <c r="G1243" s="89"/>
    </row>
    <row r="1244" spans="7:7" ht="15.75" customHeight="1">
      <c r="G1244" s="89"/>
    </row>
    <row r="1245" spans="7:7" ht="15.75" customHeight="1">
      <c r="G1245" s="89"/>
    </row>
    <row r="1246" spans="7:7" ht="15.75" customHeight="1">
      <c r="G1246" s="89"/>
    </row>
    <row r="1247" spans="7:7" ht="15.75" customHeight="1">
      <c r="G1247" s="89"/>
    </row>
    <row r="1248" spans="7:7" ht="15.75" customHeight="1">
      <c r="G1248" s="89"/>
    </row>
    <row r="1249" spans="7:7" ht="15.75" customHeight="1">
      <c r="G1249" s="89"/>
    </row>
    <row r="1250" spans="7:7" ht="15.75" customHeight="1">
      <c r="G1250" s="89"/>
    </row>
    <row r="1251" spans="7:7" ht="15.75" customHeight="1">
      <c r="G1251" s="89"/>
    </row>
    <row r="1252" spans="7:7" ht="15.75" customHeight="1">
      <c r="G1252" s="89"/>
    </row>
    <row r="1253" spans="7:7" ht="15.75" customHeight="1">
      <c r="G1253" s="89"/>
    </row>
    <row r="1254" spans="7:7" ht="15.75" customHeight="1">
      <c r="G1254" s="89"/>
    </row>
    <row r="1255" spans="7:7" ht="15.75" customHeight="1">
      <c r="G1255" s="89"/>
    </row>
    <row r="1256" spans="7:7" ht="15.75" customHeight="1">
      <c r="G1256" s="89"/>
    </row>
    <row r="1257" spans="7:7" ht="15.75" customHeight="1">
      <c r="G1257" s="89"/>
    </row>
    <row r="1258" spans="7:7" ht="15.75" customHeight="1">
      <c r="G1258" s="89"/>
    </row>
    <row r="1259" spans="7:7" ht="15.75" customHeight="1">
      <c r="G1259" s="89"/>
    </row>
    <row r="1260" spans="7:7" ht="15.75" customHeight="1">
      <c r="G1260" s="89"/>
    </row>
    <row r="1261" spans="7:7" ht="15.75" customHeight="1">
      <c r="G1261" s="89"/>
    </row>
    <row r="1262" spans="7:7" ht="15.75" customHeight="1">
      <c r="G1262" s="89"/>
    </row>
    <row r="1263" spans="7:7" ht="15.75" customHeight="1">
      <c r="G1263" s="89"/>
    </row>
    <row r="1264" spans="7:7" ht="15.75" customHeight="1">
      <c r="G1264" s="89"/>
    </row>
    <row r="1265" spans="7:7" ht="15.75" customHeight="1">
      <c r="G1265" s="89"/>
    </row>
    <row r="1266" spans="7:7" ht="15.75" customHeight="1">
      <c r="G1266" s="89"/>
    </row>
    <row r="1267" spans="7:7" ht="15.75" customHeight="1">
      <c r="G1267" s="89"/>
    </row>
    <row r="1268" spans="7:7" ht="15.75" customHeight="1">
      <c r="G1268" s="89"/>
    </row>
    <row r="1269" spans="7:7" ht="15.75" customHeight="1">
      <c r="G1269" s="89"/>
    </row>
    <row r="1270" spans="7:7" ht="15.75" customHeight="1">
      <c r="G1270" s="89"/>
    </row>
    <row r="1271" spans="7:7" ht="15.75" customHeight="1">
      <c r="G1271" s="89"/>
    </row>
    <row r="1272" spans="7:7" ht="15.75" customHeight="1">
      <c r="G1272" s="89"/>
    </row>
    <row r="1273" spans="7:7" ht="15.75" customHeight="1">
      <c r="G1273" s="89"/>
    </row>
    <row r="1274" spans="7:7" ht="15.75" customHeight="1">
      <c r="G1274" s="89"/>
    </row>
    <row r="1275" spans="7:7" ht="15.75" customHeight="1">
      <c r="G1275" s="89"/>
    </row>
    <row r="1276" spans="7:7" ht="15.75" customHeight="1">
      <c r="G1276" s="89"/>
    </row>
    <row r="1277" spans="7:7" ht="15.75" customHeight="1">
      <c r="G1277" s="89"/>
    </row>
    <row r="1278" spans="7:7" ht="15.75" customHeight="1">
      <c r="G1278" s="89"/>
    </row>
    <row r="1279" spans="7:7" ht="15.75" customHeight="1">
      <c r="G1279" s="89"/>
    </row>
    <row r="1280" spans="7:7" ht="15.75" customHeight="1">
      <c r="G1280" s="89"/>
    </row>
    <row r="1281" spans="7:7" ht="15.75" customHeight="1">
      <c r="G1281" s="89"/>
    </row>
    <row r="1282" spans="7:7" ht="15.75" customHeight="1">
      <c r="G1282" s="89"/>
    </row>
    <row r="1283" spans="7:7" ht="15.75" customHeight="1">
      <c r="G1283" s="89"/>
    </row>
    <row r="1284" spans="7:7" ht="15.75" customHeight="1">
      <c r="G1284" s="89"/>
    </row>
    <row r="1285" spans="7:7" ht="15.75" customHeight="1">
      <c r="G1285" s="89"/>
    </row>
    <row r="1286" spans="7:7" ht="15.75" customHeight="1">
      <c r="G1286" s="89"/>
    </row>
    <row r="1287" spans="7:7" ht="15.75" customHeight="1">
      <c r="G1287" s="89"/>
    </row>
    <row r="1288" spans="7:7" ht="15.75" customHeight="1">
      <c r="G1288" s="89"/>
    </row>
    <row r="1289" spans="7:7" ht="15.75" customHeight="1">
      <c r="G1289" s="89"/>
    </row>
    <row r="1290" spans="7:7" ht="15.75" customHeight="1">
      <c r="G1290" s="89"/>
    </row>
    <row r="1291" spans="7:7" ht="15.75" customHeight="1">
      <c r="G1291" s="89"/>
    </row>
    <row r="1292" spans="7:7" ht="15.75" customHeight="1">
      <c r="G1292" s="89"/>
    </row>
    <row r="1293" spans="7:7" ht="15.75" customHeight="1">
      <c r="G1293" s="89"/>
    </row>
    <row r="1294" spans="7:7" ht="15.75" customHeight="1">
      <c r="G1294" s="89"/>
    </row>
    <row r="1295" spans="7:7" ht="15.75" customHeight="1">
      <c r="G1295" s="89"/>
    </row>
    <row r="1296" spans="7:7" ht="15.75" customHeight="1">
      <c r="G1296" s="89"/>
    </row>
    <row r="1297" spans="7:7" ht="15.75" customHeight="1">
      <c r="G1297" s="89"/>
    </row>
    <row r="1298" spans="7:7" ht="15.75" customHeight="1">
      <c r="G1298" s="89"/>
    </row>
    <row r="1299" spans="7:7" ht="15.75" customHeight="1">
      <c r="G1299" s="89"/>
    </row>
    <row r="1300" spans="7:7" ht="15.75" customHeight="1">
      <c r="G1300" s="89"/>
    </row>
    <row r="1301" spans="7:7" ht="15.75" customHeight="1">
      <c r="G1301" s="89"/>
    </row>
    <row r="1302" spans="7:7" ht="15.75" customHeight="1">
      <c r="G1302" s="89"/>
    </row>
    <row r="1303" spans="7:7" ht="15.75" customHeight="1">
      <c r="G1303" s="89"/>
    </row>
    <row r="1304" spans="7:7" ht="15.75" customHeight="1">
      <c r="G1304" s="89"/>
    </row>
    <row r="1305" spans="7:7" ht="15.75" customHeight="1">
      <c r="G1305" s="89"/>
    </row>
    <row r="1306" spans="7:7" ht="15.75" customHeight="1">
      <c r="G1306" s="89"/>
    </row>
    <row r="1307" spans="7:7" ht="15.75" customHeight="1">
      <c r="G1307" s="89"/>
    </row>
    <row r="1308" spans="7:7" ht="15.75" customHeight="1">
      <c r="G1308" s="89"/>
    </row>
    <row r="1309" spans="7:7" ht="15.75" customHeight="1">
      <c r="G1309" s="89"/>
    </row>
    <row r="1310" spans="7:7" ht="15.75" customHeight="1">
      <c r="G1310" s="89"/>
    </row>
    <row r="1311" spans="7:7" ht="15.75" customHeight="1">
      <c r="G1311" s="89"/>
    </row>
    <row r="1312" spans="7:7" ht="15.75" customHeight="1">
      <c r="G1312" s="89"/>
    </row>
    <row r="1313" spans="7:7" ht="15.75" customHeight="1">
      <c r="G1313" s="89"/>
    </row>
    <row r="1314" spans="7:7" ht="15.75" customHeight="1">
      <c r="G1314" s="89"/>
    </row>
    <row r="1315" spans="7:7" ht="15.75" customHeight="1">
      <c r="G1315" s="89"/>
    </row>
    <row r="1316" spans="7:7" ht="15.75" customHeight="1">
      <c r="G1316" s="89"/>
    </row>
    <row r="1317" spans="7:7" ht="15.75" customHeight="1">
      <c r="G1317" s="89"/>
    </row>
    <row r="1318" spans="7:7" ht="15.75" customHeight="1">
      <c r="G1318" s="89"/>
    </row>
    <row r="1319" spans="7:7" ht="15.75" customHeight="1">
      <c r="G1319" s="89"/>
    </row>
    <row r="1320" spans="7:7" ht="15.75" customHeight="1">
      <c r="G1320" s="89"/>
    </row>
    <row r="1321" spans="7:7" ht="15.75" customHeight="1">
      <c r="G1321" s="89"/>
    </row>
    <row r="1322" spans="7:7" ht="15.75" customHeight="1">
      <c r="G1322" s="89"/>
    </row>
    <row r="1323" spans="7:7" ht="15.75" customHeight="1">
      <c r="G1323" s="89"/>
    </row>
    <row r="1324" spans="7:7" ht="15.75" customHeight="1">
      <c r="G1324" s="89"/>
    </row>
    <row r="1325" spans="7:7" ht="15.75" customHeight="1">
      <c r="G1325" s="89"/>
    </row>
    <row r="1326" spans="7:7" ht="15.75" customHeight="1">
      <c r="G1326" s="89"/>
    </row>
    <row r="1327" spans="7:7" ht="15.75" customHeight="1">
      <c r="G1327" s="89"/>
    </row>
    <row r="1328" spans="7:7" ht="15.75" customHeight="1">
      <c r="G1328" s="89"/>
    </row>
    <row r="1329" spans="7:7" ht="15.75" customHeight="1">
      <c r="G1329" s="89"/>
    </row>
    <row r="1330" spans="7:7" ht="15.75" customHeight="1">
      <c r="G1330" s="89"/>
    </row>
    <row r="1331" spans="7:7" ht="15.75" customHeight="1">
      <c r="G1331" s="89"/>
    </row>
    <row r="1332" spans="7:7" ht="15.75" customHeight="1">
      <c r="G1332" s="89"/>
    </row>
    <row r="1333" spans="7:7" ht="15.75" customHeight="1">
      <c r="G1333" s="89"/>
    </row>
    <row r="1334" spans="7:7" ht="15.75" customHeight="1">
      <c r="G1334" s="89"/>
    </row>
    <row r="1335" spans="7:7" ht="15.75" customHeight="1">
      <c r="G1335" s="89"/>
    </row>
    <row r="1336" spans="7:7" ht="15.75" customHeight="1">
      <c r="G1336" s="89"/>
    </row>
    <row r="1337" spans="7:7" ht="15.75" customHeight="1">
      <c r="G1337" s="89"/>
    </row>
    <row r="1338" spans="7:7" ht="15.75" customHeight="1">
      <c r="G1338" s="89"/>
    </row>
    <row r="1339" spans="7:7" ht="15.75" customHeight="1">
      <c r="G1339" s="89"/>
    </row>
    <row r="1340" spans="7:7" ht="15.75" customHeight="1">
      <c r="G1340" s="89"/>
    </row>
    <row r="1341" spans="7:7" ht="15.75" customHeight="1">
      <c r="G1341" s="89"/>
    </row>
    <row r="1342" spans="7:7" ht="15.75" customHeight="1">
      <c r="G1342" s="89"/>
    </row>
    <row r="1343" spans="7:7" ht="15.75" customHeight="1">
      <c r="G1343" s="89"/>
    </row>
    <row r="1344" spans="7:7" ht="15.75" customHeight="1">
      <c r="G1344" s="89"/>
    </row>
    <row r="1345" spans="7:7" ht="15.75" customHeight="1">
      <c r="G1345" s="89"/>
    </row>
    <row r="1346" spans="7:7" ht="15.75" customHeight="1">
      <c r="G1346" s="89"/>
    </row>
    <row r="1347" spans="7:7" ht="15.75" customHeight="1">
      <c r="G1347" s="89"/>
    </row>
    <row r="1348" spans="7:7" ht="15.75" customHeight="1">
      <c r="G1348" s="89"/>
    </row>
    <row r="1349" spans="7:7" ht="15.75" customHeight="1">
      <c r="G1349" s="89"/>
    </row>
    <row r="1350" spans="7:7" ht="15.75" customHeight="1">
      <c r="G1350" s="89"/>
    </row>
    <row r="1351" spans="7:7" ht="15.75" customHeight="1">
      <c r="G1351" s="89"/>
    </row>
    <row r="1352" spans="7:7" ht="15.75" customHeight="1">
      <c r="G1352" s="89"/>
    </row>
    <row r="1353" spans="7:7" ht="15.75" customHeight="1">
      <c r="G1353" s="89"/>
    </row>
    <row r="1354" spans="7:7" ht="15.75" customHeight="1">
      <c r="G1354" s="89"/>
    </row>
    <row r="1355" spans="7:7" ht="15.75" customHeight="1">
      <c r="G1355" s="89"/>
    </row>
    <row r="1356" spans="7:7" ht="15.75" customHeight="1">
      <c r="G1356" s="89"/>
    </row>
    <row r="1357" spans="7:7" ht="15.75" customHeight="1">
      <c r="G1357" s="89"/>
    </row>
    <row r="1358" spans="7:7" ht="15.75" customHeight="1">
      <c r="G1358" s="89"/>
    </row>
    <row r="1359" spans="7:7" ht="15.75" customHeight="1">
      <c r="G1359" s="89"/>
    </row>
    <row r="1360" spans="7:7" ht="15.75" customHeight="1">
      <c r="G1360" s="89"/>
    </row>
    <row r="1361" spans="7:7" ht="15.75" customHeight="1">
      <c r="G1361" s="89"/>
    </row>
    <row r="1362" spans="7:7" ht="15.75" customHeight="1">
      <c r="G1362" s="89"/>
    </row>
    <row r="1363" spans="7:7" ht="15.75" customHeight="1">
      <c r="G1363" s="89"/>
    </row>
    <row r="1364" spans="7:7" ht="15.75" customHeight="1">
      <c r="G1364" s="89"/>
    </row>
    <row r="1365" spans="7:7" ht="15.75" customHeight="1">
      <c r="G1365" s="89"/>
    </row>
    <row r="1366" spans="7:7" ht="15.75" customHeight="1">
      <c r="G1366" s="89"/>
    </row>
    <row r="1367" spans="7:7" ht="15.75" customHeight="1">
      <c r="G1367" s="89"/>
    </row>
    <row r="1368" spans="7:7" ht="15.75" customHeight="1">
      <c r="G1368" s="89"/>
    </row>
    <row r="1369" spans="7:7" ht="15.75" customHeight="1">
      <c r="G1369" s="89"/>
    </row>
    <row r="1370" spans="7:7" ht="15.75" customHeight="1">
      <c r="G1370" s="89"/>
    </row>
    <row r="1371" spans="7:7" ht="15.75" customHeight="1">
      <c r="G1371" s="89"/>
    </row>
    <row r="1372" spans="7:7" ht="15.75" customHeight="1">
      <c r="G1372" s="89"/>
    </row>
    <row r="1373" spans="7:7" ht="15.75" customHeight="1">
      <c r="G1373" s="89"/>
    </row>
    <row r="1374" spans="7:7" ht="15.75" customHeight="1">
      <c r="G1374" s="89"/>
    </row>
    <row r="1375" spans="7:7" ht="15.75" customHeight="1">
      <c r="G1375" s="89"/>
    </row>
    <row r="1376" spans="7:7" ht="15.75" customHeight="1">
      <c r="G1376" s="89"/>
    </row>
    <row r="1377" spans="7:7" ht="15.75" customHeight="1">
      <c r="G1377" s="89"/>
    </row>
    <row r="1378" spans="7:7" ht="15.75" customHeight="1">
      <c r="G1378" s="89"/>
    </row>
    <row r="1379" spans="7:7" ht="15.75" customHeight="1">
      <c r="G1379" s="89"/>
    </row>
    <row r="1380" spans="7:7" ht="15.75" customHeight="1">
      <c r="G1380" s="89"/>
    </row>
    <row r="1381" spans="7:7" ht="15.75" customHeight="1">
      <c r="G1381" s="89"/>
    </row>
    <row r="1382" spans="7:7" ht="15.75" customHeight="1">
      <c r="G1382" s="89"/>
    </row>
    <row r="1383" spans="7:7" ht="15.75" customHeight="1">
      <c r="G1383" s="89"/>
    </row>
    <row r="1384" spans="7:7" ht="15.75" customHeight="1">
      <c r="G1384" s="89"/>
    </row>
    <row r="1385" spans="7:7" ht="15.75" customHeight="1">
      <c r="G1385" s="89"/>
    </row>
    <row r="1386" spans="7:7" ht="15.75" customHeight="1">
      <c r="G1386" s="89"/>
    </row>
    <row r="1387" spans="7:7" ht="15.75" customHeight="1">
      <c r="G1387" s="89"/>
    </row>
    <row r="1388" spans="7:7" ht="15.75" customHeight="1">
      <c r="G1388" s="89"/>
    </row>
    <row r="1389" spans="7:7" ht="15.75" customHeight="1">
      <c r="G1389" s="89"/>
    </row>
    <row r="1390" spans="7:7" ht="15.75" customHeight="1">
      <c r="G1390" s="89"/>
    </row>
    <row r="1391" spans="7:7" ht="15.75" customHeight="1">
      <c r="G1391" s="89"/>
    </row>
    <row r="1392" spans="7:7" ht="15.75" customHeight="1">
      <c r="G1392" s="89"/>
    </row>
    <row r="1393" spans="7:7" ht="15.75" customHeight="1">
      <c r="G1393" s="89"/>
    </row>
    <row r="1394" spans="7:7" ht="15.75" customHeight="1">
      <c r="G1394" s="89"/>
    </row>
    <row r="1395" spans="7:7" ht="15.75" customHeight="1">
      <c r="G1395" s="89"/>
    </row>
    <row r="1396" spans="7:7" ht="15.75" customHeight="1">
      <c r="G1396" s="89"/>
    </row>
    <row r="1397" spans="7:7" ht="15.75" customHeight="1">
      <c r="G1397" s="89"/>
    </row>
    <row r="1398" spans="7:7" ht="15.75" customHeight="1">
      <c r="G1398" s="89"/>
    </row>
    <row r="1399" spans="7:7" ht="15.75" customHeight="1">
      <c r="G1399" s="89"/>
    </row>
    <row r="1400" spans="7:7" ht="15.75" customHeight="1">
      <c r="G1400" s="89"/>
    </row>
    <row r="1401" spans="7:7" ht="15.75" customHeight="1">
      <c r="G1401" s="89"/>
    </row>
    <row r="1402" spans="7:7" ht="15.75" customHeight="1">
      <c r="G1402" s="89"/>
    </row>
    <row r="1403" spans="7:7" ht="15.75" customHeight="1">
      <c r="G1403" s="89"/>
    </row>
    <row r="1404" spans="7:7" ht="15.75" customHeight="1">
      <c r="G1404" s="89"/>
    </row>
    <row r="1405" spans="7:7" ht="15.75" customHeight="1">
      <c r="G1405" s="89"/>
    </row>
    <row r="1406" spans="7:7" ht="15.75" customHeight="1">
      <c r="G1406" s="89"/>
    </row>
    <row r="1407" spans="7:7" ht="15.75" customHeight="1">
      <c r="G1407" s="89"/>
    </row>
    <row r="1408" spans="7:7" ht="15.75" customHeight="1">
      <c r="G1408" s="89"/>
    </row>
    <row r="1409" spans="7:7" ht="15.75" customHeight="1">
      <c r="G1409" s="89"/>
    </row>
    <row r="1410" spans="7:7" ht="15.75" customHeight="1">
      <c r="G1410" s="89"/>
    </row>
    <row r="1411" spans="7:7" ht="15.75" customHeight="1">
      <c r="G1411" s="89"/>
    </row>
    <row r="1412" spans="7:7" ht="15.75" customHeight="1">
      <c r="G1412" s="89"/>
    </row>
    <row r="1413" spans="7:7" ht="15.75" customHeight="1">
      <c r="G1413" s="89"/>
    </row>
    <row r="1414" spans="7:7" ht="15.75" customHeight="1">
      <c r="G1414" s="89"/>
    </row>
    <row r="1415" spans="7:7" ht="15.75" customHeight="1">
      <c r="G1415" s="89"/>
    </row>
    <row r="1416" spans="7:7" ht="15.75" customHeight="1">
      <c r="G1416" s="89"/>
    </row>
    <row r="1417" spans="7:7" ht="15.75" customHeight="1">
      <c r="G1417" s="89"/>
    </row>
    <row r="1418" spans="7:7" ht="15.75" customHeight="1">
      <c r="G1418" s="89"/>
    </row>
    <row r="1419" spans="7:7" ht="15.75" customHeight="1">
      <c r="G1419" s="89"/>
    </row>
    <row r="1420" spans="7:7" ht="15.75" customHeight="1">
      <c r="G1420" s="89"/>
    </row>
    <row r="1421" spans="7:7" ht="15.75" customHeight="1">
      <c r="G1421" s="89"/>
    </row>
    <row r="1422" spans="7:7" ht="15.75" customHeight="1">
      <c r="G1422" s="89"/>
    </row>
    <row r="1423" spans="7:7" ht="15.75" customHeight="1">
      <c r="G1423" s="89"/>
    </row>
    <row r="1424" spans="7:7" ht="15.75" customHeight="1">
      <c r="G1424" s="89"/>
    </row>
    <row r="1425" spans="7:7" ht="15.75" customHeight="1">
      <c r="G1425" s="89"/>
    </row>
    <row r="1426" spans="7:7" ht="15.75" customHeight="1">
      <c r="G1426" s="89"/>
    </row>
    <row r="1427" spans="7:7" ht="15.75" customHeight="1">
      <c r="G1427" s="89"/>
    </row>
    <row r="1428" spans="7:7" ht="15.75" customHeight="1">
      <c r="G1428" s="89"/>
    </row>
    <row r="1429" spans="7:7" ht="15.75" customHeight="1">
      <c r="G1429" s="89"/>
    </row>
    <row r="1430" spans="7:7" ht="15.75" customHeight="1">
      <c r="G1430" s="89"/>
    </row>
    <row r="1431" spans="7:7" ht="15.75" customHeight="1">
      <c r="G1431" s="89"/>
    </row>
    <row r="1432" spans="7:7" ht="15.75" customHeight="1">
      <c r="G1432" s="89"/>
    </row>
    <row r="1433" spans="7:7" ht="15.75" customHeight="1">
      <c r="G1433" s="89"/>
    </row>
    <row r="1434" spans="7:7" ht="15.75" customHeight="1">
      <c r="G1434" s="89"/>
    </row>
    <row r="1435" spans="7:7" ht="15.75" customHeight="1">
      <c r="G1435" s="89"/>
    </row>
    <row r="1436" spans="7:7" ht="15.75" customHeight="1">
      <c r="G1436" s="89"/>
    </row>
    <row r="1437" spans="7:7" ht="15.75" customHeight="1">
      <c r="G1437" s="89"/>
    </row>
    <row r="1438" spans="7:7" ht="15.75" customHeight="1">
      <c r="G1438" s="89"/>
    </row>
    <row r="1439" spans="7:7" ht="15.75" customHeight="1">
      <c r="G1439" s="89"/>
    </row>
    <row r="1440" spans="7:7" ht="15.75" customHeight="1">
      <c r="G1440" s="89"/>
    </row>
    <row r="1441" spans="7:7" ht="15.75" customHeight="1">
      <c r="G1441" s="89"/>
    </row>
    <row r="1442" spans="7:7" ht="15.75" customHeight="1">
      <c r="G1442" s="89"/>
    </row>
    <row r="1443" spans="7:7" ht="15.75" customHeight="1">
      <c r="G1443" s="89"/>
    </row>
    <row r="1444" spans="7:7" ht="15.75" customHeight="1">
      <c r="G1444" s="89"/>
    </row>
    <row r="1445" spans="7:7" ht="15.75" customHeight="1">
      <c r="G1445" s="89"/>
    </row>
    <row r="1446" spans="7:7" ht="15.75" customHeight="1">
      <c r="G1446" s="89"/>
    </row>
    <row r="1447" spans="7:7" ht="15.75" customHeight="1">
      <c r="G1447" s="89"/>
    </row>
    <row r="1448" spans="7:7" ht="15.75" customHeight="1">
      <c r="G1448" s="89"/>
    </row>
    <row r="1449" spans="7:7" ht="15.75" customHeight="1">
      <c r="G1449" s="89"/>
    </row>
    <row r="1450" spans="7:7" ht="15.75" customHeight="1">
      <c r="G1450" s="89"/>
    </row>
    <row r="1451" spans="7:7" ht="15.75" customHeight="1">
      <c r="G1451" s="89"/>
    </row>
    <row r="1452" spans="7:7" ht="15.75" customHeight="1">
      <c r="G1452" s="89"/>
    </row>
    <row r="1453" spans="7:7" ht="15.75" customHeight="1">
      <c r="G1453" s="89"/>
    </row>
    <row r="1454" spans="7:7" ht="15.75" customHeight="1">
      <c r="G1454" s="89"/>
    </row>
    <row r="1455" spans="7:7" ht="15.75" customHeight="1">
      <c r="G1455" s="89"/>
    </row>
    <row r="1456" spans="7:7" ht="15.75" customHeight="1">
      <c r="G1456" s="89"/>
    </row>
    <row r="1457" spans="7:7" ht="15.75" customHeight="1">
      <c r="G1457" s="89"/>
    </row>
    <row r="1458" spans="7:7" ht="15.75" customHeight="1">
      <c r="G1458" s="89"/>
    </row>
    <row r="1459" spans="7:7" ht="15.75" customHeight="1">
      <c r="G1459" s="89"/>
    </row>
    <row r="1460" spans="7:7" ht="15.75" customHeight="1">
      <c r="G1460" s="89"/>
    </row>
    <row r="1461" spans="7:7" ht="15.75" customHeight="1">
      <c r="G1461" s="89"/>
    </row>
    <row r="1462" spans="7:7" ht="15.75" customHeight="1">
      <c r="G1462" s="89"/>
    </row>
    <row r="1463" spans="7:7" ht="15.75" customHeight="1">
      <c r="G1463" s="89"/>
    </row>
    <row r="1464" spans="7:7" ht="15.75" customHeight="1">
      <c r="G1464" s="89"/>
    </row>
    <row r="1465" spans="7:7" ht="15.75" customHeight="1">
      <c r="G1465" s="89"/>
    </row>
    <row r="1466" spans="7:7" ht="15.75" customHeight="1">
      <c r="G1466" s="89"/>
    </row>
    <row r="1467" spans="7:7" ht="15.75" customHeight="1">
      <c r="G1467" s="89"/>
    </row>
    <row r="1468" spans="7:7" ht="15.75" customHeight="1">
      <c r="G1468" s="89"/>
    </row>
    <row r="1469" spans="7:7" ht="15.75" customHeight="1">
      <c r="G1469" s="89"/>
    </row>
    <row r="1470" spans="7:7" ht="15.75" customHeight="1">
      <c r="G1470" s="89"/>
    </row>
    <row r="1471" spans="7:7" ht="15.75" customHeight="1">
      <c r="G1471" s="89"/>
    </row>
    <row r="1472" spans="7:7" ht="15.75" customHeight="1">
      <c r="G1472" s="89"/>
    </row>
    <row r="1473" spans="7:7" ht="15.75" customHeight="1">
      <c r="G1473" s="89"/>
    </row>
    <row r="1474" spans="7:7" ht="15.75" customHeight="1">
      <c r="G1474" s="89"/>
    </row>
    <row r="1475" spans="7:7" ht="15.75" customHeight="1">
      <c r="G1475" s="89"/>
    </row>
    <row r="1476" spans="7:7" ht="15.75" customHeight="1">
      <c r="G1476" s="89"/>
    </row>
    <row r="1477" spans="7:7" ht="15.75" customHeight="1">
      <c r="G1477" s="89"/>
    </row>
    <row r="1478" spans="7:7" ht="15.75" customHeight="1">
      <c r="G1478" s="89"/>
    </row>
    <row r="1479" spans="7:7" ht="15.75" customHeight="1">
      <c r="G1479" s="89"/>
    </row>
    <row r="1480" spans="7:7" ht="15.75" customHeight="1">
      <c r="G1480" s="89"/>
    </row>
    <row r="1481" spans="7:7" ht="15.75" customHeight="1">
      <c r="G1481" s="89"/>
    </row>
    <row r="1482" spans="7:7" ht="15.75" customHeight="1">
      <c r="G1482" s="89"/>
    </row>
    <row r="1483" spans="7:7" ht="15.75" customHeight="1">
      <c r="G1483" s="89"/>
    </row>
    <row r="1484" spans="7:7" ht="15.75" customHeight="1">
      <c r="G1484" s="89"/>
    </row>
    <row r="1485" spans="7:7" ht="15.75" customHeight="1">
      <c r="G1485" s="89"/>
    </row>
    <row r="1486" spans="7:7" ht="15.75" customHeight="1">
      <c r="G1486" s="89"/>
    </row>
    <row r="1487" spans="7:7" ht="15.75" customHeight="1">
      <c r="G1487" s="89"/>
    </row>
    <row r="1488" spans="7:7" ht="15.75" customHeight="1">
      <c r="G1488" s="89"/>
    </row>
    <row r="1489" spans="7:7" ht="15.75" customHeight="1">
      <c r="G1489" s="89"/>
    </row>
    <row r="1490" spans="7:7" ht="15.75" customHeight="1">
      <c r="G1490" s="89"/>
    </row>
    <row r="1491" spans="7:7" ht="15.75" customHeight="1">
      <c r="G1491" s="89"/>
    </row>
    <row r="1492" spans="7:7" ht="15.75" customHeight="1">
      <c r="G1492" s="89"/>
    </row>
    <row r="1493" spans="7:7" ht="15.75" customHeight="1">
      <c r="G1493" s="89"/>
    </row>
    <row r="1494" spans="7:7" ht="15.75" customHeight="1">
      <c r="G1494" s="89"/>
    </row>
    <row r="1495" spans="7:7" ht="15.75" customHeight="1">
      <c r="G1495" s="89"/>
    </row>
    <row r="1496" spans="7:7" ht="15.75" customHeight="1">
      <c r="G1496" s="89"/>
    </row>
    <row r="1497" spans="7:7" ht="15.75" customHeight="1">
      <c r="G1497" s="89"/>
    </row>
    <row r="1498" spans="7:7" ht="15.75" customHeight="1">
      <c r="G1498" s="89"/>
    </row>
    <row r="1499" spans="7:7" ht="15.75" customHeight="1">
      <c r="G1499" s="89"/>
    </row>
    <row r="1500" spans="7:7" ht="15.75" customHeight="1">
      <c r="G1500" s="89"/>
    </row>
    <row r="1501" spans="7:7" ht="15.75" customHeight="1">
      <c r="G1501" s="89"/>
    </row>
    <row r="1502" spans="7:7" ht="15.75" customHeight="1">
      <c r="G1502" s="89"/>
    </row>
    <row r="1503" spans="7:7" ht="15.75" customHeight="1">
      <c r="G1503" s="89"/>
    </row>
    <row r="1504" spans="7:7" ht="15.75" customHeight="1">
      <c r="G1504" s="89"/>
    </row>
    <row r="1505" spans="7:7" ht="15.75" customHeight="1">
      <c r="G1505" s="89"/>
    </row>
    <row r="1506" spans="7:7" ht="15.75" customHeight="1">
      <c r="G1506" s="89"/>
    </row>
    <row r="1507" spans="7:7" ht="15.75" customHeight="1">
      <c r="G1507" s="89"/>
    </row>
    <row r="1508" spans="7:7" ht="15.75" customHeight="1">
      <c r="G1508" s="89"/>
    </row>
    <row r="1509" spans="7:7" ht="15.75" customHeight="1">
      <c r="G1509" s="89"/>
    </row>
    <row r="1510" spans="7:7" ht="15.75" customHeight="1">
      <c r="G1510" s="89"/>
    </row>
    <row r="1511" spans="7:7" ht="15.75" customHeight="1">
      <c r="G1511" s="89"/>
    </row>
    <row r="1512" spans="7:7" ht="15.75" customHeight="1">
      <c r="G1512" s="89"/>
    </row>
    <row r="1513" spans="7:7" ht="15.75" customHeight="1">
      <c r="G1513" s="89"/>
    </row>
    <row r="1514" spans="7:7" ht="15.75" customHeight="1">
      <c r="G1514" s="89"/>
    </row>
    <row r="1515" spans="7:7" ht="15.75" customHeight="1">
      <c r="G1515" s="89"/>
    </row>
    <row r="1516" spans="7:7" ht="15.75" customHeight="1">
      <c r="G1516" s="89"/>
    </row>
    <row r="1517" spans="7:7" ht="15.75" customHeight="1">
      <c r="G1517" s="89"/>
    </row>
    <row r="1518" spans="7:7" ht="15.75" customHeight="1">
      <c r="G1518" s="89"/>
    </row>
    <row r="1519" spans="7:7" ht="15.75" customHeight="1">
      <c r="G1519" s="89"/>
    </row>
    <row r="1520" spans="7:7" ht="15.75" customHeight="1">
      <c r="G1520" s="89"/>
    </row>
    <row r="1521" spans="7:7" ht="15.75" customHeight="1">
      <c r="G1521" s="89"/>
    </row>
    <row r="1522" spans="7:7" ht="15.75" customHeight="1">
      <c r="G1522" s="89"/>
    </row>
    <row r="1523" spans="7:7" ht="15.75" customHeight="1">
      <c r="G1523" s="89"/>
    </row>
    <row r="1524" spans="7:7" ht="15.75" customHeight="1">
      <c r="G1524" s="89"/>
    </row>
    <row r="1525" spans="7:7" ht="15.75" customHeight="1">
      <c r="G1525" s="89"/>
    </row>
    <row r="1526" spans="7:7" ht="15.75" customHeight="1">
      <c r="G1526" s="89"/>
    </row>
    <row r="1527" spans="7:7" ht="15.75" customHeight="1">
      <c r="G1527" s="89"/>
    </row>
    <row r="1528" spans="7:7" ht="15.75" customHeight="1">
      <c r="G1528" s="89"/>
    </row>
    <row r="1529" spans="7:7" ht="15.75" customHeight="1">
      <c r="G1529" s="89"/>
    </row>
    <row r="1530" spans="7:7" ht="15.75" customHeight="1">
      <c r="G1530" s="89"/>
    </row>
    <row r="1531" spans="7:7" ht="15.75" customHeight="1">
      <c r="G1531" s="89"/>
    </row>
    <row r="1532" spans="7:7" ht="15.75" customHeight="1">
      <c r="G1532" s="89"/>
    </row>
    <row r="1533" spans="7:7" ht="15.75" customHeight="1">
      <c r="G1533" s="89"/>
    </row>
    <row r="1534" spans="7:7" ht="15.75" customHeight="1">
      <c r="G1534" s="89"/>
    </row>
    <row r="1535" spans="7:7" ht="15.75" customHeight="1">
      <c r="G1535" s="89"/>
    </row>
    <row r="1536" spans="7:7" ht="15.75" customHeight="1">
      <c r="G1536" s="89"/>
    </row>
    <row r="1537" spans="7:7" ht="15.75" customHeight="1">
      <c r="G1537" s="89"/>
    </row>
    <row r="1538" spans="7:7" ht="15.75" customHeight="1">
      <c r="G1538" s="89"/>
    </row>
    <row r="1539" spans="7:7" ht="15.75" customHeight="1">
      <c r="G1539" s="89"/>
    </row>
    <row r="1540" spans="7:7" ht="15.75" customHeight="1">
      <c r="G1540" s="89"/>
    </row>
    <row r="1541" spans="7:7" ht="15.75" customHeight="1">
      <c r="G1541" s="89"/>
    </row>
    <row r="1542" spans="7:7" ht="15.75" customHeight="1">
      <c r="G1542" s="89"/>
    </row>
    <row r="1543" spans="7:7" ht="15.75" customHeight="1">
      <c r="G1543" s="89"/>
    </row>
    <row r="1544" spans="7:7" ht="15.75" customHeight="1">
      <c r="G1544" s="89"/>
    </row>
    <row r="1545" spans="7:7" ht="15.75" customHeight="1">
      <c r="G1545" s="89"/>
    </row>
    <row r="1546" spans="7:7" ht="15.75" customHeight="1">
      <c r="G1546" s="89"/>
    </row>
    <row r="1547" spans="7:7" ht="15.75" customHeight="1">
      <c r="G1547" s="89"/>
    </row>
    <row r="1548" spans="7:7" ht="15.75" customHeight="1">
      <c r="G1548" s="89"/>
    </row>
    <row r="1549" spans="7:7" ht="15.75" customHeight="1">
      <c r="G1549" s="89"/>
    </row>
    <row r="1550" spans="7:7" ht="15.75" customHeight="1">
      <c r="G1550" s="89"/>
    </row>
    <row r="1551" spans="7:7" ht="15.75" customHeight="1">
      <c r="G1551" s="89"/>
    </row>
    <row r="1552" spans="7:7" ht="15.75" customHeight="1">
      <c r="G1552" s="89"/>
    </row>
    <row r="1553" spans="7:7" ht="15.75" customHeight="1">
      <c r="G1553" s="89"/>
    </row>
    <row r="1554" spans="7:7" ht="15.75" customHeight="1">
      <c r="G1554" s="89"/>
    </row>
    <row r="1555" spans="7:7" ht="15.75" customHeight="1">
      <c r="G1555" s="89"/>
    </row>
    <row r="1556" spans="7:7" ht="15.75" customHeight="1">
      <c r="G1556" s="89"/>
    </row>
    <row r="1557" spans="7:7" ht="15.75" customHeight="1">
      <c r="G1557" s="89"/>
    </row>
    <row r="1558" spans="7:7" ht="15.75" customHeight="1">
      <c r="G1558" s="89"/>
    </row>
    <row r="1559" spans="7:7" ht="15.75" customHeight="1">
      <c r="G1559" s="89"/>
    </row>
    <row r="1560" spans="7:7" ht="15.75" customHeight="1">
      <c r="G1560" s="89"/>
    </row>
    <row r="1561" spans="7:7" ht="15.75" customHeight="1">
      <c r="G1561" s="89"/>
    </row>
    <row r="1562" spans="7:7" ht="15.75" customHeight="1">
      <c r="G1562" s="89"/>
    </row>
    <row r="1563" spans="7:7" ht="15.75" customHeight="1">
      <c r="G1563" s="89"/>
    </row>
    <row r="1564" spans="7:7" ht="15.75" customHeight="1">
      <c r="G1564" s="89"/>
    </row>
    <row r="1565" spans="7:7" ht="15.75" customHeight="1">
      <c r="G1565" s="89"/>
    </row>
    <row r="1566" spans="7:7" ht="15.75" customHeight="1">
      <c r="G1566" s="89"/>
    </row>
    <row r="1567" spans="7:7" ht="15.75" customHeight="1">
      <c r="G1567" s="89"/>
    </row>
    <row r="1568" spans="7:7" ht="15.75" customHeight="1">
      <c r="G1568" s="89"/>
    </row>
    <row r="1569" spans="7:7" ht="15.75" customHeight="1">
      <c r="G1569" s="89"/>
    </row>
    <row r="1570" spans="7:7" ht="15.75" customHeight="1">
      <c r="G1570" s="89"/>
    </row>
    <row r="1571" spans="7:7" ht="15.75" customHeight="1">
      <c r="G1571" s="89"/>
    </row>
    <row r="1572" spans="7:7" ht="15.75" customHeight="1">
      <c r="G1572" s="89"/>
    </row>
    <row r="1573" spans="7:7" ht="15.75" customHeight="1">
      <c r="G1573" s="89"/>
    </row>
    <row r="1574" spans="7:7" ht="15.75" customHeight="1">
      <c r="G1574" s="89"/>
    </row>
    <row r="1575" spans="7:7" ht="15.75" customHeight="1">
      <c r="G1575" s="89"/>
    </row>
    <row r="1576" spans="7:7" ht="15.75" customHeight="1">
      <c r="G1576" s="89"/>
    </row>
    <row r="1577" spans="7:7" ht="15.75" customHeight="1">
      <c r="G1577" s="89"/>
    </row>
    <row r="1578" spans="7:7" ht="15.75" customHeight="1">
      <c r="G1578" s="89"/>
    </row>
    <row r="1579" spans="7:7" ht="15.75" customHeight="1">
      <c r="G1579" s="89"/>
    </row>
    <row r="1580" spans="7:7" ht="15.75" customHeight="1">
      <c r="G1580" s="89"/>
    </row>
    <row r="1581" spans="7:7" ht="15.75" customHeight="1">
      <c r="G1581" s="89"/>
    </row>
    <row r="1582" spans="7:7" ht="15.75" customHeight="1">
      <c r="G1582" s="89"/>
    </row>
    <row r="1583" spans="7:7" ht="15.75" customHeight="1">
      <c r="G1583" s="89"/>
    </row>
    <row r="1584" spans="7:7" ht="15.75" customHeight="1">
      <c r="G1584" s="89"/>
    </row>
    <row r="1585" spans="7:7" ht="15.75" customHeight="1">
      <c r="G1585" s="89"/>
    </row>
    <row r="1586" spans="7:7" ht="15.75" customHeight="1">
      <c r="G1586" s="89"/>
    </row>
    <row r="1587" spans="7:7" ht="15.75" customHeight="1">
      <c r="G1587" s="89"/>
    </row>
    <row r="1588" spans="7:7" ht="15.75" customHeight="1">
      <c r="G1588" s="89"/>
    </row>
    <row r="1589" spans="7:7" ht="15.75" customHeight="1">
      <c r="G1589" s="89"/>
    </row>
    <row r="1590" spans="7:7" ht="15.75" customHeight="1">
      <c r="G1590" s="89"/>
    </row>
    <row r="1591" spans="7:7" ht="15.75" customHeight="1">
      <c r="G1591" s="89"/>
    </row>
    <row r="1592" spans="7:7" ht="15.75" customHeight="1">
      <c r="G1592" s="89"/>
    </row>
    <row r="1593" spans="7:7" ht="15.75" customHeight="1">
      <c r="G1593" s="89"/>
    </row>
    <row r="1594" spans="7:7" ht="15.75" customHeight="1">
      <c r="G1594" s="89"/>
    </row>
    <row r="1595" spans="7:7" ht="15.75" customHeight="1">
      <c r="G1595" s="89"/>
    </row>
    <row r="1596" spans="7:7" ht="15.75" customHeight="1">
      <c r="G1596" s="89"/>
    </row>
    <row r="1597" spans="7:7" ht="15.75" customHeight="1">
      <c r="G1597" s="89"/>
    </row>
    <row r="1598" spans="7:7" ht="15.75" customHeight="1">
      <c r="G1598" s="89"/>
    </row>
    <row r="1599" spans="7:7" ht="15.75" customHeight="1">
      <c r="G1599" s="89"/>
    </row>
    <row r="1600" spans="7:7" ht="15.75" customHeight="1">
      <c r="G1600" s="89"/>
    </row>
    <row r="1601" spans="7:7" ht="15.75" customHeight="1">
      <c r="G1601" s="89"/>
    </row>
    <row r="1602" spans="7:7" ht="15.75" customHeight="1">
      <c r="G1602" s="89"/>
    </row>
    <row r="1603" spans="7:7" ht="15.75" customHeight="1">
      <c r="G1603" s="89"/>
    </row>
    <row r="1604" spans="7:7" ht="15.75" customHeight="1">
      <c r="G1604" s="89"/>
    </row>
    <row r="1605" spans="7:7" ht="15.75" customHeight="1">
      <c r="G1605" s="89"/>
    </row>
    <row r="1606" spans="7:7" ht="15.75" customHeight="1">
      <c r="G1606" s="89"/>
    </row>
    <row r="1607" spans="7:7" ht="15.75" customHeight="1">
      <c r="G1607" s="89"/>
    </row>
    <row r="1608" spans="7:7" ht="15.75" customHeight="1">
      <c r="G1608" s="89"/>
    </row>
    <row r="1609" spans="7:7" ht="15.75" customHeight="1">
      <c r="G1609" s="89"/>
    </row>
    <row r="1610" spans="7:7" ht="15.75" customHeight="1">
      <c r="G1610" s="89"/>
    </row>
    <row r="1611" spans="7:7" ht="15.75" customHeight="1">
      <c r="G1611" s="89"/>
    </row>
    <row r="1612" spans="7:7" ht="15.75" customHeight="1">
      <c r="G1612" s="89"/>
    </row>
    <row r="1613" spans="7:7" ht="15.75" customHeight="1">
      <c r="G1613" s="89"/>
    </row>
    <row r="1614" spans="7:7" ht="15.75" customHeight="1">
      <c r="G1614" s="89"/>
    </row>
    <row r="1615" spans="7:7" ht="15.75" customHeight="1">
      <c r="G1615" s="89"/>
    </row>
    <row r="1616" spans="7:7" ht="15.75" customHeight="1">
      <c r="G1616" s="89"/>
    </row>
    <row r="1617" spans="7:7" ht="15.75" customHeight="1">
      <c r="G1617" s="89"/>
    </row>
    <row r="1618" spans="7:7" ht="15.75" customHeight="1">
      <c r="G1618" s="89"/>
    </row>
    <row r="1619" spans="7:7" ht="15.75" customHeight="1">
      <c r="G1619" s="89"/>
    </row>
    <row r="1620" spans="7:7" ht="15.75" customHeight="1">
      <c r="G1620" s="89"/>
    </row>
    <row r="1621" spans="7:7" ht="15.75" customHeight="1">
      <c r="G1621" s="89"/>
    </row>
    <row r="1622" spans="7:7" ht="15.75" customHeight="1">
      <c r="G1622" s="89"/>
    </row>
    <row r="1623" spans="7:7" ht="15.75" customHeight="1">
      <c r="G1623" s="89"/>
    </row>
    <row r="1624" spans="7:7" ht="15.75" customHeight="1">
      <c r="G1624" s="89"/>
    </row>
    <row r="1625" spans="7:7" ht="15.75" customHeight="1">
      <c r="G1625" s="89"/>
    </row>
    <row r="1626" spans="7:7" ht="15.75" customHeight="1">
      <c r="G1626" s="89"/>
    </row>
    <row r="1627" spans="7:7" ht="15.75" customHeight="1">
      <c r="G1627" s="89"/>
    </row>
    <row r="1628" spans="7:7" ht="15.75" customHeight="1">
      <c r="G1628" s="89"/>
    </row>
    <row r="1629" spans="7:7" ht="15.75" customHeight="1">
      <c r="G1629" s="89"/>
    </row>
    <row r="1630" spans="7:7" ht="15.75" customHeight="1">
      <c r="G1630" s="89"/>
    </row>
    <row r="1631" spans="7:7" ht="15.75" customHeight="1">
      <c r="G1631" s="89"/>
    </row>
    <row r="1632" spans="7:7" ht="15.75" customHeight="1">
      <c r="G1632" s="89"/>
    </row>
    <row r="1633" spans="7:7" ht="15.75" customHeight="1">
      <c r="G1633" s="89"/>
    </row>
    <row r="1634" spans="7:7" ht="15.75" customHeight="1">
      <c r="G1634" s="89"/>
    </row>
    <row r="1635" spans="7:7" ht="15.75" customHeight="1">
      <c r="G1635" s="89"/>
    </row>
    <row r="1636" spans="7:7" ht="15.75" customHeight="1">
      <c r="G1636" s="89"/>
    </row>
    <row r="1637" spans="7:7" ht="15.75" customHeight="1">
      <c r="G1637" s="89"/>
    </row>
    <row r="1638" spans="7:7" ht="15.75" customHeight="1">
      <c r="G1638" s="89"/>
    </row>
    <row r="1639" spans="7:7" ht="15.75" customHeight="1">
      <c r="G1639" s="89"/>
    </row>
    <row r="1640" spans="7:7" ht="15.75" customHeight="1">
      <c r="G1640" s="89"/>
    </row>
    <row r="1641" spans="7:7" ht="15.75" customHeight="1">
      <c r="G1641" s="89"/>
    </row>
    <row r="1642" spans="7:7" ht="15.75" customHeight="1">
      <c r="G1642" s="89"/>
    </row>
    <row r="1643" spans="7:7" ht="15.75" customHeight="1">
      <c r="G1643" s="89"/>
    </row>
    <row r="1644" spans="7:7" ht="15.75" customHeight="1">
      <c r="G1644" s="89"/>
    </row>
    <row r="1645" spans="7:7" ht="15.75" customHeight="1">
      <c r="G1645" s="89"/>
    </row>
    <row r="1646" spans="7:7" ht="15.75" customHeight="1">
      <c r="G1646" s="89"/>
    </row>
    <row r="1647" spans="7:7" ht="15.75" customHeight="1">
      <c r="G1647" s="89"/>
    </row>
    <row r="1648" spans="7:7" ht="15.75" customHeight="1">
      <c r="G1648" s="89"/>
    </row>
    <row r="1649" spans="7:7" ht="15.75" customHeight="1">
      <c r="G1649" s="89"/>
    </row>
    <row r="1650" spans="7:7" ht="15.75" customHeight="1">
      <c r="G1650" s="89"/>
    </row>
    <row r="1651" spans="7:7" ht="15.75" customHeight="1">
      <c r="G1651" s="89"/>
    </row>
    <row r="1652" spans="7:7" ht="15.75" customHeight="1">
      <c r="G1652" s="89"/>
    </row>
    <row r="1653" spans="7:7" ht="15.75" customHeight="1">
      <c r="G1653" s="89"/>
    </row>
    <row r="1654" spans="7:7" ht="15.75" customHeight="1">
      <c r="G1654" s="89"/>
    </row>
    <row r="1655" spans="7:7" ht="15.75" customHeight="1">
      <c r="G1655" s="89"/>
    </row>
    <row r="1656" spans="7:7" ht="15.75" customHeight="1">
      <c r="G1656" s="89"/>
    </row>
    <row r="1657" spans="7:7" ht="15.75" customHeight="1">
      <c r="G1657" s="89"/>
    </row>
    <row r="1658" spans="7:7" ht="15.75" customHeight="1">
      <c r="G1658" s="89"/>
    </row>
    <row r="1659" spans="7:7" ht="15.75" customHeight="1">
      <c r="G1659" s="89"/>
    </row>
    <row r="1660" spans="7:7" ht="15.75" customHeight="1">
      <c r="G1660" s="89"/>
    </row>
    <row r="1661" spans="7:7" ht="15.75" customHeight="1">
      <c r="G1661" s="89"/>
    </row>
    <row r="1662" spans="7:7" ht="15.75" customHeight="1">
      <c r="G1662" s="89"/>
    </row>
    <row r="1663" spans="7:7" ht="15.75" customHeight="1">
      <c r="G1663" s="89"/>
    </row>
    <row r="1664" spans="7:7" ht="15.75" customHeight="1">
      <c r="G1664" s="89"/>
    </row>
    <row r="1665" spans="7:7" ht="15.75" customHeight="1">
      <c r="G1665" s="89"/>
    </row>
    <row r="1666" spans="7:7" ht="15.75" customHeight="1">
      <c r="G1666" s="89"/>
    </row>
    <row r="1667" spans="7:7" ht="15.75" customHeight="1">
      <c r="G1667" s="89"/>
    </row>
    <row r="1668" spans="7:7" ht="15.75" customHeight="1">
      <c r="G1668" s="89"/>
    </row>
    <row r="1669" spans="7:7" ht="15.75" customHeight="1">
      <c r="G1669" s="89"/>
    </row>
    <row r="1670" spans="7:7" ht="15.75" customHeight="1">
      <c r="G1670" s="89"/>
    </row>
    <row r="1671" spans="7:7" ht="15.75" customHeight="1">
      <c r="G1671" s="89"/>
    </row>
    <row r="1672" spans="7:7" ht="15.75" customHeight="1">
      <c r="G1672" s="89"/>
    </row>
    <row r="1673" spans="7:7" ht="15.75" customHeight="1">
      <c r="G1673" s="89"/>
    </row>
    <row r="1674" spans="7:7" ht="15.75" customHeight="1">
      <c r="G1674" s="89"/>
    </row>
    <row r="1675" spans="7:7" ht="15.75" customHeight="1">
      <c r="G1675" s="89"/>
    </row>
    <row r="1676" spans="7:7" ht="15.75" customHeight="1">
      <c r="G1676" s="89"/>
    </row>
    <row r="1677" spans="7:7" ht="15.75" customHeight="1">
      <c r="G1677" s="89"/>
    </row>
    <row r="1678" spans="7:7" ht="15.75" customHeight="1">
      <c r="G1678" s="89"/>
    </row>
    <row r="1679" spans="7:7" ht="15.75" customHeight="1">
      <c r="G1679" s="89"/>
    </row>
    <row r="1680" spans="7:7" ht="15.75" customHeight="1">
      <c r="G1680" s="89"/>
    </row>
    <row r="1681" spans="7:7" ht="15.75" customHeight="1">
      <c r="G1681" s="89"/>
    </row>
    <row r="1682" spans="7:7" ht="15.75" customHeight="1">
      <c r="G1682" s="89"/>
    </row>
    <row r="1683" spans="7:7" ht="15.75" customHeight="1">
      <c r="G1683" s="89"/>
    </row>
    <row r="1684" spans="7:7" ht="15.75" customHeight="1">
      <c r="G1684" s="89"/>
    </row>
    <row r="1685" spans="7:7" ht="15.75" customHeight="1">
      <c r="G1685" s="89"/>
    </row>
    <row r="1686" spans="7:7" ht="15.75" customHeight="1">
      <c r="G1686" s="89"/>
    </row>
    <row r="1687" spans="7:7" ht="15.75" customHeight="1">
      <c r="G1687" s="89"/>
    </row>
    <row r="1688" spans="7:7" ht="15.75" customHeight="1">
      <c r="G1688" s="89"/>
    </row>
    <row r="1689" spans="7:7" ht="15.75" customHeight="1">
      <c r="G1689" s="89"/>
    </row>
    <row r="1690" spans="7:7" ht="15.75" customHeight="1">
      <c r="G1690" s="89"/>
    </row>
    <row r="1691" spans="7:7" ht="15.75" customHeight="1">
      <c r="G1691" s="89"/>
    </row>
    <row r="1692" spans="7:7" ht="15.75" customHeight="1">
      <c r="G1692" s="89"/>
    </row>
    <row r="1693" spans="7:7" ht="15.75" customHeight="1">
      <c r="G1693" s="89"/>
    </row>
    <row r="1694" spans="7:7" ht="15.75" customHeight="1">
      <c r="G1694" s="89"/>
    </row>
    <row r="1695" spans="7:7" ht="15.75" customHeight="1">
      <c r="G1695" s="89"/>
    </row>
    <row r="1696" spans="7:7" ht="15.75" customHeight="1">
      <c r="G1696" s="89"/>
    </row>
    <row r="1697" spans="7:7" ht="15.75" customHeight="1">
      <c r="G1697" s="89"/>
    </row>
    <row r="1698" spans="7:7" ht="15.75" customHeight="1">
      <c r="G1698" s="89"/>
    </row>
    <row r="1699" spans="7:7" ht="15.75" customHeight="1">
      <c r="G1699" s="89"/>
    </row>
    <row r="1700" spans="7:7" ht="15.75" customHeight="1">
      <c r="G1700" s="89"/>
    </row>
    <row r="1701" spans="7:7" ht="15.75" customHeight="1">
      <c r="G1701" s="89"/>
    </row>
    <row r="1702" spans="7:7" ht="15.75" customHeight="1">
      <c r="G1702" s="89"/>
    </row>
    <row r="1703" spans="7:7" ht="15.75" customHeight="1">
      <c r="G1703" s="89"/>
    </row>
    <row r="1704" spans="7:7" ht="15.75" customHeight="1">
      <c r="G1704" s="89"/>
    </row>
    <row r="1705" spans="7:7" ht="15.75" customHeight="1">
      <c r="G1705" s="89"/>
    </row>
    <row r="1706" spans="7:7" ht="15.75" customHeight="1">
      <c r="G1706" s="89"/>
    </row>
    <row r="1707" spans="7:7" ht="15.75" customHeight="1">
      <c r="G1707" s="89"/>
    </row>
    <row r="1708" spans="7:7" ht="15.75" customHeight="1">
      <c r="G1708" s="89"/>
    </row>
    <row r="1709" spans="7:7" ht="15.75" customHeight="1">
      <c r="G1709" s="89"/>
    </row>
    <row r="1710" spans="7:7" ht="15.75" customHeight="1">
      <c r="G1710" s="89"/>
    </row>
    <row r="1711" spans="7:7" ht="15.75" customHeight="1">
      <c r="G1711" s="89"/>
    </row>
    <row r="1712" spans="7:7" ht="15.75" customHeight="1">
      <c r="G1712" s="89"/>
    </row>
    <row r="1713" spans="7:7" ht="15.75" customHeight="1">
      <c r="G1713" s="89"/>
    </row>
    <row r="1714" spans="7:7" ht="15.75" customHeight="1">
      <c r="G1714" s="89"/>
    </row>
    <row r="1715" spans="7:7" ht="15.75" customHeight="1">
      <c r="G1715" s="89"/>
    </row>
    <row r="1716" spans="7:7" ht="15.75" customHeight="1">
      <c r="G1716" s="89"/>
    </row>
    <row r="1717" spans="7:7" ht="15.75" customHeight="1">
      <c r="G1717" s="89"/>
    </row>
    <row r="1718" spans="7:7" ht="15.75" customHeight="1">
      <c r="G1718" s="89"/>
    </row>
    <row r="1719" spans="7:7" ht="15.75" customHeight="1">
      <c r="G1719" s="89"/>
    </row>
    <row r="1720" spans="7:7" ht="15.75" customHeight="1">
      <c r="G1720" s="89"/>
    </row>
    <row r="1721" spans="7:7" ht="15.75" customHeight="1">
      <c r="G1721" s="89"/>
    </row>
    <row r="1722" spans="7:7" ht="15.75" customHeight="1">
      <c r="G1722" s="89"/>
    </row>
    <row r="1723" spans="7:7" ht="15.75" customHeight="1">
      <c r="G1723" s="89"/>
    </row>
    <row r="1724" spans="7:7" ht="15.75" customHeight="1">
      <c r="G1724" s="89"/>
    </row>
    <row r="1725" spans="7:7" ht="15.75" customHeight="1">
      <c r="G1725" s="89"/>
    </row>
    <row r="1726" spans="7:7" ht="15.75" customHeight="1">
      <c r="G1726" s="89"/>
    </row>
    <row r="1727" spans="7:7" ht="15.75" customHeight="1">
      <c r="G1727" s="89"/>
    </row>
    <row r="1728" spans="7:7" ht="15.75" customHeight="1">
      <c r="G1728" s="89"/>
    </row>
    <row r="1729" spans="7:7" ht="15.75" customHeight="1">
      <c r="G1729" s="89"/>
    </row>
    <row r="1730" spans="7:7" ht="15.75" customHeight="1">
      <c r="G1730" s="89"/>
    </row>
    <row r="1731" spans="7:7" ht="15.75" customHeight="1">
      <c r="G1731" s="89"/>
    </row>
    <row r="1732" spans="7:7" ht="15.75" customHeight="1">
      <c r="G1732" s="89"/>
    </row>
    <row r="1733" spans="7:7" ht="15.75" customHeight="1">
      <c r="G1733" s="89"/>
    </row>
    <row r="1734" spans="7:7" ht="15.75" customHeight="1">
      <c r="G1734" s="89"/>
    </row>
    <row r="1735" spans="7:7" ht="15.75" customHeight="1">
      <c r="G1735" s="89"/>
    </row>
    <row r="1736" spans="7:7" ht="15.75" customHeight="1">
      <c r="G1736" s="89"/>
    </row>
    <row r="1737" spans="7:7" ht="15.75" customHeight="1">
      <c r="G1737" s="89"/>
    </row>
    <row r="1738" spans="7:7" ht="15.75" customHeight="1">
      <c r="G1738" s="89"/>
    </row>
    <row r="1739" spans="7:7" ht="15.75" customHeight="1">
      <c r="G1739" s="89"/>
    </row>
    <row r="1740" spans="7:7" ht="15.75" customHeight="1">
      <c r="G1740" s="89"/>
    </row>
    <row r="1741" spans="7:7" ht="15.75" customHeight="1">
      <c r="G1741" s="89"/>
    </row>
    <row r="1742" spans="7:7" ht="15.75" customHeight="1">
      <c r="G1742" s="89"/>
    </row>
    <row r="1743" spans="7:7" ht="15.75" customHeight="1">
      <c r="G1743" s="89"/>
    </row>
    <row r="1744" spans="7:7" ht="15.75" customHeight="1">
      <c r="G1744" s="89"/>
    </row>
    <row r="1745" spans="7:7" ht="15.75" customHeight="1">
      <c r="G1745" s="89"/>
    </row>
    <row r="1746" spans="7:7" ht="15.75" customHeight="1">
      <c r="G1746" s="89"/>
    </row>
    <row r="1747" spans="7:7" ht="15.75" customHeight="1">
      <c r="G1747" s="89"/>
    </row>
    <row r="1748" spans="7:7" ht="15.75" customHeight="1">
      <c r="G1748" s="89"/>
    </row>
    <row r="1749" spans="7:7" ht="15.75" customHeight="1">
      <c r="G1749" s="89"/>
    </row>
    <row r="1750" spans="7:7" ht="15.75" customHeight="1">
      <c r="G1750" s="89"/>
    </row>
    <row r="1751" spans="7:7" ht="15.75" customHeight="1">
      <c r="G1751" s="89"/>
    </row>
    <row r="1752" spans="7:7" ht="15.75" customHeight="1">
      <c r="G1752" s="89"/>
    </row>
    <row r="1753" spans="7:7" ht="15.75" customHeight="1">
      <c r="G1753" s="89"/>
    </row>
    <row r="1754" spans="7:7" ht="15.75" customHeight="1">
      <c r="G1754" s="89"/>
    </row>
    <row r="1755" spans="7:7" ht="15.75" customHeight="1">
      <c r="G1755" s="89"/>
    </row>
    <row r="1756" spans="7:7" ht="15.75" customHeight="1">
      <c r="G1756" s="89"/>
    </row>
    <row r="1757" spans="7:7" ht="15.75" customHeight="1">
      <c r="G1757" s="89"/>
    </row>
    <row r="1758" spans="7:7" ht="15.75" customHeight="1">
      <c r="G1758" s="89"/>
    </row>
    <row r="1759" spans="7:7" ht="15.75" customHeight="1">
      <c r="G1759" s="89"/>
    </row>
    <row r="1760" spans="7:7" ht="15.75" customHeight="1">
      <c r="G1760" s="89"/>
    </row>
    <row r="1761" spans="7:7" ht="15.75" customHeight="1">
      <c r="G1761" s="89"/>
    </row>
    <row r="1762" spans="7:7" ht="15.75" customHeight="1">
      <c r="G1762" s="89"/>
    </row>
    <row r="1763" spans="7:7" ht="15.75" customHeight="1">
      <c r="G1763" s="89"/>
    </row>
    <row r="1764" spans="7:7" ht="15.75" customHeight="1">
      <c r="G1764" s="89"/>
    </row>
    <row r="1765" spans="7:7" ht="15.75" customHeight="1">
      <c r="G1765" s="89"/>
    </row>
    <row r="1766" spans="7:7" ht="15.75" customHeight="1">
      <c r="G1766" s="89"/>
    </row>
    <row r="1767" spans="7:7" ht="15.75" customHeight="1">
      <c r="G1767" s="89"/>
    </row>
    <row r="1768" spans="7:7" ht="15.75" customHeight="1">
      <c r="G1768" s="89"/>
    </row>
    <row r="1769" spans="7:7" ht="15.75" customHeight="1">
      <c r="G1769" s="89"/>
    </row>
    <row r="1770" spans="7:7" ht="15.75" customHeight="1">
      <c r="G1770" s="89"/>
    </row>
    <row r="1771" spans="7:7" ht="15.75" customHeight="1">
      <c r="G1771" s="89"/>
    </row>
    <row r="1772" spans="7:7" ht="15.75" customHeight="1">
      <c r="G1772" s="89"/>
    </row>
    <row r="1773" spans="7:7" ht="15.75" customHeight="1">
      <c r="G1773" s="89"/>
    </row>
    <row r="1774" spans="7:7" ht="15.75" customHeight="1">
      <c r="G1774" s="89"/>
    </row>
    <row r="1775" spans="7:7" ht="15.75" customHeight="1">
      <c r="G1775" s="89"/>
    </row>
    <row r="1776" spans="7:7" ht="15.75" customHeight="1">
      <c r="G1776" s="89"/>
    </row>
    <row r="1777" spans="7:7" ht="15.75" customHeight="1">
      <c r="G1777" s="89"/>
    </row>
    <row r="1778" spans="7:7" ht="15.75" customHeight="1">
      <c r="G1778" s="89"/>
    </row>
    <row r="1779" spans="7:7" ht="15.75" customHeight="1">
      <c r="G1779" s="89"/>
    </row>
    <row r="1780" spans="7:7" ht="15.75" customHeight="1">
      <c r="G1780" s="89"/>
    </row>
    <row r="1781" spans="7:7" ht="15.75" customHeight="1">
      <c r="G1781" s="89"/>
    </row>
    <row r="1782" spans="7:7" ht="15.75" customHeight="1">
      <c r="G1782" s="89"/>
    </row>
    <row r="1783" spans="7:7" ht="15.75" customHeight="1">
      <c r="G1783" s="89"/>
    </row>
    <row r="1784" spans="7:7" ht="15.75" customHeight="1">
      <c r="G1784" s="89"/>
    </row>
    <row r="1785" spans="7:7" ht="15.75" customHeight="1">
      <c r="G1785" s="89"/>
    </row>
    <row r="1786" spans="7:7" ht="15.75" customHeight="1">
      <c r="G1786" s="89"/>
    </row>
    <row r="1787" spans="7:7" ht="15.75" customHeight="1">
      <c r="G1787" s="89"/>
    </row>
    <row r="1788" spans="7:7" ht="15.75" customHeight="1">
      <c r="G1788" s="89"/>
    </row>
    <row r="1789" spans="7:7" ht="15.75" customHeight="1">
      <c r="G1789" s="89"/>
    </row>
    <row r="1790" spans="7:7" ht="15.75" customHeight="1">
      <c r="G1790" s="89"/>
    </row>
    <row r="1791" spans="7:7" ht="15.75" customHeight="1">
      <c r="G1791" s="89"/>
    </row>
    <row r="1792" spans="7:7" ht="15.75" customHeight="1">
      <c r="G1792" s="89"/>
    </row>
    <row r="1793" spans="7:7" ht="15.75" customHeight="1">
      <c r="G1793" s="89"/>
    </row>
    <row r="1794" spans="7:7" ht="15.75" customHeight="1">
      <c r="G1794" s="89"/>
    </row>
    <row r="1795" spans="7:7" ht="15.75" customHeight="1">
      <c r="G1795" s="89"/>
    </row>
    <row r="1796" spans="7:7" ht="15.75" customHeight="1">
      <c r="G1796" s="89"/>
    </row>
    <row r="1797" spans="7:7" ht="15.75" customHeight="1">
      <c r="G1797" s="89"/>
    </row>
    <row r="1798" spans="7:7" ht="15.75" customHeight="1">
      <c r="G1798" s="89"/>
    </row>
    <row r="1799" spans="7:7" ht="15.75" customHeight="1">
      <c r="G1799" s="89"/>
    </row>
    <row r="1800" spans="7:7" ht="15.75" customHeight="1">
      <c r="G1800" s="89"/>
    </row>
    <row r="1801" spans="7:7" ht="15.75" customHeight="1">
      <c r="G1801" s="89"/>
    </row>
    <row r="1802" spans="7:7" ht="15.75" customHeight="1">
      <c r="G1802" s="89"/>
    </row>
    <row r="1803" spans="7:7" ht="15.75" customHeight="1">
      <c r="G1803" s="89"/>
    </row>
    <row r="1804" spans="7:7" ht="15.75" customHeight="1">
      <c r="G1804" s="89"/>
    </row>
    <row r="1805" spans="7:7" ht="15.75" customHeight="1">
      <c r="G1805" s="89"/>
    </row>
    <row r="1806" spans="7:7" ht="15.75" customHeight="1">
      <c r="G1806" s="89"/>
    </row>
    <row r="1807" spans="7:7" ht="15.75" customHeight="1">
      <c r="G1807" s="89"/>
    </row>
    <row r="1808" spans="7:7" ht="15.75" customHeight="1">
      <c r="G1808" s="89"/>
    </row>
    <row r="1809" spans="7:7" ht="15.75" customHeight="1">
      <c r="G1809" s="89"/>
    </row>
    <row r="1810" spans="7:7" ht="15.75" customHeight="1">
      <c r="G1810" s="89"/>
    </row>
    <row r="1811" spans="7:7" ht="15.75" customHeight="1">
      <c r="G1811" s="89"/>
    </row>
    <row r="1812" spans="7:7" ht="15.75" customHeight="1">
      <c r="G1812" s="89"/>
    </row>
    <row r="1813" spans="7:7" ht="15.75" customHeight="1">
      <c r="G1813" s="89"/>
    </row>
    <row r="1814" spans="7:7" ht="15.75" customHeight="1">
      <c r="G1814" s="89"/>
    </row>
    <row r="1815" spans="7:7" ht="15.75" customHeight="1">
      <c r="G1815" s="89"/>
    </row>
    <row r="1816" spans="7:7" ht="15.75" customHeight="1">
      <c r="G1816" s="89"/>
    </row>
    <row r="1817" spans="7:7" ht="15.75" customHeight="1">
      <c r="G1817" s="89"/>
    </row>
    <row r="1818" spans="7:7" ht="15.75" customHeight="1">
      <c r="G1818" s="89"/>
    </row>
    <row r="1819" spans="7:7" ht="15.75" customHeight="1">
      <c r="G1819" s="89"/>
    </row>
    <row r="1820" spans="7:7" ht="15.75" customHeight="1">
      <c r="G1820" s="89"/>
    </row>
    <row r="1821" spans="7:7" ht="15.75" customHeight="1">
      <c r="G1821" s="89"/>
    </row>
    <row r="1822" spans="7:7" ht="15.75" customHeight="1">
      <c r="G1822" s="89"/>
    </row>
    <row r="1823" spans="7:7" ht="15.75" customHeight="1">
      <c r="G1823" s="89"/>
    </row>
    <row r="1824" spans="7:7" ht="15.75" customHeight="1">
      <c r="G1824" s="89"/>
    </row>
    <row r="1825" spans="7:7" ht="15.75" customHeight="1">
      <c r="G1825" s="89"/>
    </row>
    <row r="1826" spans="7:7" ht="15.75" customHeight="1">
      <c r="G1826" s="89"/>
    </row>
    <row r="1827" spans="7:7" ht="15.75" customHeight="1">
      <c r="G1827" s="89"/>
    </row>
    <row r="1828" spans="7:7" ht="15.75" customHeight="1">
      <c r="G1828" s="89"/>
    </row>
    <row r="1829" spans="7:7" ht="15.75" customHeight="1">
      <c r="G1829" s="89"/>
    </row>
    <row r="1830" spans="7:7" ht="15.75" customHeight="1">
      <c r="G1830" s="89"/>
    </row>
    <row r="1831" spans="7:7" ht="15.75" customHeight="1">
      <c r="G1831" s="89"/>
    </row>
    <row r="1832" spans="7:7" ht="15.75" customHeight="1">
      <c r="G1832" s="89"/>
    </row>
    <row r="1833" spans="7:7" ht="15.75" customHeight="1">
      <c r="G1833" s="89"/>
    </row>
    <row r="1834" spans="7:7" ht="15.75" customHeight="1">
      <c r="G1834" s="89"/>
    </row>
    <row r="1835" spans="7:7" ht="15.75" customHeight="1">
      <c r="G1835" s="89"/>
    </row>
    <row r="1836" spans="7:7" ht="15.75" customHeight="1">
      <c r="G1836" s="89"/>
    </row>
    <row r="1837" spans="7:7" ht="15.75" customHeight="1">
      <c r="G1837" s="89"/>
    </row>
    <row r="1838" spans="7:7" ht="15.75" customHeight="1">
      <c r="G1838" s="89"/>
    </row>
    <row r="1839" spans="7:7" ht="15.75" customHeight="1">
      <c r="G1839" s="89"/>
    </row>
    <row r="1840" spans="7:7" ht="15.75" customHeight="1">
      <c r="G1840" s="89"/>
    </row>
    <row r="1841" spans="7:7" ht="15.75" customHeight="1">
      <c r="G1841" s="89"/>
    </row>
    <row r="1842" spans="7:7" ht="15.75" customHeight="1">
      <c r="G1842" s="89"/>
    </row>
    <row r="1843" spans="7:7" ht="15.75" customHeight="1">
      <c r="G1843" s="89"/>
    </row>
    <row r="1844" spans="7:7" ht="15.75" customHeight="1">
      <c r="G1844" s="89"/>
    </row>
    <row r="1845" spans="7:7" ht="15.75" customHeight="1">
      <c r="G1845" s="89"/>
    </row>
    <row r="1846" spans="7:7" ht="15.75" customHeight="1">
      <c r="G1846" s="89"/>
    </row>
    <row r="1847" spans="7:7" ht="15.75" customHeight="1">
      <c r="G1847" s="89"/>
    </row>
    <row r="1848" spans="7:7" ht="15.75" customHeight="1">
      <c r="G1848" s="89"/>
    </row>
    <row r="1849" spans="7:7" ht="15.75" customHeight="1">
      <c r="G1849" s="89"/>
    </row>
    <row r="1850" spans="7:7" ht="15.75" customHeight="1">
      <c r="G1850" s="89"/>
    </row>
    <row r="1851" spans="7:7" ht="15.75" customHeight="1">
      <c r="G1851" s="89"/>
    </row>
    <row r="1852" spans="7:7" ht="15.75" customHeight="1">
      <c r="G1852" s="89"/>
    </row>
    <row r="1853" spans="7:7" ht="15.75" customHeight="1">
      <c r="G1853" s="89"/>
    </row>
    <row r="1854" spans="7:7" ht="15.75" customHeight="1">
      <c r="G1854" s="89"/>
    </row>
    <row r="1855" spans="7:7" ht="15.75" customHeight="1">
      <c r="G1855" s="89"/>
    </row>
    <row r="1856" spans="7:7" ht="15.75" customHeight="1">
      <c r="G1856" s="89"/>
    </row>
    <row r="1857" spans="7:7" ht="15.75" customHeight="1">
      <c r="G1857" s="89"/>
    </row>
    <row r="1858" spans="7:7" ht="15.75" customHeight="1">
      <c r="G1858" s="89"/>
    </row>
    <row r="1859" spans="7:7" ht="15.75" customHeight="1">
      <c r="G1859" s="89"/>
    </row>
    <row r="1860" spans="7:7" ht="15.75" customHeight="1">
      <c r="G1860" s="89"/>
    </row>
    <row r="1861" spans="7:7" ht="15.75" customHeight="1">
      <c r="G1861" s="89"/>
    </row>
    <row r="1862" spans="7:7" ht="15.75" customHeight="1">
      <c r="G1862" s="89"/>
    </row>
    <row r="1863" spans="7:7" ht="15.75" customHeight="1">
      <c r="G1863" s="89"/>
    </row>
    <row r="1864" spans="7:7" ht="15.75" customHeight="1">
      <c r="G1864" s="89"/>
    </row>
    <row r="1865" spans="7:7" ht="15.75" customHeight="1">
      <c r="G1865" s="89"/>
    </row>
    <row r="1866" spans="7:7" ht="15.75" customHeight="1">
      <c r="G1866" s="89"/>
    </row>
    <row r="1867" spans="7:7" ht="15.75" customHeight="1">
      <c r="G1867" s="89"/>
    </row>
    <row r="1868" spans="7:7" ht="15.75" customHeight="1">
      <c r="G1868" s="89"/>
    </row>
    <row r="1869" spans="7:7" ht="15.75" customHeight="1">
      <c r="G1869" s="89"/>
    </row>
    <row r="1870" spans="7:7" ht="15.75" customHeight="1">
      <c r="G1870" s="89"/>
    </row>
    <row r="1871" spans="7:7" ht="15.75" customHeight="1">
      <c r="G1871" s="89"/>
    </row>
    <row r="1872" spans="7:7" ht="15.75" customHeight="1">
      <c r="G1872" s="89"/>
    </row>
    <row r="1873" spans="7:7" ht="15.75" customHeight="1">
      <c r="G1873" s="89"/>
    </row>
    <row r="1874" spans="7:7" ht="15.75" customHeight="1">
      <c r="G1874" s="89"/>
    </row>
    <row r="1875" spans="7:7" ht="15.75" customHeight="1">
      <c r="G1875" s="89"/>
    </row>
    <row r="1876" spans="7:7" ht="15.75" customHeight="1">
      <c r="G1876" s="89"/>
    </row>
    <row r="1877" spans="7:7" ht="15.75" customHeight="1">
      <c r="G1877" s="89"/>
    </row>
    <row r="1878" spans="7:7" ht="15.75" customHeight="1">
      <c r="G1878" s="89"/>
    </row>
    <row r="1879" spans="7:7" ht="15.75" customHeight="1">
      <c r="G1879" s="89"/>
    </row>
    <row r="1880" spans="7:7" ht="15.75" customHeight="1">
      <c r="G1880" s="89"/>
    </row>
    <row r="1881" spans="7:7" ht="15.75" customHeight="1">
      <c r="G1881" s="89"/>
    </row>
  </sheetData>
  <mergeCells count="40">
    <mergeCell ref="C920:G920"/>
    <mergeCell ref="C921:G921"/>
    <mergeCell ref="B23:E23"/>
    <mergeCell ref="F23:G23"/>
    <mergeCell ref="A912:F912"/>
    <mergeCell ref="B913:C913"/>
    <mergeCell ref="C914:G914"/>
    <mergeCell ref="A25:A26"/>
    <mergeCell ref="B21:E21"/>
    <mergeCell ref="F21:G21"/>
    <mergeCell ref="B22:E22"/>
    <mergeCell ref="F22:G22"/>
    <mergeCell ref="C915:G915"/>
    <mergeCell ref="B12:G12"/>
    <mergeCell ref="A18:G18"/>
    <mergeCell ref="F19:G19"/>
    <mergeCell ref="B19:E19"/>
    <mergeCell ref="B20:E20"/>
    <mergeCell ref="F20:G20"/>
    <mergeCell ref="A1:E1"/>
    <mergeCell ref="F1:G1"/>
    <mergeCell ref="A2:G2"/>
    <mergeCell ref="B4:G4"/>
    <mergeCell ref="B5:G5"/>
    <mergeCell ref="A910:F910"/>
    <mergeCell ref="B25:B26"/>
    <mergeCell ref="C25:F25"/>
    <mergeCell ref="C26:D26"/>
    <mergeCell ref="B3:G3"/>
    <mergeCell ref="B13:G13"/>
    <mergeCell ref="B14:G14"/>
    <mergeCell ref="B15:G15"/>
    <mergeCell ref="B16:G16"/>
    <mergeCell ref="B17:G17"/>
    <mergeCell ref="B6:G6"/>
    <mergeCell ref="B7:G7"/>
    <mergeCell ref="B8:G8"/>
    <mergeCell ref="B9:G9"/>
    <mergeCell ref="B10:G10"/>
    <mergeCell ref="B11:G1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(kode sub kegiatan)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prola</dc:creator>
  <cp:lastModifiedBy>reny fitria</cp:lastModifiedBy>
  <dcterms:created xsi:type="dcterms:W3CDTF">2022-02-03T05:54:32Z</dcterms:created>
  <dcterms:modified xsi:type="dcterms:W3CDTF">2026-02-23T10:03:45Z</dcterms:modified>
</cp:coreProperties>
</file>